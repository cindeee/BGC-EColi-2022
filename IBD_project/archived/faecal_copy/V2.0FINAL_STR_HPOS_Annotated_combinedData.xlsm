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imperiallondon-my.sharepoint.com/personal/str06_ic_ac_uk/Documents/LCMS/Faeces/datasheets for Maria/"/>
    </mc:Choice>
  </mc:AlternateContent>
  <xr:revisionPtr revIDLastSave="180" documentId="8_{CA2793CE-EE79-9F40-8753-38AF7FE5BEBD}" xr6:coauthVersionLast="47" xr6:coauthVersionMax="47" xr10:uidLastSave="{E12974BD-CDAF-7348-8A36-2B6EBDE69AC9}"/>
  <bookViews>
    <workbookView xWindow="0" yWindow="500" windowWidth="28800" windowHeight="16280" activeTab="3" xr2:uid="{00000000-000D-0000-FFFF-FFFF00000000}"/>
  </bookViews>
  <sheets>
    <sheet name="IBD-UC Stool HPOS_PeakPantheR_c" sheetId="1" r:id="rId1"/>
    <sheet name="Master" sheetId="5" r:id="rId2"/>
    <sheet name="Inception cohort" sheetId="2" r:id="rId3"/>
    <sheet name="5-ASA cohort" sheetId="3" r:id="rId4"/>
    <sheet name="Thiopurine cohort" sheetId="4" r:id="rId5"/>
  </sheets>
  <definedNames>
    <definedName name="_xlnm._FilterDatabase" localSheetId="4" hidden="1">'Thiopurine cohort'!$K$1:$K$46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" i="3" l="1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2" i="3"/>
  <c r="R25" i="2" l="1"/>
  <c r="S3" i="4"/>
  <c r="S9" i="4"/>
  <c r="S13" i="4"/>
  <c r="S25" i="4"/>
  <c r="S6" i="4"/>
  <c r="S31" i="4"/>
  <c r="S28" i="4"/>
  <c r="S35" i="4"/>
  <c r="S17" i="4"/>
  <c r="S21" i="4"/>
  <c r="S4" i="4"/>
  <c r="S16" i="4"/>
  <c r="S29" i="4"/>
  <c r="S5" i="4"/>
  <c r="S22" i="4"/>
  <c r="S20" i="4"/>
  <c r="S18" i="4"/>
  <c r="S26" i="4"/>
  <c r="S14" i="4"/>
  <c r="S10" i="4"/>
  <c r="S23" i="4"/>
  <c r="S15" i="4"/>
  <c r="S19" i="4"/>
  <c r="S32" i="4"/>
  <c r="S24" i="4"/>
  <c r="S12" i="4"/>
  <c r="S39" i="4"/>
  <c r="S36" i="4"/>
  <c r="S40" i="4"/>
  <c r="S42" i="4"/>
  <c r="S41" i="4"/>
  <c r="S45" i="4"/>
  <c r="S43" i="4"/>
  <c r="S7" i="4"/>
  <c r="S37" i="4"/>
  <c r="S44" i="4"/>
  <c r="S8" i="4"/>
  <c r="S27" i="4"/>
  <c r="S34" i="4"/>
  <c r="S11" i="4"/>
  <c r="S38" i="4"/>
  <c r="S33" i="4"/>
  <c r="S30" i="4"/>
  <c r="S2" i="4"/>
  <c r="T13" i="3"/>
  <c r="T14" i="3"/>
  <c r="T15" i="3"/>
  <c r="T16" i="3"/>
  <c r="T17" i="3"/>
  <c r="T18" i="3"/>
  <c r="T19" i="3"/>
  <c r="T20" i="3"/>
  <c r="T21" i="3"/>
  <c r="T8" i="3"/>
  <c r="T9" i="3"/>
  <c r="T10" i="3"/>
  <c r="T11" i="3"/>
  <c r="T12" i="3"/>
  <c r="T22" i="3"/>
  <c r="T23" i="3"/>
  <c r="T24" i="3"/>
  <c r="T25" i="3"/>
  <c r="T26" i="3"/>
  <c r="T27" i="3"/>
  <c r="T28" i="3"/>
  <c r="T3" i="3"/>
  <c r="T4" i="3"/>
  <c r="T5" i="3"/>
  <c r="T6" i="3"/>
  <c r="T7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2" i="3"/>
  <c r="R2" i="2"/>
  <c r="R69" i="2"/>
  <c r="R70" i="2"/>
  <c r="R71" i="2"/>
  <c r="R68" i="2"/>
  <c r="R16" i="2"/>
  <c r="R17" i="2"/>
  <c r="R18" i="2"/>
  <c r="R19" i="2"/>
  <c r="R20" i="2"/>
  <c r="R21" i="2"/>
  <c r="R22" i="2"/>
  <c r="R23" i="2"/>
  <c r="R24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14" i="2"/>
  <c r="R15" i="2"/>
  <c r="R3" i="2"/>
  <c r="R4" i="2"/>
  <c r="R5" i="2"/>
  <c r="R6" i="2"/>
  <c r="R7" i="2"/>
  <c r="R8" i="2"/>
  <c r="R9" i="2"/>
  <c r="R10" i="2"/>
  <c r="R11" i="2"/>
  <c r="R12" i="2"/>
  <c r="R13" i="2"/>
  <c r="M2" i="5"/>
  <c r="J43" i="4"/>
  <c r="J33" i="4"/>
  <c r="J38" i="4"/>
  <c r="J34" i="4"/>
  <c r="J8" i="4"/>
  <c r="J37" i="4"/>
  <c r="J7" i="4"/>
  <c r="J45" i="4"/>
  <c r="J41" i="4"/>
  <c r="J42" i="4"/>
  <c r="J36" i="4"/>
  <c r="J39" i="4"/>
  <c r="J12" i="4"/>
  <c r="J24" i="4"/>
  <c r="J32" i="4"/>
  <c r="J19" i="4"/>
  <c r="J23" i="4"/>
  <c r="J14" i="4"/>
  <c r="J26" i="4"/>
  <c r="J18" i="4"/>
  <c r="J22" i="4"/>
  <c r="J5" i="4"/>
  <c r="J29" i="4"/>
  <c r="J4" i="4"/>
  <c r="J21" i="4"/>
  <c r="J17" i="4"/>
  <c r="J3" i="4"/>
  <c r="J11" i="4"/>
  <c r="J10" i="4"/>
  <c r="J15" i="4"/>
  <c r="J44" i="4"/>
  <c r="J35" i="4"/>
  <c r="J28" i="4"/>
  <c r="J31" i="4"/>
  <c r="J6" i="4"/>
  <c r="J30" i="4"/>
  <c r="J25" i="4"/>
  <c r="J13" i="4"/>
  <c r="J9" i="4"/>
  <c r="J2" i="4"/>
  <c r="J16" i="4"/>
  <c r="J27" i="4"/>
  <c r="J20" i="4"/>
  <c r="J40" i="4"/>
  <c r="K33" i="3"/>
  <c r="K76" i="3"/>
  <c r="K73" i="3"/>
  <c r="K26" i="3"/>
  <c r="K13" i="3"/>
  <c r="K63" i="3"/>
  <c r="K46" i="3"/>
  <c r="K56" i="3"/>
  <c r="K70" i="3"/>
  <c r="K6" i="3"/>
  <c r="K61" i="3"/>
  <c r="K11" i="3"/>
  <c r="K30" i="3"/>
  <c r="K22" i="3"/>
  <c r="K5" i="3"/>
  <c r="K51" i="3"/>
  <c r="K82" i="3"/>
  <c r="K81" i="3"/>
  <c r="K80" i="3"/>
  <c r="K79" i="3"/>
  <c r="K78" i="3"/>
  <c r="K77" i="3"/>
  <c r="K75" i="3"/>
  <c r="K74" i="3"/>
  <c r="K72" i="3"/>
  <c r="K71" i="3"/>
  <c r="K69" i="3"/>
  <c r="K68" i="3"/>
  <c r="K67" i="3"/>
  <c r="K66" i="3"/>
  <c r="K65" i="3"/>
  <c r="K64" i="3"/>
  <c r="K62" i="3"/>
  <c r="K60" i="3"/>
  <c r="K59" i="3"/>
  <c r="K58" i="3"/>
  <c r="K57" i="3"/>
  <c r="K55" i="3"/>
  <c r="K54" i="3"/>
  <c r="K53" i="3"/>
  <c r="K52" i="3"/>
  <c r="K50" i="3"/>
  <c r="K49" i="3"/>
  <c r="K48" i="3"/>
  <c r="K47" i="3"/>
  <c r="K45" i="3"/>
  <c r="K44" i="3"/>
  <c r="K43" i="3"/>
  <c r="K42" i="3"/>
  <c r="K41" i="3"/>
  <c r="K40" i="3"/>
  <c r="K39" i="3"/>
  <c r="K38" i="3"/>
  <c r="K37" i="3"/>
  <c r="K36" i="3"/>
  <c r="K35" i="3"/>
  <c r="K34" i="3"/>
  <c r="K32" i="3"/>
  <c r="K31" i="3"/>
  <c r="K29" i="3"/>
  <c r="K28" i="3"/>
  <c r="K25" i="3"/>
  <c r="K24" i="3"/>
  <c r="K23" i="3"/>
  <c r="K21" i="3"/>
  <c r="K20" i="3"/>
  <c r="K19" i="3"/>
  <c r="K18" i="3"/>
  <c r="K17" i="3"/>
  <c r="K16" i="3"/>
  <c r="K15" i="3"/>
  <c r="K14" i="3"/>
  <c r="K12" i="3"/>
  <c r="K10" i="3"/>
  <c r="K9" i="3"/>
  <c r="K8" i="3"/>
  <c r="K7" i="3"/>
  <c r="K4" i="3"/>
  <c r="K3" i="3"/>
  <c r="K2" i="3"/>
  <c r="I72" i="2"/>
  <c r="I69" i="2"/>
  <c r="I21" i="2"/>
  <c r="I75" i="2"/>
  <c r="I55" i="2"/>
  <c r="I73" i="2"/>
  <c r="I24" i="2"/>
  <c r="I49" i="2"/>
  <c r="I12" i="2"/>
  <c r="I51" i="2"/>
  <c r="I60" i="2"/>
  <c r="I19" i="2"/>
  <c r="I35" i="2"/>
  <c r="I95" i="2"/>
  <c r="I94" i="2"/>
  <c r="I28" i="2"/>
  <c r="I92" i="2"/>
  <c r="I91" i="2"/>
  <c r="I90" i="2"/>
  <c r="I88" i="2"/>
  <c r="I87" i="2"/>
  <c r="I86" i="2"/>
  <c r="I8" i="2"/>
  <c r="I84" i="2"/>
  <c r="I83" i="2"/>
  <c r="I82" i="2"/>
  <c r="I81" i="2"/>
  <c r="I79" i="2"/>
  <c r="I78" i="2"/>
  <c r="I77" i="2"/>
  <c r="I41" i="2"/>
  <c r="I76" i="2"/>
  <c r="I74" i="2"/>
  <c r="I71" i="2"/>
  <c r="I70" i="2"/>
  <c r="I68" i="2"/>
  <c r="I67" i="2"/>
  <c r="I66" i="2"/>
  <c r="I65" i="2"/>
  <c r="I64" i="2"/>
  <c r="I63" i="2"/>
  <c r="I62" i="2"/>
  <c r="I61" i="2"/>
  <c r="I58" i="2"/>
  <c r="I59" i="2"/>
  <c r="I57" i="2"/>
  <c r="I56" i="2"/>
  <c r="I54" i="2"/>
  <c r="I53" i="2"/>
  <c r="I52" i="2"/>
  <c r="I50" i="2"/>
  <c r="I48" i="2"/>
  <c r="I47" i="2"/>
  <c r="I46" i="2"/>
  <c r="I45" i="2"/>
  <c r="I44" i="2"/>
  <c r="I43" i="2"/>
  <c r="I42" i="2"/>
  <c r="I80" i="2"/>
  <c r="I40" i="2"/>
  <c r="I39" i="2"/>
  <c r="I38" i="2"/>
  <c r="I37" i="2"/>
  <c r="I36" i="2"/>
  <c r="I89" i="2"/>
  <c r="I34" i="2"/>
  <c r="I33" i="2"/>
  <c r="I32" i="2"/>
  <c r="I30" i="2"/>
  <c r="I31" i="2"/>
  <c r="I29" i="2"/>
  <c r="I93" i="2"/>
  <c r="I27" i="2"/>
  <c r="I26" i="2"/>
  <c r="I23" i="2"/>
  <c r="I22" i="2"/>
  <c r="I20" i="2"/>
  <c r="I18" i="2"/>
  <c r="I17" i="2"/>
  <c r="I16" i="2"/>
  <c r="I15" i="2"/>
  <c r="I14" i="2"/>
  <c r="I13" i="2"/>
  <c r="I11" i="2"/>
  <c r="I10" i="2"/>
  <c r="I9" i="2"/>
  <c r="I85" i="2"/>
  <c r="I7" i="2"/>
  <c r="I6" i="2"/>
  <c r="I5" i="2"/>
  <c r="I4" i="2"/>
  <c r="I3" i="2"/>
  <c r="I2" i="2"/>
  <c r="M3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O1" authorId="0" shapeId="0" xr:uid="{A2A9DA78-FA1C-984F-B333-105B5094B5EF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scheme val="minor"/>
          </rPr>
          <t xml:space="preserve">&lt;18.5=1
</t>
        </r>
        <r>
          <rPr>
            <sz val="10"/>
            <color rgb="FF000000"/>
            <rFont val="Calibri"/>
            <scheme val="minor"/>
          </rPr>
          <t xml:space="preserve">18-24.9=2
</t>
        </r>
        <r>
          <rPr>
            <sz val="10"/>
            <color rgb="FF000000"/>
            <rFont val="Calibri"/>
            <scheme val="minor"/>
          </rPr>
          <t xml:space="preserve">25-29.9=3
</t>
        </r>
        <r>
          <rPr>
            <sz val="10"/>
            <color rgb="FF000000"/>
            <rFont val="Calibri"/>
            <scheme val="minor"/>
          </rPr>
          <t xml:space="preserve">30-39.9=4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Q1" authorId="0" shapeId="0" xr:uid="{C4EEA821-35A9-9041-B4D9-383DDC92A1CB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</rPr>
          <t xml:space="preserve">&lt;18.5=1
</t>
        </r>
        <r>
          <rPr>
            <sz val="10"/>
            <color rgb="FF000000"/>
            <rFont val="Calibri"/>
          </rPr>
          <t xml:space="preserve">18-24.9=2
</t>
        </r>
        <r>
          <rPr>
            <sz val="10"/>
            <color rgb="FF000000"/>
            <rFont val="Calibri"/>
          </rPr>
          <t xml:space="preserve">25-29.9=3
</t>
        </r>
        <r>
          <rPr>
            <sz val="10"/>
            <color rgb="FF000000"/>
            <rFont val="Calibri"/>
          </rPr>
          <t xml:space="preserve">30-39.9=4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P1" authorId="0" shapeId="0" xr:uid="{0FCF93D6-09C0-FB4A-BAD3-95A93F24F5FB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</rPr>
          <t xml:space="preserve">&lt;18.5=1
</t>
        </r>
        <r>
          <rPr>
            <sz val="10"/>
            <color rgb="FF000000"/>
            <rFont val="Calibri"/>
          </rPr>
          <t xml:space="preserve">18-24.9=2
</t>
        </r>
        <r>
          <rPr>
            <sz val="10"/>
            <color rgb="FF000000"/>
            <rFont val="Calibri"/>
          </rPr>
          <t xml:space="preserve">25-29.9=3
</t>
        </r>
        <r>
          <rPr>
            <sz val="10"/>
            <color rgb="FF000000"/>
            <rFont val="Calibri"/>
          </rPr>
          <t xml:space="preserve">30-39.9=4
</t>
        </r>
      </text>
    </comment>
  </commentList>
</comments>
</file>

<file path=xl/sharedStrings.xml><?xml version="1.0" encoding="utf-8"?>
<sst xmlns="http://schemas.openxmlformats.org/spreadsheetml/2006/main" count="3965" uniqueCount="743">
  <si>
    <t>Sample File Name</t>
  </si>
  <si>
    <t>Sample ID</t>
  </si>
  <si>
    <t>Feature Name</t>
  </si>
  <si>
    <t>Symmetric | Asymmetric Dimethylarginine</t>
  </si>
  <si>
    <t>Carnitine</t>
  </si>
  <si>
    <t>N1-Acetylspermidine</t>
  </si>
  <si>
    <t>N6,N6,N6-Trimethyl-L-lysine</t>
  </si>
  <si>
    <t>Paraxanthine</t>
  </si>
  <si>
    <t>Niacinamide</t>
  </si>
  <si>
    <t>Cotinine</t>
  </si>
  <si>
    <t>Citrulline</t>
  </si>
  <si>
    <t>Arginine</t>
  </si>
  <si>
    <t>Lysine</t>
  </si>
  <si>
    <t>Decadienoylcarnitine CAR(10:2)</t>
  </si>
  <si>
    <t>Thiamine</t>
  </si>
  <si>
    <t>N1-methyl-2-pyridone-5-carboxamide</t>
  </si>
  <si>
    <t>N1-methylinosine</t>
  </si>
  <si>
    <t>N1,N12-Diacetylspermine</t>
  </si>
  <si>
    <t>IonID</t>
  </si>
  <si>
    <t>HPOS-006.1</t>
  </si>
  <si>
    <t>HPOS-008.1</t>
  </si>
  <si>
    <t>HPOS-015.1</t>
  </si>
  <si>
    <t>HPOS-016.1</t>
  </si>
  <si>
    <t>HPOS-024.1</t>
  </si>
  <si>
    <t>HPOS-034.1</t>
  </si>
  <si>
    <t>HPOS-035.1</t>
  </si>
  <si>
    <t>HPOS-047.1</t>
  </si>
  <si>
    <t>HPOS-048.1</t>
  </si>
  <si>
    <t>HPOS-049.1</t>
  </si>
  <si>
    <t>HPOS-064.1</t>
  </si>
  <si>
    <t>HPOS-072.1</t>
  </si>
  <si>
    <t>HPOS-084.1</t>
  </si>
  <si>
    <t>HPOS-108.1</t>
  </si>
  <si>
    <t>HPOS-116.1</t>
  </si>
  <si>
    <t>Retention Time</t>
  </si>
  <si>
    <t>m/z</t>
  </si>
  <si>
    <t>IBD_UC_HPOS_ToF04_FE5W01</t>
  </si>
  <si>
    <t>F183</t>
  </si>
  <si>
    <t>IBD_UC_HPOS_ToF04_FE5W02</t>
  </si>
  <si>
    <t>F181</t>
  </si>
  <si>
    <t>IBD_UC_HPOS_ToF04_FE5W03</t>
  </si>
  <si>
    <t>F185</t>
  </si>
  <si>
    <t>IBD_UC_HPOS_ToF04_FE5W04</t>
  </si>
  <si>
    <t>F195</t>
  </si>
  <si>
    <t>IBD_UC_HPOS_ToF04_FE5W05</t>
  </si>
  <si>
    <t>F150</t>
  </si>
  <si>
    <t>IBD_UC_HPOS_ToF04_FE5W12_SR</t>
  </si>
  <si>
    <t>Study Pool Sample</t>
  </si>
  <si>
    <t>IBD_UC_HPOS_ToF04_FE5W06</t>
  </si>
  <si>
    <t>F123</t>
  </si>
  <si>
    <t>IBD_UC_HPOS_ToF04_FE5W07</t>
  </si>
  <si>
    <t>F048</t>
  </si>
  <si>
    <t>IBD_UC_HPOS_ToF04_FE5W08</t>
  </si>
  <si>
    <t>F025</t>
  </si>
  <si>
    <t>IBD_UC_HPOS_ToF04_FE5W09</t>
  </si>
  <si>
    <t>F010</t>
  </si>
  <si>
    <t>IBD_UC_HPOS_ToF04_FE5W10</t>
  </si>
  <si>
    <t>F027</t>
  </si>
  <si>
    <t>IBD_UC_HPOS_ToF04_FE5W13</t>
  </si>
  <si>
    <t>F180</t>
  </si>
  <si>
    <t>IBD_UC_HPOS_ToF04_FE5W14</t>
  </si>
  <si>
    <t>F194</t>
  </si>
  <si>
    <t>IBD_UC_HPOS_ToF04_FE5W15</t>
  </si>
  <si>
    <t>F068</t>
  </si>
  <si>
    <t>IBD_UC_HPOS_ToF04_FE5W16</t>
  </si>
  <si>
    <t>F174</t>
  </si>
  <si>
    <t>IBD_UC_HPOS_ToF04_FE5W17</t>
  </si>
  <si>
    <t>F141</t>
  </si>
  <si>
    <t>IBD_UC_HPOS_ToF04_FE5W24_SR</t>
  </si>
  <si>
    <t>IBD_UC_HPOS_ToF04_FE5W18</t>
  </si>
  <si>
    <t>F126</t>
  </si>
  <si>
    <t>IBD_UC_HPOS_ToF04_FE5W19</t>
  </si>
  <si>
    <t>F030</t>
  </si>
  <si>
    <t>IBD_UC_HPOS_ToF04_FE5W20</t>
  </si>
  <si>
    <t>F005</t>
  </si>
  <si>
    <t>IBD_UC_HPOS_ToF04_FE5W21</t>
  </si>
  <si>
    <t>F055</t>
  </si>
  <si>
    <t>IBD_UC_HPOS_ToF04_FE5W22</t>
  </si>
  <si>
    <t>F110</t>
  </si>
  <si>
    <t>IBD_UC_HPOS_ToF04_FE5W25</t>
  </si>
  <si>
    <t>F101</t>
  </si>
  <si>
    <t>IBD_UC_HPOS_ToF04_FE5W26</t>
  </si>
  <si>
    <t>F142</t>
  </si>
  <si>
    <t>IBD_UC_HPOS_ToF04_FE5W27</t>
  </si>
  <si>
    <t>F114</t>
  </si>
  <si>
    <t>IBD_UC_HPOS_ToF04_FE5W28</t>
  </si>
  <si>
    <t>F154</t>
  </si>
  <si>
    <t>IBD_UC_HPOS_ToF04_FE5W29</t>
  </si>
  <si>
    <t>F090</t>
  </si>
  <si>
    <t>IBD_UC_HPOS_ToF04_FE5W36_SR</t>
  </si>
  <si>
    <t>IBD_UC_HPOS_ToF04_FE5W30</t>
  </si>
  <si>
    <t>F109</t>
  </si>
  <si>
    <t>IBD_UC_HPOS_ToF04_FE5W31</t>
  </si>
  <si>
    <t>F135</t>
  </si>
  <si>
    <t>IBD_UC_HPOS_ToF04_FE5W32</t>
  </si>
  <si>
    <t>F116</t>
  </si>
  <si>
    <t>IBD_UC_HPOS_ToF04_FE5W33</t>
  </si>
  <si>
    <t>F004</t>
  </si>
  <si>
    <t>IBD_UC_HPOS_ToF04_FE5W34</t>
  </si>
  <si>
    <t>F002</t>
  </si>
  <si>
    <t>IBD_UC_HPOS_ToF04_FE5W37</t>
  </si>
  <si>
    <t>F157</t>
  </si>
  <si>
    <t>IBD_UC_HPOS_ToF04_FE5W38</t>
  </si>
  <si>
    <t>F038</t>
  </si>
  <si>
    <t>IBD_UC_HPOS_ToF04_FE5W39</t>
  </si>
  <si>
    <t>F033</t>
  </si>
  <si>
    <t>IBD_UC_HPOS_ToF04_FE5W40</t>
  </si>
  <si>
    <t>F129</t>
  </si>
  <si>
    <t>IBD_UC_HPOS_ToF04_FE5W41</t>
  </si>
  <si>
    <t>F076</t>
  </si>
  <si>
    <t>IBD_UC_HPOS_ToF04_FE5W48_SR</t>
  </si>
  <si>
    <t>IBD_UC_HPOS_ToF04_FE5W42</t>
  </si>
  <si>
    <t>F039</t>
  </si>
  <si>
    <t>IBD_UC_HPOS_ToF04_FE5W43</t>
  </si>
  <si>
    <t>F060</t>
  </si>
  <si>
    <t>IBD_UC_HPOS_ToF04_FE5W44</t>
  </si>
  <si>
    <t>F143</t>
  </si>
  <si>
    <t>IBD_UC_HPOS_ToF04_FE5W45</t>
  </si>
  <si>
    <t>F098</t>
  </si>
  <si>
    <t>IBD_UC_HPOS_ToF04_FE5W46</t>
  </si>
  <si>
    <t>F088</t>
  </si>
  <si>
    <t>IBD_UC_HPOS_ToF04_FE5W49</t>
  </si>
  <si>
    <t>F184</t>
  </si>
  <si>
    <t>IBD_UC_HPOS_ToF04_FE5W50</t>
  </si>
  <si>
    <t>F190</t>
  </si>
  <si>
    <t>IBD_UC_HPOS_ToF04_FE5W51</t>
  </si>
  <si>
    <t>F187</t>
  </si>
  <si>
    <t>IBD_UC_HPOS_ToF04_FE5W52</t>
  </si>
  <si>
    <t>F042</t>
  </si>
  <si>
    <t>IBD_UC_HPOS_ToF04_FE5W53</t>
  </si>
  <si>
    <t>F019</t>
  </si>
  <si>
    <t>IBD_UC_HPOS_ToF04_FE5W60_SR</t>
  </si>
  <si>
    <t>IBD_UC_HPOS_ToF04_FE5W54</t>
  </si>
  <si>
    <t>F001</t>
  </si>
  <si>
    <t>IBD_UC_HPOS_ToF04_FE5W55</t>
  </si>
  <si>
    <t>F056</t>
  </si>
  <si>
    <t>IBD_UC_HPOS_ToF04_FE5W56</t>
  </si>
  <si>
    <t>F017</t>
  </si>
  <si>
    <t>IBD_UC_HPOS_ToF04_FE5W57</t>
  </si>
  <si>
    <t>F032</t>
  </si>
  <si>
    <t>IBD_UC_HPOS_ToF04_FE5W58</t>
  </si>
  <si>
    <t>F078</t>
  </si>
  <si>
    <t>IBD_UC_HPOS_ToF04_FE5W61</t>
  </si>
  <si>
    <t>F134</t>
  </si>
  <si>
    <t>IBD_UC_HPOS_ToF04_FE5W62</t>
  </si>
  <si>
    <t>F130</t>
  </si>
  <si>
    <t>IBD_UC_HPOS_ToF04_FE5W63</t>
  </si>
  <si>
    <t>F138</t>
  </si>
  <si>
    <t>IBD_UC_HPOS_ToF04_FE5W64</t>
  </si>
  <si>
    <t>F045</t>
  </si>
  <si>
    <t>IBD_UC_HPOS_ToF04_FE5W65</t>
  </si>
  <si>
    <t>F021</t>
  </si>
  <si>
    <t>IBD_UC_HPOS_ToF04_FE5W72_SR</t>
  </si>
  <si>
    <t>IBD_UC_HPOS_ToF04_FE5W66</t>
  </si>
  <si>
    <t>F072</t>
  </si>
  <si>
    <t>IBD_UC_HPOS_ToF04_FE5W67</t>
  </si>
  <si>
    <t>F132</t>
  </si>
  <si>
    <t>IBD_UC_HPOS_ToF04_FE5W68</t>
  </si>
  <si>
    <t>F113</t>
  </si>
  <si>
    <t>IBD_UC_HPOS_ToF04_FE5W69</t>
  </si>
  <si>
    <t>F152</t>
  </si>
  <si>
    <t>IBD_UC_HPOS_ToF04_FE5W70</t>
  </si>
  <si>
    <t>F077</t>
  </si>
  <si>
    <t>IBD_UC_HPOS_ToF04_FE5W73</t>
  </si>
  <si>
    <t>F026</t>
  </si>
  <si>
    <t>IBD_UC_HPOS_ToF04_FE5W74</t>
  </si>
  <si>
    <t>F057</t>
  </si>
  <si>
    <t>IBD_UC_HPOS_ToF04_FE5W75</t>
  </si>
  <si>
    <t>F147</t>
  </si>
  <si>
    <t>IBD_UC_HPOS_ToF04_FE5W76</t>
  </si>
  <si>
    <t>F014</t>
  </si>
  <si>
    <t>IBD_UC_HPOS_ToF04_FE5W77</t>
  </si>
  <si>
    <t>F155</t>
  </si>
  <si>
    <t>IBD_UC_HPOS_ToF04_FE5W78</t>
  </si>
  <si>
    <t>F070</t>
  </si>
  <si>
    <t>IBD_UC_HPOS_ToF04_FE5W79</t>
  </si>
  <si>
    <t>F036</t>
  </si>
  <si>
    <t>IBD_UC_HPOS_ToF04_FE5W80</t>
  </si>
  <si>
    <t>F011</t>
  </si>
  <si>
    <t>IBD_UC_HPOS_ToF04_FE5W81</t>
  </si>
  <si>
    <t>F091</t>
  </si>
  <si>
    <t>IBD_UC_HPOS_ToF04_FE5W82</t>
  </si>
  <si>
    <t>F087</t>
  </si>
  <si>
    <t>IBD_UC_HPOS_ToF04_FE5W85</t>
  </si>
  <si>
    <t>F148</t>
  </si>
  <si>
    <t>IBD_UC_HPOS_ToF04_FE5W86</t>
  </si>
  <si>
    <t>F153</t>
  </si>
  <si>
    <t>IBD_UC_HPOS_ToF04_FE5W87</t>
  </si>
  <si>
    <t>F127</t>
  </si>
  <si>
    <t>IBD_UC_HPOS_ToF04_FE5W88</t>
  </si>
  <si>
    <t>F108</t>
  </si>
  <si>
    <t>IBD_UC_HPOS_ToF04_FE5W89</t>
  </si>
  <si>
    <t>F149</t>
  </si>
  <si>
    <t>IBD_UC_HPOS_ToF04_FE5W90</t>
  </si>
  <si>
    <t>F169</t>
  </si>
  <si>
    <t>IBD_UC_HPOS_ToF04_FE5W91</t>
  </si>
  <si>
    <t>F175</t>
  </si>
  <si>
    <t>IBD_UC_HPOS_ToF04_FE5W92</t>
  </si>
  <si>
    <t>F164</t>
  </si>
  <si>
    <t>IBD_UC_HPOS_ToF04_FE5W93</t>
  </si>
  <si>
    <t>F179</t>
  </si>
  <si>
    <t>IBD_UC_HPOS_ToF04_FE5W94</t>
  </si>
  <si>
    <t>F059</t>
  </si>
  <si>
    <t>IBD_UC_HPOS_ToF04_FE6W01</t>
  </si>
  <si>
    <t>F053</t>
  </si>
  <si>
    <t>IBD_UC_HPOS_ToF04_FE6W02</t>
  </si>
  <si>
    <t>F073</t>
  </si>
  <si>
    <t>IBD_UC_HPOS_ToF04_FE6W03</t>
  </si>
  <si>
    <t>F159</t>
  </si>
  <si>
    <t>IBD_UC_HPOS_ToF04_FE6W04</t>
  </si>
  <si>
    <t>F170</t>
  </si>
  <si>
    <t>IBD_UC_HPOS_ToF04_FE6W05</t>
  </si>
  <si>
    <t>F171</t>
  </si>
  <si>
    <t>IBD_UC_HPOS_ToF04_FE6W06</t>
  </si>
  <si>
    <t>F177</t>
  </si>
  <si>
    <t>IBD_UC_HPOS_ToF04_FE6W07</t>
  </si>
  <si>
    <t>F163</t>
  </si>
  <si>
    <t>IBD_UC_HPOS_ToF04_FE6W08</t>
  </si>
  <si>
    <t>F137</t>
  </si>
  <si>
    <t>IBD_UC_HPOS_ToF04_FE6W09</t>
  </si>
  <si>
    <t>F063</t>
  </si>
  <si>
    <t>IBD_UC_HPOS_ToF04_FE6W10</t>
  </si>
  <si>
    <t>F024</t>
  </si>
  <si>
    <t>IBD_UC_HPOS_ToF04_FE6W13</t>
  </si>
  <si>
    <t>F046</t>
  </si>
  <si>
    <t>IBD_UC_HPOS_ToF04_FE6W14</t>
  </si>
  <si>
    <t>F041</t>
  </si>
  <si>
    <t>IBD_UC_HPOS_ToF04_FE6W15</t>
  </si>
  <si>
    <t>F096</t>
  </si>
  <si>
    <t>IBD_UC_HPOS_ToF04_FE6W16</t>
  </si>
  <si>
    <t>F097</t>
  </si>
  <si>
    <t>IBD_UC_HPOS_ToF04_FE6W17</t>
  </si>
  <si>
    <t>F104</t>
  </si>
  <si>
    <t>IBD_UC_HPOS_ToF04_FE6W24_SR</t>
  </si>
  <si>
    <t>IBD_UC_HPOS_ToF04_FE6W18</t>
  </si>
  <si>
    <t>F145</t>
  </si>
  <si>
    <t>IBD_UC_HPOS_ToF04_FE6W19</t>
  </si>
  <si>
    <t>F012</t>
  </si>
  <si>
    <t>IBD_UC_HPOS_ToF04_FE6W20</t>
  </si>
  <si>
    <t>F022</t>
  </si>
  <si>
    <t>IBD_UC_HPOS_ToF04_FE6W21</t>
  </si>
  <si>
    <t>F139</t>
  </si>
  <si>
    <t>IBD_UC_HPOS_ToF04_FE6W22</t>
  </si>
  <si>
    <t>F196</t>
  </si>
  <si>
    <t>IBD_UC_HPOS_ToF04_FE6W25</t>
  </si>
  <si>
    <t>F081</t>
  </si>
  <si>
    <t>IBD_UC_HPOS_ToF04_FE6W26</t>
  </si>
  <si>
    <t>F178</t>
  </si>
  <si>
    <t>IBD_UC_HPOS_ToF04_FE6W27</t>
  </si>
  <si>
    <t>F107</t>
  </si>
  <si>
    <t>IBD_UC_HPOS_ToF04_FE6W28</t>
  </si>
  <si>
    <t>F122</t>
  </si>
  <si>
    <t>IBD_UC_HPOS_ToF04_FE6W29</t>
  </si>
  <si>
    <t>F102</t>
  </si>
  <si>
    <t>IBD_UC_HPOS_ToF04_FE6W36_SR</t>
  </si>
  <si>
    <t>IBD_UC_HPOS_ToF04_FE6W30</t>
  </si>
  <si>
    <t>F066</t>
  </si>
  <si>
    <t>IBD_UC_HPOS_ToF04_FE6W31</t>
  </si>
  <si>
    <t>F084</t>
  </si>
  <si>
    <t>IBD_UC_HPOS_ToF04_FE6W32</t>
  </si>
  <si>
    <t>F160</t>
  </si>
  <si>
    <t>IBD_UC_HPOS_ToF04_FE6W33</t>
  </si>
  <si>
    <t>F023</t>
  </si>
  <si>
    <t>IBD_UC_HPOS_ToF04_FE6W34</t>
  </si>
  <si>
    <t>F044</t>
  </si>
  <si>
    <t>IBD_UC_HPOS_ToF04_FE6W37</t>
  </si>
  <si>
    <t>F006</t>
  </si>
  <si>
    <t>IBD_UC_HPOS_ToF04_FE6W38</t>
  </si>
  <si>
    <t>F156</t>
  </si>
  <si>
    <t>IBD_UC_HPOS_ToF04_FE6W39</t>
  </si>
  <si>
    <t>F094</t>
  </si>
  <si>
    <t>IBD_UC_HPOS_ToF04_FE6W40</t>
  </si>
  <si>
    <t>F103</t>
  </si>
  <si>
    <t>IBD_UC_HPOS_ToF04_FE6W41</t>
  </si>
  <si>
    <t>F105</t>
  </si>
  <si>
    <t>IBD_UC_HPOS_ToF04_FE6W48_SR</t>
  </si>
  <si>
    <t>IBD_UC_HPOS_ToF04_FE6W42</t>
  </si>
  <si>
    <t>F133</t>
  </si>
  <si>
    <t>IBD_UC_HPOS_ToF04_FE6W43</t>
  </si>
  <si>
    <t>F115</t>
  </si>
  <si>
    <t>IBD_UC_HPOS_ToF04_FE6W44</t>
  </si>
  <si>
    <t>F062</t>
  </si>
  <si>
    <t>IBD_UC_HPOS_ToF04_FE6W45</t>
  </si>
  <si>
    <t>F067</t>
  </si>
  <si>
    <t>IBD_UC_HPOS_ToF04_FE6W46</t>
  </si>
  <si>
    <t>F043</t>
  </si>
  <si>
    <t>IBD_UC_HPOS_ToF04_FE6W49</t>
  </si>
  <si>
    <t>F007</t>
  </si>
  <si>
    <t>IBD_UC_HPOS_ToF04_FE6W50</t>
  </si>
  <si>
    <t>F079</t>
  </si>
  <si>
    <t>IBD_UC_HPOS_ToF04_FE6W51</t>
  </si>
  <si>
    <t>F031</t>
  </si>
  <si>
    <t>IBD_UC_HPOS_ToF04_FE6W52</t>
  </si>
  <si>
    <t>F092</t>
  </si>
  <si>
    <t>IBD_UC_HPOS_ToF04_FE6W53</t>
  </si>
  <si>
    <t>F099</t>
  </si>
  <si>
    <t>IBD_UC_HPOS_ToF04_FE6W60_SR</t>
  </si>
  <si>
    <t>IBD_UC_HPOS_ToF04_FE6W54</t>
  </si>
  <si>
    <t>F085</t>
  </si>
  <si>
    <t>IBD_UC_HPOS_ToF04_FE6W55</t>
  </si>
  <si>
    <t>F020</t>
  </si>
  <si>
    <t>IBD_UC_HPOS_ToF04_FE6W56</t>
  </si>
  <si>
    <t>F029</t>
  </si>
  <si>
    <t>IBD_UC_HPOS_ToF04_FE6W57</t>
  </si>
  <si>
    <t>F054</t>
  </si>
  <si>
    <t>IBD_UC_HPOS_ToF04_FE6W58</t>
  </si>
  <si>
    <t>F015</t>
  </si>
  <si>
    <t>IBD_UC_HPOS_ToF04_FE6W61</t>
  </si>
  <si>
    <t>F003</t>
  </si>
  <si>
    <t>IBD_UC_HPOS_ToF04_FE6W62</t>
  </si>
  <si>
    <t>F035</t>
  </si>
  <si>
    <t>IBD_UC_HPOS_ToF04_FE6W63</t>
  </si>
  <si>
    <t>F051</t>
  </si>
  <si>
    <t>IBD_UC_HPOS_ToF04_FE6W64</t>
  </si>
  <si>
    <t>F117</t>
  </si>
  <si>
    <t>IBD_UC_HPOS_ToF04_FE6W65</t>
  </si>
  <si>
    <t>F093</t>
  </si>
  <si>
    <t>IBD_UC_HPOS_ToF04_FE6W72_SR</t>
  </si>
  <si>
    <t>IBD_UC_HPOS_ToF04_FE6W66</t>
  </si>
  <si>
    <t>F144</t>
  </si>
  <si>
    <t>IBD_UC_HPOS_ToF04_FE6W67</t>
  </si>
  <si>
    <t>F120</t>
  </si>
  <si>
    <t>IBD_UC_HPOS_ToF04_FE6W68</t>
  </si>
  <si>
    <t>F136</t>
  </si>
  <si>
    <t>IBD_UC_HPOS_ToF04_FE6W69</t>
  </si>
  <si>
    <t>F161</t>
  </si>
  <si>
    <t>IBD_UC_HPOS_ToF04_FE6W70</t>
  </si>
  <si>
    <t>F146</t>
  </si>
  <si>
    <t>IBD_UC_HPOS_ToF04_FE6W73</t>
  </si>
  <si>
    <t>F128</t>
  </si>
  <si>
    <t>IBD_UC_HPOS_ToF04_FE6W74</t>
  </si>
  <si>
    <t>F037</t>
  </si>
  <si>
    <t>IBD_UC_HPOS_ToF04_FE6W75</t>
  </si>
  <si>
    <t>F052</t>
  </si>
  <si>
    <t>IBD_UC_HPOS_ToF04_FE6W76</t>
  </si>
  <si>
    <t>F028</t>
  </si>
  <si>
    <t>IBD_UC_HPOS_ToF04_FE6W77</t>
  </si>
  <si>
    <t>F165</t>
  </si>
  <si>
    <t>IBD_UC_HPOS_ToF04_FE6W84_SR</t>
  </si>
  <si>
    <t>IBD_UC_HPOS_ToF04_FE6W78</t>
  </si>
  <si>
    <t>F058</t>
  </si>
  <si>
    <t>IBD_UC_HPOS_ToF04_FE6W79</t>
  </si>
  <si>
    <t>F047</t>
  </si>
  <si>
    <t>IBD_UC_HPOS_ToF04_FE6W80</t>
  </si>
  <si>
    <t>F064</t>
  </si>
  <si>
    <t>IBD_UC_HPOS_ToF04_FE6W81</t>
  </si>
  <si>
    <t>F168</t>
  </si>
  <si>
    <t>IBD_UC_HPOS_ToF04_FE6W82</t>
  </si>
  <si>
    <t>F065</t>
  </si>
  <si>
    <t>IBD_UC_HPOS_ToF04_FE6W85</t>
  </si>
  <si>
    <t>F050</t>
  </si>
  <si>
    <t>IBD_UC_HPOS_ToF04_FE6W86</t>
  </si>
  <si>
    <t>F074</t>
  </si>
  <si>
    <t>IBD_UC_HPOS_ToF04_FE6W87</t>
  </si>
  <si>
    <t>F034</t>
  </si>
  <si>
    <t>IBD_UC_HPOS_ToF04_FE6W88</t>
  </si>
  <si>
    <t>F125</t>
  </si>
  <si>
    <t>IBD_UC_HPOS_ToF04_FE6W89</t>
  </si>
  <si>
    <t>F112</t>
  </si>
  <si>
    <t>IBD_UC_HPOS_ToF04_FE6W90</t>
  </si>
  <si>
    <t>F121</t>
  </si>
  <si>
    <t>IBD_UC_HPOS_ToF04_FE6W91</t>
  </si>
  <si>
    <t>F151</t>
  </si>
  <si>
    <t>IBD_UC_HPOS_ToF04_FE6W92</t>
  </si>
  <si>
    <t>F162</t>
  </si>
  <si>
    <t>IBD_UC_HPOS_ToF04_FE6W93</t>
  </si>
  <si>
    <t>F197</t>
  </si>
  <si>
    <t>IBD_UC_HPOS_ToF04_FE6W94</t>
  </si>
  <si>
    <t>F167</t>
  </si>
  <si>
    <t>IBD_UC_HPOS_ToF04_FE7W01</t>
  </si>
  <si>
    <t>F083</t>
  </si>
  <si>
    <t>IBD_UC_HPOS_ToF04_FE7W02</t>
  </si>
  <si>
    <t>F189</t>
  </si>
  <si>
    <t>IBD_UC_HPOS_ToF04_FE7W03</t>
  </si>
  <si>
    <t>F193</t>
  </si>
  <si>
    <t>IBD_UC_HPOS_ToF04_FE7W04</t>
  </si>
  <si>
    <t>F182</t>
  </si>
  <si>
    <t>IBD_UC_HPOS_ToF04_FE7W05</t>
  </si>
  <si>
    <t>F158</t>
  </si>
  <si>
    <t>IBD_UC_HPOS_ToF04_FE7W12_SR</t>
  </si>
  <si>
    <t>IBD_UC_HPOS_ToF04_FE7W06</t>
  </si>
  <si>
    <t>F009</t>
  </si>
  <si>
    <t>IBD_UC_HPOS_ToF04_FE7W07</t>
  </si>
  <si>
    <t>F173</t>
  </si>
  <si>
    <t>IBD_UC_HPOS_ToF04_FE7W08</t>
  </si>
  <si>
    <t>F166</t>
  </si>
  <si>
    <t>IBD_UC_HPOS_ToF04_FE7W09</t>
  </si>
  <si>
    <t>F069</t>
  </si>
  <si>
    <t>IBD_UC_HPOS_ToF04_FE7W10</t>
  </si>
  <si>
    <t>F176</t>
  </si>
  <si>
    <t>IBD_UC_HPOS_ToF04_FE7W13</t>
  </si>
  <si>
    <t>F086</t>
  </si>
  <si>
    <t>IBD_UC_HPOS_ToF04_FE7W14</t>
  </si>
  <si>
    <t>F100</t>
  </si>
  <si>
    <t>IBD_UC_HPOS_ToF04_FE7W15</t>
  </si>
  <si>
    <t>F191</t>
  </si>
  <si>
    <t>IBD_UC_HPOS_ToF04_FE7W16</t>
  </si>
  <si>
    <t>F061</t>
  </si>
  <si>
    <t>IBD_UC_HPOS_ToF04_FE7W17</t>
  </si>
  <si>
    <t>F049</t>
  </si>
  <si>
    <t>IBD_UC_HPOS_ToF04_FE7W24_SR</t>
  </si>
  <si>
    <t>IBD_UC_HPOS_ToF04_FE7W18</t>
  </si>
  <si>
    <t>F080</t>
  </si>
  <si>
    <t>IBD_UC_HPOS_ToF04_FE7W19</t>
  </si>
  <si>
    <t>F188</t>
  </si>
  <si>
    <t>IBD_UC_HPOS_ToF04_FE7W20</t>
  </si>
  <si>
    <t>F124</t>
  </si>
  <si>
    <t>IBD_UC_HPOS_ToF04_FE7W21</t>
  </si>
  <si>
    <t>F111</t>
  </si>
  <si>
    <t>IBD_UC_HPOS_ToF04_FE7W22</t>
  </si>
  <si>
    <t>F118</t>
  </si>
  <si>
    <t>IBD_UC_HPOS_ToF04_FE7W25</t>
  </si>
  <si>
    <t>F095</t>
  </si>
  <si>
    <t>IBD_UC_HPOS_ToF04_FE7W26</t>
  </si>
  <si>
    <t>F075</t>
  </si>
  <si>
    <t>IBD_UC_HPOS_ToF04_FE7W27</t>
  </si>
  <si>
    <t>F016</t>
  </si>
  <si>
    <t>IBD_UC_HPOS_ToF04_FE7W28</t>
  </si>
  <si>
    <t>F089</t>
  </si>
  <si>
    <t>IBD_UC_HPOS_ToF04_FE7W29</t>
  </si>
  <si>
    <t>F106</t>
  </si>
  <si>
    <t>IBD_UC_HPOS_ToF04_FE7W36_SR</t>
  </si>
  <si>
    <t>IBD_UC_HPOS_ToF04_FE7W30</t>
  </si>
  <si>
    <t>F018</t>
  </si>
  <si>
    <t>IBD_UC_HPOS_ToF04_FE7W31</t>
  </si>
  <si>
    <t>F040</t>
  </si>
  <si>
    <t>IBD_UC_HPOS_ToF04_FE7W32</t>
  </si>
  <si>
    <t>F186</t>
  </si>
  <si>
    <t>IBD_UC_HPOS_ToF04_FE7W33</t>
  </si>
  <si>
    <t>F140</t>
  </si>
  <si>
    <t>IBD_UC_HPOS_ToF04_FE7W34</t>
  </si>
  <si>
    <t>F131</t>
  </si>
  <si>
    <t>IBD_UC_HPOS_ToF04_FE7W37</t>
  </si>
  <si>
    <t>F008</t>
  </si>
  <si>
    <t>IBD_UC_HPOS_ToF04_FE7W38</t>
  </si>
  <si>
    <t>F071</t>
  </si>
  <si>
    <t>IBD_UC_HPOS_ToF04_FE7W39</t>
  </si>
  <si>
    <t>F172</t>
  </si>
  <si>
    <t>IBD_UC_HPOS_ToF04_FE7W40</t>
  </si>
  <si>
    <t>F192</t>
  </si>
  <si>
    <t>IBD_UC_HPOS_ToF04_FE7W41</t>
  </si>
  <si>
    <t>F082</t>
  </si>
  <si>
    <t>IBD_UC_HPOS_ToF04_FE7W48_SR</t>
  </si>
  <si>
    <t>IBD_UC_HPOS_ToF04_FE7W42</t>
  </si>
  <si>
    <t>F013</t>
  </si>
  <si>
    <t>IBD_UC_HPOS_ToF04_FE7W43</t>
  </si>
  <si>
    <t>F119</t>
  </si>
  <si>
    <t>SMH260_S1-12</t>
  </si>
  <si>
    <t>Disease control</t>
  </si>
  <si>
    <t>IBS-Diarrhoea</t>
  </si>
  <si>
    <t>N/A</t>
  </si>
  <si>
    <t>CAUCASIAN</t>
  </si>
  <si>
    <t>SMH 261_S1-12</t>
  </si>
  <si>
    <t>UC</t>
  </si>
  <si>
    <t>PAN</t>
  </si>
  <si>
    <t>no</t>
  </si>
  <si>
    <t>NON-CAUCASIAN</t>
  </si>
  <si>
    <t>SMH265_F1-10</t>
  </si>
  <si>
    <t>SMH267_F (1-12)</t>
  </si>
  <si>
    <t>IBS- Constipation</t>
  </si>
  <si>
    <t>SMH272_F1-12</t>
  </si>
  <si>
    <t>Left sided</t>
  </si>
  <si>
    <t>yes</t>
  </si>
  <si>
    <t>SMH273_F (1-9)</t>
  </si>
  <si>
    <t>CD</t>
  </si>
  <si>
    <t>TI</t>
  </si>
  <si>
    <t>HC011_F1-10</t>
  </si>
  <si>
    <t>Healthy control</t>
  </si>
  <si>
    <t>SMH277_F1-12</t>
  </si>
  <si>
    <t>SMH278_F1-12</t>
  </si>
  <si>
    <t>N</t>
  </si>
  <si>
    <t>SMH269_F1-12</t>
  </si>
  <si>
    <t>SMH325_F21-30</t>
  </si>
  <si>
    <t>SMH281_F1-12</t>
  </si>
  <si>
    <t>SMH283_F1-10</t>
  </si>
  <si>
    <t>SMH280_F1-12</t>
  </si>
  <si>
    <t>Proctitis</t>
  </si>
  <si>
    <t>SMH265_F13-24</t>
  </si>
  <si>
    <t>SMH286_F1-12</t>
  </si>
  <si>
    <t>SMH288_F1-4</t>
  </si>
  <si>
    <t>SMH290_F1-13</t>
  </si>
  <si>
    <t>SMH315_F8-20</t>
  </si>
  <si>
    <t>Colonic CD</t>
  </si>
  <si>
    <t>SMH294_F1-4</t>
  </si>
  <si>
    <t>SMH296_F1-13</t>
  </si>
  <si>
    <t>SMH281_F13-22</t>
  </si>
  <si>
    <t>SMH273_F10-22</t>
  </si>
  <si>
    <t>SMH297_F1-13</t>
  </si>
  <si>
    <t>SMH269_F13-25</t>
  </si>
  <si>
    <t>SMH295_F1-13</t>
  </si>
  <si>
    <t>SMH318_F25-34</t>
  </si>
  <si>
    <t>ileocolonic w/perianal disease</t>
  </si>
  <si>
    <t>SMH298_F1-13</t>
  </si>
  <si>
    <t>SMH294_F5-17</t>
  </si>
  <si>
    <t>SMH272_F13-15</t>
  </si>
  <si>
    <t>SMH274_F13-25</t>
  </si>
  <si>
    <t>SMH288_F5-15</t>
  </si>
  <si>
    <t>SMH289_F1-13</t>
  </si>
  <si>
    <t>SMH300_F1-4</t>
  </si>
  <si>
    <t>ileocolonic</t>
  </si>
  <si>
    <t>SMH265_F25-37</t>
  </si>
  <si>
    <t>SMH279_F13-25</t>
  </si>
  <si>
    <t>SMH298_F14-26</t>
  </si>
  <si>
    <t>HC020_F1-11</t>
  </si>
  <si>
    <t>SMH303_F1-13</t>
  </si>
  <si>
    <t>SMH290_F14-26</t>
  </si>
  <si>
    <t>SMH291_F1-13</t>
  </si>
  <si>
    <t>SMH292_F14-26</t>
  </si>
  <si>
    <t>SMH304_F1-13</t>
  </si>
  <si>
    <t>SMH273_F23-29</t>
  </si>
  <si>
    <t>SMH296_F14-26</t>
  </si>
  <si>
    <t>SMH297_F14-26</t>
  </si>
  <si>
    <t>SMH305_F1-13</t>
  </si>
  <si>
    <t>SMH269_F26-32</t>
  </si>
  <si>
    <t>SMH307_F1-13</t>
  </si>
  <si>
    <t>SMH300_F5-14</t>
  </si>
  <si>
    <t>SMH301_F1-13</t>
  </si>
  <si>
    <t>SMH298_F27-39</t>
  </si>
  <si>
    <t>SMH313_F8-17</t>
  </si>
  <si>
    <t>SMH294_F18-24</t>
  </si>
  <si>
    <t>SMH272_F16-28</t>
  </si>
  <si>
    <t>SMH288_F17-20</t>
  </si>
  <si>
    <t>SMH295_F14-20</t>
  </si>
  <si>
    <t>SMH305_F14-26</t>
  </si>
  <si>
    <t>SMH308_F14-24</t>
  </si>
  <si>
    <t>SMH303_F14-17</t>
  </si>
  <si>
    <t>SMH307_F14-26</t>
  </si>
  <si>
    <t>SMH304_F14-26</t>
  </si>
  <si>
    <t>SMH297_F27-39</t>
  </si>
  <si>
    <t>SMH305_F27-39</t>
  </si>
  <si>
    <t>HC015_F1-11</t>
  </si>
  <si>
    <t>healthy control</t>
  </si>
  <si>
    <t>SMH316_F1-13</t>
  </si>
  <si>
    <t>SMH304_F27-33</t>
  </si>
  <si>
    <t>SMH312_F1-13</t>
  </si>
  <si>
    <t>SMH313_F1-7</t>
  </si>
  <si>
    <t>SMH279_F26-32</t>
  </si>
  <si>
    <t>SMH318_F1-13</t>
  </si>
  <si>
    <t>SMH296_F27-39</t>
  </si>
  <si>
    <t>SMH308_F25-34</t>
  </si>
  <si>
    <t>SMH300_F15-18</t>
  </si>
  <si>
    <t>SMH286_F13-22</t>
  </si>
  <si>
    <t>SMH321_F1-10</t>
  </si>
  <si>
    <t>SMH320_F11-14</t>
  </si>
  <si>
    <t>SMH288_F21-30</t>
  </si>
  <si>
    <t>SMH274_F26-29</t>
  </si>
  <si>
    <t>SMH307_F27-32</t>
  </si>
  <si>
    <t>SMH322_F1-10</t>
  </si>
  <si>
    <t>Colonic CD w/perianal disease</t>
  </si>
  <si>
    <t>SMH318_F35-44</t>
  </si>
  <si>
    <t>SMH324_F11-20</t>
  </si>
  <si>
    <t>SMH316_F14-23</t>
  </si>
  <si>
    <t>SMH294_F25 - 31</t>
  </si>
  <si>
    <t>HC006_F1-10</t>
  </si>
  <si>
    <t>SMH328_F1-10</t>
  </si>
  <si>
    <t>SMH323_F1-10</t>
  </si>
  <si>
    <t>SMH326_F1-4</t>
  </si>
  <si>
    <t>SMH319_F1-9</t>
  </si>
  <si>
    <t>post infection IBS</t>
  </si>
  <si>
    <t>SMH328_F11-20</t>
  </si>
  <si>
    <t>SMH332_F1-6</t>
  </si>
  <si>
    <t>SMH334_F1-10</t>
  </si>
  <si>
    <t>SMH329_F1-10</t>
  </si>
  <si>
    <t>SMH330_F1-10</t>
  </si>
  <si>
    <t>SMH333_F21-25</t>
  </si>
  <si>
    <t>SMH331_F11-20</t>
  </si>
  <si>
    <t>SMH323_F11-20</t>
  </si>
  <si>
    <t>SMH332_F7-16</t>
  </si>
  <si>
    <t>SMH327_F11-20</t>
  </si>
  <si>
    <t>SMH337_F1-10</t>
  </si>
  <si>
    <t>SMH313_F31-40</t>
  </si>
  <si>
    <t>SMH329_F11-20</t>
  </si>
  <si>
    <t>SMH341_F1-6</t>
  </si>
  <si>
    <t>SMH339_F1-10</t>
  </si>
  <si>
    <t>SMH340_F1-7</t>
  </si>
  <si>
    <t>SMH336_F11-20</t>
  </si>
  <si>
    <t>SMH342_F1-10</t>
  </si>
  <si>
    <t>SMH337_F11-20</t>
  </si>
  <si>
    <t>SMH344_F1-10</t>
  </si>
  <si>
    <t>SMH345_F1-10</t>
  </si>
  <si>
    <t>SMH312_F14-24</t>
  </si>
  <si>
    <t>SMH347_F1-10</t>
  </si>
  <si>
    <t>SMH348_F1-10</t>
  </si>
  <si>
    <t>SMH349_F1-10</t>
  </si>
  <si>
    <t>SMH334_F11-20</t>
  </si>
  <si>
    <t>SMH350_F1-10</t>
  </si>
  <si>
    <t>SMH351_F1-10</t>
  </si>
  <si>
    <t>SMH352_F1-10</t>
  </si>
  <si>
    <t>SMH353_F1-10</t>
  </si>
  <si>
    <t>SMH333_F11-20</t>
  </si>
  <si>
    <t>SMH354_F1-10</t>
  </si>
  <si>
    <t>SMH344_F11-20</t>
  </si>
  <si>
    <t>SMH345_F11-20</t>
  </si>
  <si>
    <t>SMH355_F1-10</t>
  </si>
  <si>
    <t>SMH336_F21-30</t>
  </si>
  <si>
    <t>SMH356_F1-10</t>
  </si>
  <si>
    <t>SMH321_F11-20</t>
  </si>
  <si>
    <t>SMH358_F1-4</t>
  </si>
  <si>
    <t>SMH359_F1-10</t>
  </si>
  <si>
    <t>SMH346_F11-20</t>
  </si>
  <si>
    <t>SMH348_F11-20</t>
  </si>
  <si>
    <t>SMH312_F25-34</t>
  </si>
  <si>
    <t>SMH349_F11-20</t>
  </si>
  <si>
    <t>SMH352_F11-20</t>
  </si>
  <si>
    <t>SMH361_F1-10</t>
  </si>
  <si>
    <t>SMH358_F5-14</t>
  </si>
  <si>
    <t>SMH359_F11-20</t>
  </si>
  <si>
    <t>SMH355_F11-20</t>
  </si>
  <si>
    <t>SMH347_F11-20</t>
  </si>
  <si>
    <t>HC001_F1-10</t>
  </si>
  <si>
    <t>HC002_F1-10</t>
  </si>
  <si>
    <t>HC003_F1_10</t>
  </si>
  <si>
    <t>HC004_F1-10</t>
  </si>
  <si>
    <t>SMH327_F1-10</t>
  </si>
  <si>
    <t>HC007_F1-10</t>
  </si>
  <si>
    <t>HC008_F1-10</t>
  </si>
  <si>
    <t>HC009_F1-10</t>
  </si>
  <si>
    <t>HC010_F1-10</t>
  </si>
  <si>
    <t>SMH274_F1-12</t>
  </si>
  <si>
    <t>HC012-F1-10</t>
  </si>
  <si>
    <t>HC013_F1-10</t>
  </si>
  <si>
    <t>HC014_F1-10</t>
  </si>
  <si>
    <t>SMH305_F40-43</t>
  </si>
  <si>
    <t>HC016_F1-10</t>
  </si>
  <si>
    <t>HC017_F1-10</t>
  </si>
  <si>
    <t>HC019_F1-11</t>
  </si>
  <si>
    <t>SMH302_F1-13</t>
  </si>
  <si>
    <t>HC021_F1-11</t>
  </si>
  <si>
    <t>HC022_F1-11</t>
  </si>
  <si>
    <t>SMH315_F1-7</t>
  </si>
  <si>
    <t>SMH317_F1-13</t>
  </si>
  <si>
    <t>SMH305_F44-56</t>
  </si>
  <si>
    <t>SMH308_F1-13</t>
  </si>
  <si>
    <t>SMH320_F1-10</t>
  </si>
  <si>
    <t>SMH305_F57-66</t>
  </si>
  <si>
    <t>SMH317_F14-20</t>
  </si>
  <si>
    <t>SMH292_F1-13</t>
  </si>
  <si>
    <t>SMH315_F21-30</t>
  </si>
  <si>
    <t>SMH318_F14-24</t>
  </si>
  <si>
    <t>SMH313_F21-30</t>
  </si>
  <si>
    <t>SMH346_F1-10</t>
  </si>
  <si>
    <t>SMH317_F21-25</t>
  </si>
  <si>
    <t>SMH338_F1-10</t>
  </si>
  <si>
    <t>SMH315_F31-40</t>
  </si>
  <si>
    <t>SMH322_F11-17</t>
  </si>
  <si>
    <t>SMH317_F26-29</t>
  </si>
  <si>
    <t>SMH312_F35-44</t>
  </si>
  <si>
    <t>SMH325_F11-20</t>
  </si>
  <si>
    <t>SMH324_F21-30</t>
  </si>
  <si>
    <t>SMH279_F1-12</t>
  </si>
  <si>
    <t>SMH333_F1-10</t>
  </si>
  <si>
    <t>SMH325_F31-34</t>
  </si>
  <si>
    <t>SMH335_F1-10</t>
  </si>
  <si>
    <t>SMH338_F11-20</t>
  </si>
  <si>
    <t>SMH307_F33-42</t>
  </si>
  <si>
    <t>SMH324_F31-40</t>
  </si>
  <si>
    <t>SMH331_F1-10</t>
  </si>
  <si>
    <t>SMH307_F42-51</t>
  </si>
  <si>
    <t>SMH293_F1-13</t>
  </si>
  <si>
    <t>disease control</t>
  </si>
  <si>
    <t>SMH324_F1-10</t>
  </si>
  <si>
    <t>SMH360_F1-10</t>
  </si>
  <si>
    <t>SMH325_F1-10</t>
  </si>
  <si>
    <t>SMH322_F18-27</t>
  </si>
  <si>
    <t>SMH295_F21-30</t>
  </si>
  <si>
    <t>SMH343_F1-10</t>
  </si>
  <si>
    <t>SMH262_F1-18</t>
  </si>
  <si>
    <t>Primary ID</t>
  </si>
  <si>
    <t>Unique Sample ID</t>
  </si>
  <si>
    <t>Disease type</t>
  </si>
  <si>
    <t>Disease subtype</t>
  </si>
  <si>
    <t>Responder</t>
  </si>
  <si>
    <t>DOB</t>
  </si>
  <si>
    <t>Date of sampling</t>
  </si>
  <si>
    <t>Age</t>
  </si>
  <si>
    <t>Sample point</t>
  </si>
  <si>
    <t>Ethnicity</t>
  </si>
  <si>
    <t>calp_value</t>
  </si>
  <si>
    <t>DAI_value</t>
  </si>
  <si>
    <t>Formula</t>
  </si>
  <si>
    <t>Control</t>
  </si>
  <si>
    <t>IBD</t>
  </si>
  <si>
    <t>Check sample ID</t>
  </si>
  <si>
    <t>Forumla</t>
  </si>
  <si>
    <t>Sample check ID</t>
  </si>
  <si>
    <t>sample number check</t>
  </si>
  <si>
    <t>BMI</t>
  </si>
  <si>
    <t>Meat</t>
  </si>
  <si>
    <t>Vegetarian</t>
  </si>
  <si>
    <t>Sex M(1) or F(0)</t>
  </si>
  <si>
    <t>formula</t>
  </si>
  <si>
    <t>sample check</t>
  </si>
  <si>
    <t>patient</t>
  </si>
  <si>
    <t>SMH261</t>
  </si>
  <si>
    <t>SMH265</t>
  </si>
  <si>
    <t>SMH272</t>
  </si>
  <si>
    <t>SMH274</t>
  </si>
  <si>
    <t>SMH279</t>
  </si>
  <si>
    <t>SMH280</t>
  </si>
  <si>
    <t>SMH286</t>
  </si>
  <si>
    <t>SMH288</t>
  </si>
  <si>
    <t>SMH292</t>
  </si>
  <si>
    <t>SMH294</t>
  </si>
  <si>
    <t>SMH296</t>
  </si>
  <si>
    <t>SMH297</t>
  </si>
  <si>
    <t>SMH295</t>
  </si>
  <si>
    <t>SMH302</t>
  </si>
  <si>
    <t>SMH304</t>
  </si>
  <si>
    <t>SMH305</t>
  </si>
  <si>
    <t>SMH307</t>
  </si>
  <si>
    <t>SMH301</t>
  </si>
  <si>
    <t>SMH308</t>
  </si>
  <si>
    <t>SMH327</t>
  </si>
  <si>
    <t>SMH328</t>
  </si>
  <si>
    <t>SMH332</t>
  </si>
  <si>
    <t>SMH329</t>
  </si>
  <si>
    <t>SMH331</t>
  </si>
  <si>
    <t>SMH337</t>
  </si>
  <si>
    <t>SMH338</t>
  </si>
  <si>
    <t>SMH343</t>
  </si>
  <si>
    <t>SMH344</t>
  </si>
  <si>
    <t>SMH345</t>
  </si>
  <si>
    <t>SMH347</t>
  </si>
  <si>
    <t>SMH348</t>
  </si>
  <si>
    <t>SMH349</t>
  </si>
  <si>
    <t>SMH355</t>
  </si>
  <si>
    <t>SMH356</t>
  </si>
  <si>
    <t>SMH358</t>
  </si>
  <si>
    <t>SMH359</t>
  </si>
  <si>
    <t>Hypermethylator at baseline</t>
  </si>
  <si>
    <t>other</t>
  </si>
  <si>
    <t>Patient ID</t>
  </si>
  <si>
    <t>SMH312</t>
  </si>
  <si>
    <t>SMH313</t>
  </si>
  <si>
    <t>SMH315</t>
  </si>
  <si>
    <t>SMH317</t>
  </si>
  <si>
    <t>SMH318</t>
  </si>
  <si>
    <t>SMH320</t>
  </si>
  <si>
    <t>SMH322</t>
  </si>
  <si>
    <t>SMH324</t>
  </si>
  <si>
    <t>SMH325</t>
  </si>
  <si>
    <t>SMH333</t>
  </si>
  <si>
    <t>SMH335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</si>
</sst>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scheme val="minor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0"/>
      <color rgb="FF000000"/>
      <name val="Calibri"/>
    </font>
    <font>
      <sz val="10"/>
      <color rgb="FF000000"/>
      <name val="Helvetica Neue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0" fontId="18" fillId="0" borderId="0" xfId="0" applyFont="1"/>
    <xf numFmtId="14" fontId="0" fillId="0" borderId="0" xfId="0" applyNumberFormat="1"/>
    <xf numFmtId="14" fontId="18" fillId="0" borderId="0" xfId="0" applyNumberFormat="1" applyFont="1"/>
    <xf numFmtId="0" fontId="18" fillId="33" borderId="0" xfId="0" applyFont="1" applyFill="1"/>
    <xf numFmtId="0" fontId="0" fillId="34" borderId="0" xfId="0" applyFill="1"/>
    <xf numFmtId="0" fontId="18" fillId="34" borderId="0" xfId="0" applyFont="1" applyFill="1"/>
    <xf numFmtId="0" fontId="16" fillId="0" borderId="0" xfId="0" applyFont="1"/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2" fillId="0" borderId="0" xfId="0" applyFont="1"/>
    <xf numFmtId="0" fontId="23" fillId="0" borderId="0" xfId="0" applyFont="1"/>
    <xf numFmtId="0" fontId="25" fillId="0" borderId="0" xfId="0" applyFont="1"/>
    <xf numFmtId="0" fontId="26" fillId="0" borderId="0" xfId="0" applyFont="1" applyAlignment="1">
      <alignment horizontal="center" vertical="center"/>
    </xf>
    <xf numFmtId="0" fontId="2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218"/>
  <sheetViews>
    <sheetView topLeftCell="A161" workbookViewId="0">
      <selection activeCell="D178" sqref="D178"/>
    </sheetView>
  </sheetViews>
  <sheetFormatPr baseColWidth="10" defaultRowHeight="16" x14ac:dyDescent="0.2"/>
  <sheetData>
    <row r="1" spans="1:18" x14ac:dyDescent="0.2">
      <c r="A1">
        <v>50</v>
      </c>
      <c r="B1" t="s">
        <v>132</v>
      </c>
      <c r="C1" t="s">
        <v>133</v>
      </c>
      <c r="D1">
        <v>210836.62700000001</v>
      </c>
      <c r="E1">
        <v>24161.565549999999</v>
      </c>
      <c r="F1">
        <v>429323.78090000001</v>
      </c>
      <c r="G1">
        <v>166098.82250000001</v>
      </c>
      <c r="H1">
        <v>47694.041190000004</v>
      </c>
      <c r="I1">
        <v>5962.5990579999998</v>
      </c>
      <c r="J1">
        <v>1910.045147</v>
      </c>
      <c r="K1">
        <v>8517.2445389999993</v>
      </c>
      <c r="L1">
        <v>57626.917520000003</v>
      </c>
      <c r="M1">
        <v>34916.670859999998</v>
      </c>
      <c r="N1">
        <v>2684.5903239999998</v>
      </c>
      <c r="O1">
        <v>246649.10769999999</v>
      </c>
      <c r="P1">
        <v>42165.291980000002</v>
      </c>
      <c r="Q1">
        <v>30404.01226</v>
      </c>
      <c r="R1">
        <v>100302.06849999999</v>
      </c>
    </row>
    <row r="2" spans="1:18" x14ac:dyDescent="0.2">
      <c r="A2">
        <v>32</v>
      </c>
      <c r="B2" t="s">
        <v>98</v>
      </c>
      <c r="C2" t="s">
        <v>99</v>
      </c>
      <c r="D2">
        <v>206061.19820000001</v>
      </c>
      <c r="E2">
        <v>43380.917119999998</v>
      </c>
      <c r="F2">
        <v>222643.26939999999</v>
      </c>
      <c r="G2">
        <v>442669.17570000002</v>
      </c>
      <c r="H2">
        <v>78751.114719999998</v>
      </c>
      <c r="I2">
        <v>7621.2872040000002</v>
      </c>
      <c r="J2">
        <v>4643.9089309999999</v>
      </c>
      <c r="K2">
        <v>24035.492160000002</v>
      </c>
      <c r="L2">
        <v>9037.9884349999993</v>
      </c>
      <c r="M2">
        <v>14518.719950000001</v>
      </c>
      <c r="N2">
        <v>2170.8456729999998</v>
      </c>
      <c r="O2">
        <v>46535.149700000002</v>
      </c>
      <c r="P2">
        <v>65097.070650000001</v>
      </c>
      <c r="Q2">
        <v>23557.566760000002</v>
      </c>
      <c r="R2">
        <v>108104.6315</v>
      </c>
    </row>
    <row r="3" spans="1:18" x14ac:dyDescent="0.2">
      <c r="A3">
        <v>140</v>
      </c>
      <c r="B3" t="s">
        <v>307</v>
      </c>
      <c r="C3" t="s">
        <v>308</v>
      </c>
      <c r="D3">
        <v>79982.828039999993</v>
      </c>
      <c r="E3">
        <v>938.31885639999996</v>
      </c>
      <c r="F3">
        <v>222841.0576</v>
      </c>
      <c r="G3">
        <v>57371.503340000003</v>
      </c>
      <c r="H3">
        <v>7352.0578219999998</v>
      </c>
      <c r="I3">
        <v>29892.222470000001</v>
      </c>
      <c r="J3">
        <v>551.63103420000004</v>
      </c>
      <c r="K3">
        <v>35707.650560000002</v>
      </c>
      <c r="L3">
        <v>128398.59299999999</v>
      </c>
      <c r="M3">
        <v>62091.508070000003</v>
      </c>
      <c r="N3">
        <v>1198.380709</v>
      </c>
      <c r="O3">
        <v>10272.93355</v>
      </c>
      <c r="P3">
        <v>12665.54385</v>
      </c>
      <c r="Q3">
        <v>13670.62162</v>
      </c>
      <c r="R3">
        <v>502892.87310000003</v>
      </c>
    </row>
    <row r="4" spans="1:18" x14ac:dyDescent="0.2">
      <c r="A4">
        <v>31</v>
      </c>
      <c r="B4" t="s">
        <v>96</v>
      </c>
      <c r="C4" t="s">
        <v>97</v>
      </c>
      <c r="D4">
        <v>103939.1036</v>
      </c>
      <c r="E4">
        <v>4472.1348479999997</v>
      </c>
      <c r="F4">
        <v>206547.48699999999</v>
      </c>
      <c r="G4">
        <v>167366.10490000001</v>
      </c>
      <c r="H4">
        <v>51668.232989999997</v>
      </c>
      <c r="I4">
        <v>17275.223559999999</v>
      </c>
      <c r="J4">
        <v>1149.543363</v>
      </c>
      <c r="K4">
        <v>7708.5577640000001</v>
      </c>
      <c r="L4">
        <v>29127.293180000001</v>
      </c>
      <c r="M4">
        <v>10071.594279999999</v>
      </c>
      <c r="N4">
        <v>1125.7673050000001</v>
      </c>
      <c r="O4">
        <v>33767.196300000003</v>
      </c>
      <c r="P4">
        <v>39385.802609999999</v>
      </c>
      <c r="Q4">
        <v>15505.36579</v>
      </c>
      <c r="R4">
        <v>145542.41519999999</v>
      </c>
    </row>
    <row r="5" spans="1:18" x14ac:dyDescent="0.2">
      <c r="A5">
        <v>19</v>
      </c>
      <c r="B5" t="s">
        <v>73</v>
      </c>
      <c r="C5" t="s">
        <v>74</v>
      </c>
      <c r="D5">
        <v>186325.42319999999</v>
      </c>
      <c r="E5">
        <v>36918.847379999999</v>
      </c>
      <c r="F5">
        <v>131716.08360000001</v>
      </c>
      <c r="G5">
        <v>159657.56469999999</v>
      </c>
      <c r="H5">
        <v>96187.646479999996</v>
      </c>
      <c r="I5">
        <v>10444.8297</v>
      </c>
      <c r="J5">
        <v>11058.554700000001</v>
      </c>
      <c r="K5">
        <v>5361.2462100000002</v>
      </c>
      <c r="L5">
        <v>22001.877509999998</v>
      </c>
      <c r="M5">
        <v>17563.395079999998</v>
      </c>
      <c r="N5">
        <v>1863.2028849999999</v>
      </c>
      <c r="O5">
        <v>60941.683140000001</v>
      </c>
      <c r="P5">
        <v>92545.677729999996</v>
      </c>
      <c r="Q5">
        <v>23576.175759999998</v>
      </c>
      <c r="R5">
        <v>80312.230739999999</v>
      </c>
    </row>
    <row r="6" spans="1:18" x14ac:dyDescent="0.2">
      <c r="A6">
        <v>118</v>
      </c>
      <c r="B6" t="s">
        <v>265</v>
      </c>
      <c r="C6" t="s">
        <v>266</v>
      </c>
      <c r="D6">
        <v>82109.235000000001</v>
      </c>
      <c r="E6">
        <v>41848.22365</v>
      </c>
      <c r="F6">
        <v>967104.78890000004</v>
      </c>
      <c r="G6">
        <v>69001.329740000001</v>
      </c>
      <c r="H6">
        <v>24791.354790000001</v>
      </c>
      <c r="I6">
        <v>5654.3052109999999</v>
      </c>
      <c r="J6">
        <v>2681.414436</v>
      </c>
      <c r="K6">
        <v>36578.377439999997</v>
      </c>
      <c r="L6">
        <v>15741.35872</v>
      </c>
      <c r="M6">
        <v>35991.152179999997</v>
      </c>
      <c r="N6">
        <v>22443.801729999999</v>
      </c>
      <c r="O6">
        <v>49271.046730000002</v>
      </c>
      <c r="P6">
        <v>16323.66553</v>
      </c>
      <c r="Q6">
        <v>66453.764739999999</v>
      </c>
      <c r="R6">
        <v>403329.34080000001</v>
      </c>
    </row>
    <row r="7" spans="1:18" x14ac:dyDescent="0.2">
      <c r="A7">
        <v>129</v>
      </c>
      <c r="B7" t="s">
        <v>286</v>
      </c>
      <c r="C7" t="s">
        <v>287</v>
      </c>
      <c r="D7">
        <v>55763.972130000002</v>
      </c>
      <c r="E7">
        <v>1518900.64</v>
      </c>
      <c r="F7">
        <v>277404.1789</v>
      </c>
      <c r="G7">
        <v>50004.262640000001</v>
      </c>
      <c r="H7">
        <v>58872.798410000003</v>
      </c>
      <c r="I7">
        <v>8883.4321820000005</v>
      </c>
      <c r="J7">
        <v>2324.2585389999999</v>
      </c>
      <c r="K7">
        <v>51695.603710000003</v>
      </c>
      <c r="L7">
        <v>61849.987609999996</v>
      </c>
      <c r="M7">
        <v>111568.19319999999</v>
      </c>
      <c r="N7">
        <v>3130.2666549999999</v>
      </c>
      <c r="O7">
        <v>511532.9681</v>
      </c>
      <c r="P7">
        <v>150779.35879999999</v>
      </c>
      <c r="Q7">
        <v>7858.4073580000004</v>
      </c>
      <c r="R7">
        <v>75594.488329999993</v>
      </c>
    </row>
    <row r="8" spans="1:18" x14ac:dyDescent="0.2">
      <c r="A8">
        <v>205</v>
      </c>
      <c r="B8" t="s">
        <v>432</v>
      </c>
      <c r="C8" t="s">
        <v>433</v>
      </c>
      <c r="D8">
        <v>160012.30489999999</v>
      </c>
      <c r="E8">
        <v>51404.358590000003</v>
      </c>
      <c r="F8">
        <v>1054016.689</v>
      </c>
      <c r="G8">
        <v>64889.824930000002</v>
      </c>
      <c r="H8">
        <v>53300.115570000002</v>
      </c>
      <c r="I8">
        <v>3141.356217</v>
      </c>
      <c r="J8">
        <v>2455.883969</v>
      </c>
      <c r="K8">
        <v>19484.459019999998</v>
      </c>
      <c r="L8">
        <v>11287.22985</v>
      </c>
      <c r="M8">
        <v>22201.096020000001</v>
      </c>
      <c r="N8">
        <v>2239.2410570000002</v>
      </c>
      <c r="O8">
        <v>159321.0484</v>
      </c>
      <c r="P8">
        <v>52478.636140000002</v>
      </c>
      <c r="Q8">
        <v>68697.8266</v>
      </c>
      <c r="R8">
        <v>639904.59860000003</v>
      </c>
    </row>
    <row r="9" spans="1:18" x14ac:dyDescent="0.2">
      <c r="A9">
        <v>178</v>
      </c>
      <c r="B9" t="s">
        <v>380</v>
      </c>
      <c r="C9" t="s">
        <v>381</v>
      </c>
      <c r="D9">
        <v>121204.67419999999</v>
      </c>
      <c r="E9">
        <v>76077.230280000003</v>
      </c>
      <c r="F9">
        <v>617115.353</v>
      </c>
      <c r="G9">
        <v>348711.27659999998</v>
      </c>
      <c r="H9">
        <v>152842.32920000001</v>
      </c>
      <c r="I9">
        <v>5161.0543360000001</v>
      </c>
      <c r="J9">
        <v>2137.6646559999999</v>
      </c>
      <c r="K9">
        <v>7120.9796679999999</v>
      </c>
      <c r="L9">
        <v>14219.527249999999</v>
      </c>
      <c r="M9">
        <v>60586.305350000002</v>
      </c>
      <c r="N9">
        <v>17505.69543</v>
      </c>
      <c r="O9">
        <v>221353.4498</v>
      </c>
      <c r="P9">
        <v>44643.430200000003</v>
      </c>
      <c r="Q9">
        <v>19310.816060000001</v>
      </c>
      <c r="R9">
        <v>269413.45079999999</v>
      </c>
    </row>
    <row r="10" spans="1:18" x14ac:dyDescent="0.2">
      <c r="A10">
        <v>9</v>
      </c>
      <c r="B10" t="s">
        <v>54</v>
      </c>
      <c r="C10" t="s">
        <v>55</v>
      </c>
      <c r="D10">
        <v>59277.854610000002</v>
      </c>
      <c r="E10">
        <v>160912.39290000001</v>
      </c>
      <c r="F10">
        <v>138485.55290000001</v>
      </c>
      <c r="G10">
        <v>50875.789190000003</v>
      </c>
      <c r="H10">
        <v>45254.655680000003</v>
      </c>
      <c r="I10">
        <v>11405.658600000001</v>
      </c>
      <c r="J10">
        <v>4284.6046370000004</v>
      </c>
      <c r="K10">
        <v>9665.3309590000008</v>
      </c>
      <c r="L10">
        <v>9014.1255000000001</v>
      </c>
      <c r="M10">
        <v>25665.77765</v>
      </c>
      <c r="N10">
        <v>1532.8359579999999</v>
      </c>
      <c r="O10">
        <v>214871.2108</v>
      </c>
      <c r="P10">
        <v>54070.144500000002</v>
      </c>
      <c r="Q10">
        <v>4857.7283710000002</v>
      </c>
      <c r="R10">
        <v>37597.558440000001</v>
      </c>
    </row>
    <row r="11" spans="1:18" x14ac:dyDescent="0.2">
      <c r="A11">
        <v>73</v>
      </c>
      <c r="B11" t="s">
        <v>177</v>
      </c>
      <c r="C11" t="s">
        <v>178</v>
      </c>
      <c r="D11">
        <v>84782.201960000006</v>
      </c>
      <c r="E11">
        <v>39773.50705</v>
      </c>
      <c r="F11">
        <v>270447.55330000003</v>
      </c>
      <c r="G11">
        <v>78268.701130000001</v>
      </c>
      <c r="H11">
        <v>37720.631009999997</v>
      </c>
      <c r="I11">
        <v>5242.8999089999998</v>
      </c>
      <c r="J11">
        <v>3084.359168</v>
      </c>
      <c r="K11">
        <v>6800.3290999999999</v>
      </c>
      <c r="L11">
        <v>16083.416149999999</v>
      </c>
      <c r="M11">
        <v>21760.583500000001</v>
      </c>
      <c r="N11">
        <v>1813.582541</v>
      </c>
      <c r="O11">
        <v>49057.940750000002</v>
      </c>
      <c r="P11">
        <v>19059.174739999999</v>
      </c>
      <c r="Q11">
        <v>37174.558870000001</v>
      </c>
      <c r="R11">
        <v>88558.926569999996</v>
      </c>
    </row>
    <row r="12" spans="1:18" x14ac:dyDescent="0.2">
      <c r="A12">
        <v>103</v>
      </c>
      <c r="B12" t="s">
        <v>236</v>
      </c>
      <c r="C12" t="s">
        <v>237</v>
      </c>
      <c r="D12">
        <v>34848.438759999997</v>
      </c>
      <c r="E12">
        <v>77790.058220000006</v>
      </c>
      <c r="F12">
        <v>243763.65109999999</v>
      </c>
      <c r="G12">
        <v>44015.851300000002</v>
      </c>
      <c r="H12">
        <v>85675.802179999999</v>
      </c>
      <c r="I12">
        <v>3847.973035</v>
      </c>
      <c r="J12">
        <v>2487.6949800000002</v>
      </c>
      <c r="K12">
        <v>14765.70464</v>
      </c>
      <c r="L12">
        <v>9728.6784320000006</v>
      </c>
      <c r="M12">
        <v>41617.421309999998</v>
      </c>
      <c r="N12">
        <v>2033.119657</v>
      </c>
      <c r="O12">
        <v>270015.16840000002</v>
      </c>
      <c r="P12">
        <v>15981.385979999999</v>
      </c>
      <c r="Q12">
        <v>54291.622649999998</v>
      </c>
      <c r="R12">
        <v>117382.73119999999</v>
      </c>
    </row>
    <row r="13" spans="1:18" x14ac:dyDescent="0.2">
      <c r="A13">
        <v>211</v>
      </c>
      <c r="B13" t="s">
        <v>443</v>
      </c>
      <c r="C13" t="s">
        <v>444</v>
      </c>
      <c r="D13">
        <v>11637.03083</v>
      </c>
      <c r="E13">
        <v>22345.005639999999</v>
      </c>
      <c r="F13">
        <v>400551.68729999999</v>
      </c>
      <c r="G13">
        <v>34588.656799999997</v>
      </c>
      <c r="H13">
        <v>14992.851640000001</v>
      </c>
      <c r="I13">
        <v>17077.501509999998</v>
      </c>
      <c r="J13">
        <v>2419.7585690000001</v>
      </c>
      <c r="K13">
        <v>18695.13925</v>
      </c>
      <c r="L13">
        <v>17335.169109999999</v>
      </c>
      <c r="M13">
        <v>26698.37959</v>
      </c>
      <c r="N13">
        <v>1511.4919970000001</v>
      </c>
      <c r="O13">
        <v>461345.84980000003</v>
      </c>
      <c r="P13">
        <v>93753.118199999997</v>
      </c>
      <c r="Q13">
        <v>3689.263551</v>
      </c>
      <c r="R13">
        <v>135462.52679999999</v>
      </c>
    </row>
    <row r="14" spans="1:18" x14ac:dyDescent="0.2">
      <c r="A14">
        <v>69</v>
      </c>
      <c r="B14" t="s">
        <v>169</v>
      </c>
      <c r="C14" t="s">
        <v>170</v>
      </c>
      <c r="D14">
        <v>121088.8073</v>
      </c>
      <c r="E14">
        <v>342815.00229999999</v>
      </c>
      <c r="F14">
        <v>331571.09769999998</v>
      </c>
      <c r="G14">
        <v>163856.78599999999</v>
      </c>
      <c r="H14">
        <v>83402.970759999997</v>
      </c>
      <c r="I14">
        <v>17806.866839999999</v>
      </c>
      <c r="J14">
        <v>4677.7113529999997</v>
      </c>
      <c r="K14">
        <v>25803.539769999999</v>
      </c>
      <c r="L14">
        <v>38320.123500000002</v>
      </c>
      <c r="M14">
        <v>63462.85082</v>
      </c>
      <c r="N14">
        <v>5675.6076329999996</v>
      </c>
      <c r="O14">
        <v>1234775.7649999999</v>
      </c>
      <c r="P14">
        <v>24002.249510000001</v>
      </c>
      <c r="Q14">
        <v>7460.5707249999996</v>
      </c>
      <c r="R14">
        <v>72784.852629999994</v>
      </c>
    </row>
    <row r="15" spans="1:18" x14ac:dyDescent="0.2">
      <c r="A15">
        <v>139</v>
      </c>
      <c r="B15" t="s">
        <v>305</v>
      </c>
      <c r="C15" t="s">
        <v>306</v>
      </c>
      <c r="D15">
        <v>204712.8285</v>
      </c>
      <c r="E15">
        <v>305329.72169999999</v>
      </c>
      <c r="F15">
        <v>1092144.3419999999</v>
      </c>
      <c r="G15">
        <v>43802.249349999998</v>
      </c>
      <c r="H15">
        <v>417000.40889999998</v>
      </c>
      <c r="I15">
        <v>17136.567739999999</v>
      </c>
      <c r="J15">
        <v>2714.1195990000001</v>
      </c>
      <c r="K15">
        <v>59477.544040000001</v>
      </c>
      <c r="L15">
        <v>46628.736859999997</v>
      </c>
      <c r="M15">
        <v>99911.088220000005</v>
      </c>
      <c r="N15">
        <v>13579.07842</v>
      </c>
      <c r="O15">
        <v>214803.00339999999</v>
      </c>
      <c r="P15">
        <v>122450.20940000001</v>
      </c>
      <c r="Q15">
        <v>218496.73800000001</v>
      </c>
      <c r="R15">
        <v>1069324.254</v>
      </c>
    </row>
    <row r="16" spans="1:18" x14ac:dyDescent="0.2">
      <c r="A16">
        <v>196</v>
      </c>
      <c r="B16" t="s">
        <v>415</v>
      </c>
      <c r="C16" t="s">
        <v>416</v>
      </c>
      <c r="D16">
        <v>88496.592149999997</v>
      </c>
      <c r="E16">
        <v>1515629.0220000001</v>
      </c>
      <c r="F16">
        <v>1058143.3870000001</v>
      </c>
      <c r="G16">
        <v>57124.13164</v>
      </c>
      <c r="H16">
        <v>90411.04999</v>
      </c>
      <c r="I16">
        <v>10398.722949999999</v>
      </c>
      <c r="J16">
        <v>10982.64803</v>
      </c>
      <c r="K16">
        <v>46402.002520000002</v>
      </c>
      <c r="L16">
        <v>23291.690890000002</v>
      </c>
      <c r="M16">
        <v>87599.695049999995</v>
      </c>
      <c r="N16">
        <v>18643.043109999999</v>
      </c>
      <c r="O16">
        <v>317814.32919999998</v>
      </c>
      <c r="P16">
        <v>24753.936470000001</v>
      </c>
      <c r="Q16">
        <v>69254.139389999997</v>
      </c>
      <c r="R16">
        <v>587127.19030000002</v>
      </c>
    </row>
    <row r="17" spans="1:18" x14ac:dyDescent="0.2">
      <c r="A17">
        <v>52</v>
      </c>
      <c r="B17" t="s">
        <v>136</v>
      </c>
      <c r="C17" t="s">
        <v>137</v>
      </c>
      <c r="D17">
        <v>456896.9987</v>
      </c>
      <c r="E17">
        <v>22173.729139999999</v>
      </c>
      <c r="F17">
        <v>289068.68680000002</v>
      </c>
      <c r="G17">
        <v>465433.90529999998</v>
      </c>
      <c r="H17">
        <v>93775.37341</v>
      </c>
      <c r="I17">
        <v>72401.782579999999</v>
      </c>
      <c r="J17">
        <v>4919.0395619999999</v>
      </c>
      <c r="K17">
        <v>28172.414990000001</v>
      </c>
      <c r="L17">
        <v>19708.065760000001</v>
      </c>
      <c r="M17">
        <v>66449.053069999994</v>
      </c>
      <c r="N17">
        <v>1598.902824</v>
      </c>
      <c r="O17">
        <v>19320.043440000001</v>
      </c>
      <c r="P17">
        <v>33640.265630000002</v>
      </c>
      <c r="Q17">
        <v>19073.145779999999</v>
      </c>
      <c r="R17">
        <v>504572.52710000001</v>
      </c>
    </row>
    <row r="18" spans="1:18" x14ac:dyDescent="0.2">
      <c r="A18">
        <v>200</v>
      </c>
      <c r="B18" t="s">
        <v>422</v>
      </c>
      <c r="C18" t="s">
        <v>423</v>
      </c>
      <c r="D18">
        <v>48823.177250000001</v>
      </c>
      <c r="E18">
        <v>135318.4584</v>
      </c>
      <c r="F18">
        <v>579878.82810000004</v>
      </c>
      <c r="G18">
        <v>58677.996050000002</v>
      </c>
      <c r="H18">
        <v>39033.455199999997</v>
      </c>
      <c r="I18">
        <v>8443.4687560000002</v>
      </c>
      <c r="J18">
        <v>2019.6404620000001</v>
      </c>
      <c r="K18">
        <v>51097.924859999999</v>
      </c>
      <c r="L18">
        <v>97547.410820000005</v>
      </c>
      <c r="M18">
        <v>100582.1479</v>
      </c>
      <c r="N18">
        <v>932.73137870000005</v>
      </c>
      <c r="O18">
        <v>575370.49849999999</v>
      </c>
      <c r="P18">
        <v>7407.766259</v>
      </c>
      <c r="Q18">
        <v>5571.0400410000002</v>
      </c>
      <c r="R18">
        <v>119329.0895</v>
      </c>
    </row>
    <row r="19" spans="1:18" x14ac:dyDescent="0.2">
      <c r="A19">
        <v>48</v>
      </c>
      <c r="B19" t="s">
        <v>129</v>
      </c>
      <c r="C19" t="s">
        <v>130</v>
      </c>
      <c r="D19">
        <v>325227.51510000002</v>
      </c>
      <c r="E19">
        <v>233127.20180000001</v>
      </c>
      <c r="F19">
        <v>104151.7387</v>
      </c>
      <c r="G19">
        <v>342729.66379999998</v>
      </c>
      <c r="H19">
        <v>449926.95569999999</v>
      </c>
      <c r="I19">
        <v>21922.967639999999</v>
      </c>
      <c r="J19">
        <v>3769.6729719999998</v>
      </c>
      <c r="K19">
        <v>17440.48976</v>
      </c>
      <c r="L19">
        <v>16307.41048</v>
      </c>
      <c r="M19">
        <v>37379.207840000003</v>
      </c>
      <c r="N19">
        <v>3211.5691660000002</v>
      </c>
      <c r="O19">
        <v>268270.7219</v>
      </c>
      <c r="P19">
        <v>38786.884590000001</v>
      </c>
      <c r="Q19">
        <v>11914.311830000001</v>
      </c>
      <c r="R19">
        <v>27639.13349</v>
      </c>
    </row>
    <row r="20" spans="1:18" x14ac:dyDescent="0.2">
      <c r="A20">
        <v>136</v>
      </c>
      <c r="B20" t="s">
        <v>299</v>
      </c>
      <c r="C20" t="s">
        <v>300</v>
      </c>
      <c r="D20">
        <v>278909.66259999998</v>
      </c>
      <c r="E20">
        <v>20401.27966</v>
      </c>
      <c r="F20">
        <v>303675.1005</v>
      </c>
      <c r="G20">
        <v>261250.4344</v>
      </c>
      <c r="H20">
        <v>112452.31660000001</v>
      </c>
      <c r="I20">
        <v>27002.278160000002</v>
      </c>
      <c r="J20">
        <v>15256.187760000001</v>
      </c>
      <c r="K20">
        <v>67807.088969999997</v>
      </c>
      <c r="L20">
        <v>622862.81940000004</v>
      </c>
      <c r="M20">
        <v>284190.50030000001</v>
      </c>
      <c r="N20">
        <v>1605.449077</v>
      </c>
      <c r="O20">
        <v>12080.01209</v>
      </c>
      <c r="P20">
        <v>26041.892909999999</v>
      </c>
      <c r="Q20">
        <v>31442.263630000001</v>
      </c>
      <c r="R20">
        <v>428750.2672</v>
      </c>
    </row>
    <row r="21" spans="1:18" x14ac:dyDescent="0.2">
      <c r="A21">
        <v>59</v>
      </c>
      <c r="B21" t="s">
        <v>150</v>
      </c>
      <c r="C21" t="s">
        <v>151</v>
      </c>
      <c r="D21">
        <v>125775.61040000001</v>
      </c>
      <c r="E21">
        <v>612626.98860000004</v>
      </c>
      <c r="F21">
        <v>371740.55229999998</v>
      </c>
      <c r="G21">
        <v>154428.67389999999</v>
      </c>
      <c r="H21">
        <v>428069.16739999998</v>
      </c>
      <c r="I21">
        <v>49885.802589999999</v>
      </c>
      <c r="J21">
        <v>225064.23939999999</v>
      </c>
      <c r="K21">
        <v>38814.854469999998</v>
      </c>
      <c r="L21">
        <v>29555.34546</v>
      </c>
      <c r="M21">
        <v>65561.727849999996</v>
      </c>
      <c r="N21">
        <v>1916.0545910000001</v>
      </c>
      <c r="O21">
        <v>970749.19400000002</v>
      </c>
      <c r="P21">
        <v>40108.329769999997</v>
      </c>
      <c r="Q21">
        <v>8026.7359669999996</v>
      </c>
      <c r="R21">
        <v>87279.036630000002</v>
      </c>
    </row>
    <row r="22" spans="1:18" x14ac:dyDescent="0.2">
      <c r="A22">
        <v>104</v>
      </c>
      <c r="B22" t="s">
        <v>238</v>
      </c>
      <c r="C22" t="s">
        <v>239</v>
      </c>
      <c r="D22">
        <v>26703.285940000002</v>
      </c>
      <c r="E22">
        <v>458107.50229999999</v>
      </c>
      <c r="F22">
        <v>467191.11469999998</v>
      </c>
      <c r="G22">
        <v>53332.839469999999</v>
      </c>
      <c r="H22">
        <v>20863.092369999998</v>
      </c>
      <c r="I22">
        <v>13603.842070000001</v>
      </c>
      <c r="J22">
        <v>19759.678019999999</v>
      </c>
      <c r="K22">
        <v>39526.813629999997</v>
      </c>
      <c r="L22">
        <v>20772.455610000001</v>
      </c>
      <c r="M22">
        <v>49362.607680000001</v>
      </c>
      <c r="N22">
        <v>2568.70721</v>
      </c>
      <c r="O22">
        <v>798444.63359999994</v>
      </c>
      <c r="P22">
        <v>11872.20829</v>
      </c>
      <c r="Q22">
        <v>5257.4859370000004</v>
      </c>
      <c r="R22">
        <v>61401.692009999999</v>
      </c>
    </row>
    <row r="23" spans="1:18" x14ac:dyDescent="0.2">
      <c r="A23">
        <v>116</v>
      </c>
      <c r="B23" t="s">
        <v>261</v>
      </c>
      <c r="C23" t="s">
        <v>262</v>
      </c>
      <c r="D23">
        <v>223551.90100000001</v>
      </c>
      <c r="E23">
        <v>138841.06349999999</v>
      </c>
      <c r="F23">
        <v>1013043.91</v>
      </c>
      <c r="G23">
        <v>142447.84529999999</v>
      </c>
      <c r="H23">
        <v>38403.46398</v>
      </c>
      <c r="I23">
        <v>13546.91691</v>
      </c>
      <c r="J23">
        <v>1268.225944</v>
      </c>
      <c r="K23">
        <v>108623.7893</v>
      </c>
      <c r="L23">
        <v>29890.013029999998</v>
      </c>
      <c r="M23">
        <v>132791.6684</v>
      </c>
      <c r="N23">
        <v>2298.6289729999999</v>
      </c>
      <c r="O23">
        <v>115979.51089999999</v>
      </c>
      <c r="P23">
        <v>28194.925319999998</v>
      </c>
      <c r="Q23">
        <v>91834.350550000003</v>
      </c>
      <c r="R23">
        <v>578553.33660000004</v>
      </c>
    </row>
    <row r="24" spans="1:18" x14ac:dyDescent="0.2">
      <c r="A24">
        <v>95</v>
      </c>
      <c r="B24" t="s">
        <v>221</v>
      </c>
      <c r="C24" t="s">
        <v>222</v>
      </c>
      <c r="D24">
        <v>27590.935990000002</v>
      </c>
      <c r="E24">
        <v>44420.662969999998</v>
      </c>
      <c r="F24">
        <v>212562.39170000001</v>
      </c>
      <c r="G24">
        <v>70291.528649999993</v>
      </c>
      <c r="H24">
        <v>44792.840519999998</v>
      </c>
      <c r="I24">
        <v>59466.887150000002</v>
      </c>
      <c r="J24">
        <v>12023.878350000001</v>
      </c>
      <c r="K24">
        <v>93679.907980000004</v>
      </c>
      <c r="L24">
        <v>49634.384989999999</v>
      </c>
      <c r="M24">
        <v>183308.66880000001</v>
      </c>
      <c r="N24">
        <v>477.79092259999999</v>
      </c>
      <c r="O24">
        <v>2790279.0720000002</v>
      </c>
      <c r="P24">
        <v>35181.766580000003</v>
      </c>
      <c r="Q24">
        <v>7954.467533</v>
      </c>
      <c r="R24">
        <v>28292.820400000001</v>
      </c>
    </row>
    <row r="25" spans="1:18" x14ac:dyDescent="0.2">
      <c r="A25">
        <v>8</v>
      </c>
      <c r="B25" t="s">
        <v>52</v>
      </c>
      <c r="C25" t="s">
        <v>53</v>
      </c>
      <c r="D25">
        <v>10698.952520000001</v>
      </c>
      <c r="E25">
        <v>781166.3345</v>
      </c>
      <c r="F25">
        <v>131361.79879999999</v>
      </c>
      <c r="G25">
        <v>35994.310899999997</v>
      </c>
      <c r="H25">
        <v>9721.8735629999992</v>
      </c>
      <c r="I25">
        <v>13186.85745</v>
      </c>
      <c r="J25">
        <v>2140.904313</v>
      </c>
      <c r="K25">
        <v>3388.8283040000001</v>
      </c>
      <c r="L25">
        <v>19986.600780000001</v>
      </c>
      <c r="M25">
        <v>35168.905469999998</v>
      </c>
      <c r="N25">
        <v>2182.1476250000001</v>
      </c>
      <c r="O25">
        <v>327430.71029999998</v>
      </c>
      <c r="P25">
        <v>23948.037939999998</v>
      </c>
      <c r="Q25">
        <v>1696.142415</v>
      </c>
      <c r="R25">
        <v>26417.731309999999</v>
      </c>
    </row>
    <row r="26" spans="1:18" x14ac:dyDescent="0.2">
      <c r="A26">
        <v>66</v>
      </c>
      <c r="B26" t="s">
        <v>163</v>
      </c>
      <c r="C26" t="s">
        <v>164</v>
      </c>
      <c r="D26">
        <v>150037.16260000001</v>
      </c>
      <c r="E26">
        <v>24501.095890000001</v>
      </c>
      <c r="F26">
        <v>668847.47950000002</v>
      </c>
      <c r="G26">
        <v>579737.97490000003</v>
      </c>
      <c r="H26">
        <v>209027.91589999999</v>
      </c>
      <c r="I26">
        <v>8969.1992219999993</v>
      </c>
      <c r="J26">
        <v>2356.9018529999998</v>
      </c>
      <c r="K26">
        <v>13771.96056</v>
      </c>
      <c r="L26">
        <v>88254.420270000002</v>
      </c>
      <c r="M26">
        <v>64973.470549999998</v>
      </c>
      <c r="N26">
        <v>2009.877571</v>
      </c>
      <c r="O26">
        <v>35260.038330000003</v>
      </c>
      <c r="P26">
        <v>45349.287170000003</v>
      </c>
      <c r="Q26">
        <v>53050.550790000001</v>
      </c>
      <c r="R26">
        <v>1041099.939</v>
      </c>
    </row>
    <row r="27" spans="1:18" x14ac:dyDescent="0.2">
      <c r="A27">
        <v>10</v>
      </c>
      <c r="B27" t="s">
        <v>56</v>
      </c>
      <c r="C27" t="s">
        <v>57</v>
      </c>
      <c r="D27">
        <v>227217.18229999999</v>
      </c>
      <c r="E27">
        <v>485127.08799999999</v>
      </c>
      <c r="F27">
        <v>1307720.8940000001</v>
      </c>
      <c r="G27">
        <v>612047.95719999995</v>
      </c>
      <c r="H27">
        <v>58299.45433</v>
      </c>
      <c r="I27">
        <v>13339.623680000001</v>
      </c>
      <c r="J27">
        <v>8832.5971370000007</v>
      </c>
      <c r="K27">
        <v>64098.991329999997</v>
      </c>
      <c r="L27">
        <v>73128.261350000001</v>
      </c>
      <c r="M27">
        <v>197005.46249999999</v>
      </c>
      <c r="N27">
        <v>4129.8235009999999</v>
      </c>
      <c r="O27">
        <v>581070.70929999999</v>
      </c>
      <c r="P27">
        <v>140320.4466</v>
      </c>
      <c r="Q27">
        <v>117847.8509</v>
      </c>
      <c r="R27">
        <v>634204.10809999995</v>
      </c>
    </row>
    <row r="28" spans="1:18" x14ac:dyDescent="0.2">
      <c r="A28">
        <v>154</v>
      </c>
      <c r="B28" t="s">
        <v>334</v>
      </c>
      <c r="C28" t="s">
        <v>335</v>
      </c>
      <c r="D28">
        <v>112340.62390000001</v>
      </c>
      <c r="E28">
        <v>39580.060409999998</v>
      </c>
      <c r="F28">
        <v>368658.4852</v>
      </c>
      <c r="G28">
        <v>69079.27721</v>
      </c>
      <c r="H28">
        <v>104237.9801</v>
      </c>
      <c r="I28">
        <v>6266.3751089999996</v>
      </c>
      <c r="J28">
        <v>11467.740449999999</v>
      </c>
      <c r="K28">
        <v>99772.896429999993</v>
      </c>
      <c r="L28">
        <v>17005.178919999998</v>
      </c>
      <c r="M28">
        <v>176371.3193</v>
      </c>
      <c r="N28">
        <v>2087.9578769999998</v>
      </c>
      <c r="O28">
        <v>574631.95790000004</v>
      </c>
      <c r="P28">
        <v>123068.0001</v>
      </c>
      <c r="Q28">
        <v>46228.592089999998</v>
      </c>
      <c r="R28">
        <v>411414.61739999999</v>
      </c>
    </row>
    <row r="29" spans="1:18" x14ac:dyDescent="0.2">
      <c r="A29">
        <v>137</v>
      </c>
      <c r="B29" t="s">
        <v>301</v>
      </c>
      <c r="C29" t="s">
        <v>302</v>
      </c>
      <c r="D29">
        <v>129717.539</v>
      </c>
      <c r="E29">
        <v>405931.3112</v>
      </c>
      <c r="F29">
        <v>506395.22169999999</v>
      </c>
      <c r="G29">
        <v>117793.0077</v>
      </c>
      <c r="H29">
        <v>102232.87790000001</v>
      </c>
      <c r="I29">
        <v>16427.4938</v>
      </c>
      <c r="J29">
        <v>19367.269830000001</v>
      </c>
      <c r="K29">
        <v>73646.004279999994</v>
      </c>
      <c r="L29">
        <v>84113.167000000001</v>
      </c>
      <c r="M29">
        <v>325653.07449999999</v>
      </c>
      <c r="N29">
        <v>2297.950331</v>
      </c>
      <c r="O29">
        <v>1021598.254</v>
      </c>
      <c r="P29">
        <v>28756.14229</v>
      </c>
      <c r="Q29">
        <v>26061.380160000001</v>
      </c>
      <c r="R29">
        <v>176679.7691</v>
      </c>
    </row>
    <row r="30" spans="1:18" x14ac:dyDescent="0.2">
      <c r="A30">
        <v>18</v>
      </c>
      <c r="B30" t="s">
        <v>71</v>
      </c>
      <c r="C30" t="s">
        <v>72</v>
      </c>
      <c r="D30">
        <v>525777.94990000001</v>
      </c>
      <c r="E30">
        <v>15689.13528</v>
      </c>
      <c r="F30">
        <v>249576.79500000001</v>
      </c>
      <c r="G30">
        <v>400210.054</v>
      </c>
      <c r="H30">
        <v>249436.4332</v>
      </c>
      <c r="I30">
        <v>243516.83240000001</v>
      </c>
      <c r="J30">
        <v>20449.86637</v>
      </c>
      <c r="K30">
        <v>89659.161720000004</v>
      </c>
      <c r="L30">
        <v>369277.04639999999</v>
      </c>
      <c r="M30">
        <v>200963.72150000001</v>
      </c>
      <c r="N30">
        <v>2350.187081</v>
      </c>
      <c r="O30">
        <v>60760.400020000001</v>
      </c>
      <c r="P30">
        <v>211345.58110000001</v>
      </c>
      <c r="Q30">
        <v>38821.601110000003</v>
      </c>
      <c r="R30">
        <v>1092030.142</v>
      </c>
    </row>
    <row r="31" spans="1:18" x14ac:dyDescent="0.2">
      <c r="A31">
        <v>131</v>
      </c>
      <c r="B31" t="s">
        <v>290</v>
      </c>
      <c r="C31" t="s">
        <v>291</v>
      </c>
      <c r="D31">
        <v>148333.079</v>
      </c>
      <c r="E31">
        <v>201172.11180000001</v>
      </c>
      <c r="F31">
        <v>953499.78599999996</v>
      </c>
      <c r="G31">
        <v>134182.1434</v>
      </c>
      <c r="H31">
        <v>208370.06340000001</v>
      </c>
      <c r="I31">
        <v>20104.772860000001</v>
      </c>
      <c r="J31">
        <v>3106.0704649999998</v>
      </c>
      <c r="K31">
        <v>68625.864189999993</v>
      </c>
      <c r="L31">
        <v>90716.736180000007</v>
      </c>
      <c r="M31">
        <v>76522.660390000005</v>
      </c>
      <c r="N31">
        <v>2676.7112080000002</v>
      </c>
      <c r="O31">
        <v>194043.88959999999</v>
      </c>
      <c r="P31">
        <v>146057.30379999999</v>
      </c>
      <c r="Q31">
        <v>53834.12066</v>
      </c>
      <c r="R31">
        <v>802715.36369999999</v>
      </c>
    </row>
    <row r="32" spans="1:18" x14ac:dyDescent="0.2">
      <c r="A32">
        <v>53</v>
      </c>
      <c r="B32" t="s">
        <v>138</v>
      </c>
      <c r="C32" t="s">
        <v>139</v>
      </c>
      <c r="D32">
        <v>158820.88260000001</v>
      </c>
      <c r="E32">
        <v>546084.90330000001</v>
      </c>
      <c r="F32">
        <v>544478.66859999998</v>
      </c>
      <c r="G32">
        <v>187613.5661</v>
      </c>
      <c r="H32">
        <v>289323.41080000001</v>
      </c>
      <c r="I32">
        <v>10065.079589999999</v>
      </c>
      <c r="J32">
        <v>1675.5614350000001</v>
      </c>
      <c r="K32">
        <v>30012.543160000001</v>
      </c>
      <c r="L32">
        <v>117684.7252</v>
      </c>
      <c r="M32">
        <v>62094.42787</v>
      </c>
      <c r="N32">
        <v>2770.4239969999999</v>
      </c>
      <c r="O32">
        <v>657752.23930000002</v>
      </c>
      <c r="P32">
        <v>107043.72530000001</v>
      </c>
      <c r="Q32">
        <v>22723.894420000001</v>
      </c>
      <c r="R32">
        <v>184758.45009999999</v>
      </c>
    </row>
    <row r="33" spans="1:18" x14ac:dyDescent="0.2">
      <c r="A33">
        <v>35</v>
      </c>
      <c r="B33" t="s">
        <v>104</v>
      </c>
      <c r="C33" t="s">
        <v>105</v>
      </c>
      <c r="D33">
        <v>583666.27029999997</v>
      </c>
      <c r="E33">
        <v>189135.54800000001</v>
      </c>
      <c r="F33">
        <v>1323760.0959999999</v>
      </c>
      <c r="G33">
        <v>542241.78170000005</v>
      </c>
      <c r="H33">
        <v>203705.22990000001</v>
      </c>
      <c r="I33">
        <v>20466.22207</v>
      </c>
      <c r="J33">
        <v>8340.8120369999997</v>
      </c>
      <c r="K33">
        <v>37475.774219999999</v>
      </c>
      <c r="L33">
        <v>93310.915609999996</v>
      </c>
      <c r="M33">
        <v>132961.2058</v>
      </c>
      <c r="N33">
        <v>5949.8756549999998</v>
      </c>
      <c r="O33">
        <v>945882.79449999996</v>
      </c>
      <c r="P33">
        <v>118881.15330000001</v>
      </c>
      <c r="Q33">
        <v>16149.93115</v>
      </c>
      <c r="R33">
        <v>1197602.152</v>
      </c>
    </row>
    <row r="34" spans="1:18" x14ac:dyDescent="0.2">
      <c r="A34">
        <v>164</v>
      </c>
      <c r="B34" t="s">
        <v>353</v>
      </c>
      <c r="C34" t="s">
        <v>354</v>
      </c>
      <c r="D34">
        <v>32757.750309999999</v>
      </c>
      <c r="E34">
        <v>115421.2187</v>
      </c>
      <c r="F34">
        <v>182606.50099999999</v>
      </c>
      <c r="G34">
        <v>69686.474889999998</v>
      </c>
      <c r="H34">
        <v>14007.107819999999</v>
      </c>
      <c r="I34">
        <v>22271.171149999998</v>
      </c>
      <c r="J34">
        <v>2153.729969</v>
      </c>
      <c r="K34">
        <v>22469.049459999998</v>
      </c>
      <c r="L34">
        <v>29066.914540000002</v>
      </c>
      <c r="M34">
        <v>115790.0579</v>
      </c>
      <c r="N34">
        <v>3118.186463</v>
      </c>
      <c r="O34">
        <v>652525.27670000005</v>
      </c>
      <c r="P34">
        <v>6987.5327230000003</v>
      </c>
      <c r="Q34">
        <v>2403.0339730000001</v>
      </c>
      <c r="R34">
        <v>46860.386319999998</v>
      </c>
    </row>
    <row r="35" spans="1:18" x14ac:dyDescent="0.2">
      <c r="A35">
        <v>141</v>
      </c>
      <c r="B35" t="s">
        <v>309</v>
      </c>
      <c r="C35" t="s">
        <v>310</v>
      </c>
      <c r="D35">
        <v>61902.370289999999</v>
      </c>
      <c r="E35">
        <v>105314.5855</v>
      </c>
      <c r="F35">
        <v>823862.00859999994</v>
      </c>
      <c r="G35">
        <v>156011.59479999999</v>
      </c>
      <c r="H35">
        <v>276112.67139999999</v>
      </c>
      <c r="I35">
        <v>5124.44776</v>
      </c>
      <c r="J35">
        <v>2838.7346680000001</v>
      </c>
      <c r="K35">
        <v>38109.315170000002</v>
      </c>
      <c r="L35">
        <v>45934.624640000002</v>
      </c>
      <c r="M35">
        <v>44385.969620000003</v>
      </c>
      <c r="N35">
        <v>1172.7579290000001</v>
      </c>
      <c r="O35">
        <v>78691.187359999996</v>
      </c>
      <c r="P35">
        <v>73983.751019999996</v>
      </c>
      <c r="Q35">
        <v>186302.204</v>
      </c>
      <c r="R35">
        <v>396869.85600000003</v>
      </c>
    </row>
    <row r="36" spans="1:18" x14ac:dyDescent="0.2">
      <c r="A36">
        <v>72</v>
      </c>
      <c r="B36" t="s">
        <v>175</v>
      </c>
      <c r="C36" t="s">
        <v>176</v>
      </c>
      <c r="D36">
        <v>825878.33380000002</v>
      </c>
      <c r="E36">
        <v>3172706.875</v>
      </c>
      <c r="F36">
        <v>425550.48560000001</v>
      </c>
      <c r="G36">
        <v>98710.768710000004</v>
      </c>
      <c r="H36">
        <v>82961.148520000002</v>
      </c>
      <c r="I36">
        <v>10472.17396</v>
      </c>
      <c r="J36">
        <v>4185.2255180000002</v>
      </c>
      <c r="K36">
        <v>76752.332859999995</v>
      </c>
      <c r="L36">
        <v>98010.273650000003</v>
      </c>
      <c r="M36">
        <v>85358.677460000006</v>
      </c>
      <c r="N36">
        <v>2203.5749949999999</v>
      </c>
      <c r="O36">
        <v>410529.99709999998</v>
      </c>
      <c r="P36">
        <v>110092.9653</v>
      </c>
      <c r="Q36">
        <v>66370.123370000001</v>
      </c>
      <c r="R36">
        <v>75808.146599999993</v>
      </c>
    </row>
    <row r="37" spans="1:18" x14ac:dyDescent="0.2">
      <c r="A37">
        <v>152</v>
      </c>
      <c r="B37" t="s">
        <v>330</v>
      </c>
      <c r="C37" t="s">
        <v>331</v>
      </c>
      <c r="D37">
        <v>120426.83930000001</v>
      </c>
      <c r="E37">
        <v>219491.4633</v>
      </c>
      <c r="F37">
        <v>452469.75329999998</v>
      </c>
      <c r="G37">
        <v>184019.76259999999</v>
      </c>
      <c r="H37">
        <v>98960.189740000002</v>
      </c>
      <c r="I37">
        <v>13392.404570000001</v>
      </c>
      <c r="J37">
        <v>4429.7146659999999</v>
      </c>
      <c r="K37">
        <v>150023.5528</v>
      </c>
      <c r="L37">
        <v>73466.497579999996</v>
      </c>
      <c r="M37">
        <v>368105.31670000002</v>
      </c>
      <c r="N37">
        <v>3115.9949969999998</v>
      </c>
      <c r="O37">
        <v>541547.65390000003</v>
      </c>
      <c r="P37">
        <v>109991.974</v>
      </c>
      <c r="Q37">
        <v>33462.491990000002</v>
      </c>
      <c r="R37">
        <v>1265580.767</v>
      </c>
    </row>
    <row r="38" spans="1:18" x14ac:dyDescent="0.2">
      <c r="A38">
        <v>34</v>
      </c>
      <c r="B38" t="s">
        <v>102</v>
      </c>
      <c r="C38" t="s">
        <v>103</v>
      </c>
      <c r="D38">
        <v>163173.85999999999</v>
      </c>
      <c r="E38">
        <v>56394.030579999999</v>
      </c>
      <c r="F38">
        <v>1996747.9210000001</v>
      </c>
      <c r="G38">
        <v>397748.76779999997</v>
      </c>
      <c r="H38">
        <v>105305.4737</v>
      </c>
      <c r="I38">
        <v>11427.959720000001</v>
      </c>
      <c r="J38">
        <v>2047.7586590000001</v>
      </c>
      <c r="K38">
        <v>59996.603089999997</v>
      </c>
      <c r="L38">
        <v>622684.94279999996</v>
      </c>
      <c r="M38">
        <v>70224.665410000001</v>
      </c>
      <c r="N38">
        <v>7894.2976349999999</v>
      </c>
      <c r="O38">
        <v>263814.9374</v>
      </c>
      <c r="P38">
        <v>113042.49830000001</v>
      </c>
      <c r="Q38">
        <v>88799.948210000002</v>
      </c>
      <c r="R38">
        <v>1328470.077</v>
      </c>
    </row>
    <row r="39" spans="1:18" x14ac:dyDescent="0.2">
      <c r="A39">
        <v>39</v>
      </c>
      <c r="B39" t="s">
        <v>111</v>
      </c>
      <c r="C39" t="s">
        <v>112</v>
      </c>
      <c r="D39">
        <v>596633.95979999995</v>
      </c>
      <c r="E39">
        <v>174319.55119999999</v>
      </c>
      <c r="F39">
        <v>1807495.334</v>
      </c>
      <c r="G39">
        <v>823092.39729999995</v>
      </c>
      <c r="H39">
        <v>140008.91949999999</v>
      </c>
      <c r="I39">
        <v>5651.654802</v>
      </c>
      <c r="J39">
        <v>178850.49350000001</v>
      </c>
      <c r="K39">
        <v>38744.69255</v>
      </c>
      <c r="L39">
        <v>167337.76120000001</v>
      </c>
      <c r="M39">
        <v>56287.261530000003</v>
      </c>
      <c r="N39">
        <v>4713.2779430000001</v>
      </c>
      <c r="O39">
        <v>583988.33629999997</v>
      </c>
      <c r="P39">
        <v>114036.5474</v>
      </c>
      <c r="Q39">
        <v>128111.1361</v>
      </c>
      <c r="R39">
        <v>1618396.007</v>
      </c>
    </row>
    <row r="40" spans="1:18" x14ac:dyDescent="0.2">
      <c r="A40">
        <v>201</v>
      </c>
      <c r="B40" t="s">
        <v>424</v>
      </c>
      <c r="C40" t="s">
        <v>425</v>
      </c>
      <c r="D40">
        <v>42678.077109999998</v>
      </c>
      <c r="E40">
        <v>1011976.107</v>
      </c>
      <c r="F40">
        <v>736061.69200000004</v>
      </c>
      <c r="G40">
        <v>73963.270420000001</v>
      </c>
      <c r="H40">
        <v>55792.264470000002</v>
      </c>
      <c r="I40">
        <v>14894.140090000001</v>
      </c>
      <c r="J40">
        <v>3419.1478649999999</v>
      </c>
      <c r="K40">
        <v>40375.178590000003</v>
      </c>
      <c r="L40">
        <v>59330.592100000002</v>
      </c>
      <c r="M40">
        <v>107320.14350000001</v>
      </c>
      <c r="N40">
        <v>29110.418600000001</v>
      </c>
      <c r="O40">
        <v>3082874.7650000001</v>
      </c>
      <c r="P40">
        <v>200880.8953</v>
      </c>
      <c r="Q40">
        <v>365583.2536</v>
      </c>
      <c r="R40">
        <v>113244.4617</v>
      </c>
    </row>
    <row r="41" spans="1:18" x14ac:dyDescent="0.2">
      <c r="A41">
        <v>97</v>
      </c>
      <c r="B41" t="s">
        <v>225</v>
      </c>
      <c r="C41" t="s">
        <v>226</v>
      </c>
      <c r="D41">
        <v>57289.161460000003</v>
      </c>
      <c r="E41">
        <v>44001.21458</v>
      </c>
      <c r="F41">
        <v>1319002.18</v>
      </c>
      <c r="G41">
        <v>211456.00200000001</v>
      </c>
      <c r="H41">
        <v>62858.520600000003</v>
      </c>
      <c r="I41">
        <v>10390.670829999999</v>
      </c>
      <c r="J41">
        <v>375.09430900000001</v>
      </c>
      <c r="K41">
        <v>23759.757389999999</v>
      </c>
      <c r="L41">
        <v>40520.035430000004</v>
      </c>
      <c r="M41">
        <v>41969.941700000003</v>
      </c>
      <c r="N41">
        <v>31767.29492</v>
      </c>
      <c r="O41">
        <v>788737.38959999999</v>
      </c>
      <c r="P41">
        <v>88412.254700000005</v>
      </c>
      <c r="Q41">
        <v>20023.321840000001</v>
      </c>
      <c r="R41">
        <v>1105985.821</v>
      </c>
    </row>
    <row r="42" spans="1:18" x14ac:dyDescent="0.2">
      <c r="A42">
        <v>47</v>
      </c>
      <c r="B42" t="s">
        <v>127</v>
      </c>
      <c r="C42" t="s">
        <v>128</v>
      </c>
      <c r="D42">
        <v>173953.2831</v>
      </c>
      <c r="E42">
        <v>135707.0582</v>
      </c>
      <c r="F42">
        <v>145137.0963</v>
      </c>
      <c r="G42">
        <v>255854.49189999999</v>
      </c>
      <c r="H42">
        <v>288414.7292</v>
      </c>
      <c r="I42">
        <v>23323.96703</v>
      </c>
      <c r="J42">
        <v>2833.6570230000002</v>
      </c>
      <c r="K42">
        <v>18860.14198</v>
      </c>
      <c r="L42">
        <v>14949.869199999999</v>
      </c>
      <c r="M42">
        <v>39142.360030000003</v>
      </c>
      <c r="N42">
        <v>2870.6447320000002</v>
      </c>
      <c r="O42">
        <v>286540.01750000002</v>
      </c>
      <c r="P42">
        <v>25886.580979999999</v>
      </c>
      <c r="Q42">
        <v>6053.5714129999997</v>
      </c>
      <c r="R42">
        <v>38073.950819999998</v>
      </c>
    </row>
    <row r="43" spans="1:18" x14ac:dyDescent="0.2">
      <c r="A43">
        <v>128</v>
      </c>
      <c r="B43" t="s">
        <v>284</v>
      </c>
      <c r="C43" t="s">
        <v>285</v>
      </c>
      <c r="D43">
        <v>135960.85490000001</v>
      </c>
      <c r="E43">
        <v>145254.02929999999</v>
      </c>
      <c r="F43">
        <v>1010181.5060000001</v>
      </c>
      <c r="G43">
        <v>886608.36600000004</v>
      </c>
      <c r="H43">
        <v>53404.561549999999</v>
      </c>
      <c r="I43">
        <v>3929.0086679999999</v>
      </c>
      <c r="J43">
        <v>17744.2124</v>
      </c>
      <c r="K43">
        <v>38247.787850000001</v>
      </c>
      <c r="L43">
        <v>47289.991459999997</v>
      </c>
      <c r="M43">
        <v>106427.7988</v>
      </c>
      <c r="N43">
        <v>1488.4060999999999</v>
      </c>
      <c r="O43">
        <v>103636.66650000001</v>
      </c>
      <c r="P43">
        <v>76049.643800000005</v>
      </c>
      <c r="Q43">
        <v>67239.766839999997</v>
      </c>
      <c r="R43">
        <v>760252.07620000001</v>
      </c>
    </row>
    <row r="44" spans="1:18" x14ac:dyDescent="0.2">
      <c r="A44">
        <v>117</v>
      </c>
      <c r="B44" t="s">
        <v>263</v>
      </c>
      <c r="C44" t="s">
        <v>264</v>
      </c>
      <c r="D44">
        <v>206506.4584</v>
      </c>
      <c r="E44">
        <v>318453.80550000002</v>
      </c>
      <c r="F44">
        <v>1897715.716</v>
      </c>
      <c r="G44">
        <v>128109.3273</v>
      </c>
      <c r="H44">
        <v>87820.169309999997</v>
      </c>
      <c r="I44">
        <v>11735.52622</v>
      </c>
      <c r="J44">
        <v>3674.05278</v>
      </c>
      <c r="K44">
        <v>149396.5638</v>
      </c>
      <c r="L44">
        <v>34070.252659999998</v>
      </c>
      <c r="M44">
        <v>98120.480410000004</v>
      </c>
      <c r="N44">
        <v>8260.9242209999993</v>
      </c>
      <c r="O44">
        <v>269325.1482</v>
      </c>
      <c r="P44">
        <v>43058.709649999997</v>
      </c>
      <c r="Q44">
        <v>128102.17630000001</v>
      </c>
      <c r="R44">
        <v>1758698.1980000001</v>
      </c>
    </row>
    <row r="45" spans="1:18" x14ac:dyDescent="0.2">
      <c r="A45">
        <v>58</v>
      </c>
      <c r="B45" t="s">
        <v>148</v>
      </c>
      <c r="C45" t="s">
        <v>149</v>
      </c>
      <c r="D45">
        <v>154616.43169999999</v>
      </c>
      <c r="E45">
        <v>107388.6349</v>
      </c>
      <c r="F45">
        <v>2178920.068</v>
      </c>
      <c r="G45">
        <v>145258.47769999999</v>
      </c>
      <c r="H45">
        <v>148176.37849999999</v>
      </c>
      <c r="I45">
        <v>9888.7777929999993</v>
      </c>
      <c r="J45">
        <v>79286.337350000002</v>
      </c>
      <c r="K45">
        <v>35261.399420000002</v>
      </c>
      <c r="L45">
        <v>26590.458269999999</v>
      </c>
      <c r="M45">
        <v>72893.153940000004</v>
      </c>
      <c r="N45">
        <v>2075.4334330000002</v>
      </c>
      <c r="O45">
        <v>685231.85649999999</v>
      </c>
      <c r="P45">
        <v>62767.703780000003</v>
      </c>
      <c r="Q45">
        <v>37054.025410000002</v>
      </c>
      <c r="R45">
        <v>1165498.2560000001</v>
      </c>
    </row>
    <row r="46" spans="1:18" x14ac:dyDescent="0.2">
      <c r="A46">
        <v>96</v>
      </c>
      <c r="B46" t="s">
        <v>223</v>
      </c>
      <c r="C46" t="s">
        <v>224</v>
      </c>
      <c r="D46">
        <v>81611.525240000003</v>
      </c>
      <c r="E46">
        <v>131777.6256</v>
      </c>
      <c r="F46">
        <v>265010.87780000002</v>
      </c>
      <c r="G46">
        <v>88075.444470000002</v>
      </c>
      <c r="H46">
        <v>78735.727379999997</v>
      </c>
      <c r="I46">
        <v>31052.338680000001</v>
      </c>
      <c r="J46">
        <v>4539.0632770000002</v>
      </c>
      <c r="K46">
        <v>169118.05609999999</v>
      </c>
      <c r="L46">
        <v>180601.46</v>
      </c>
      <c r="M46">
        <v>285084.1923</v>
      </c>
      <c r="N46">
        <v>2754.0871649999999</v>
      </c>
      <c r="O46">
        <v>1643588.763</v>
      </c>
      <c r="P46">
        <v>330419.90019999997</v>
      </c>
      <c r="Q46">
        <v>3959.2641239999998</v>
      </c>
      <c r="R46">
        <v>87664.397899999996</v>
      </c>
    </row>
    <row r="47" spans="1:18" x14ac:dyDescent="0.2">
      <c r="A47">
        <v>158</v>
      </c>
      <c r="B47" t="s">
        <v>341</v>
      </c>
      <c r="C47" t="s">
        <v>342</v>
      </c>
      <c r="D47">
        <v>632313.3382</v>
      </c>
      <c r="E47">
        <v>51306.499329999999</v>
      </c>
      <c r="F47">
        <v>1229803.247</v>
      </c>
      <c r="G47">
        <v>431637.4129</v>
      </c>
      <c r="H47">
        <v>112011.6985</v>
      </c>
      <c r="I47">
        <v>14718.59331</v>
      </c>
      <c r="J47">
        <v>4538.4337660000001</v>
      </c>
      <c r="K47">
        <v>74579.00722</v>
      </c>
      <c r="L47">
        <v>48177.128620000003</v>
      </c>
      <c r="M47">
        <v>74175.521670000002</v>
      </c>
      <c r="N47">
        <v>3667.1851539999998</v>
      </c>
      <c r="O47">
        <v>553856.93519999995</v>
      </c>
      <c r="P47">
        <v>266129.1948</v>
      </c>
      <c r="Q47">
        <v>34584.266450000003</v>
      </c>
      <c r="R47">
        <v>1061774.375</v>
      </c>
    </row>
    <row r="48" spans="1:18" x14ac:dyDescent="0.2">
      <c r="A48">
        <v>7</v>
      </c>
      <c r="B48" t="s">
        <v>50</v>
      </c>
      <c r="C48" t="s">
        <v>51</v>
      </c>
      <c r="D48">
        <v>27698.736870000001</v>
      </c>
      <c r="E48">
        <v>53471.609380000002</v>
      </c>
      <c r="F48">
        <v>409510.62359999999</v>
      </c>
      <c r="G48">
        <v>41065.029419999999</v>
      </c>
      <c r="H48">
        <v>9334.98207</v>
      </c>
      <c r="I48">
        <v>16050.262479999999</v>
      </c>
      <c r="J48">
        <v>1898.819105</v>
      </c>
      <c r="K48">
        <v>15068.27414</v>
      </c>
      <c r="L48">
        <v>27037.900099999999</v>
      </c>
      <c r="M48">
        <v>53122.201509999999</v>
      </c>
      <c r="N48">
        <v>1618.247901</v>
      </c>
      <c r="O48">
        <v>362862.86290000001</v>
      </c>
      <c r="P48">
        <v>14459.37219</v>
      </c>
      <c r="Q48">
        <v>2261.4762639999999</v>
      </c>
      <c r="R48">
        <v>103572.1265</v>
      </c>
    </row>
    <row r="49" spans="1:18" x14ac:dyDescent="0.2">
      <c r="A49">
        <v>187</v>
      </c>
      <c r="B49" t="s">
        <v>398</v>
      </c>
      <c r="C49" t="s">
        <v>399</v>
      </c>
      <c r="D49">
        <v>203653.68030000001</v>
      </c>
      <c r="E49">
        <v>320699.89199999999</v>
      </c>
      <c r="F49">
        <v>3481608.4509999999</v>
      </c>
      <c r="G49">
        <v>132466.92850000001</v>
      </c>
      <c r="H49">
        <v>161942.04029999999</v>
      </c>
      <c r="I49">
        <v>30714.92006</v>
      </c>
      <c r="J49">
        <v>20985.111069999999</v>
      </c>
      <c r="K49">
        <v>54084.79507</v>
      </c>
      <c r="L49">
        <v>56956.257810000003</v>
      </c>
      <c r="M49">
        <v>121563.42969999999</v>
      </c>
      <c r="N49">
        <v>4059.5511139999999</v>
      </c>
      <c r="O49">
        <v>1951331.906</v>
      </c>
      <c r="P49">
        <v>244027.25810000001</v>
      </c>
      <c r="Q49">
        <v>131927.5778</v>
      </c>
      <c r="R49">
        <v>2633553.7990000001</v>
      </c>
    </row>
    <row r="50" spans="1:18" x14ac:dyDescent="0.2">
      <c r="A50">
        <v>162</v>
      </c>
      <c r="B50" t="s">
        <v>349</v>
      </c>
      <c r="C50" t="s">
        <v>350</v>
      </c>
      <c r="D50">
        <v>57683.637260000003</v>
      </c>
      <c r="E50">
        <v>1545362.7239999999</v>
      </c>
      <c r="F50">
        <v>909378.8321</v>
      </c>
      <c r="G50">
        <v>193024.28169999999</v>
      </c>
      <c r="H50">
        <v>95987.027539999995</v>
      </c>
      <c r="I50">
        <v>30952.948810000002</v>
      </c>
      <c r="J50">
        <v>3568.3863689999998</v>
      </c>
      <c r="K50">
        <v>43765.134409999999</v>
      </c>
      <c r="L50">
        <v>53385.72176</v>
      </c>
      <c r="M50">
        <v>240151.47279999999</v>
      </c>
      <c r="N50">
        <v>2151.6159520000001</v>
      </c>
      <c r="O50">
        <v>1046416.851</v>
      </c>
      <c r="P50">
        <v>17157.622319999999</v>
      </c>
      <c r="Q50">
        <v>11438.33481</v>
      </c>
      <c r="R50">
        <v>439323.43479999999</v>
      </c>
    </row>
    <row r="51" spans="1:18" x14ac:dyDescent="0.2">
      <c r="A51">
        <v>142</v>
      </c>
      <c r="B51" t="s">
        <v>311</v>
      </c>
      <c r="C51" t="s">
        <v>312</v>
      </c>
      <c r="D51">
        <v>176751.56959999999</v>
      </c>
      <c r="E51">
        <v>38850.994469999998</v>
      </c>
      <c r="F51">
        <v>285865.59330000001</v>
      </c>
      <c r="G51">
        <v>38585.363129999998</v>
      </c>
      <c r="H51">
        <v>83789.150110000002</v>
      </c>
      <c r="I51">
        <v>18838.327529999999</v>
      </c>
      <c r="J51">
        <v>2725.9271739999999</v>
      </c>
      <c r="K51">
        <v>54128.307970000002</v>
      </c>
      <c r="L51">
        <v>67030.803820000001</v>
      </c>
      <c r="M51">
        <v>39416.98661</v>
      </c>
      <c r="N51">
        <v>1893.4265270000001</v>
      </c>
      <c r="O51">
        <v>16543.799200000001</v>
      </c>
      <c r="P51">
        <v>12903.113090000001</v>
      </c>
      <c r="Q51">
        <v>6304.4548000000004</v>
      </c>
      <c r="R51">
        <v>269852.83630000002</v>
      </c>
    </row>
    <row r="52" spans="1:18" x14ac:dyDescent="0.2">
      <c r="A52">
        <v>153</v>
      </c>
      <c r="B52" t="s">
        <v>332</v>
      </c>
      <c r="C52" t="s">
        <v>333</v>
      </c>
      <c r="D52">
        <v>1332818.0179999999</v>
      </c>
      <c r="E52">
        <v>391120.1251</v>
      </c>
      <c r="F52">
        <v>2322147.41</v>
      </c>
      <c r="G52">
        <v>151538.73360000001</v>
      </c>
      <c r="H52">
        <v>19219.03414</v>
      </c>
      <c r="I52">
        <v>5908.6086189999996</v>
      </c>
      <c r="J52">
        <v>2126.7214990000002</v>
      </c>
      <c r="K52">
        <v>93109.447419999997</v>
      </c>
      <c r="L52">
        <v>109285.68859999999</v>
      </c>
      <c r="M52">
        <v>785062.16460000002</v>
      </c>
      <c r="N52">
        <v>3251.6108709999999</v>
      </c>
      <c r="O52">
        <v>944450.76139999996</v>
      </c>
      <c r="P52">
        <v>209600.56099999999</v>
      </c>
      <c r="Q52">
        <v>27647.266029999999</v>
      </c>
      <c r="R52">
        <v>6925673.0829999996</v>
      </c>
    </row>
    <row r="53" spans="1:18" x14ac:dyDescent="0.2">
      <c r="A53">
        <v>86</v>
      </c>
      <c r="B53" t="s">
        <v>203</v>
      </c>
      <c r="C53" t="s">
        <v>204</v>
      </c>
      <c r="D53">
        <v>381859.37180000002</v>
      </c>
      <c r="E53">
        <v>73695.733099999998</v>
      </c>
      <c r="F53">
        <v>1158896.4920000001</v>
      </c>
      <c r="G53">
        <v>141278.2077</v>
      </c>
      <c r="H53">
        <v>196148.66959999999</v>
      </c>
      <c r="I53">
        <v>15375.586520000001</v>
      </c>
      <c r="J53">
        <v>2557.8425400000001</v>
      </c>
      <c r="K53">
        <v>63631.140599999999</v>
      </c>
      <c r="L53">
        <v>47804.4712</v>
      </c>
      <c r="M53">
        <v>109913.9589</v>
      </c>
      <c r="N53">
        <v>119820.3995</v>
      </c>
      <c r="O53">
        <v>325380.42139999999</v>
      </c>
      <c r="P53">
        <v>15256.0604</v>
      </c>
      <c r="Q53">
        <v>127601.9911</v>
      </c>
      <c r="R53">
        <v>812113.54960000003</v>
      </c>
    </row>
    <row r="54" spans="1:18" x14ac:dyDescent="0.2">
      <c r="A54">
        <v>138</v>
      </c>
      <c r="B54" t="s">
        <v>303</v>
      </c>
      <c r="C54" t="s">
        <v>304</v>
      </c>
      <c r="D54">
        <v>199560.85070000001</v>
      </c>
      <c r="E54">
        <v>969800.54040000006</v>
      </c>
      <c r="F54">
        <v>884771.12910000002</v>
      </c>
      <c r="G54">
        <v>293674.1433</v>
      </c>
      <c r="H54">
        <v>415643.701</v>
      </c>
      <c r="I54">
        <v>32581.66635</v>
      </c>
      <c r="J54">
        <v>26695.777340000001</v>
      </c>
      <c r="K54">
        <v>198638.1109</v>
      </c>
      <c r="L54">
        <v>202895.53690000001</v>
      </c>
      <c r="M54">
        <v>566144.81299999997</v>
      </c>
      <c r="N54">
        <v>4115.7884340000001</v>
      </c>
      <c r="O54">
        <v>1040767.91</v>
      </c>
      <c r="P54">
        <v>157319.64739999999</v>
      </c>
      <c r="Q54">
        <v>165725.2475</v>
      </c>
      <c r="R54">
        <v>459614.24959999998</v>
      </c>
    </row>
    <row r="55" spans="1:18" x14ac:dyDescent="0.2">
      <c r="A55">
        <v>20</v>
      </c>
      <c r="B55" t="s">
        <v>75</v>
      </c>
      <c r="C55" t="s">
        <v>76</v>
      </c>
      <c r="D55">
        <v>177208.236</v>
      </c>
      <c r="E55">
        <v>140916.59950000001</v>
      </c>
      <c r="F55">
        <v>186816.02050000001</v>
      </c>
      <c r="G55">
        <v>167581.4884</v>
      </c>
      <c r="H55">
        <v>69153.998630000002</v>
      </c>
      <c r="I55">
        <v>27046.759829999999</v>
      </c>
      <c r="J55">
        <v>9587.858209</v>
      </c>
      <c r="K55">
        <v>26159.819869999999</v>
      </c>
      <c r="L55">
        <v>27320.346269999998</v>
      </c>
      <c r="M55">
        <v>69386.658230000001</v>
      </c>
      <c r="N55">
        <v>1551.8137730000001</v>
      </c>
      <c r="O55">
        <v>949200.14650000003</v>
      </c>
      <c r="P55">
        <v>58621.004079999999</v>
      </c>
      <c r="Q55">
        <v>15156.678540000001</v>
      </c>
      <c r="R55">
        <v>54702.172129999999</v>
      </c>
    </row>
    <row r="56" spans="1:18" x14ac:dyDescent="0.2">
      <c r="A56">
        <v>51</v>
      </c>
      <c r="B56" t="s">
        <v>134</v>
      </c>
      <c r="C56" t="s">
        <v>135</v>
      </c>
      <c r="D56">
        <v>185906.85459999999</v>
      </c>
      <c r="E56">
        <v>226844.94399999999</v>
      </c>
      <c r="F56">
        <v>374812.04710000003</v>
      </c>
      <c r="G56">
        <v>195392.96109999999</v>
      </c>
      <c r="H56">
        <v>393398.93359999999</v>
      </c>
      <c r="I56">
        <v>11188.0159</v>
      </c>
      <c r="J56">
        <v>2807.75522</v>
      </c>
      <c r="K56">
        <v>18637.833170000002</v>
      </c>
      <c r="L56">
        <v>40087.453410000002</v>
      </c>
      <c r="M56">
        <v>56400.240859999998</v>
      </c>
      <c r="N56">
        <v>1111.2499909999999</v>
      </c>
      <c r="O56">
        <v>807741.83719999995</v>
      </c>
      <c r="P56">
        <v>48871.546820000003</v>
      </c>
      <c r="Q56">
        <v>9282.2599790000004</v>
      </c>
      <c r="R56">
        <v>165722.34520000001</v>
      </c>
    </row>
    <row r="57" spans="1:18" x14ac:dyDescent="0.2">
      <c r="A57">
        <v>67</v>
      </c>
      <c r="B57" t="s">
        <v>165</v>
      </c>
      <c r="C57" t="s">
        <v>166</v>
      </c>
      <c r="D57">
        <v>264704.85499999998</v>
      </c>
      <c r="E57">
        <v>137045.6943</v>
      </c>
      <c r="F57">
        <v>3329048.6740000001</v>
      </c>
      <c r="G57">
        <v>399165.02899999998</v>
      </c>
      <c r="H57">
        <v>33434.167130000002</v>
      </c>
      <c r="I57">
        <v>17919.99987</v>
      </c>
      <c r="J57">
        <v>2889.2370089999999</v>
      </c>
      <c r="K57">
        <v>12736.639789999999</v>
      </c>
      <c r="L57">
        <v>235023.53820000001</v>
      </c>
      <c r="M57">
        <v>66458.751260000005</v>
      </c>
      <c r="N57">
        <v>2408.561878</v>
      </c>
      <c r="O57">
        <v>55097.711470000002</v>
      </c>
      <c r="P57">
        <v>77888.037729999996</v>
      </c>
      <c r="Q57">
        <v>63765.071810000001</v>
      </c>
      <c r="R57">
        <v>2897722.574</v>
      </c>
    </row>
    <row r="58" spans="1:18" x14ac:dyDescent="0.2">
      <c r="A58">
        <v>157</v>
      </c>
      <c r="B58" t="s">
        <v>339</v>
      </c>
      <c r="C58" t="s">
        <v>340</v>
      </c>
      <c r="D58">
        <v>304934.09759999998</v>
      </c>
      <c r="E58">
        <v>55471.286749999999</v>
      </c>
      <c r="F58">
        <v>806320.03960000002</v>
      </c>
      <c r="G58">
        <v>1293733.3119999999</v>
      </c>
      <c r="H58">
        <v>101010.1038</v>
      </c>
      <c r="I58">
        <v>11589.64948</v>
      </c>
      <c r="J58">
        <v>2117.0936099999999</v>
      </c>
      <c r="K58">
        <v>79445.858739999996</v>
      </c>
      <c r="L58">
        <v>114290.2645</v>
      </c>
      <c r="M58">
        <v>146805.10149999999</v>
      </c>
      <c r="N58">
        <v>25291.826000000001</v>
      </c>
      <c r="O58">
        <v>38534.792159999997</v>
      </c>
      <c r="P58">
        <v>84496.280039999998</v>
      </c>
      <c r="Q58">
        <v>145272.1501</v>
      </c>
      <c r="R58">
        <v>656047.33239999996</v>
      </c>
    </row>
    <row r="59" spans="1:18" x14ac:dyDescent="0.2">
      <c r="A59">
        <v>85</v>
      </c>
      <c r="B59" t="s">
        <v>201</v>
      </c>
      <c r="C59" t="s">
        <v>202</v>
      </c>
      <c r="D59">
        <v>176542.02970000001</v>
      </c>
      <c r="E59">
        <v>177805.8915</v>
      </c>
      <c r="F59">
        <v>3400364.6970000002</v>
      </c>
      <c r="G59">
        <v>211419.55799999999</v>
      </c>
      <c r="H59">
        <v>207114.14850000001</v>
      </c>
      <c r="I59">
        <v>28231.134419999998</v>
      </c>
      <c r="J59">
        <v>2172.6756970000001</v>
      </c>
      <c r="K59">
        <v>21888.01917</v>
      </c>
      <c r="L59">
        <v>93122.705539999995</v>
      </c>
      <c r="M59">
        <v>61998.816359999997</v>
      </c>
      <c r="N59">
        <v>368721.7733</v>
      </c>
      <c r="O59">
        <v>72634.785870000007</v>
      </c>
      <c r="P59">
        <v>46220.325100000002</v>
      </c>
      <c r="Q59">
        <v>155820.32569999999</v>
      </c>
      <c r="R59">
        <v>2373180.855</v>
      </c>
    </row>
    <row r="60" spans="1:18" x14ac:dyDescent="0.2">
      <c r="A60">
        <v>40</v>
      </c>
      <c r="B60" t="s">
        <v>113</v>
      </c>
      <c r="C60" t="s">
        <v>114</v>
      </c>
      <c r="D60">
        <v>367067.5956</v>
      </c>
      <c r="E60">
        <v>25896.461080000001</v>
      </c>
      <c r="F60">
        <v>506475.74479999999</v>
      </c>
      <c r="G60">
        <v>322835.234</v>
      </c>
      <c r="H60">
        <v>172718.4504</v>
      </c>
      <c r="I60">
        <v>15538.807049999999</v>
      </c>
      <c r="J60">
        <v>30684.85944</v>
      </c>
      <c r="K60">
        <v>6484.7822420000002</v>
      </c>
      <c r="L60">
        <v>28259.393390000001</v>
      </c>
      <c r="M60">
        <v>14120.073979999999</v>
      </c>
      <c r="N60">
        <v>1284.9963170000001</v>
      </c>
      <c r="O60">
        <v>70433.722420000006</v>
      </c>
      <c r="P60">
        <v>92892.347269999998</v>
      </c>
      <c r="Q60">
        <v>37259.41287</v>
      </c>
      <c r="R60">
        <v>253136.8309</v>
      </c>
    </row>
    <row r="61" spans="1:18" x14ac:dyDescent="0.2">
      <c r="A61">
        <v>186</v>
      </c>
      <c r="B61" t="s">
        <v>396</v>
      </c>
      <c r="C61" t="s">
        <v>397</v>
      </c>
      <c r="D61">
        <v>123500.6781</v>
      </c>
      <c r="E61">
        <v>868722.89670000004</v>
      </c>
      <c r="F61">
        <v>2034678.118</v>
      </c>
      <c r="G61">
        <v>103030.4834</v>
      </c>
      <c r="H61">
        <v>123475.5719</v>
      </c>
      <c r="I61">
        <v>14684.431339999999</v>
      </c>
      <c r="J61">
        <v>2767.2074269999998</v>
      </c>
      <c r="K61">
        <v>26628.270639999999</v>
      </c>
      <c r="L61">
        <v>62119.05861</v>
      </c>
      <c r="M61">
        <v>106049.01300000001</v>
      </c>
      <c r="N61">
        <v>2204.847784</v>
      </c>
      <c r="O61">
        <v>6466893.9060000004</v>
      </c>
      <c r="P61">
        <v>230109.26819999999</v>
      </c>
      <c r="Q61">
        <v>6411.2718189999996</v>
      </c>
      <c r="R61">
        <v>1158859.5379999999</v>
      </c>
    </row>
    <row r="62" spans="1:18" x14ac:dyDescent="0.2">
      <c r="A62">
        <v>126</v>
      </c>
      <c r="B62" t="s">
        <v>280</v>
      </c>
      <c r="C62" t="s">
        <v>281</v>
      </c>
      <c r="D62">
        <v>209727.87770000001</v>
      </c>
      <c r="E62">
        <v>134817.81479999999</v>
      </c>
      <c r="F62">
        <v>1836441.2209999999</v>
      </c>
      <c r="G62">
        <v>79040.305800000002</v>
      </c>
      <c r="H62">
        <v>76254.209669999997</v>
      </c>
      <c r="I62">
        <v>18586.86274</v>
      </c>
      <c r="J62">
        <v>48128.274689999998</v>
      </c>
      <c r="K62">
        <v>16332.43658</v>
      </c>
      <c r="L62">
        <v>37663.03398</v>
      </c>
      <c r="M62">
        <v>44862.788339999999</v>
      </c>
      <c r="N62">
        <v>4401.167598</v>
      </c>
      <c r="O62">
        <v>192045.76689999999</v>
      </c>
      <c r="P62">
        <v>127603.93829999999</v>
      </c>
      <c r="Q62">
        <v>106041.308</v>
      </c>
      <c r="R62">
        <v>1934402.956</v>
      </c>
    </row>
    <row r="63" spans="1:18" x14ac:dyDescent="0.2">
      <c r="A63">
        <v>94</v>
      </c>
      <c r="B63" t="s">
        <v>219</v>
      </c>
      <c r="C63" t="s">
        <v>220</v>
      </c>
      <c r="D63">
        <v>47974.631379999999</v>
      </c>
      <c r="E63">
        <v>55280.869200000001</v>
      </c>
      <c r="F63">
        <v>330470.81430000003</v>
      </c>
      <c r="G63">
        <v>55250.245210000001</v>
      </c>
      <c r="H63">
        <v>209019.75109999999</v>
      </c>
      <c r="I63">
        <v>74055.547959999996</v>
      </c>
      <c r="J63">
        <v>2453.349788</v>
      </c>
      <c r="K63">
        <v>23720.287629999999</v>
      </c>
      <c r="L63">
        <v>46067.274709999998</v>
      </c>
      <c r="M63">
        <v>86170.418900000004</v>
      </c>
      <c r="N63">
        <v>1185.3497950000001</v>
      </c>
      <c r="O63">
        <v>989808.70629999996</v>
      </c>
      <c r="P63">
        <v>149301.5491</v>
      </c>
      <c r="Q63">
        <v>5729.8273989999998</v>
      </c>
      <c r="R63">
        <v>74536.672690000007</v>
      </c>
    </row>
    <row r="64" spans="1:18" x14ac:dyDescent="0.2">
      <c r="A64">
        <v>159</v>
      </c>
      <c r="B64" t="s">
        <v>343</v>
      </c>
      <c r="C64" t="s">
        <v>344</v>
      </c>
      <c r="D64">
        <v>295056.75300000003</v>
      </c>
      <c r="E64">
        <v>14798.830089999999</v>
      </c>
      <c r="F64">
        <v>378540.4155</v>
      </c>
      <c r="G64">
        <v>517942.24239999999</v>
      </c>
      <c r="H64">
        <v>129441.4749</v>
      </c>
      <c r="I64">
        <v>12313.303089999999</v>
      </c>
      <c r="J64">
        <v>1711.544639</v>
      </c>
      <c r="K64">
        <v>53235.927179999999</v>
      </c>
      <c r="L64">
        <v>26672.279159999998</v>
      </c>
      <c r="M64">
        <v>118956.1275</v>
      </c>
      <c r="N64">
        <v>2337.4223029999998</v>
      </c>
      <c r="O64">
        <v>106882.91220000001</v>
      </c>
      <c r="P64">
        <v>20749.629110000002</v>
      </c>
      <c r="Q64">
        <v>72442.759829999995</v>
      </c>
      <c r="R64">
        <v>205248.80929999999</v>
      </c>
    </row>
    <row r="65" spans="1:18" x14ac:dyDescent="0.2">
      <c r="A65">
        <v>161</v>
      </c>
      <c r="B65" t="s">
        <v>347</v>
      </c>
      <c r="C65" t="s">
        <v>348</v>
      </c>
      <c r="D65">
        <v>406108.87050000002</v>
      </c>
      <c r="E65">
        <v>87607.770560000004</v>
      </c>
      <c r="F65">
        <v>882641.94110000005</v>
      </c>
      <c r="G65">
        <v>1374393.7390000001</v>
      </c>
      <c r="H65">
        <v>7628.9076340000001</v>
      </c>
      <c r="I65">
        <v>10625.16353</v>
      </c>
      <c r="J65">
        <v>2572.3435159999999</v>
      </c>
      <c r="K65">
        <v>25541.34002</v>
      </c>
      <c r="L65">
        <v>23620.181919999999</v>
      </c>
      <c r="M65">
        <v>57637.05399</v>
      </c>
      <c r="N65">
        <v>6030.6352479999996</v>
      </c>
      <c r="O65">
        <v>123548.42479999999</v>
      </c>
      <c r="P65">
        <v>16870.08684</v>
      </c>
      <c r="Q65">
        <v>53473.121019999999</v>
      </c>
      <c r="R65">
        <v>432850.70789999998</v>
      </c>
    </row>
    <row r="66" spans="1:18" x14ac:dyDescent="0.2">
      <c r="A66">
        <v>113</v>
      </c>
      <c r="B66" t="s">
        <v>255</v>
      </c>
      <c r="C66" t="s">
        <v>256</v>
      </c>
      <c r="D66">
        <v>111539.49649999999</v>
      </c>
      <c r="E66">
        <v>368954.12609999999</v>
      </c>
      <c r="F66">
        <v>1768317.452</v>
      </c>
      <c r="G66">
        <v>130775.4656</v>
      </c>
      <c r="H66">
        <v>114299.4932</v>
      </c>
      <c r="I66">
        <v>18238.546859999999</v>
      </c>
      <c r="J66">
        <v>2795.7671359999999</v>
      </c>
      <c r="K66">
        <v>110400.14629999999</v>
      </c>
      <c r="L66">
        <v>93719.663159999996</v>
      </c>
      <c r="M66">
        <v>226630.70180000001</v>
      </c>
      <c r="N66">
        <v>25228.154060000001</v>
      </c>
      <c r="O66">
        <v>562737.41890000005</v>
      </c>
      <c r="P66">
        <v>92165.674840000007</v>
      </c>
      <c r="Q66">
        <v>107882.1971</v>
      </c>
      <c r="R66">
        <v>1910607.1769999999</v>
      </c>
    </row>
    <row r="67" spans="1:18" x14ac:dyDescent="0.2">
      <c r="A67">
        <v>127</v>
      </c>
      <c r="B67" t="s">
        <v>282</v>
      </c>
      <c r="C67" t="s">
        <v>283</v>
      </c>
      <c r="D67">
        <v>229335.73</v>
      </c>
      <c r="E67">
        <v>106737.9145</v>
      </c>
      <c r="F67">
        <v>733062.10519999999</v>
      </c>
      <c r="G67">
        <v>47769.409059999998</v>
      </c>
      <c r="H67">
        <v>269199.72960000002</v>
      </c>
      <c r="I67">
        <v>15384.31179</v>
      </c>
      <c r="J67">
        <v>56263.774299999997</v>
      </c>
      <c r="K67">
        <v>68880.692970000004</v>
      </c>
      <c r="L67">
        <v>124852.3437</v>
      </c>
      <c r="M67">
        <v>176123.98019999999</v>
      </c>
      <c r="N67">
        <v>101475.0592</v>
      </c>
      <c r="O67">
        <v>395612.64880000002</v>
      </c>
      <c r="P67">
        <v>202096.06280000001</v>
      </c>
      <c r="Q67">
        <v>82142.114950000003</v>
      </c>
      <c r="R67">
        <v>784590.85030000005</v>
      </c>
    </row>
    <row r="68" spans="1:18" x14ac:dyDescent="0.2">
      <c r="A68">
        <v>13</v>
      </c>
      <c r="B68" t="s">
        <v>62</v>
      </c>
      <c r="C68" t="s">
        <v>63</v>
      </c>
      <c r="D68">
        <v>66439.568849999996</v>
      </c>
      <c r="E68">
        <v>1841823.8910000001</v>
      </c>
      <c r="F68">
        <v>510892.79869999998</v>
      </c>
      <c r="G68">
        <v>171947.1574</v>
      </c>
      <c r="H68">
        <v>143183.13800000001</v>
      </c>
      <c r="I68">
        <v>30900.341179999999</v>
      </c>
      <c r="J68">
        <v>105153.32279999999</v>
      </c>
      <c r="K68">
        <v>69008.479609999995</v>
      </c>
      <c r="L68">
        <v>31462.779170000002</v>
      </c>
      <c r="M68">
        <v>51894.700290000001</v>
      </c>
      <c r="N68">
        <v>3994.054427</v>
      </c>
      <c r="O68">
        <v>690567.56920000003</v>
      </c>
      <c r="P68">
        <v>44358.568930000001</v>
      </c>
      <c r="Q68">
        <v>6271.6364460000004</v>
      </c>
      <c r="R68">
        <v>93372.258449999994</v>
      </c>
    </row>
    <row r="69" spans="1:18" x14ac:dyDescent="0.2">
      <c r="A69">
        <v>181</v>
      </c>
      <c r="B69" t="s">
        <v>386</v>
      </c>
      <c r="C69" t="s">
        <v>387</v>
      </c>
      <c r="D69">
        <v>46004.114139999998</v>
      </c>
      <c r="E69">
        <v>84855.629079999999</v>
      </c>
      <c r="F69">
        <v>240010.37419999999</v>
      </c>
      <c r="G69">
        <v>99773.571909999999</v>
      </c>
      <c r="H69">
        <v>127472.1058</v>
      </c>
      <c r="I69">
        <v>27521.39443</v>
      </c>
      <c r="J69">
        <v>3179.7370519999999</v>
      </c>
      <c r="K69">
        <v>20969.486489999999</v>
      </c>
      <c r="L69">
        <v>16805.972430000002</v>
      </c>
      <c r="M69">
        <v>66654.956340000004</v>
      </c>
      <c r="N69">
        <v>2263.4884689999999</v>
      </c>
      <c r="O69">
        <v>566646.18489999999</v>
      </c>
      <c r="P69">
        <v>8512.6505219999999</v>
      </c>
      <c r="Q69">
        <v>12367.572109999999</v>
      </c>
      <c r="R69">
        <v>55731.791729999997</v>
      </c>
    </row>
    <row r="70" spans="1:18" x14ac:dyDescent="0.2">
      <c r="A70">
        <v>71</v>
      </c>
      <c r="B70" t="s">
        <v>173</v>
      </c>
      <c r="C70" t="s">
        <v>174</v>
      </c>
      <c r="D70">
        <v>1223697.8870000001</v>
      </c>
      <c r="E70">
        <v>296965.92119999998</v>
      </c>
      <c r="F70">
        <v>1897955.398</v>
      </c>
      <c r="G70">
        <v>209353.94589999999</v>
      </c>
      <c r="H70">
        <v>236734.36300000001</v>
      </c>
      <c r="I70">
        <v>26460.039929999999</v>
      </c>
      <c r="J70">
        <v>4239.8058469999996</v>
      </c>
      <c r="K70">
        <v>105458.12450000001</v>
      </c>
      <c r="L70">
        <v>531568.58530000004</v>
      </c>
      <c r="M70">
        <v>225085.11840000001</v>
      </c>
      <c r="N70">
        <v>8135.8956500000004</v>
      </c>
      <c r="O70">
        <v>4851746.1660000002</v>
      </c>
      <c r="P70">
        <v>89140.948480000006</v>
      </c>
      <c r="Q70">
        <v>26007.86045</v>
      </c>
      <c r="R70">
        <v>663112.74089999998</v>
      </c>
    </row>
    <row r="71" spans="1:18" x14ac:dyDescent="0.2">
      <c r="A71">
        <v>206</v>
      </c>
      <c r="B71" t="s">
        <v>434</v>
      </c>
      <c r="C71" t="s">
        <v>435</v>
      </c>
      <c r="D71">
        <v>195084.34210000001</v>
      </c>
      <c r="E71">
        <v>182363.5724</v>
      </c>
      <c r="F71">
        <v>1219938.6599999999</v>
      </c>
      <c r="G71">
        <v>1159550.6089999999</v>
      </c>
      <c r="H71">
        <v>257817.34700000001</v>
      </c>
      <c r="I71">
        <v>71743.119980000003</v>
      </c>
      <c r="J71">
        <v>263231.60720000003</v>
      </c>
      <c r="K71">
        <v>75391.739400000006</v>
      </c>
      <c r="L71">
        <v>63296.742440000002</v>
      </c>
      <c r="M71">
        <v>43121.414169999996</v>
      </c>
      <c r="N71">
        <v>2092.3324440000001</v>
      </c>
      <c r="O71">
        <v>180026.2543</v>
      </c>
      <c r="P71">
        <v>36854.135430000002</v>
      </c>
      <c r="Q71">
        <v>377342.05450000003</v>
      </c>
      <c r="R71">
        <v>1164341.389</v>
      </c>
    </row>
    <row r="72" spans="1:18" x14ac:dyDescent="0.2">
      <c r="A72">
        <v>61</v>
      </c>
      <c r="B72" t="s">
        <v>153</v>
      </c>
      <c r="C72" t="s">
        <v>154</v>
      </c>
      <c r="D72">
        <v>77683.554659999994</v>
      </c>
      <c r="E72">
        <v>133039.3229</v>
      </c>
      <c r="F72">
        <v>2558367.0499999998</v>
      </c>
      <c r="G72">
        <v>221335.7757</v>
      </c>
      <c r="H72">
        <v>200584.53940000001</v>
      </c>
      <c r="I72">
        <v>14824.84036</v>
      </c>
      <c r="J72">
        <v>138215.07060000001</v>
      </c>
      <c r="K72">
        <v>15415.49757</v>
      </c>
      <c r="L72">
        <v>30369.677230000001</v>
      </c>
      <c r="M72">
        <v>26123.059300000001</v>
      </c>
      <c r="N72">
        <v>2209.613022</v>
      </c>
      <c r="O72">
        <v>618199.50340000005</v>
      </c>
      <c r="P72">
        <v>45326.291319999997</v>
      </c>
      <c r="Q72">
        <v>33302.400699999998</v>
      </c>
      <c r="R72">
        <v>1177658.547</v>
      </c>
    </row>
    <row r="73" spans="1:18" x14ac:dyDescent="0.2">
      <c r="A73">
        <v>87</v>
      </c>
      <c r="B73" t="s">
        <v>205</v>
      </c>
      <c r="C73" t="s">
        <v>206</v>
      </c>
      <c r="D73">
        <v>191665.84469999999</v>
      </c>
      <c r="E73">
        <v>333709.52039999998</v>
      </c>
      <c r="F73">
        <v>1689455.4539999999</v>
      </c>
      <c r="G73">
        <v>94807.863209999996</v>
      </c>
      <c r="H73">
        <v>170184.2506</v>
      </c>
      <c r="I73">
        <v>21057.00691</v>
      </c>
      <c r="J73">
        <v>2451.2585220000001</v>
      </c>
      <c r="K73">
        <v>35364.903619999997</v>
      </c>
      <c r="L73">
        <v>57430.784030000003</v>
      </c>
      <c r="M73">
        <v>83410.209480000005</v>
      </c>
      <c r="N73">
        <v>4557.3293629999998</v>
      </c>
      <c r="O73">
        <v>385767.23599999998</v>
      </c>
      <c r="P73">
        <v>17099.616399999999</v>
      </c>
      <c r="Q73">
        <v>34870.382080000003</v>
      </c>
      <c r="R73">
        <v>1656108.081</v>
      </c>
    </row>
    <row r="74" spans="1:18" x14ac:dyDescent="0.2">
      <c r="A74">
        <v>163</v>
      </c>
      <c r="B74" t="s">
        <v>351</v>
      </c>
      <c r="C74" t="s">
        <v>352</v>
      </c>
      <c r="D74">
        <v>73929.406529999993</v>
      </c>
      <c r="E74">
        <v>583333.22530000005</v>
      </c>
      <c r="F74">
        <v>384476.91029999999</v>
      </c>
      <c r="G74">
        <v>192754.2911</v>
      </c>
      <c r="H74">
        <v>16842.434850000001</v>
      </c>
      <c r="I74">
        <v>24779.479340000002</v>
      </c>
      <c r="J74">
        <v>2019.002283</v>
      </c>
      <c r="K74">
        <v>262293.21779999998</v>
      </c>
      <c r="L74">
        <v>296587.81030000001</v>
      </c>
      <c r="M74">
        <v>454207.21120000002</v>
      </c>
      <c r="N74">
        <v>9862.1592789999995</v>
      </c>
      <c r="O74">
        <v>1136400.4169999999</v>
      </c>
      <c r="P74">
        <v>43965.180220000002</v>
      </c>
      <c r="Q74">
        <v>975.65895690000002</v>
      </c>
      <c r="R74">
        <v>168431.7132</v>
      </c>
    </row>
    <row r="75" spans="1:18" x14ac:dyDescent="0.2">
      <c r="A75">
        <v>195</v>
      </c>
      <c r="B75" t="s">
        <v>413</v>
      </c>
      <c r="C75" t="s">
        <v>414</v>
      </c>
      <c r="D75">
        <v>88100.243109999996</v>
      </c>
      <c r="E75">
        <v>230955.6654</v>
      </c>
      <c r="F75">
        <v>3418064.8590000002</v>
      </c>
      <c r="G75">
        <v>141802.51550000001</v>
      </c>
      <c r="H75">
        <v>135313.17139999999</v>
      </c>
      <c r="I75">
        <v>38280.43823</v>
      </c>
      <c r="J75">
        <v>22320.624609999999</v>
      </c>
      <c r="K75">
        <v>62860.556729999997</v>
      </c>
      <c r="L75">
        <v>55101.609940000002</v>
      </c>
      <c r="M75">
        <v>139635.8738</v>
      </c>
      <c r="N75">
        <v>43132.287170000003</v>
      </c>
      <c r="O75">
        <v>311475.06780000002</v>
      </c>
      <c r="P75">
        <v>96830.243210000001</v>
      </c>
      <c r="Q75">
        <v>93393.472269999998</v>
      </c>
      <c r="R75">
        <v>4263916.2029999997</v>
      </c>
    </row>
    <row r="76" spans="1:18" x14ac:dyDescent="0.2">
      <c r="A76">
        <v>37</v>
      </c>
      <c r="B76" t="s">
        <v>108</v>
      </c>
      <c r="C76" t="s">
        <v>109</v>
      </c>
      <c r="D76">
        <v>173756.53049999999</v>
      </c>
      <c r="E76">
        <v>204420.72150000001</v>
      </c>
      <c r="F76">
        <v>813928.06290000002</v>
      </c>
      <c r="G76">
        <v>236039.96830000001</v>
      </c>
      <c r="H76">
        <v>72098.21961</v>
      </c>
      <c r="I76">
        <v>36788.019820000001</v>
      </c>
      <c r="J76">
        <v>2723.1468129999998</v>
      </c>
      <c r="K76">
        <v>73464.475510000004</v>
      </c>
      <c r="L76">
        <v>129025.37820000001</v>
      </c>
      <c r="M76">
        <v>223577.07209999999</v>
      </c>
      <c r="N76">
        <v>2110.6214260000002</v>
      </c>
      <c r="O76">
        <v>794901.89980000001</v>
      </c>
      <c r="P76">
        <v>51625.272929999999</v>
      </c>
      <c r="Q76">
        <v>4006.7235139999998</v>
      </c>
      <c r="R76">
        <v>252998.83489999999</v>
      </c>
    </row>
    <row r="77" spans="1:18" x14ac:dyDescent="0.2">
      <c r="A77">
        <v>65</v>
      </c>
      <c r="B77" t="s">
        <v>161</v>
      </c>
      <c r="C77" t="s">
        <v>162</v>
      </c>
      <c r="D77">
        <v>253714.9039</v>
      </c>
      <c r="E77">
        <v>68093.648289999997</v>
      </c>
      <c r="F77">
        <v>1694920.46</v>
      </c>
      <c r="G77">
        <v>286378.85800000001</v>
      </c>
      <c r="H77">
        <v>126684.97659999999</v>
      </c>
      <c r="I77">
        <v>12983.650680000001</v>
      </c>
      <c r="J77">
        <v>3535.3833169999998</v>
      </c>
      <c r="K77">
        <v>36745.043669999999</v>
      </c>
      <c r="L77">
        <v>200735.58489999999</v>
      </c>
      <c r="M77">
        <v>344133.70699999999</v>
      </c>
      <c r="N77">
        <v>16687.375110000001</v>
      </c>
      <c r="O77">
        <v>98422.953880000001</v>
      </c>
      <c r="P77">
        <v>71749.089200000002</v>
      </c>
      <c r="Q77">
        <v>72132.751439999993</v>
      </c>
      <c r="R77">
        <v>1517635.1529999999</v>
      </c>
    </row>
    <row r="78" spans="1:18" x14ac:dyDescent="0.2">
      <c r="A78">
        <v>54</v>
      </c>
      <c r="B78" t="s">
        <v>140</v>
      </c>
      <c r="C78" t="s">
        <v>141</v>
      </c>
      <c r="D78">
        <v>414450.94309999997</v>
      </c>
      <c r="E78">
        <v>100628.03810000001</v>
      </c>
      <c r="F78">
        <v>148892.11139999999</v>
      </c>
      <c r="G78">
        <v>1012201.65</v>
      </c>
      <c r="H78">
        <v>495945.8</v>
      </c>
      <c r="I78">
        <v>20514.34276</v>
      </c>
      <c r="J78">
        <v>4234.5639920000003</v>
      </c>
      <c r="K78">
        <v>59190.572</v>
      </c>
      <c r="L78">
        <v>460261.83250000002</v>
      </c>
      <c r="M78">
        <v>168857.33979999999</v>
      </c>
      <c r="N78">
        <v>2339.514533</v>
      </c>
      <c r="O78">
        <v>586745.32990000001</v>
      </c>
      <c r="P78">
        <v>267538.81469999999</v>
      </c>
      <c r="Q78">
        <v>114232.41650000001</v>
      </c>
      <c r="R78">
        <v>137469.1825</v>
      </c>
    </row>
    <row r="79" spans="1:18" x14ac:dyDescent="0.2">
      <c r="A79">
        <v>130</v>
      </c>
      <c r="B79" t="s">
        <v>288</v>
      </c>
      <c r="C79" t="s">
        <v>289</v>
      </c>
      <c r="D79">
        <v>98176.824619999999</v>
      </c>
      <c r="E79">
        <v>63389.601089999996</v>
      </c>
      <c r="F79">
        <v>1182309.1259999999</v>
      </c>
      <c r="G79">
        <v>117587.7191</v>
      </c>
      <c r="H79">
        <v>67978.754499999995</v>
      </c>
      <c r="I79">
        <v>11368.863729999999</v>
      </c>
      <c r="J79">
        <v>2317.6514619999998</v>
      </c>
      <c r="K79">
        <v>22216.586670000001</v>
      </c>
      <c r="L79">
        <v>115378.7167</v>
      </c>
      <c r="M79">
        <v>51926.506780000003</v>
      </c>
      <c r="N79">
        <v>2729.207054</v>
      </c>
      <c r="O79">
        <v>154216.9191</v>
      </c>
      <c r="P79">
        <v>92065.089770000006</v>
      </c>
      <c r="Q79">
        <v>67526.161619999999</v>
      </c>
      <c r="R79">
        <v>1001538.872</v>
      </c>
    </row>
    <row r="80" spans="1:18" x14ac:dyDescent="0.2">
      <c r="A80">
        <v>189</v>
      </c>
      <c r="B80" t="s">
        <v>401</v>
      </c>
      <c r="C80" t="s">
        <v>402</v>
      </c>
      <c r="D80">
        <v>185021.33780000001</v>
      </c>
      <c r="E80">
        <v>1746899.5090000001</v>
      </c>
      <c r="F80">
        <v>1599829.0560000001</v>
      </c>
      <c r="G80">
        <v>160921.20069999999</v>
      </c>
      <c r="H80">
        <v>46450.225960000003</v>
      </c>
      <c r="I80">
        <v>21103.563150000002</v>
      </c>
      <c r="J80">
        <v>2117.8759789999999</v>
      </c>
      <c r="K80">
        <v>39179.330139999998</v>
      </c>
      <c r="L80">
        <v>83685.167419999998</v>
      </c>
      <c r="M80">
        <v>31475.859100000001</v>
      </c>
      <c r="N80">
        <v>3957.4913449999999</v>
      </c>
      <c r="O80">
        <v>4412726.7640000004</v>
      </c>
      <c r="P80">
        <v>146626.13589999999</v>
      </c>
      <c r="Q80">
        <v>254427.30379999999</v>
      </c>
      <c r="R80">
        <v>959706.44900000002</v>
      </c>
    </row>
    <row r="81" spans="1:18" x14ac:dyDescent="0.2">
      <c r="A81">
        <v>107</v>
      </c>
      <c r="B81" t="s">
        <v>244</v>
      </c>
      <c r="C81" t="s">
        <v>245</v>
      </c>
      <c r="D81">
        <v>285983.55550000002</v>
      </c>
      <c r="E81">
        <v>56322.786930000002</v>
      </c>
      <c r="F81">
        <v>1059041.4480000001</v>
      </c>
      <c r="G81">
        <v>189468.0906</v>
      </c>
      <c r="H81">
        <v>49265.947780000002</v>
      </c>
      <c r="I81">
        <v>18148.593489999999</v>
      </c>
      <c r="J81">
        <v>1281.385931</v>
      </c>
      <c r="K81">
        <v>44371.370779999997</v>
      </c>
      <c r="L81">
        <v>183487.66070000001</v>
      </c>
      <c r="M81">
        <v>84282.046610000005</v>
      </c>
      <c r="N81">
        <v>3068.4904470000001</v>
      </c>
      <c r="O81">
        <v>149071.17199999999</v>
      </c>
      <c r="P81">
        <v>65901.573019999996</v>
      </c>
      <c r="Q81">
        <v>48732.241029999997</v>
      </c>
      <c r="R81">
        <v>566980.31240000005</v>
      </c>
    </row>
    <row r="82" spans="1:18" x14ac:dyDescent="0.2">
      <c r="A82">
        <v>209</v>
      </c>
      <c r="B82" t="s">
        <v>440</v>
      </c>
      <c r="C82" t="s">
        <v>441</v>
      </c>
      <c r="D82">
        <v>67898.882670000006</v>
      </c>
      <c r="E82">
        <v>404204.97440000001</v>
      </c>
      <c r="F82">
        <v>918661.60340000002</v>
      </c>
      <c r="G82">
        <v>92974.379960000006</v>
      </c>
      <c r="H82">
        <v>367457.1372</v>
      </c>
      <c r="I82">
        <v>64496.098469999997</v>
      </c>
      <c r="J82">
        <v>29282.1404</v>
      </c>
      <c r="K82">
        <v>93791.942670000004</v>
      </c>
      <c r="L82">
        <v>217225.2433</v>
      </c>
      <c r="M82">
        <v>155417.09899999999</v>
      </c>
      <c r="N82">
        <v>2212.3282589999999</v>
      </c>
      <c r="O82">
        <v>607766.82059999998</v>
      </c>
      <c r="P82">
        <v>14281.357319999999</v>
      </c>
      <c r="Q82">
        <v>15882.889719999999</v>
      </c>
      <c r="R82">
        <v>521928.08110000001</v>
      </c>
    </row>
    <row r="83" spans="1:18" x14ac:dyDescent="0.2">
      <c r="A83">
        <v>172</v>
      </c>
      <c r="B83" t="s">
        <v>369</v>
      </c>
      <c r="C83" t="s">
        <v>370</v>
      </c>
      <c r="D83">
        <v>177546.6243</v>
      </c>
      <c r="E83">
        <v>68950.063970000003</v>
      </c>
      <c r="F83">
        <v>721847.83279999997</v>
      </c>
      <c r="G83">
        <v>735585.87919999997</v>
      </c>
      <c r="H83">
        <v>8327.5897710000008</v>
      </c>
      <c r="I83">
        <v>6305.135276</v>
      </c>
      <c r="J83">
        <v>2472.8486229999999</v>
      </c>
      <c r="K83">
        <v>34096.433149999997</v>
      </c>
      <c r="L83">
        <v>66300.242360000004</v>
      </c>
      <c r="M83">
        <v>65802.692569999999</v>
      </c>
      <c r="N83">
        <v>4190.0271210000001</v>
      </c>
      <c r="O83">
        <v>194173.06330000001</v>
      </c>
      <c r="P83">
        <v>39423.688179999997</v>
      </c>
      <c r="Q83">
        <v>147657.3052</v>
      </c>
      <c r="R83">
        <v>538156.24069999997</v>
      </c>
    </row>
    <row r="84" spans="1:18" x14ac:dyDescent="0.2">
      <c r="A84">
        <v>114</v>
      </c>
      <c r="B84" t="s">
        <v>257</v>
      </c>
      <c r="C84" t="s">
        <v>258</v>
      </c>
      <c r="D84">
        <v>30000.617770000001</v>
      </c>
      <c r="E84">
        <v>256254.9423</v>
      </c>
      <c r="F84">
        <v>1036903.482</v>
      </c>
      <c r="G84">
        <v>53474.017269999997</v>
      </c>
      <c r="H84">
        <v>183344.26190000001</v>
      </c>
      <c r="I84">
        <v>14528.988880000001</v>
      </c>
      <c r="J84">
        <v>2479.2974479999998</v>
      </c>
      <c r="K84">
        <v>83141.232529999994</v>
      </c>
      <c r="L84">
        <v>52645.127039999999</v>
      </c>
      <c r="M84">
        <v>100834.28909999999</v>
      </c>
      <c r="N84">
        <v>2169.0131240000001</v>
      </c>
      <c r="O84">
        <v>522212.18900000001</v>
      </c>
      <c r="P84">
        <v>70706.450330000007</v>
      </c>
      <c r="Q84">
        <v>84966.29711</v>
      </c>
      <c r="R84">
        <v>2012674.3430000001</v>
      </c>
    </row>
    <row r="85" spans="1:18" x14ac:dyDescent="0.2">
      <c r="A85">
        <v>135</v>
      </c>
      <c r="B85" t="s">
        <v>297</v>
      </c>
      <c r="C85" t="s">
        <v>298</v>
      </c>
      <c r="D85">
        <v>59155.873189999998</v>
      </c>
      <c r="E85">
        <v>129095.1971</v>
      </c>
      <c r="F85">
        <v>1780937.6470000001</v>
      </c>
      <c r="G85">
        <v>86975.631590000005</v>
      </c>
      <c r="H85">
        <v>209303.8431</v>
      </c>
      <c r="I85">
        <v>21055.106970000001</v>
      </c>
      <c r="J85">
        <v>16088.3143</v>
      </c>
      <c r="K85">
        <v>45200.657460000002</v>
      </c>
      <c r="L85">
        <v>56245.190790000001</v>
      </c>
      <c r="M85">
        <v>146137.52499999999</v>
      </c>
      <c r="N85">
        <v>2233.1700430000001</v>
      </c>
      <c r="O85">
        <v>1461086.46</v>
      </c>
      <c r="P85">
        <v>111397.2001</v>
      </c>
      <c r="Q85">
        <v>136162.5612</v>
      </c>
      <c r="R85">
        <v>961177.16799999995</v>
      </c>
    </row>
    <row r="86" spans="1:18" x14ac:dyDescent="0.2">
      <c r="A86">
        <v>183</v>
      </c>
      <c r="B86" t="s">
        <v>390</v>
      </c>
      <c r="C86" t="s">
        <v>391</v>
      </c>
      <c r="D86">
        <v>184465.38639999999</v>
      </c>
      <c r="E86">
        <v>1251954.898</v>
      </c>
      <c r="F86">
        <v>1658208.1</v>
      </c>
      <c r="G86">
        <v>45467.873910000002</v>
      </c>
      <c r="H86">
        <v>183405.2126</v>
      </c>
      <c r="I86">
        <v>158005.3236</v>
      </c>
      <c r="J86">
        <v>138196.12210000001</v>
      </c>
      <c r="K86">
        <v>18911.605060000002</v>
      </c>
      <c r="L86">
        <v>22764.474419999999</v>
      </c>
      <c r="M86">
        <v>45525.082029999998</v>
      </c>
      <c r="N86">
        <v>2066.8570420000001</v>
      </c>
      <c r="O86">
        <v>632850.87549999997</v>
      </c>
      <c r="P86">
        <v>94670.563039999994</v>
      </c>
      <c r="Q86">
        <v>5507.1976029999996</v>
      </c>
      <c r="R86">
        <v>418247.89730000001</v>
      </c>
    </row>
    <row r="87" spans="1:18" x14ac:dyDescent="0.2">
      <c r="A87">
        <v>75</v>
      </c>
      <c r="B87" t="s">
        <v>181</v>
      </c>
      <c r="C87" t="s">
        <v>182</v>
      </c>
      <c r="D87">
        <v>73105.13566</v>
      </c>
      <c r="E87">
        <v>109196.17110000001</v>
      </c>
      <c r="F87">
        <v>136514.11809999999</v>
      </c>
      <c r="G87">
        <v>108607.2138</v>
      </c>
      <c r="H87">
        <v>56606.8223</v>
      </c>
      <c r="I87">
        <v>25134.14488</v>
      </c>
      <c r="J87">
        <v>2852.9067150000001</v>
      </c>
      <c r="K87">
        <v>29953.011849999999</v>
      </c>
      <c r="L87">
        <v>44616.206559999999</v>
      </c>
      <c r="M87">
        <v>44877.283969999997</v>
      </c>
      <c r="N87">
        <v>2802.7452349999999</v>
      </c>
      <c r="O87">
        <v>345333.5563</v>
      </c>
      <c r="P87">
        <v>12033.54715</v>
      </c>
      <c r="Q87">
        <v>7250.1805189999995</v>
      </c>
      <c r="R87">
        <v>41040.93015</v>
      </c>
    </row>
    <row r="88" spans="1:18" x14ac:dyDescent="0.2">
      <c r="A88">
        <v>43</v>
      </c>
      <c r="B88" t="s">
        <v>119</v>
      </c>
      <c r="C88" t="s">
        <v>120</v>
      </c>
      <c r="D88">
        <v>131287.25270000001</v>
      </c>
      <c r="E88">
        <v>2052089.8740000001</v>
      </c>
      <c r="F88">
        <v>1991080.385</v>
      </c>
      <c r="G88">
        <v>143130.7752</v>
      </c>
      <c r="H88">
        <v>59934.154640000001</v>
      </c>
      <c r="I88">
        <v>34159.015610000002</v>
      </c>
      <c r="J88">
        <v>2177.2513269999999</v>
      </c>
      <c r="K88">
        <v>25397.309850000001</v>
      </c>
      <c r="L88">
        <v>36719.062669999999</v>
      </c>
      <c r="M88">
        <v>43671.526709999998</v>
      </c>
      <c r="N88">
        <v>3294.4465970000001</v>
      </c>
      <c r="O88">
        <v>342725.60460000002</v>
      </c>
      <c r="P88">
        <v>125401.0594</v>
      </c>
      <c r="Q88">
        <v>23737.617819999999</v>
      </c>
      <c r="R88">
        <v>1760493.15</v>
      </c>
    </row>
    <row r="89" spans="1:18" x14ac:dyDescent="0.2">
      <c r="A89">
        <v>197</v>
      </c>
      <c r="B89" t="s">
        <v>417</v>
      </c>
      <c r="C89" t="s">
        <v>418</v>
      </c>
      <c r="D89">
        <v>28582.21542</v>
      </c>
      <c r="E89">
        <v>161892.74479999999</v>
      </c>
      <c r="F89">
        <v>440355.23090000002</v>
      </c>
      <c r="G89">
        <v>53243.183510000003</v>
      </c>
      <c r="H89">
        <v>114854.9999</v>
      </c>
      <c r="I89">
        <v>8640.9408039999998</v>
      </c>
      <c r="J89">
        <v>2047.2523450000001</v>
      </c>
      <c r="K89">
        <v>16886.627479999999</v>
      </c>
      <c r="L89">
        <v>14066.678540000001</v>
      </c>
      <c r="M89">
        <v>63366.11578</v>
      </c>
      <c r="N89">
        <v>2285.723156</v>
      </c>
      <c r="O89">
        <v>705630.78040000005</v>
      </c>
      <c r="P89">
        <v>31864.678889999999</v>
      </c>
      <c r="Q89">
        <v>34678.229599999999</v>
      </c>
      <c r="R89">
        <v>103438.01179999999</v>
      </c>
    </row>
    <row r="90" spans="1:18" x14ac:dyDescent="0.2">
      <c r="A90">
        <v>26</v>
      </c>
      <c r="B90" t="s">
        <v>87</v>
      </c>
      <c r="C90" t="s">
        <v>88</v>
      </c>
      <c r="D90">
        <v>189459.7801</v>
      </c>
      <c r="E90">
        <v>20640.988239999999</v>
      </c>
      <c r="F90">
        <v>550444.59979999997</v>
      </c>
      <c r="G90">
        <v>156866.33489999999</v>
      </c>
      <c r="H90">
        <v>87811.140899999999</v>
      </c>
      <c r="I90">
        <v>24561.20982</v>
      </c>
      <c r="J90">
        <v>8045.2086099999997</v>
      </c>
      <c r="K90">
        <v>18310.598740000001</v>
      </c>
      <c r="L90">
        <v>35226.992489999997</v>
      </c>
      <c r="M90">
        <v>39985.822849999997</v>
      </c>
      <c r="N90">
        <v>1525.820976</v>
      </c>
      <c r="O90">
        <v>276072.81359999999</v>
      </c>
      <c r="P90">
        <v>53168.169110000003</v>
      </c>
      <c r="Q90">
        <v>10372.1883</v>
      </c>
      <c r="R90">
        <v>72593.169420000006</v>
      </c>
    </row>
    <row r="91" spans="1:18" x14ac:dyDescent="0.2">
      <c r="A91">
        <v>74</v>
      </c>
      <c r="B91" t="s">
        <v>179</v>
      </c>
      <c r="C91" t="s">
        <v>180</v>
      </c>
      <c r="D91">
        <v>223731.14199999999</v>
      </c>
      <c r="E91">
        <v>167342.48680000001</v>
      </c>
      <c r="F91">
        <v>320888.28149999998</v>
      </c>
      <c r="G91">
        <v>162467.74650000001</v>
      </c>
      <c r="H91">
        <v>1352274.9650000001</v>
      </c>
      <c r="I91">
        <v>13371.06473</v>
      </c>
      <c r="J91">
        <v>2830.659572</v>
      </c>
      <c r="K91">
        <v>104143.7453</v>
      </c>
      <c r="L91">
        <v>257528.91140000001</v>
      </c>
      <c r="M91">
        <v>170782.55249999999</v>
      </c>
      <c r="N91">
        <v>2198.7629099999999</v>
      </c>
      <c r="O91">
        <v>684288.53929999995</v>
      </c>
      <c r="P91">
        <v>101563.25659999999</v>
      </c>
      <c r="Q91">
        <v>0</v>
      </c>
      <c r="R91">
        <v>250348.3106</v>
      </c>
    </row>
    <row r="92" spans="1:18" x14ac:dyDescent="0.2">
      <c r="A92">
        <v>132</v>
      </c>
      <c r="B92" t="s">
        <v>292</v>
      </c>
      <c r="C92" t="s">
        <v>293</v>
      </c>
      <c r="D92">
        <v>418664.75380000001</v>
      </c>
      <c r="E92">
        <v>125676.7629</v>
      </c>
      <c r="F92">
        <v>4529962.9170000004</v>
      </c>
      <c r="G92">
        <v>130158.9519</v>
      </c>
      <c r="H92">
        <v>22867.182369999999</v>
      </c>
      <c r="I92">
        <v>45253.896269999997</v>
      </c>
      <c r="J92">
        <v>79571.877680000005</v>
      </c>
      <c r="K92">
        <v>78180.662370000005</v>
      </c>
      <c r="L92">
        <v>43939.00131</v>
      </c>
      <c r="M92">
        <v>73790.0003</v>
      </c>
      <c r="N92">
        <v>3122.625344</v>
      </c>
      <c r="O92">
        <v>6586149.3969999999</v>
      </c>
      <c r="P92">
        <v>260749.57639999999</v>
      </c>
      <c r="Q92">
        <v>278034.86930000002</v>
      </c>
      <c r="R92">
        <v>1964033.496</v>
      </c>
    </row>
    <row r="93" spans="1:18" x14ac:dyDescent="0.2">
      <c r="A93">
        <v>144</v>
      </c>
      <c r="B93" t="s">
        <v>315</v>
      </c>
      <c r="C93" t="s">
        <v>316</v>
      </c>
      <c r="D93">
        <v>461037.40889999998</v>
      </c>
      <c r="E93">
        <v>300047.63880000002</v>
      </c>
      <c r="F93">
        <v>1270175.804</v>
      </c>
      <c r="G93">
        <v>97215.136660000004</v>
      </c>
      <c r="H93">
        <v>169863.25880000001</v>
      </c>
      <c r="I93">
        <v>17553.422930000001</v>
      </c>
      <c r="J93">
        <v>126761.50810000001</v>
      </c>
      <c r="K93">
        <v>100554.99800000001</v>
      </c>
      <c r="L93">
        <v>186768.38070000001</v>
      </c>
      <c r="M93">
        <v>191797.08069999999</v>
      </c>
      <c r="N93">
        <v>13263.18757</v>
      </c>
      <c r="O93">
        <v>420591.08730000001</v>
      </c>
      <c r="P93">
        <v>90696.735230000006</v>
      </c>
      <c r="Q93">
        <v>6814.9411380000001</v>
      </c>
      <c r="R93">
        <v>1400301.014</v>
      </c>
    </row>
    <row r="94" spans="1:18" x14ac:dyDescent="0.2">
      <c r="A94">
        <v>120</v>
      </c>
      <c r="B94" t="s">
        <v>269</v>
      </c>
      <c r="C94" t="s">
        <v>270</v>
      </c>
      <c r="D94">
        <v>600279.06740000006</v>
      </c>
      <c r="E94">
        <v>40943.692029999998</v>
      </c>
      <c r="F94">
        <v>1051571.727</v>
      </c>
      <c r="G94">
        <v>553691.77890000003</v>
      </c>
      <c r="H94">
        <v>20771.778429999998</v>
      </c>
      <c r="I94">
        <v>43747.356290000003</v>
      </c>
      <c r="J94">
        <v>3304.589481</v>
      </c>
      <c r="K94">
        <v>100823.6351</v>
      </c>
      <c r="L94">
        <v>78958.037979999994</v>
      </c>
      <c r="M94">
        <v>89193.971179999993</v>
      </c>
      <c r="N94">
        <v>2018.345963</v>
      </c>
      <c r="O94">
        <v>38894.218710000001</v>
      </c>
      <c r="P94">
        <v>703292.31070000003</v>
      </c>
      <c r="Q94">
        <v>570218.62190000003</v>
      </c>
      <c r="R94">
        <v>3684660.6510000001</v>
      </c>
    </row>
    <row r="95" spans="1:18" x14ac:dyDescent="0.2">
      <c r="A95">
        <v>194</v>
      </c>
      <c r="B95" t="s">
        <v>411</v>
      </c>
      <c r="C95" t="s">
        <v>412</v>
      </c>
      <c r="D95">
        <v>198622.5632</v>
      </c>
      <c r="E95">
        <v>277385.65639999998</v>
      </c>
      <c r="F95">
        <v>2355202.9389999998</v>
      </c>
      <c r="G95">
        <v>779831.47129999998</v>
      </c>
      <c r="H95">
        <v>26613.72423</v>
      </c>
      <c r="I95">
        <v>27077.61793</v>
      </c>
      <c r="J95">
        <v>3423.3317520000001</v>
      </c>
      <c r="K95">
        <v>27378.17182</v>
      </c>
      <c r="L95">
        <v>340358.16009999998</v>
      </c>
      <c r="M95">
        <v>157245.6734</v>
      </c>
      <c r="N95">
        <v>3337.8398390000002</v>
      </c>
      <c r="O95">
        <v>512971.49420000002</v>
      </c>
      <c r="P95">
        <v>16764.256710000001</v>
      </c>
      <c r="Q95">
        <v>165669.41279999999</v>
      </c>
      <c r="R95">
        <v>2550961.406</v>
      </c>
    </row>
    <row r="96" spans="1:18" x14ac:dyDescent="0.2">
      <c r="A96">
        <v>98</v>
      </c>
      <c r="B96" t="s">
        <v>227</v>
      </c>
      <c r="C96" t="s">
        <v>228</v>
      </c>
      <c r="D96">
        <v>359914.8137</v>
      </c>
      <c r="E96">
        <v>219030.43700000001</v>
      </c>
      <c r="F96">
        <v>1142978.915</v>
      </c>
      <c r="G96">
        <v>463398.473</v>
      </c>
      <c r="H96">
        <v>59865.93907</v>
      </c>
      <c r="I96">
        <v>30588.158780000002</v>
      </c>
      <c r="J96">
        <v>2420.6363270000002</v>
      </c>
      <c r="K96">
        <v>99285.472840000002</v>
      </c>
      <c r="L96">
        <v>71809.721590000001</v>
      </c>
      <c r="M96">
        <v>97358.289699999994</v>
      </c>
      <c r="N96">
        <v>714.56339809999997</v>
      </c>
      <c r="O96">
        <v>191583.7328</v>
      </c>
      <c r="P96">
        <v>104858.6171</v>
      </c>
      <c r="Q96">
        <v>78213.407720000003</v>
      </c>
      <c r="R96">
        <v>850655.41890000005</v>
      </c>
    </row>
    <row r="97" spans="1:18" x14ac:dyDescent="0.2">
      <c r="A97">
        <v>99</v>
      </c>
      <c r="B97" t="s">
        <v>229</v>
      </c>
      <c r="C97" t="s">
        <v>230</v>
      </c>
      <c r="D97">
        <v>322102.28409999999</v>
      </c>
      <c r="E97">
        <v>175825.4871</v>
      </c>
      <c r="F97">
        <v>1726990.754</v>
      </c>
      <c r="G97">
        <v>1106090.5330000001</v>
      </c>
      <c r="H97">
        <v>30897.823</v>
      </c>
      <c r="I97">
        <v>66722.153829999996</v>
      </c>
      <c r="J97">
        <v>2170.5631800000001</v>
      </c>
      <c r="K97">
        <v>49379.932840000001</v>
      </c>
      <c r="L97">
        <v>195247.9136</v>
      </c>
      <c r="M97">
        <v>47816.989589999997</v>
      </c>
      <c r="N97">
        <v>3864.8336760000002</v>
      </c>
      <c r="O97">
        <v>292414.9509</v>
      </c>
      <c r="P97">
        <v>183603.91889999999</v>
      </c>
      <c r="Q97">
        <v>53780.888590000002</v>
      </c>
      <c r="R97">
        <v>732985.08539999998</v>
      </c>
    </row>
    <row r="98" spans="1:18" x14ac:dyDescent="0.2">
      <c r="A98">
        <v>42</v>
      </c>
      <c r="B98" t="s">
        <v>117</v>
      </c>
      <c r="C98" t="s">
        <v>118</v>
      </c>
      <c r="D98">
        <v>158163.28330000001</v>
      </c>
      <c r="E98">
        <v>245582.1911</v>
      </c>
      <c r="F98">
        <v>1524682.0819999999</v>
      </c>
      <c r="G98">
        <v>167058.11350000001</v>
      </c>
      <c r="H98">
        <v>92217.390849999996</v>
      </c>
      <c r="I98">
        <v>40925.569329999998</v>
      </c>
      <c r="J98">
        <v>3037.387064</v>
      </c>
      <c r="K98">
        <v>18930.172470000001</v>
      </c>
      <c r="L98">
        <v>44086.9758</v>
      </c>
      <c r="M98">
        <v>46350.753239999998</v>
      </c>
      <c r="N98">
        <v>1434.2836239999999</v>
      </c>
      <c r="O98">
        <v>553917.45860000001</v>
      </c>
      <c r="P98">
        <v>80524.682220000002</v>
      </c>
      <c r="Q98">
        <v>23923.089070000002</v>
      </c>
      <c r="R98">
        <v>847855.07869999995</v>
      </c>
    </row>
    <row r="99" spans="1:18" x14ac:dyDescent="0.2">
      <c r="A99">
        <v>133</v>
      </c>
      <c r="B99" t="s">
        <v>294</v>
      </c>
      <c r="C99" t="s">
        <v>295</v>
      </c>
      <c r="D99">
        <v>78749.830839999995</v>
      </c>
      <c r="E99">
        <v>95010.95796</v>
      </c>
      <c r="F99">
        <v>965350.28890000004</v>
      </c>
      <c r="G99">
        <v>161669.62100000001</v>
      </c>
      <c r="H99">
        <v>119616.2815</v>
      </c>
      <c r="I99">
        <v>15293.49699</v>
      </c>
      <c r="J99">
        <v>1105.5817440000001</v>
      </c>
      <c r="K99">
        <v>59794.148840000002</v>
      </c>
      <c r="L99">
        <v>49268.612289999997</v>
      </c>
      <c r="M99">
        <v>133413.57320000001</v>
      </c>
      <c r="N99">
        <v>1735.155411</v>
      </c>
      <c r="O99">
        <v>384256.75109999999</v>
      </c>
      <c r="P99">
        <v>60510.989860000001</v>
      </c>
      <c r="Q99">
        <v>3672.7402489999999</v>
      </c>
      <c r="R99">
        <v>721555.63049999997</v>
      </c>
    </row>
    <row r="100" spans="1:18" x14ac:dyDescent="0.2">
      <c r="A100">
        <v>184</v>
      </c>
      <c r="B100" t="s">
        <v>392</v>
      </c>
      <c r="C100" t="s">
        <v>393</v>
      </c>
      <c r="D100">
        <v>96752.001040000003</v>
      </c>
      <c r="E100">
        <v>6084403.5779999997</v>
      </c>
      <c r="F100">
        <v>1938290.145</v>
      </c>
      <c r="G100">
        <v>66694.036219999995</v>
      </c>
      <c r="H100">
        <v>259245.61670000001</v>
      </c>
      <c r="I100">
        <v>143513.7451</v>
      </c>
      <c r="J100">
        <v>239551.37359999999</v>
      </c>
      <c r="K100">
        <v>16220.436470000001</v>
      </c>
      <c r="L100">
        <v>29977.0357</v>
      </c>
      <c r="M100">
        <v>102948.6119</v>
      </c>
      <c r="N100">
        <v>3082.2516949999999</v>
      </c>
      <c r="O100">
        <v>1024328.5060000001</v>
      </c>
      <c r="P100">
        <v>114751.1075</v>
      </c>
      <c r="Q100">
        <v>3745.4442159999999</v>
      </c>
      <c r="R100">
        <v>332634.03830000001</v>
      </c>
    </row>
    <row r="101" spans="1:18" x14ac:dyDescent="0.2">
      <c r="A101">
        <v>22</v>
      </c>
      <c r="B101" t="s">
        <v>79</v>
      </c>
      <c r="C101" t="s">
        <v>80</v>
      </c>
      <c r="D101">
        <v>62665.259709999998</v>
      </c>
      <c r="E101">
        <v>83140.719129999998</v>
      </c>
      <c r="F101">
        <v>88903.431750000003</v>
      </c>
      <c r="G101">
        <v>150773.0202</v>
      </c>
      <c r="H101">
        <v>20069.32473</v>
      </c>
      <c r="I101">
        <v>4600.266294</v>
      </c>
      <c r="J101">
        <v>7315.030968</v>
      </c>
      <c r="K101">
        <v>84124.677989999996</v>
      </c>
      <c r="L101">
        <v>24970.758160000001</v>
      </c>
      <c r="M101">
        <v>110925.04790000001</v>
      </c>
      <c r="N101">
        <v>2293.0988619999998</v>
      </c>
      <c r="O101">
        <v>460730.85070000001</v>
      </c>
      <c r="P101">
        <v>73541.873579999999</v>
      </c>
      <c r="Q101">
        <v>12716.622789999999</v>
      </c>
      <c r="R101">
        <v>35835.092989999997</v>
      </c>
    </row>
    <row r="102" spans="1:18" x14ac:dyDescent="0.2">
      <c r="A102">
        <v>111</v>
      </c>
      <c r="B102" t="s">
        <v>252</v>
      </c>
      <c r="C102" t="s">
        <v>253</v>
      </c>
      <c r="D102">
        <v>369427.93459999998</v>
      </c>
      <c r="E102">
        <v>122574.1737</v>
      </c>
      <c r="F102">
        <v>305675.0943</v>
      </c>
      <c r="G102">
        <v>395544.99449999997</v>
      </c>
      <c r="H102">
        <v>11043.952579999999</v>
      </c>
      <c r="I102">
        <v>29759.466090000002</v>
      </c>
      <c r="J102">
        <v>4993.7481610000004</v>
      </c>
      <c r="K102">
        <v>11597.5142</v>
      </c>
      <c r="L102">
        <v>37568.268349999998</v>
      </c>
      <c r="M102">
        <v>107851.5436</v>
      </c>
      <c r="N102">
        <v>2388.0853400000001</v>
      </c>
      <c r="O102">
        <v>250052.47339999999</v>
      </c>
      <c r="P102">
        <v>79210.819619999995</v>
      </c>
      <c r="Q102">
        <v>11662.61543</v>
      </c>
      <c r="R102">
        <v>296556.22259999998</v>
      </c>
    </row>
    <row r="103" spans="1:18" x14ac:dyDescent="0.2">
      <c r="A103">
        <v>121</v>
      </c>
      <c r="B103" t="s">
        <v>271</v>
      </c>
      <c r="C103" t="s">
        <v>272</v>
      </c>
      <c r="D103">
        <v>227115.9241</v>
      </c>
      <c r="E103">
        <v>75356.545970000006</v>
      </c>
      <c r="F103">
        <v>1369687.9779999999</v>
      </c>
      <c r="G103">
        <v>1071772.8459999999</v>
      </c>
      <c r="H103">
        <v>115732.2574</v>
      </c>
      <c r="I103">
        <v>28048.570479999998</v>
      </c>
      <c r="J103">
        <v>18691.540969999998</v>
      </c>
      <c r="K103">
        <v>86618.680609999996</v>
      </c>
      <c r="L103">
        <v>36014.029609999998</v>
      </c>
      <c r="M103">
        <v>86970.999089999998</v>
      </c>
      <c r="N103">
        <v>2652.6875190000001</v>
      </c>
      <c r="O103">
        <v>57997.730170000003</v>
      </c>
      <c r="P103">
        <v>282947.86930000002</v>
      </c>
      <c r="Q103">
        <v>108373.0254</v>
      </c>
      <c r="R103">
        <v>2884123.7489999998</v>
      </c>
    </row>
    <row r="104" spans="1:18" x14ac:dyDescent="0.2">
      <c r="A104">
        <v>100</v>
      </c>
      <c r="B104" t="s">
        <v>231</v>
      </c>
      <c r="C104" t="s">
        <v>232</v>
      </c>
      <c r="D104">
        <v>352120.74300000002</v>
      </c>
      <c r="E104">
        <v>190106.89720000001</v>
      </c>
      <c r="F104">
        <v>320572.70169999998</v>
      </c>
      <c r="G104">
        <v>89254.523109999995</v>
      </c>
      <c r="H104">
        <v>349034.85930000001</v>
      </c>
      <c r="I104">
        <v>29080.37558</v>
      </c>
      <c r="J104">
        <v>844.51895460000003</v>
      </c>
      <c r="K104">
        <v>238812.75709999999</v>
      </c>
      <c r="L104">
        <v>853317.09019999998</v>
      </c>
      <c r="M104">
        <v>358878.4498</v>
      </c>
      <c r="N104">
        <v>2892.0556940000001</v>
      </c>
      <c r="O104">
        <v>579667.20409999997</v>
      </c>
      <c r="P104">
        <v>89663.602209999997</v>
      </c>
      <c r="Q104">
        <v>133937.78700000001</v>
      </c>
      <c r="R104">
        <v>209850.77609999999</v>
      </c>
    </row>
    <row r="105" spans="1:18" x14ac:dyDescent="0.2">
      <c r="A105">
        <v>122</v>
      </c>
      <c r="B105" t="s">
        <v>273</v>
      </c>
      <c r="C105" t="s">
        <v>274</v>
      </c>
      <c r="D105">
        <v>62813.679210000002</v>
      </c>
      <c r="E105">
        <v>105473.47100000001</v>
      </c>
      <c r="F105">
        <v>1025892.416</v>
      </c>
      <c r="G105">
        <v>87008.661630000002</v>
      </c>
      <c r="H105">
        <v>10694.60183</v>
      </c>
      <c r="I105">
        <v>3319.4942219999998</v>
      </c>
      <c r="J105">
        <v>3769.4399699999999</v>
      </c>
      <c r="K105">
        <v>38303.810389999999</v>
      </c>
      <c r="L105">
        <v>24468.641199999998</v>
      </c>
      <c r="M105">
        <v>66050.94872</v>
      </c>
      <c r="N105">
        <v>4107.0854280000003</v>
      </c>
      <c r="O105">
        <v>7101431.8710000003</v>
      </c>
      <c r="P105">
        <v>15192.427110000001</v>
      </c>
      <c r="Q105">
        <v>7353.6178909999999</v>
      </c>
      <c r="R105">
        <v>323108.679</v>
      </c>
    </row>
    <row r="106" spans="1:18" x14ac:dyDescent="0.2">
      <c r="A106">
        <v>198</v>
      </c>
      <c r="B106" t="s">
        <v>419</v>
      </c>
      <c r="C106" t="s">
        <v>420</v>
      </c>
      <c r="D106">
        <v>10969.57257</v>
      </c>
      <c r="E106">
        <v>30637.605869999999</v>
      </c>
      <c r="F106">
        <v>88408.726909999998</v>
      </c>
      <c r="G106">
        <v>29921.41851</v>
      </c>
      <c r="H106">
        <v>88393.764509999994</v>
      </c>
      <c r="I106">
        <v>12913.284100000001</v>
      </c>
      <c r="J106">
        <v>2015.0727670000001</v>
      </c>
      <c r="K106">
        <v>75285.442179999998</v>
      </c>
      <c r="L106">
        <v>27287.974979999999</v>
      </c>
      <c r="M106">
        <v>139210.48209999999</v>
      </c>
      <c r="N106">
        <v>15093.482040000001</v>
      </c>
      <c r="O106">
        <v>759599.38029999996</v>
      </c>
      <c r="P106">
        <v>69969.149890000001</v>
      </c>
      <c r="Q106">
        <v>93715.637969999996</v>
      </c>
      <c r="R106">
        <v>51880.48403</v>
      </c>
    </row>
    <row r="107" spans="1:18" x14ac:dyDescent="0.2">
      <c r="A107">
        <v>109</v>
      </c>
      <c r="B107" t="s">
        <v>248</v>
      </c>
      <c r="C107" t="s">
        <v>249</v>
      </c>
      <c r="D107">
        <v>559446.59369999997</v>
      </c>
      <c r="E107">
        <v>183506.3235</v>
      </c>
      <c r="F107">
        <v>397653.60009999998</v>
      </c>
      <c r="G107">
        <v>531084.13840000005</v>
      </c>
      <c r="H107">
        <v>75510.586720000007</v>
      </c>
      <c r="I107">
        <v>57535.01513</v>
      </c>
      <c r="J107">
        <v>2637.429678</v>
      </c>
      <c r="K107">
        <v>168571.8186</v>
      </c>
      <c r="L107">
        <v>180039.5759</v>
      </c>
      <c r="M107">
        <v>463251.212</v>
      </c>
      <c r="N107">
        <v>6777.0129109999998</v>
      </c>
      <c r="O107">
        <v>96599.806060000003</v>
      </c>
      <c r="P107">
        <v>26318.781630000001</v>
      </c>
      <c r="Q107">
        <v>32883.475160000002</v>
      </c>
      <c r="R107">
        <v>91468.419550000006</v>
      </c>
    </row>
    <row r="108" spans="1:18" x14ac:dyDescent="0.2">
      <c r="A108">
        <v>79</v>
      </c>
      <c r="B108" t="s">
        <v>189</v>
      </c>
      <c r="C108" t="s">
        <v>190</v>
      </c>
      <c r="D108">
        <v>231638.226</v>
      </c>
      <c r="E108">
        <v>83841.992060000004</v>
      </c>
      <c r="F108">
        <v>1439535.253</v>
      </c>
      <c r="G108">
        <v>590520.49340000004</v>
      </c>
      <c r="H108">
        <v>56091.545469999997</v>
      </c>
      <c r="I108">
        <v>22760.027910000001</v>
      </c>
      <c r="J108">
        <v>3381.1323179999999</v>
      </c>
      <c r="K108">
        <v>302050.99219999998</v>
      </c>
      <c r="L108">
        <v>37585.617810000003</v>
      </c>
      <c r="M108">
        <v>264818.54269999999</v>
      </c>
      <c r="N108">
        <v>23103.201990000001</v>
      </c>
      <c r="O108">
        <v>339943.86420000001</v>
      </c>
      <c r="P108">
        <v>129480.1681</v>
      </c>
      <c r="Q108">
        <v>154165.39559999999</v>
      </c>
      <c r="R108">
        <v>999666.86399999994</v>
      </c>
    </row>
    <row r="109" spans="1:18" x14ac:dyDescent="0.2">
      <c r="A109">
        <v>28</v>
      </c>
      <c r="B109" t="s">
        <v>90</v>
      </c>
      <c r="C109" t="s">
        <v>91</v>
      </c>
      <c r="D109">
        <v>135564.10810000001</v>
      </c>
      <c r="E109">
        <v>248845.10709999999</v>
      </c>
      <c r="F109">
        <v>503185.21750000003</v>
      </c>
      <c r="G109">
        <v>250326.11120000001</v>
      </c>
      <c r="H109">
        <v>134026.3806</v>
      </c>
      <c r="I109">
        <v>64006.519950000002</v>
      </c>
      <c r="J109">
        <v>10846.211810000001</v>
      </c>
      <c r="K109">
        <v>64499.658360000001</v>
      </c>
      <c r="L109">
        <v>31674.608530000001</v>
      </c>
      <c r="M109">
        <v>131983.37270000001</v>
      </c>
      <c r="N109">
        <v>4999.2714690000003</v>
      </c>
      <c r="O109">
        <v>1256751.416</v>
      </c>
      <c r="P109">
        <v>97314.637690000003</v>
      </c>
      <c r="Q109">
        <v>25314.43419</v>
      </c>
      <c r="R109">
        <v>66057.15453</v>
      </c>
    </row>
    <row r="110" spans="1:18" x14ac:dyDescent="0.2">
      <c r="A110">
        <v>21</v>
      </c>
      <c r="B110" t="s">
        <v>77</v>
      </c>
      <c r="C110" t="s">
        <v>78</v>
      </c>
      <c r="D110">
        <v>200892.26</v>
      </c>
      <c r="E110">
        <v>189535.9933</v>
      </c>
      <c r="F110">
        <v>301779.87040000001</v>
      </c>
      <c r="G110">
        <v>189402.1502</v>
      </c>
      <c r="H110">
        <v>236199.34599999999</v>
      </c>
      <c r="I110">
        <v>46112.972659999999</v>
      </c>
      <c r="J110">
        <v>6165.998724</v>
      </c>
      <c r="K110">
        <v>32454.85266</v>
      </c>
      <c r="L110">
        <v>37089.440649999997</v>
      </c>
      <c r="M110">
        <v>118745.24980000001</v>
      </c>
      <c r="N110">
        <v>2117.4362099999998</v>
      </c>
      <c r="O110">
        <v>908155.23230000003</v>
      </c>
      <c r="P110">
        <v>57207.46675</v>
      </c>
      <c r="Q110">
        <v>2097.3646950000002</v>
      </c>
      <c r="R110">
        <v>77292.356620000006</v>
      </c>
    </row>
    <row r="111" spans="1:18" x14ac:dyDescent="0.2">
      <c r="A111">
        <v>192</v>
      </c>
      <c r="B111" t="s">
        <v>407</v>
      </c>
      <c r="C111" t="s">
        <v>408</v>
      </c>
      <c r="D111">
        <v>53387.422980000003</v>
      </c>
      <c r="E111">
        <v>150102.20019999999</v>
      </c>
      <c r="F111">
        <v>210961.2322</v>
      </c>
      <c r="G111">
        <v>126044.1281</v>
      </c>
      <c r="H111">
        <v>246872.2789</v>
      </c>
      <c r="I111">
        <v>28264.263800000001</v>
      </c>
      <c r="J111">
        <v>3762.8584890000002</v>
      </c>
      <c r="K111">
        <v>21390.484079999998</v>
      </c>
      <c r="L111">
        <v>33811.697</v>
      </c>
      <c r="M111">
        <v>134535.43239999999</v>
      </c>
      <c r="N111">
        <v>3219.6964659999999</v>
      </c>
      <c r="O111">
        <v>1110704.236</v>
      </c>
      <c r="P111">
        <v>47071.736389999998</v>
      </c>
      <c r="Q111">
        <v>4236.3660220000002</v>
      </c>
      <c r="R111">
        <v>48482.01165</v>
      </c>
    </row>
    <row r="112" spans="1:18" x14ac:dyDescent="0.2">
      <c r="A112">
        <v>166</v>
      </c>
      <c r="B112" t="s">
        <v>357</v>
      </c>
      <c r="C112" t="s">
        <v>358</v>
      </c>
      <c r="D112">
        <v>59538.945010000003</v>
      </c>
      <c r="E112">
        <v>216422.32709999999</v>
      </c>
      <c r="F112">
        <v>213026.93549999999</v>
      </c>
      <c r="G112">
        <v>75640.76874</v>
      </c>
      <c r="H112">
        <v>93382.402770000001</v>
      </c>
      <c r="I112">
        <v>22546.182379999998</v>
      </c>
      <c r="J112">
        <v>3618.3672110000002</v>
      </c>
      <c r="K112">
        <v>69161.474289999998</v>
      </c>
      <c r="L112">
        <v>32576.87343</v>
      </c>
      <c r="M112">
        <v>282998.272</v>
      </c>
      <c r="N112">
        <v>3640.0545390000002</v>
      </c>
      <c r="O112">
        <v>88723.948399999994</v>
      </c>
      <c r="P112">
        <v>101149.6211</v>
      </c>
      <c r="Q112">
        <v>152183.58170000001</v>
      </c>
      <c r="R112">
        <v>78569.594029999993</v>
      </c>
    </row>
    <row r="113" spans="1:18" x14ac:dyDescent="0.2">
      <c r="A113">
        <v>63</v>
      </c>
      <c r="B113" t="s">
        <v>157</v>
      </c>
      <c r="C113" t="s">
        <v>158</v>
      </c>
      <c r="D113">
        <v>35623.446470000003</v>
      </c>
      <c r="E113">
        <v>62608.291169999997</v>
      </c>
      <c r="F113">
        <v>112731.68730000001</v>
      </c>
      <c r="G113">
        <v>82149.246939999997</v>
      </c>
      <c r="H113">
        <v>42808.262439999999</v>
      </c>
      <c r="I113">
        <v>30704.260859999999</v>
      </c>
      <c r="J113">
        <v>4606.5542400000004</v>
      </c>
      <c r="K113">
        <v>10657.94254</v>
      </c>
      <c r="L113">
        <v>17805.821250000001</v>
      </c>
      <c r="M113">
        <v>51107.249819999997</v>
      </c>
      <c r="N113">
        <v>1885.8512330000001</v>
      </c>
      <c r="O113">
        <v>284041.48109999998</v>
      </c>
      <c r="P113">
        <v>71507.21544</v>
      </c>
      <c r="Q113">
        <v>7830.3929200000002</v>
      </c>
      <c r="R113">
        <v>20754.660810000001</v>
      </c>
    </row>
    <row r="114" spans="1:18" x14ac:dyDescent="0.2">
      <c r="A114">
        <v>24</v>
      </c>
      <c r="B114" t="s">
        <v>83</v>
      </c>
      <c r="C114" t="s">
        <v>84</v>
      </c>
      <c r="D114">
        <v>281310.70110000001</v>
      </c>
      <c r="E114">
        <v>912588.64080000005</v>
      </c>
      <c r="F114">
        <v>247144.06349999999</v>
      </c>
      <c r="G114">
        <v>141032.33780000001</v>
      </c>
      <c r="H114">
        <v>9404.5635010000005</v>
      </c>
      <c r="I114">
        <v>49958.866099999999</v>
      </c>
      <c r="J114">
        <v>1638.7600640000001</v>
      </c>
      <c r="K114">
        <v>11940.33409</v>
      </c>
      <c r="L114">
        <v>48993.286220000002</v>
      </c>
      <c r="M114">
        <v>80478.903990000006</v>
      </c>
      <c r="N114">
        <v>1532.3894789999999</v>
      </c>
      <c r="O114">
        <v>165037.41450000001</v>
      </c>
      <c r="P114">
        <v>42892.996700000003</v>
      </c>
      <c r="Q114">
        <v>8147.8482739999999</v>
      </c>
      <c r="R114">
        <v>199870.5074</v>
      </c>
    </row>
    <row r="115" spans="1:18" x14ac:dyDescent="0.2">
      <c r="A115">
        <v>125</v>
      </c>
      <c r="B115" t="s">
        <v>278</v>
      </c>
      <c r="C115" t="s">
        <v>279</v>
      </c>
      <c r="D115">
        <v>17405.364519999999</v>
      </c>
      <c r="E115">
        <v>206912.0007</v>
      </c>
      <c r="F115">
        <v>671033.2622</v>
      </c>
      <c r="G115">
        <v>81628.872310000006</v>
      </c>
      <c r="H115">
        <v>126660.7225</v>
      </c>
      <c r="I115">
        <v>27224.652839999999</v>
      </c>
      <c r="J115">
        <v>3317.4186890000001</v>
      </c>
      <c r="K115">
        <v>9749.9362189999993</v>
      </c>
      <c r="L115">
        <v>11836.119989999999</v>
      </c>
      <c r="M115">
        <v>15407.44974</v>
      </c>
      <c r="N115">
        <v>2816.7086439999998</v>
      </c>
      <c r="O115">
        <v>444241.33990000002</v>
      </c>
      <c r="P115">
        <v>90349.613159999994</v>
      </c>
      <c r="Q115">
        <v>217333.08410000001</v>
      </c>
      <c r="R115">
        <v>162938.3996</v>
      </c>
    </row>
    <row r="116" spans="1:18" x14ac:dyDescent="0.2">
      <c r="A116">
        <v>30</v>
      </c>
      <c r="B116" t="s">
        <v>94</v>
      </c>
      <c r="C116" t="s">
        <v>95</v>
      </c>
      <c r="D116">
        <v>138394.0545</v>
      </c>
      <c r="E116">
        <v>75043.568549999996</v>
      </c>
      <c r="F116">
        <v>1348749.7949999999</v>
      </c>
      <c r="G116">
        <v>125936.0174</v>
      </c>
      <c r="H116">
        <v>112832.99890000001</v>
      </c>
      <c r="I116">
        <v>41088.393709999997</v>
      </c>
      <c r="J116">
        <v>4414.6658660000003</v>
      </c>
      <c r="K116">
        <v>26100.108749999999</v>
      </c>
      <c r="L116">
        <v>28756.269189999999</v>
      </c>
      <c r="M116">
        <v>78652.982980000001</v>
      </c>
      <c r="N116">
        <v>2462.8921460000001</v>
      </c>
      <c r="O116">
        <v>493241.49180000002</v>
      </c>
      <c r="P116">
        <v>35007.273739999997</v>
      </c>
      <c r="Q116">
        <v>20354.07764</v>
      </c>
      <c r="R116">
        <v>3130002.054</v>
      </c>
    </row>
    <row r="117" spans="1:18" x14ac:dyDescent="0.2">
      <c r="A117">
        <v>143</v>
      </c>
      <c r="B117" t="s">
        <v>313</v>
      </c>
      <c r="C117" t="s">
        <v>314</v>
      </c>
      <c r="D117">
        <v>125392.25410000001</v>
      </c>
      <c r="E117">
        <v>89629.994579999999</v>
      </c>
      <c r="F117">
        <v>698633.36199999996</v>
      </c>
      <c r="G117">
        <v>61903.407529999997</v>
      </c>
      <c r="H117">
        <v>43099.715380000001</v>
      </c>
      <c r="I117">
        <v>56135.860990000001</v>
      </c>
      <c r="J117">
        <v>89414.624460000006</v>
      </c>
      <c r="K117">
        <v>48923.447719999996</v>
      </c>
      <c r="L117">
        <v>66381.905549999996</v>
      </c>
      <c r="M117">
        <v>79698.001749999996</v>
      </c>
      <c r="N117">
        <v>2608.3155299999999</v>
      </c>
      <c r="O117">
        <v>336247.32770000002</v>
      </c>
      <c r="P117">
        <v>108224.389</v>
      </c>
      <c r="Q117">
        <v>83673.309519999995</v>
      </c>
      <c r="R117">
        <v>299150.56670000002</v>
      </c>
    </row>
    <row r="118" spans="1:18" x14ac:dyDescent="0.2">
      <c r="A118">
        <v>193</v>
      </c>
      <c r="B118" t="s">
        <v>409</v>
      </c>
      <c r="C118" t="s">
        <v>410</v>
      </c>
      <c r="D118">
        <v>253736.04860000001</v>
      </c>
      <c r="E118">
        <v>112472.23050000001</v>
      </c>
      <c r="F118">
        <v>1964657.4269999999</v>
      </c>
      <c r="G118">
        <v>1613606.5660000001</v>
      </c>
      <c r="H118">
        <v>31360.44168</v>
      </c>
      <c r="I118">
        <v>9989.9247510000005</v>
      </c>
      <c r="J118">
        <v>20908.634239999999</v>
      </c>
      <c r="K118">
        <v>70415.33855</v>
      </c>
      <c r="L118">
        <v>39670.694259999997</v>
      </c>
      <c r="M118">
        <v>150936.55960000001</v>
      </c>
      <c r="N118">
        <v>35220.138570000003</v>
      </c>
      <c r="O118">
        <v>2059074.3370000001</v>
      </c>
      <c r="P118">
        <v>105995.0742</v>
      </c>
      <c r="Q118">
        <v>112280.9184</v>
      </c>
      <c r="R118">
        <v>2726358.9309999999</v>
      </c>
    </row>
    <row r="119" spans="1:18" x14ac:dyDescent="0.2">
      <c r="A119">
        <v>212</v>
      </c>
      <c r="B119" t="s">
        <v>445</v>
      </c>
      <c r="C119" t="s">
        <v>446</v>
      </c>
      <c r="D119">
        <v>108822.4917</v>
      </c>
      <c r="E119">
        <v>253804.7996</v>
      </c>
      <c r="F119">
        <v>1067545.2720000001</v>
      </c>
      <c r="G119">
        <v>189591.28460000001</v>
      </c>
      <c r="H119">
        <v>238445.49729999999</v>
      </c>
      <c r="I119">
        <v>210168.75169999999</v>
      </c>
      <c r="J119">
        <v>4962.5189959999998</v>
      </c>
      <c r="K119">
        <v>140013.84299999999</v>
      </c>
      <c r="L119">
        <v>72108.107910000006</v>
      </c>
      <c r="M119">
        <v>124747.5258</v>
      </c>
      <c r="N119">
        <v>2992.3954189999999</v>
      </c>
      <c r="O119">
        <v>720718.85800000001</v>
      </c>
      <c r="P119">
        <v>21237.666249999998</v>
      </c>
      <c r="Q119">
        <v>7286.790739</v>
      </c>
      <c r="R119">
        <v>159976.0894</v>
      </c>
    </row>
    <row r="120" spans="1:18" x14ac:dyDescent="0.2">
      <c r="A120">
        <v>147</v>
      </c>
      <c r="B120" t="s">
        <v>320</v>
      </c>
      <c r="C120" t="s">
        <v>321</v>
      </c>
      <c r="D120">
        <v>167641.79310000001</v>
      </c>
      <c r="E120">
        <v>171982.51610000001</v>
      </c>
      <c r="F120">
        <v>949222.73499999999</v>
      </c>
      <c r="G120">
        <v>34701.062830000003</v>
      </c>
      <c r="H120">
        <v>247479.35819999999</v>
      </c>
      <c r="I120">
        <v>83636.557390000002</v>
      </c>
      <c r="J120">
        <v>2829.780452</v>
      </c>
      <c r="K120">
        <v>16152.1448</v>
      </c>
      <c r="L120">
        <v>49980.177000000003</v>
      </c>
      <c r="M120">
        <v>49070.646000000001</v>
      </c>
      <c r="N120">
        <v>3249.6866580000001</v>
      </c>
      <c r="O120">
        <v>126399.4221</v>
      </c>
      <c r="P120">
        <v>197337.4425</v>
      </c>
      <c r="Q120">
        <v>76745.126669999998</v>
      </c>
      <c r="R120">
        <v>742406.83649999998</v>
      </c>
    </row>
    <row r="121" spans="1:18" x14ac:dyDescent="0.2">
      <c r="A121">
        <v>167</v>
      </c>
      <c r="B121" t="s">
        <v>359</v>
      </c>
      <c r="C121" t="s">
        <v>360</v>
      </c>
      <c r="D121">
        <v>225564.75409999999</v>
      </c>
      <c r="E121">
        <v>100876.6165</v>
      </c>
      <c r="F121">
        <v>716941.13119999995</v>
      </c>
      <c r="G121">
        <v>160847.83720000001</v>
      </c>
      <c r="H121">
        <v>442142.35560000001</v>
      </c>
      <c r="I121">
        <v>36165.514600000002</v>
      </c>
      <c r="J121">
        <v>6510.5765469999997</v>
      </c>
      <c r="K121">
        <v>72167.514899999995</v>
      </c>
      <c r="L121">
        <v>48809.98027</v>
      </c>
      <c r="M121">
        <v>198339.09090000001</v>
      </c>
      <c r="N121">
        <v>2593.5382180000001</v>
      </c>
      <c r="O121">
        <v>633251.82779999997</v>
      </c>
      <c r="P121">
        <v>119763.6189</v>
      </c>
      <c r="Q121">
        <v>18731.58382</v>
      </c>
      <c r="R121">
        <v>227950.70569999999</v>
      </c>
    </row>
    <row r="122" spans="1:18" x14ac:dyDescent="0.2">
      <c r="A122">
        <v>110</v>
      </c>
      <c r="B122" t="s">
        <v>250</v>
      </c>
      <c r="C122" t="s">
        <v>251</v>
      </c>
      <c r="D122">
        <v>43768.135620000001</v>
      </c>
      <c r="E122">
        <v>416007.25540000002</v>
      </c>
      <c r="F122">
        <v>235942.16020000001</v>
      </c>
      <c r="G122">
        <v>91737.204979999995</v>
      </c>
      <c r="H122">
        <v>346631.0295</v>
      </c>
      <c r="I122">
        <v>29969.2107</v>
      </c>
      <c r="J122">
        <v>3452.2679229999999</v>
      </c>
      <c r="K122">
        <v>81220.376799999998</v>
      </c>
      <c r="L122">
        <v>77125.468729999993</v>
      </c>
      <c r="M122">
        <v>231448.66200000001</v>
      </c>
      <c r="N122">
        <v>2799.2360650000001</v>
      </c>
      <c r="O122">
        <v>7006629.1030000001</v>
      </c>
      <c r="P122">
        <v>454761.98979999998</v>
      </c>
      <c r="Q122">
        <v>5307.3806850000001</v>
      </c>
      <c r="R122">
        <v>94491.30184</v>
      </c>
    </row>
    <row r="123" spans="1:18" x14ac:dyDescent="0.2">
      <c r="A123">
        <v>6</v>
      </c>
      <c r="B123" t="s">
        <v>48</v>
      </c>
      <c r="C123" t="s">
        <v>49</v>
      </c>
      <c r="D123">
        <v>606981.68550000002</v>
      </c>
      <c r="E123">
        <v>395984.46470000001</v>
      </c>
      <c r="F123">
        <v>1285766.8999999999</v>
      </c>
      <c r="G123">
        <v>698233.73160000006</v>
      </c>
      <c r="H123">
        <v>10073.60211</v>
      </c>
      <c r="I123">
        <v>36788.20321</v>
      </c>
      <c r="J123">
        <v>2573.1040849999999</v>
      </c>
      <c r="K123">
        <v>65642.288820000002</v>
      </c>
      <c r="L123">
        <v>711638.51020000002</v>
      </c>
      <c r="M123">
        <v>544735.57889999996</v>
      </c>
      <c r="N123">
        <v>2364.1104049999999</v>
      </c>
      <c r="O123">
        <v>502962.29330000002</v>
      </c>
      <c r="P123">
        <v>175360.34520000001</v>
      </c>
      <c r="Q123">
        <v>82223.745250000007</v>
      </c>
      <c r="R123">
        <v>2394236.5410000002</v>
      </c>
    </row>
    <row r="124" spans="1:18" x14ac:dyDescent="0.2">
      <c r="A124">
        <v>191</v>
      </c>
      <c r="B124" t="s">
        <v>405</v>
      </c>
      <c r="C124" t="s">
        <v>406</v>
      </c>
      <c r="D124">
        <v>42817.570010000003</v>
      </c>
      <c r="E124">
        <v>289316.92369999998</v>
      </c>
      <c r="F124">
        <v>345179.66110000003</v>
      </c>
      <c r="G124">
        <v>284611.78470000002</v>
      </c>
      <c r="H124">
        <v>145217.73509999999</v>
      </c>
      <c r="I124">
        <v>26486.256949999999</v>
      </c>
      <c r="J124">
        <v>3844.456756</v>
      </c>
      <c r="K124">
        <v>31014.279910000001</v>
      </c>
      <c r="L124">
        <v>34751.715429999997</v>
      </c>
      <c r="M124">
        <v>121299.5543</v>
      </c>
      <c r="N124">
        <v>2995.6845579999999</v>
      </c>
      <c r="O124">
        <v>1258011.32</v>
      </c>
      <c r="P124">
        <v>52867.847450000001</v>
      </c>
      <c r="Q124">
        <v>8953.1540910000003</v>
      </c>
      <c r="R124">
        <v>135946.7562</v>
      </c>
    </row>
    <row r="125" spans="1:18" x14ac:dyDescent="0.2">
      <c r="A125">
        <v>165</v>
      </c>
      <c r="B125" t="s">
        <v>355</v>
      </c>
      <c r="C125" t="s">
        <v>356</v>
      </c>
      <c r="D125">
        <v>118592.2208</v>
      </c>
      <c r="E125">
        <v>594741.97320000001</v>
      </c>
      <c r="F125">
        <v>510906.41769999999</v>
      </c>
      <c r="G125">
        <v>170923.50270000001</v>
      </c>
      <c r="H125">
        <v>51151.527540000003</v>
      </c>
      <c r="I125">
        <v>26142.844400000002</v>
      </c>
      <c r="J125">
        <v>2136.062989</v>
      </c>
      <c r="K125">
        <v>103684.447</v>
      </c>
      <c r="L125">
        <v>42305.535819999997</v>
      </c>
      <c r="M125">
        <v>422391.3162</v>
      </c>
      <c r="N125">
        <v>3063.8718359999998</v>
      </c>
      <c r="O125">
        <v>73767.387919999994</v>
      </c>
      <c r="P125">
        <v>79813.432180000003</v>
      </c>
      <c r="Q125">
        <v>70503.955489999993</v>
      </c>
      <c r="R125">
        <v>373939.95280000003</v>
      </c>
    </row>
    <row r="126" spans="1:18" x14ac:dyDescent="0.2">
      <c r="A126">
        <v>17</v>
      </c>
      <c r="B126" t="s">
        <v>69</v>
      </c>
      <c r="C126" t="s">
        <v>70</v>
      </c>
      <c r="D126">
        <v>191103.48120000001</v>
      </c>
      <c r="E126">
        <v>411178.1948</v>
      </c>
      <c r="F126">
        <v>294419.92660000001</v>
      </c>
      <c r="G126">
        <v>180197.25769999999</v>
      </c>
      <c r="H126">
        <v>112583.11380000001</v>
      </c>
      <c r="I126">
        <v>18102.980510000001</v>
      </c>
      <c r="J126">
        <v>8110.7345130000003</v>
      </c>
      <c r="K126">
        <v>24115.734390000001</v>
      </c>
      <c r="L126">
        <v>21200.512890000002</v>
      </c>
      <c r="M126">
        <v>84786.583469999998</v>
      </c>
      <c r="N126">
        <v>2178.1685790000001</v>
      </c>
      <c r="O126">
        <v>796489.6176</v>
      </c>
      <c r="P126">
        <v>70860.738710000005</v>
      </c>
      <c r="Q126">
        <v>14163.978510000001</v>
      </c>
      <c r="R126">
        <v>81089.106390000001</v>
      </c>
    </row>
    <row r="127" spans="1:18" x14ac:dyDescent="0.2">
      <c r="A127">
        <v>78</v>
      </c>
      <c r="B127" t="s">
        <v>187</v>
      </c>
      <c r="C127" t="s">
        <v>188</v>
      </c>
      <c r="D127">
        <v>276240.46370000002</v>
      </c>
      <c r="E127">
        <v>41804.30762</v>
      </c>
      <c r="F127">
        <v>1715921.39</v>
      </c>
      <c r="G127">
        <v>1023845.682</v>
      </c>
      <c r="H127">
        <v>42899.279390000003</v>
      </c>
      <c r="I127">
        <v>39106.186780000004</v>
      </c>
      <c r="J127">
        <v>5950.1493289999999</v>
      </c>
      <c r="K127">
        <v>74004.769020000007</v>
      </c>
      <c r="L127">
        <v>53390.93303</v>
      </c>
      <c r="M127">
        <v>68015.207380000007</v>
      </c>
      <c r="N127">
        <v>3548.092756</v>
      </c>
      <c r="O127">
        <v>329934.40000000002</v>
      </c>
      <c r="P127">
        <v>118832.5818</v>
      </c>
      <c r="Q127">
        <v>266121.17109999998</v>
      </c>
      <c r="R127">
        <v>2168822.4890000001</v>
      </c>
    </row>
    <row r="128" spans="1:18" x14ac:dyDescent="0.2">
      <c r="A128">
        <v>151</v>
      </c>
      <c r="B128" t="s">
        <v>328</v>
      </c>
      <c r="C128" t="s">
        <v>329</v>
      </c>
      <c r="D128">
        <v>1151068.3959999999</v>
      </c>
      <c r="E128">
        <v>66108.020250000001</v>
      </c>
      <c r="F128">
        <v>383233.64549999998</v>
      </c>
      <c r="G128">
        <v>836942.68420000002</v>
      </c>
      <c r="H128">
        <v>358258.0673</v>
      </c>
      <c r="I128">
        <v>66049.172040000005</v>
      </c>
      <c r="J128">
        <v>5294.3746359999996</v>
      </c>
      <c r="K128">
        <v>29509.644489999999</v>
      </c>
      <c r="L128">
        <v>168143.4246</v>
      </c>
      <c r="M128">
        <v>106876.53569999999</v>
      </c>
      <c r="N128">
        <v>2669.712661</v>
      </c>
      <c r="O128">
        <v>317872.9449</v>
      </c>
      <c r="P128">
        <v>589513.37139999995</v>
      </c>
      <c r="Q128">
        <v>471195.3039</v>
      </c>
      <c r="R128">
        <v>265220.88439999998</v>
      </c>
    </row>
    <row r="129" spans="1:18" x14ac:dyDescent="0.2">
      <c r="A129">
        <v>36</v>
      </c>
      <c r="B129" t="s">
        <v>106</v>
      </c>
      <c r="C129" t="s">
        <v>107</v>
      </c>
      <c r="D129">
        <v>211981.56899999999</v>
      </c>
      <c r="E129">
        <v>6329548.8420000002</v>
      </c>
      <c r="F129">
        <v>198882.41519999999</v>
      </c>
      <c r="G129">
        <v>256328.04089999999</v>
      </c>
      <c r="H129">
        <v>165044.34779999999</v>
      </c>
      <c r="I129">
        <v>20365.771909999999</v>
      </c>
      <c r="J129">
        <v>7183.3351119999998</v>
      </c>
      <c r="K129">
        <v>35069.378290000001</v>
      </c>
      <c r="L129">
        <v>39979.147720000001</v>
      </c>
      <c r="M129">
        <v>124901.45480000001</v>
      </c>
      <c r="N129">
        <v>4171.2025009999998</v>
      </c>
      <c r="O129">
        <v>884447.09199999995</v>
      </c>
      <c r="P129">
        <v>50695.456270000002</v>
      </c>
      <c r="Q129">
        <v>11212.35996</v>
      </c>
      <c r="R129">
        <v>98478.107250000001</v>
      </c>
    </row>
    <row r="130" spans="1:18" x14ac:dyDescent="0.2">
      <c r="A130">
        <v>56</v>
      </c>
      <c r="B130" t="s">
        <v>144</v>
      </c>
      <c r="C130" t="s">
        <v>145</v>
      </c>
      <c r="D130">
        <v>430905.83679999999</v>
      </c>
      <c r="E130">
        <v>65493.35241</v>
      </c>
      <c r="F130">
        <v>297798.0417</v>
      </c>
      <c r="G130">
        <v>355858.25660000002</v>
      </c>
      <c r="H130">
        <v>122716.98330000001</v>
      </c>
      <c r="I130">
        <v>49804.299480000001</v>
      </c>
      <c r="J130">
        <v>177594.99040000001</v>
      </c>
      <c r="K130">
        <v>396517.63949999999</v>
      </c>
      <c r="L130">
        <v>118947.9648</v>
      </c>
      <c r="M130">
        <v>615301.33400000003</v>
      </c>
      <c r="N130">
        <v>1812.722792</v>
      </c>
      <c r="O130">
        <v>107134.6596</v>
      </c>
      <c r="P130">
        <v>191473.63589999999</v>
      </c>
      <c r="Q130">
        <v>83356.860820000002</v>
      </c>
      <c r="R130">
        <v>2081797.683</v>
      </c>
    </row>
    <row r="131" spans="1:18" x14ac:dyDescent="0.2">
      <c r="A131">
        <v>204</v>
      </c>
      <c r="B131" t="s">
        <v>430</v>
      </c>
      <c r="C131" t="s">
        <v>431</v>
      </c>
      <c r="D131">
        <v>98573.356539999993</v>
      </c>
      <c r="E131">
        <v>1131254.375</v>
      </c>
      <c r="F131">
        <v>1223079.4210000001</v>
      </c>
      <c r="G131">
        <v>195906.1611</v>
      </c>
      <c r="H131">
        <v>50294.880969999998</v>
      </c>
      <c r="I131">
        <v>106380.3253</v>
      </c>
      <c r="J131">
        <v>2215.7926219999999</v>
      </c>
      <c r="K131">
        <v>137206.30739999999</v>
      </c>
      <c r="L131">
        <v>213769.24410000001</v>
      </c>
      <c r="M131">
        <v>369544.31219999999</v>
      </c>
      <c r="N131">
        <v>5260.0982649999996</v>
      </c>
      <c r="O131">
        <v>1264484.811</v>
      </c>
      <c r="P131">
        <v>21002.00001</v>
      </c>
      <c r="Q131">
        <v>11398.30947</v>
      </c>
      <c r="R131">
        <v>85290.628320000003</v>
      </c>
    </row>
    <row r="132" spans="1:18" x14ac:dyDescent="0.2">
      <c r="A132">
        <v>62</v>
      </c>
      <c r="B132" t="s">
        <v>155</v>
      </c>
      <c r="C132" t="s">
        <v>156</v>
      </c>
      <c r="D132">
        <v>81956.888749999998</v>
      </c>
      <c r="E132">
        <v>19148.73172</v>
      </c>
      <c r="F132">
        <v>618790.76100000006</v>
      </c>
      <c r="G132">
        <v>122605.4611</v>
      </c>
      <c r="H132">
        <v>43120.176059999998</v>
      </c>
      <c r="I132">
        <v>8403.0514500000008</v>
      </c>
      <c r="J132">
        <v>6711.818628</v>
      </c>
      <c r="K132">
        <v>4858.7326540000004</v>
      </c>
      <c r="L132">
        <v>8291.8489449999997</v>
      </c>
      <c r="M132">
        <v>10240.36534</v>
      </c>
      <c r="N132">
        <v>1735.976261</v>
      </c>
      <c r="O132">
        <v>67453.085070000001</v>
      </c>
      <c r="P132">
        <v>33270.708310000002</v>
      </c>
      <c r="Q132">
        <v>8062.7749329999997</v>
      </c>
      <c r="R132">
        <v>140741.7457</v>
      </c>
    </row>
    <row r="133" spans="1:18" x14ac:dyDescent="0.2">
      <c r="A133">
        <v>124</v>
      </c>
      <c r="B133" t="s">
        <v>276</v>
      </c>
      <c r="C133" t="s">
        <v>277</v>
      </c>
      <c r="D133">
        <v>39321.368540000003</v>
      </c>
      <c r="E133">
        <v>78234.744149999999</v>
      </c>
      <c r="F133">
        <v>432902.75799999997</v>
      </c>
      <c r="G133">
        <v>39162.943379999997</v>
      </c>
      <c r="H133">
        <v>113877.8446</v>
      </c>
      <c r="I133">
        <v>25813.435799999999</v>
      </c>
      <c r="J133">
        <v>6131.7764450000004</v>
      </c>
      <c r="K133">
        <v>30792.069149999999</v>
      </c>
      <c r="L133">
        <v>14402.2117</v>
      </c>
      <c r="M133">
        <v>43483.400430000002</v>
      </c>
      <c r="N133">
        <v>3865.2673060000002</v>
      </c>
      <c r="O133">
        <v>375468.2304</v>
      </c>
      <c r="P133">
        <v>60952.027370000003</v>
      </c>
      <c r="Q133">
        <v>25359.109100000001</v>
      </c>
      <c r="R133">
        <v>207871.16010000001</v>
      </c>
    </row>
    <row r="134" spans="1:18" x14ac:dyDescent="0.2">
      <c r="A134">
        <v>55</v>
      </c>
      <c r="B134" t="s">
        <v>142</v>
      </c>
      <c r="C134" t="s">
        <v>143</v>
      </c>
      <c r="D134">
        <v>99642.411380000005</v>
      </c>
      <c r="E134">
        <v>24152.938119999999</v>
      </c>
      <c r="F134">
        <v>264142.18030000001</v>
      </c>
      <c r="G134">
        <v>155637.87299999999</v>
      </c>
      <c r="H134">
        <v>57566.154869999998</v>
      </c>
      <c r="I134">
        <v>16423.420030000001</v>
      </c>
      <c r="J134">
        <v>8521.1058489999996</v>
      </c>
      <c r="K134">
        <v>58927.252489999999</v>
      </c>
      <c r="L134">
        <v>34120.68273</v>
      </c>
      <c r="M134">
        <v>96945.552819999997</v>
      </c>
      <c r="N134">
        <v>3620.8927699999999</v>
      </c>
      <c r="O134">
        <v>981407.38749999995</v>
      </c>
      <c r="P134">
        <v>47077.183409999998</v>
      </c>
      <c r="Q134">
        <v>10723.09899</v>
      </c>
      <c r="R134">
        <v>151670.201</v>
      </c>
    </row>
    <row r="135" spans="1:18" x14ac:dyDescent="0.2">
      <c r="A135">
        <v>29</v>
      </c>
      <c r="B135" t="s">
        <v>92</v>
      </c>
      <c r="C135" t="s">
        <v>93</v>
      </c>
      <c r="D135">
        <v>365241.6594</v>
      </c>
      <c r="E135">
        <v>125010.0111</v>
      </c>
      <c r="F135">
        <v>1140105.841</v>
      </c>
      <c r="G135">
        <v>259630.96230000001</v>
      </c>
      <c r="H135">
        <v>409643.92879999999</v>
      </c>
      <c r="I135">
        <v>28240.53024</v>
      </c>
      <c r="J135">
        <v>7796.0174310000002</v>
      </c>
      <c r="K135">
        <v>23876.00734</v>
      </c>
      <c r="L135">
        <v>39201.378120000001</v>
      </c>
      <c r="M135">
        <v>84152.557140000004</v>
      </c>
      <c r="N135">
        <v>2758.3711960000001</v>
      </c>
      <c r="O135">
        <v>382896.19530000002</v>
      </c>
      <c r="P135">
        <v>109993.1554</v>
      </c>
      <c r="Q135">
        <v>128952.3714</v>
      </c>
      <c r="R135">
        <v>830334.26740000001</v>
      </c>
    </row>
    <row r="136" spans="1:18" x14ac:dyDescent="0.2">
      <c r="A136">
        <v>148</v>
      </c>
      <c r="B136" t="s">
        <v>322</v>
      </c>
      <c r="C136" t="s">
        <v>323</v>
      </c>
      <c r="D136">
        <v>115490.39200000001</v>
      </c>
      <c r="E136">
        <v>144671.95800000001</v>
      </c>
      <c r="F136">
        <v>1801427.2649999999</v>
      </c>
      <c r="G136">
        <v>107824.307</v>
      </c>
      <c r="H136">
        <v>280041.74540000001</v>
      </c>
      <c r="I136">
        <v>19716.55126</v>
      </c>
      <c r="J136">
        <v>3234.0701009999998</v>
      </c>
      <c r="K136">
        <v>27976.601859999999</v>
      </c>
      <c r="L136">
        <v>121620.34420000001</v>
      </c>
      <c r="M136">
        <v>42184.583259999999</v>
      </c>
      <c r="N136">
        <v>204767.16940000001</v>
      </c>
      <c r="O136">
        <v>133048.92180000001</v>
      </c>
      <c r="P136">
        <v>45217.630899999996</v>
      </c>
      <c r="Q136">
        <v>78252.916219999999</v>
      </c>
      <c r="R136">
        <v>807421.68359999999</v>
      </c>
    </row>
    <row r="137" spans="1:18" x14ac:dyDescent="0.2">
      <c r="A137">
        <v>93</v>
      </c>
      <c r="B137" t="s">
        <v>217</v>
      </c>
      <c r="C137" t="s">
        <v>218</v>
      </c>
      <c r="D137">
        <v>52142.328780000003</v>
      </c>
      <c r="E137">
        <v>138891.10550000001</v>
      </c>
      <c r="F137">
        <v>783795.87639999995</v>
      </c>
      <c r="G137">
        <v>74022.24828</v>
      </c>
      <c r="H137">
        <v>63355.958749999998</v>
      </c>
      <c r="I137">
        <v>115987.4708</v>
      </c>
      <c r="J137">
        <v>2963.5625540000001</v>
      </c>
      <c r="K137">
        <v>19428.57229</v>
      </c>
      <c r="L137">
        <v>56229.513740000002</v>
      </c>
      <c r="M137">
        <v>73683.255040000004</v>
      </c>
      <c r="N137">
        <v>9790.845319</v>
      </c>
      <c r="O137">
        <v>78229.898809999999</v>
      </c>
      <c r="P137">
        <v>36497.527699999999</v>
      </c>
      <c r="Q137">
        <v>9674.5826849999994</v>
      </c>
      <c r="R137">
        <v>779599.3689</v>
      </c>
    </row>
    <row r="138" spans="1:18" x14ac:dyDescent="0.2">
      <c r="A138">
        <v>57</v>
      </c>
      <c r="B138" t="s">
        <v>146</v>
      </c>
      <c r="C138" t="s">
        <v>147</v>
      </c>
      <c r="D138">
        <v>176110.77660000001</v>
      </c>
      <c r="E138">
        <v>73971.884260000006</v>
      </c>
      <c r="F138">
        <v>2128983.9180000001</v>
      </c>
      <c r="G138">
        <v>247836.6452</v>
      </c>
      <c r="H138">
        <v>15381.673769999999</v>
      </c>
      <c r="I138">
        <v>11798.87335</v>
      </c>
      <c r="J138">
        <v>67222.094589999993</v>
      </c>
      <c r="K138">
        <v>27915.202959999999</v>
      </c>
      <c r="L138">
        <v>41788.003400000001</v>
      </c>
      <c r="M138">
        <v>94128.266820000004</v>
      </c>
      <c r="N138">
        <v>8895.1660370000009</v>
      </c>
      <c r="O138">
        <v>282061.89939999999</v>
      </c>
      <c r="P138">
        <v>55097.081469999997</v>
      </c>
      <c r="Q138">
        <v>71733.091820000001</v>
      </c>
      <c r="R138">
        <v>1271444.098</v>
      </c>
    </row>
    <row r="139" spans="1:18" x14ac:dyDescent="0.2">
      <c r="A139">
        <v>105</v>
      </c>
      <c r="B139" t="s">
        <v>240</v>
      </c>
      <c r="C139" t="s">
        <v>241</v>
      </c>
      <c r="D139">
        <v>41331.650529999999</v>
      </c>
      <c r="E139">
        <v>153617.88269999999</v>
      </c>
      <c r="F139">
        <v>412744.58669999999</v>
      </c>
      <c r="G139">
        <v>107381.4664</v>
      </c>
      <c r="H139">
        <v>264230.87609999999</v>
      </c>
      <c r="I139">
        <v>77226.608930000002</v>
      </c>
      <c r="J139">
        <v>4950.8895389999998</v>
      </c>
      <c r="K139">
        <v>71830.106029999995</v>
      </c>
      <c r="L139">
        <v>33186.466769999999</v>
      </c>
      <c r="M139">
        <v>188863.00529999999</v>
      </c>
      <c r="N139">
        <v>2402.9086710000001</v>
      </c>
      <c r="O139">
        <v>6968921.7659999998</v>
      </c>
      <c r="P139">
        <v>98761.117700000003</v>
      </c>
      <c r="Q139">
        <v>70391.478470000002</v>
      </c>
      <c r="R139">
        <v>118528.9967</v>
      </c>
    </row>
    <row r="140" spans="1:18" x14ac:dyDescent="0.2">
      <c r="A140">
        <v>203</v>
      </c>
      <c r="B140" t="s">
        <v>428</v>
      </c>
      <c r="C140" t="s">
        <v>429</v>
      </c>
      <c r="D140">
        <v>65674.750419999997</v>
      </c>
      <c r="E140">
        <v>421264.04969999997</v>
      </c>
      <c r="F140">
        <v>512138.255</v>
      </c>
      <c r="G140">
        <v>102018.9002</v>
      </c>
      <c r="H140">
        <v>102317.2473</v>
      </c>
      <c r="I140">
        <v>37543.736980000001</v>
      </c>
      <c r="J140">
        <v>2545.7276729999999</v>
      </c>
      <c r="K140">
        <v>66221.425220000005</v>
      </c>
      <c r="L140">
        <v>129129.7084</v>
      </c>
      <c r="M140">
        <v>195744.16</v>
      </c>
      <c r="N140">
        <v>2455.9504010000001</v>
      </c>
      <c r="O140">
        <v>1394936.692</v>
      </c>
      <c r="P140">
        <v>13709.900180000001</v>
      </c>
      <c r="Q140">
        <v>0</v>
      </c>
      <c r="R140">
        <v>336979.2316</v>
      </c>
    </row>
    <row r="141" spans="1:18" x14ac:dyDescent="0.2">
      <c r="A141">
        <v>15</v>
      </c>
      <c r="B141" t="s">
        <v>66</v>
      </c>
      <c r="C141" t="s">
        <v>67</v>
      </c>
      <c r="D141">
        <v>442640.02850000001</v>
      </c>
      <c r="E141">
        <v>203810.55600000001</v>
      </c>
      <c r="F141">
        <v>1274551.429</v>
      </c>
      <c r="G141">
        <v>217491.9149</v>
      </c>
      <c r="H141">
        <v>12168.884309999999</v>
      </c>
      <c r="I141">
        <v>3927.2685689999998</v>
      </c>
      <c r="J141">
        <v>14134.968779999999</v>
      </c>
      <c r="K141">
        <v>75064.183640000003</v>
      </c>
      <c r="L141">
        <v>58897.431530000002</v>
      </c>
      <c r="M141">
        <v>321749.24910000002</v>
      </c>
      <c r="N141">
        <v>26419.729380000001</v>
      </c>
      <c r="O141">
        <v>222690.41680000001</v>
      </c>
      <c r="P141">
        <v>150418.3529</v>
      </c>
      <c r="Q141">
        <v>214433.43969999999</v>
      </c>
      <c r="R141">
        <v>1217104.7509999999</v>
      </c>
    </row>
    <row r="142" spans="1:18" x14ac:dyDescent="0.2">
      <c r="A142">
        <v>23</v>
      </c>
      <c r="B142" t="s">
        <v>81</v>
      </c>
      <c r="C142" t="s">
        <v>82</v>
      </c>
      <c r="D142">
        <v>569210.8003</v>
      </c>
      <c r="E142">
        <v>316270.37890000001</v>
      </c>
      <c r="F142">
        <v>897344.90260000003</v>
      </c>
      <c r="G142">
        <v>372972.14649999997</v>
      </c>
      <c r="H142">
        <v>298675.8346</v>
      </c>
      <c r="I142">
        <v>80810.678700000004</v>
      </c>
      <c r="J142">
        <v>16948.251110000001</v>
      </c>
      <c r="K142">
        <v>10708.265520000001</v>
      </c>
      <c r="L142">
        <v>34379.138619999998</v>
      </c>
      <c r="M142">
        <v>50702.954709999998</v>
      </c>
      <c r="N142">
        <v>2817.010303</v>
      </c>
      <c r="O142">
        <v>210048.14129999999</v>
      </c>
      <c r="P142">
        <v>223571.61960000001</v>
      </c>
      <c r="Q142">
        <v>77293.336869999999</v>
      </c>
      <c r="R142">
        <v>485128.72840000002</v>
      </c>
    </row>
    <row r="143" spans="1:18" x14ac:dyDescent="0.2">
      <c r="A143">
        <v>41</v>
      </c>
      <c r="B143" t="s">
        <v>115</v>
      </c>
      <c r="C143" t="s">
        <v>116</v>
      </c>
      <c r="D143">
        <v>502046.43589999998</v>
      </c>
      <c r="E143">
        <v>188354.0569</v>
      </c>
      <c r="F143">
        <v>385048.4571</v>
      </c>
      <c r="G143">
        <v>364542.2721</v>
      </c>
      <c r="H143">
        <v>102376.4871</v>
      </c>
      <c r="I143">
        <v>22080.375499999998</v>
      </c>
      <c r="J143">
        <v>96174.552649999998</v>
      </c>
      <c r="K143">
        <v>24810.295470000001</v>
      </c>
      <c r="L143">
        <v>27705.08092</v>
      </c>
      <c r="M143">
        <v>66675.379879999993</v>
      </c>
      <c r="N143">
        <v>2609.227973</v>
      </c>
      <c r="O143">
        <v>545058.23179999995</v>
      </c>
      <c r="P143">
        <v>61331.607620000002</v>
      </c>
      <c r="Q143">
        <v>21407.166389999999</v>
      </c>
      <c r="R143">
        <v>230424.144</v>
      </c>
    </row>
    <row r="144" spans="1:18" x14ac:dyDescent="0.2">
      <c r="A144">
        <v>146</v>
      </c>
      <c r="B144" t="s">
        <v>318</v>
      </c>
      <c r="C144" t="s">
        <v>319</v>
      </c>
      <c r="D144">
        <v>326829.65139999997</v>
      </c>
      <c r="E144">
        <v>298750.07390000002</v>
      </c>
      <c r="F144">
        <v>335881.62180000002</v>
      </c>
      <c r="G144">
        <v>169336.97719999999</v>
      </c>
      <c r="H144">
        <v>153958.36679999999</v>
      </c>
      <c r="I144">
        <v>116004.4074</v>
      </c>
      <c r="J144">
        <v>91131.278430000006</v>
      </c>
      <c r="K144">
        <v>44779.202969999998</v>
      </c>
      <c r="L144">
        <v>78835.967919999996</v>
      </c>
      <c r="M144">
        <v>60665.088589999999</v>
      </c>
      <c r="N144">
        <v>3439.8133710000002</v>
      </c>
      <c r="O144">
        <v>645138.70990000002</v>
      </c>
      <c r="P144">
        <v>194180.64309999999</v>
      </c>
      <c r="Q144">
        <v>12471.972460000001</v>
      </c>
      <c r="R144">
        <v>101689.5812</v>
      </c>
    </row>
    <row r="145" spans="1:18" x14ac:dyDescent="0.2">
      <c r="A145">
        <v>102</v>
      </c>
      <c r="B145" t="s">
        <v>234</v>
      </c>
      <c r="C145" t="s">
        <v>235</v>
      </c>
      <c r="D145">
        <v>42482.615890000001</v>
      </c>
      <c r="E145">
        <v>72212.253620000003</v>
      </c>
      <c r="F145">
        <v>483928.73790000001</v>
      </c>
      <c r="G145">
        <v>111079.5392</v>
      </c>
      <c r="H145">
        <v>172814.2194</v>
      </c>
      <c r="I145">
        <v>85368.297919999997</v>
      </c>
      <c r="J145">
        <v>4312.1194660000001</v>
      </c>
      <c r="K145">
        <v>33911.311970000002</v>
      </c>
      <c r="L145">
        <v>76667.672850000003</v>
      </c>
      <c r="M145">
        <v>218401.4074</v>
      </c>
      <c r="N145">
        <v>8838.5027570000002</v>
      </c>
      <c r="O145">
        <v>484922.74239999999</v>
      </c>
      <c r="P145">
        <v>224435.88620000001</v>
      </c>
      <c r="Q145">
        <v>86307.953150000001</v>
      </c>
      <c r="R145">
        <v>134310.19080000001</v>
      </c>
    </row>
    <row r="146" spans="1:18" x14ac:dyDescent="0.2">
      <c r="A146">
        <v>150</v>
      </c>
      <c r="B146" t="s">
        <v>326</v>
      </c>
      <c r="C146" t="s">
        <v>327</v>
      </c>
      <c r="D146">
        <v>36160.993569999999</v>
      </c>
      <c r="E146">
        <v>251344.77989999999</v>
      </c>
      <c r="F146">
        <v>1069583.0560000001</v>
      </c>
      <c r="G146">
        <v>66808.458150000006</v>
      </c>
      <c r="H146">
        <v>250279.90969999999</v>
      </c>
      <c r="I146">
        <v>101253.4142</v>
      </c>
      <c r="J146">
        <v>4701.4435059999996</v>
      </c>
      <c r="K146">
        <v>16468.970539999998</v>
      </c>
      <c r="L146">
        <v>32461.305690000001</v>
      </c>
      <c r="M146">
        <v>48488.433969999998</v>
      </c>
      <c r="N146">
        <v>3202.7287369999999</v>
      </c>
      <c r="O146">
        <v>938109.25069999998</v>
      </c>
      <c r="P146">
        <v>16340.456039999999</v>
      </c>
      <c r="Q146">
        <v>7996.3921179999998</v>
      </c>
      <c r="R146">
        <v>125223.7699</v>
      </c>
    </row>
    <row r="147" spans="1:18" x14ac:dyDescent="0.2">
      <c r="A147">
        <v>68</v>
      </c>
      <c r="B147" t="s">
        <v>167</v>
      </c>
      <c r="C147" t="s">
        <v>168</v>
      </c>
      <c r="D147">
        <v>107973.3082</v>
      </c>
      <c r="E147">
        <v>88621.937479999993</v>
      </c>
      <c r="F147">
        <v>262058.46720000001</v>
      </c>
      <c r="G147">
        <v>133795.75140000001</v>
      </c>
      <c r="H147">
        <v>49536.680679999998</v>
      </c>
      <c r="I147">
        <v>116800.4182</v>
      </c>
      <c r="J147">
        <v>2601.9947619999998</v>
      </c>
      <c r="K147">
        <v>13265.479439999999</v>
      </c>
      <c r="L147">
        <v>31178.420989999999</v>
      </c>
      <c r="M147">
        <v>39330.573790000002</v>
      </c>
      <c r="N147">
        <v>2671.5006549999998</v>
      </c>
      <c r="O147">
        <v>601937.04909999995</v>
      </c>
      <c r="P147">
        <v>27300.441910000001</v>
      </c>
      <c r="Q147">
        <v>11010.87012</v>
      </c>
      <c r="R147">
        <v>76603.639339999994</v>
      </c>
    </row>
    <row r="148" spans="1:18" x14ac:dyDescent="0.2">
      <c r="A148">
        <v>76</v>
      </c>
      <c r="B148" t="s">
        <v>183</v>
      </c>
      <c r="C148" t="s">
        <v>184</v>
      </c>
      <c r="D148">
        <v>78851.534740000003</v>
      </c>
      <c r="E148">
        <v>1796969.8430000001</v>
      </c>
      <c r="F148">
        <v>348608.44040000002</v>
      </c>
      <c r="G148">
        <v>147192.503</v>
      </c>
      <c r="H148">
        <v>563651.47</v>
      </c>
      <c r="I148">
        <v>44028.97653</v>
      </c>
      <c r="J148">
        <v>6931.037601</v>
      </c>
      <c r="K148">
        <v>14571.178819999999</v>
      </c>
      <c r="L148">
        <v>76486.532349999994</v>
      </c>
      <c r="M148">
        <v>273964.04300000001</v>
      </c>
      <c r="N148">
        <v>4943.6589819999999</v>
      </c>
      <c r="O148">
        <v>1208885.57</v>
      </c>
      <c r="P148">
        <v>78325.219010000001</v>
      </c>
      <c r="Q148">
        <v>207877.0681</v>
      </c>
      <c r="R148">
        <v>82035.065990000003</v>
      </c>
    </row>
    <row r="149" spans="1:18" x14ac:dyDescent="0.2">
      <c r="A149">
        <v>80</v>
      </c>
      <c r="B149" t="s">
        <v>191</v>
      </c>
      <c r="C149" t="s">
        <v>192</v>
      </c>
      <c r="D149">
        <v>52679.139869999999</v>
      </c>
      <c r="E149">
        <v>542491.56709999999</v>
      </c>
      <c r="F149">
        <v>80566.927549999993</v>
      </c>
      <c r="G149">
        <v>104261.6234</v>
      </c>
      <c r="H149">
        <v>184364.9485</v>
      </c>
      <c r="I149">
        <v>31332.249759999999</v>
      </c>
      <c r="J149">
        <v>16613.00275</v>
      </c>
      <c r="K149">
        <v>44236.908219999998</v>
      </c>
      <c r="L149">
        <v>32605.371599999999</v>
      </c>
      <c r="M149">
        <v>45659.347900000001</v>
      </c>
      <c r="N149">
        <v>2364.5826050000001</v>
      </c>
      <c r="O149">
        <v>530723.55610000005</v>
      </c>
      <c r="P149">
        <v>108128.04489999999</v>
      </c>
      <c r="Q149">
        <v>9563.9508370000003</v>
      </c>
      <c r="R149">
        <v>18642.98432</v>
      </c>
    </row>
    <row r="150" spans="1:18" x14ac:dyDescent="0.2">
      <c r="A150">
        <v>4</v>
      </c>
      <c r="B150" t="s">
        <v>44</v>
      </c>
      <c r="C150" t="s">
        <v>45</v>
      </c>
      <c r="D150">
        <v>21884.856940000001</v>
      </c>
      <c r="E150">
        <v>274557.87329999998</v>
      </c>
      <c r="F150">
        <v>211854.46410000001</v>
      </c>
      <c r="G150">
        <v>35991.727959999997</v>
      </c>
      <c r="H150">
        <v>123501.32460000001</v>
      </c>
      <c r="I150">
        <v>49326.91635</v>
      </c>
      <c r="J150">
        <v>1937.155812</v>
      </c>
      <c r="K150">
        <v>19127.068599999999</v>
      </c>
      <c r="L150">
        <v>26350.221229999999</v>
      </c>
      <c r="M150">
        <v>30218.312569999998</v>
      </c>
      <c r="N150">
        <v>3333.053359</v>
      </c>
      <c r="O150">
        <v>823033.75529999996</v>
      </c>
      <c r="P150">
        <v>51297.511169999998</v>
      </c>
      <c r="Q150">
        <v>5664.3924749999996</v>
      </c>
      <c r="R150">
        <v>55840.785400000001</v>
      </c>
    </row>
    <row r="151" spans="1:18" x14ac:dyDescent="0.2">
      <c r="A151">
        <v>168</v>
      </c>
      <c r="B151" t="s">
        <v>361</v>
      </c>
      <c r="C151" t="s">
        <v>362</v>
      </c>
      <c r="D151">
        <v>44587.020929999999</v>
      </c>
      <c r="E151">
        <v>534823.92599999998</v>
      </c>
      <c r="F151">
        <v>492643.80859999999</v>
      </c>
      <c r="G151">
        <v>75772.934710000001</v>
      </c>
      <c r="H151">
        <v>36818.576059999999</v>
      </c>
      <c r="I151">
        <v>76042.048819999996</v>
      </c>
      <c r="J151">
        <v>5602.7762329999996</v>
      </c>
      <c r="K151">
        <v>30354.087070000001</v>
      </c>
      <c r="L151">
        <v>33574.928979999997</v>
      </c>
      <c r="M151">
        <v>138173.89230000001</v>
      </c>
      <c r="N151">
        <v>22277.704679999999</v>
      </c>
      <c r="O151">
        <v>757712.94070000004</v>
      </c>
      <c r="P151">
        <v>12795.353639999999</v>
      </c>
      <c r="Q151">
        <v>4357.1613209999996</v>
      </c>
      <c r="R151">
        <v>87924.700729999997</v>
      </c>
    </row>
    <row r="152" spans="1:18" x14ac:dyDescent="0.2">
      <c r="A152">
        <v>64</v>
      </c>
      <c r="B152" t="s">
        <v>159</v>
      </c>
      <c r="C152" t="s">
        <v>160</v>
      </c>
      <c r="D152">
        <v>169286.58840000001</v>
      </c>
      <c r="E152">
        <v>466462.76380000002</v>
      </c>
      <c r="F152">
        <v>995466.4534</v>
      </c>
      <c r="G152">
        <v>157357.02770000001</v>
      </c>
      <c r="H152">
        <v>240816.6416</v>
      </c>
      <c r="I152">
        <v>59011.526389999999</v>
      </c>
      <c r="J152">
        <v>3278.6466639999999</v>
      </c>
      <c r="K152">
        <v>23893.95909</v>
      </c>
      <c r="L152">
        <v>44128.164290000001</v>
      </c>
      <c r="M152">
        <v>52757.267419999996</v>
      </c>
      <c r="N152">
        <v>4820.1298470000002</v>
      </c>
      <c r="O152">
        <v>1077911.6370000001</v>
      </c>
      <c r="P152">
        <v>18698.615419999998</v>
      </c>
      <c r="Q152">
        <v>91192.102620000005</v>
      </c>
      <c r="R152">
        <v>269503.13909999997</v>
      </c>
    </row>
    <row r="153" spans="1:18" x14ac:dyDescent="0.2">
      <c r="A153">
        <v>77</v>
      </c>
      <c r="B153" t="s">
        <v>185</v>
      </c>
      <c r="C153" t="s">
        <v>186</v>
      </c>
      <c r="D153">
        <v>224659.58319999999</v>
      </c>
      <c r="E153">
        <v>133090.96299999999</v>
      </c>
      <c r="F153">
        <v>985620.14469999995</v>
      </c>
      <c r="G153">
        <v>136172.99650000001</v>
      </c>
      <c r="H153">
        <v>93455.620970000004</v>
      </c>
      <c r="I153">
        <v>62529.598250000003</v>
      </c>
      <c r="J153">
        <v>3455.3386919999998</v>
      </c>
      <c r="K153">
        <v>33980.584540000003</v>
      </c>
      <c r="L153">
        <v>36342.045149999998</v>
      </c>
      <c r="M153">
        <v>120784.69289999999</v>
      </c>
      <c r="N153">
        <v>12502.51369</v>
      </c>
      <c r="O153">
        <v>769037.46019999997</v>
      </c>
      <c r="P153">
        <v>14687.30775</v>
      </c>
      <c r="Q153">
        <v>8824.8976340000008</v>
      </c>
      <c r="R153">
        <v>177550.26949999999</v>
      </c>
    </row>
    <row r="154" spans="1:18" x14ac:dyDescent="0.2">
      <c r="A154">
        <v>25</v>
      </c>
      <c r="B154" t="s">
        <v>85</v>
      </c>
      <c r="C154" t="s">
        <v>86</v>
      </c>
      <c r="D154">
        <v>192872.97219999999</v>
      </c>
      <c r="E154">
        <v>331692.58240000001</v>
      </c>
      <c r="F154">
        <v>202903.12239999999</v>
      </c>
      <c r="G154">
        <v>164310.52549999999</v>
      </c>
      <c r="H154">
        <v>89283.432060000006</v>
      </c>
      <c r="I154">
        <v>51872.833319999998</v>
      </c>
      <c r="J154">
        <v>5664.6778109999996</v>
      </c>
      <c r="K154">
        <v>14264.963890000001</v>
      </c>
      <c r="L154">
        <v>21874.44109</v>
      </c>
      <c r="M154">
        <v>33456.406719999999</v>
      </c>
      <c r="N154">
        <v>3082.9201979999998</v>
      </c>
      <c r="O154">
        <v>2437547.8659999999</v>
      </c>
      <c r="P154">
        <v>59212.761010000002</v>
      </c>
      <c r="Q154">
        <v>12401.363799999999</v>
      </c>
      <c r="R154">
        <v>77463.044200000004</v>
      </c>
    </row>
    <row r="155" spans="1:18" x14ac:dyDescent="0.2">
      <c r="A155">
        <v>70</v>
      </c>
      <c r="B155" t="s">
        <v>171</v>
      </c>
      <c r="C155" t="s">
        <v>172</v>
      </c>
      <c r="D155">
        <v>147276.49600000001</v>
      </c>
      <c r="E155">
        <v>1084962.3589999999</v>
      </c>
      <c r="F155">
        <v>693361.03850000002</v>
      </c>
      <c r="G155">
        <v>523004.77490000002</v>
      </c>
      <c r="H155">
        <v>32739.746940000001</v>
      </c>
      <c r="I155">
        <v>34393.627139999997</v>
      </c>
      <c r="J155">
        <v>5671.6084419999997</v>
      </c>
      <c r="K155">
        <v>62969.886570000002</v>
      </c>
      <c r="L155">
        <v>76223.367670000007</v>
      </c>
      <c r="M155">
        <v>223716.33</v>
      </c>
      <c r="N155">
        <v>6029.9776350000002</v>
      </c>
      <c r="O155">
        <v>718163.15350000001</v>
      </c>
      <c r="P155">
        <v>29946.257239999999</v>
      </c>
      <c r="Q155">
        <v>23742.939399999999</v>
      </c>
      <c r="R155">
        <v>198781.15659999999</v>
      </c>
    </row>
    <row r="156" spans="1:18" x14ac:dyDescent="0.2">
      <c r="A156">
        <v>119</v>
      </c>
      <c r="B156" t="s">
        <v>267</v>
      </c>
      <c r="C156" t="s">
        <v>268</v>
      </c>
      <c r="D156">
        <v>66003.102419999996</v>
      </c>
      <c r="E156">
        <v>977666.11809999996</v>
      </c>
      <c r="F156">
        <v>324690.1041</v>
      </c>
      <c r="G156">
        <v>101602.2583</v>
      </c>
      <c r="H156">
        <v>11544.94966</v>
      </c>
      <c r="I156">
        <v>4906.3546740000002</v>
      </c>
      <c r="J156">
        <v>3733.2187720000002</v>
      </c>
      <c r="K156">
        <v>20367.61249</v>
      </c>
      <c r="L156">
        <v>23059.749919999998</v>
      </c>
      <c r="M156">
        <v>90139.479099999997</v>
      </c>
      <c r="N156">
        <v>3599.024332</v>
      </c>
      <c r="O156">
        <v>1191748.1310000001</v>
      </c>
      <c r="P156">
        <v>21250.31091</v>
      </c>
      <c r="Q156">
        <v>19638.0694</v>
      </c>
      <c r="R156">
        <v>99706.626069999998</v>
      </c>
    </row>
    <row r="157" spans="1:18" x14ac:dyDescent="0.2">
      <c r="A157">
        <v>33</v>
      </c>
      <c r="B157" t="s">
        <v>100</v>
      </c>
      <c r="C157" t="s">
        <v>101</v>
      </c>
      <c r="D157">
        <v>174417.1635</v>
      </c>
      <c r="E157">
        <v>194480.55420000001</v>
      </c>
      <c r="F157">
        <v>268746.82130000001</v>
      </c>
      <c r="G157">
        <v>224173.87729999999</v>
      </c>
      <c r="H157">
        <v>81544.846309999994</v>
      </c>
      <c r="I157">
        <v>61459.261460000002</v>
      </c>
      <c r="J157">
        <v>6415.4503089999998</v>
      </c>
      <c r="K157">
        <v>24256.791000000001</v>
      </c>
      <c r="L157">
        <v>22337.28225</v>
      </c>
      <c r="M157">
        <v>116789.7307</v>
      </c>
      <c r="N157">
        <v>3223.5140449999999</v>
      </c>
      <c r="O157">
        <v>1082064.946</v>
      </c>
      <c r="P157">
        <v>34510.025079999999</v>
      </c>
      <c r="Q157">
        <v>8632.4453549999998</v>
      </c>
      <c r="R157">
        <v>57948.488340000004</v>
      </c>
    </row>
    <row r="158" spans="1:18" x14ac:dyDescent="0.2">
      <c r="A158">
        <v>176</v>
      </c>
      <c r="B158" t="s">
        <v>377</v>
      </c>
      <c r="C158" t="s">
        <v>378</v>
      </c>
      <c r="D158">
        <v>35959.64688</v>
      </c>
      <c r="E158">
        <v>413116.35729999997</v>
      </c>
      <c r="F158">
        <v>1868170.7520000001</v>
      </c>
      <c r="G158">
        <v>96764.663060000006</v>
      </c>
      <c r="H158">
        <v>38125.861129999998</v>
      </c>
      <c r="I158">
        <v>40256.950490000003</v>
      </c>
      <c r="J158">
        <v>2684.4950739999999</v>
      </c>
      <c r="K158">
        <v>29517.141589999999</v>
      </c>
      <c r="L158">
        <v>41684.801500000001</v>
      </c>
      <c r="M158">
        <v>80495.995200000005</v>
      </c>
      <c r="N158">
        <v>32246.00431</v>
      </c>
      <c r="O158">
        <v>478227.18449999997</v>
      </c>
      <c r="P158">
        <v>9396.2933109999994</v>
      </c>
      <c r="Q158">
        <v>3800.6988860000001</v>
      </c>
      <c r="R158">
        <v>135106.10920000001</v>
      </c>
    </row>
    <row r="159" spans="1:18" x14ac:dyDescent="0.2">
      <c r="A159">
        <v>88</v>
      </c>
      <c r="B159" t="s">
        <v>207</v>
      </c>
      <c r="C159" t="s">
        <v>208</v>
      </c>
      <c r="D159">
        <v>45848.021119999998</v>
      </c>
      <c r="E159">
        <v>242346.57329999999</v>
      </c>
      <c r="F159">
        <v>490239.05859999999</v>
      </c>
      <c r="G159">
        <v>110179.9112</v>
      </c>
      <c r="H159">
        <v>453591.91090000002</v>
      </c>
      <c r="I159">
        <v>32864.544690000002</v>
      </c>
      <c r="J159">
        <v>4718.0720289999999</v>
      </c>
      <c r="K159">
        <v>27672.232319999999</v>
      </c>
      <c r="L159">
        <v>34467.762110000003</v>
      </c>
      <c r="M159">
        <v>131411.31469999999</v>
      </c>
      <c r="N159">
        <v>4258.4471400000002</v>
      </c>
      <c r="O159">
        <v>978597.66119999997</v>
      </c>
      <c r="P159">
        <v>14071.123009999999</v>
      </c>
      <c r="Q159">
        <v>89820.617150000005</v>
      </c>
      <c r="R159">
        <v>179176.83720000001</v>
      </c>
    </row>
    <row r="160" spans="1:18" x14ac:dyDescent="0.2">
      <c r="A160">
        <v>115</v>
      </c>
      <c r="B160" t="s">
        <v>259</v>
      </c>
      <c r="C160" t="s">
        <v>260</v>
      </c>
      <c r="D160">
        <v>29520.174749999998</v>
      </c>
      <c r="E160">
        <v>233174.99619999999</v>
      </c>
      <c r="F160">
        <v>521180.75339999999</v>
      </c>
      <c r="G160">
        <v>298650.13099999999</v>
      </c>
      <c r="H160">
        <v>114399.45510000001</v>
      </c>
      <c r="I160">
        <v>28443.938320000001</v>
      </c>
      <c r="J160">
        <v>4004.8402449999999</v>
      </c>
      <c r="K160">
        <v>57304.25488</v>
      </c>
      <c r="L160">
        <v>39298.485390000002</v>
      </c>
      <c r="M160">
        <v>116272.3407</v>
      </c>
      <c r="N160">
        <v>5440.5364730000001</v>
      </c>
      <c r="O160">
        <v>715752.46770000004</v>
      </c>
      <c r="P160">
        <v>26874.310700000002</v>
      </c>
      <c r="Q160">
        <v>10478.002699999999</v>
      </c>
      <c r="R160">
        <v>356946.43479999999</v>
      </c>
    </row>
    <row r="161" spans="1:18" x14ac:dyDescent="0.2">
      <c r="A161">
        <v>149</v>
      </c>
      <c r="B161" t="s">
        <v>324</v>
      </c>
      <c r="C161" t="s">
        <v>325</v>
      </c>
      <c r="D161">
        <v>46751.300770000002</v>
      </c>
      <c r="E161">
        <v>212292.41940000001</v>
      </c>
      <c r="F161">
        <v>807325.09259999997</v>
      </c>
      <c r="G161">
        <v>79164.147530000002</v>
      </c>
      <c r="H161">
        <v>117228.9485</v>
      </c>
      <c r="I161">
        <v>48288.736259999998</v>
      </c>
      <c r="J161">
        <v>5339.0893820000001</v>
      </c>
      <c r="K161">
        <v>22534.8302</v>
      </c>
      <c r="L161">
        <v>75135.310970000006</v>
      </c>
      <c r="M161">
        <v>122306.73609999999</v>
      </c>
      <c r="N161">
        <v>4059.3669690000002</v>
      </c>
      <c r="O161">
        <v>1758055.3829999999</v>
      </c>
      <c r="P161">
        <v>20587.399669999999</v>
      </c>
      <c r="Q161">
        <v>9198.2300660000001</v>
      </c>
      <c r="R161">
        <v>134988.9301</v>
      </c>
    </row>
    <row r="162" spans="1:18" x14ac:dyDescent="0.2">
      <c r="A162">
        <v>169</v>
      </c>
      <c r="B162" t="s">
        <v>363</v>
      </c>
      <c r="C162" t="s">
        <v>364</v>
      </c>
      <c r="D162">
        <v>142102.75599999999</v>
      </c>
      <c r="E162">
        <v>94047.023820000002</v>
      </c>
      <c r="F162">
        <v>1012368.032</v>
      </c>
      <c r="G162">
        <v>140204.0969</v>
      </c>
      <c r="H162">
        <v>212647.15460000001</v>
      </c>
      <c r="I162">
        <v>22923.7991</v>
      </c>
      <c r="J162">
        <v>3324.2014770000001</v>
      </c>
      <c r="K162">
        <v>33688.624069999998</v>
      </c>
      <c r="L162">
        <v>44645.528180000001</v>
      </c>
      <c r="M162">
        <v>70551.884009999994</v>
      </c>
      <c r="N162">
        <v>1859.4829110000001</v>
      </c>
      <c r="O162">
        <v>267732.67570000002</v>
      </c>
      <c r="P162">
        <v>52247.191229999997</v>
      </c>
      <c r="Q162">
        <v>111810.16959999999</v>
      </c>
      <c r="R162">
        <v>1226916.6669999999</v>
      </c>
    </row>
    <row r="163" spans="1:18" x14ac:dyDescent="0.2">
      <c r="A163">
        <v>92</v>
      </c>
      <c r="B163" t="s">
        <v>215</v>
      </c>
      <c r="C163" t="s">
        <v>216</v>
      </c>
      <c r="D163">
        <v>146158.3725</v>
      </c>
      <c r="E163">
        <v>350509.74849999999</v>
      </c>
      <c r="F163">
        <v>88945.615609999993</v>
      </c>
      <c r="G163">
        <v>47464.550790000001</v>
      </c>
      <c r="H163">
        <v>75661.126459999999</v>
      </c>
      <c r="I163">
        <v>13322.68146</v>
      </c>
      <c r="J163">
        <v>1014.208176</v>
      </c>
      <c r="K163">
        <v>58359.857190000002</v>
      </c>
      <c r="L163">
        <v>36159.011859999999</v>
      </c>
      <c r="M163">
        <v>111551.2141</v>
      </c>
      <c r="N163">
        <v>4013.0536350000002</v>
      </c>
      <c r="O163">
        <v>834575.40619999997</v>
      </c>
      <c r="P163">
        <v>65817.208840000007</v>
      </c>
      <c r="Q163">
        <v>642.63789659999998</v>
      </c>
      <c r="R163">
        <v>26716.72712</v>
      </c>
    </row>
    <row r="164" spans="1:18" x14ac:dyDescent="0.2">
      <c r="A164">
        <v>83</v>
      </c>
      <c r="B164" t="s">
        <v>197</v>
      </c>
      <c r="C164" t="s">
        <v>198</v>
      </c>
      <c r="D164">
        <v>375030.0183</v>
      </c>
      <c r="E164">
        <v>49449.128850000001</v>
      </c>
      <c r="F164">
        <v>982509.25360000005</v>
      </c>
      <c r="G164">
        <v>596323.74010000005</v>
      </c>
      <c r="H164">
        <v>112348.92449999999</v>
      </c>
      <c r="I164">
        <v>78421.169930000004</v>
      </c>
      <c r="J164">
        <v>2778.018838</v>
      </c>
      <c r="K164">
        <v>134297.89550000001</v>
      </c>
      <c r="L164">
        <v>62249.7768</v>
      </c>
      <c r="M164">
        <v>52508.378190000003</v>
      </c>
      <c r="N164">
        <v>2966.6230860000001</v>
      </c>
      <c r="O164">
        <v>30864.607189999999</v>
      </c>
      <c r="P164">
        <v>69047.404699999999</v>
      </c>
      <c r="Q164">
        <v>139504.34710000001</v>
      </c>
      <c r="R164">
        <v>5399306.2529999996</v>
      </c>
    </row>
    <row r="165" spans="1:18" x14ac:dyDescent="0.2">
      <c r="A165">
        <v>155</v>
      </c>
      <c r="B165" t="s">
        <v>336</v>
      </c>
      <c r="C165" t="s">
        <v>337</v>
      </c>
      <c r="D165">
        <v>812479.81409999996</v>
      </c>
      <c r="E165">
        <v>16081.03851</v>
      </c>
      <c r="F165">
        <v>1321750.925</v>
      </c>
      <c r="G165">
        <v>1680006.7339999999</v>
      </c>
      <c r="H165">
        <v>13177.03095</v>
      </c>
      <c r="I165">
        <v>15976.14057</v>
      </c>
      <c r="J165">
        <v>3378.9155799999999</v>
      </c>
      <c r="K165">
        <v>46153.494939999997</v>
      </c>
      <c r="L165">
        <v>33091.879710000001</v>
      </c>
      <c r="M165">
        <v>28577.147420000001</v>
      </c>
      <c r="N165">
        <v>13427.946749999999</v>
      </c>
      <c r="O165">
        <v>37212.505700000002</v>
      </c>
      <c r="P165">
        <v>24619.55487</v>
      </c>
      <c r="Q165">
        <v>93374.099130000002</v>
      </c>
      <c r="R165">
        <v>1299413.5549999999</v>
      </c>
    </row>
    <row r="166" spans="1:18" x14ac:dyDescent="0.2">
      <c r="A166">
        <v>180</v>
      </c>
      <c r="B166" t="s">
        <v>384</v>
      </c>
      <c r="C166" t="s">
        <v>385</v>
      </c>
      <c r="D166">
        <v>191848.71049999999</v>
      </c>
      <c r="E166">
        <v>71449.922850000003</v>
      </c>
      <c r="F166">
        <v>868223.84299999999</v>
      </c>
      <c r="G166">
        <v>84322.839940000005</v>
      </c>
      <c r="H166">
        <v>288100.89649999997</v>
      </c>
      <c r="I166">
        <v>17642.245940000001</v>
      </c>
      <c r="J166">
        <v>6147.6499249999997</v>
      </c>
      <c r="K166">
        <v>75031.791809999995</v>
      </c>
      <c r="L166">
        <v>87530.663239999994</v>
      </c>
      <c r="M166">
        <v>205097.02910000001</v>
      </c>
      <c r="N166">
        <v>10115.81682</v>
      </c>
      <c r="O166">
        <v>797982.48100000003</v>
      </c>
      <c r="P166">
        <v>39814.146220000002</v>
      </c>
      <c r="Q166">
        <v>29096.16361</v>
      </c>
      <c r="R166">
        <v>476169.96600000001</v>
      </c>
    </row>
    <row r="167" spans="1:18" x14ac:dyDescent="0.2">
      <c r="A167">
        <v>171</v>
      </c>
      <c r="B167" t="s">
        <v>367</v>
      </c>
      <c r="C167" t="s">
        <v>368</v>
      </c>
      <c r="D167">
        <v>90451.094939999995</v>
      </c>
      <c r="E167">
        <v>100164.6246</v>
      </c>
      <c r="F167">
        <v>332338.86009999999</v>
      </c>
      <c r="G167">
        <v>78262.646970000002</v>
      </c>
      <c r="H167">
        <v>65048.492209999997</v>
      </c>
      <c r="I167">
        <v>13339.00138</v>
      </c>
      <c r="J167">
        <v>2267.481162</v>
      </c>
      <c r="K167">
        <v>27584.046740000002</v>
      </c>
      <c r="L167">
        <v>25227.33712</v>
      </c>
      <c r="M167">
        <v>62014.210160000002</v>
      </c>
      <c r="N167">
        <v>2117.008495</v>
      </c>
      <c r="O167">
        <v>313221.3198</v>
      </c>
      <c r="P167">
        <v>40189.191509999997</v>
      </c>
      <c r="Q167">
        <v>1595.7118640000001</v>
      </c>
      <c r="R167">
        <v>57679.881970000002</v>
      </c>
    </row>
    <row r="168" spans="1:18" x14ac:dyDescent="0.2">
      <c r="A168">
        <v>160</v>
      </c>
      <c r="B168" t="s">
        <v>345</v>
      </c>
      <c r="C168" t="s">
        <v>346</v>
      </c>
      <c r="D168">
        <v>151690.90429999999</v>
      </c>
      <c r="E168">
        <v>61680.697979999997</v>
      </c>
      <c r="F168">
        <v>326239.17239999998</v>
      </c>
      <c r="G168">
        <v>503535.65909999999</v>
      </c>
      <c r="H168">
        <v>44820.787300000004</v>
      </c>
      <c r="I168">
        <v>13110.935740000001</v>
      </c>
      <c r="J168">
        <v>2678.8638430000001</v>
      </c>
      <c r="K168">
        <v>13831.78607</v>
      </c>
      <c r="L168">
        <v>26011.286329999999</v>
      </c>
      <c r="M168">
        <v>88397.105859999996</v>
      </c>
      <c r="N168">
        <v>2515.593914</v>
      </c>
      <c r="O168">
        <v>31034.855029999999</v>
      </c>
      <c r="P168">
        <v>9634.7556989999994</v>
      </c>
      <c r="Q168">
        <v>43390.146580000001</v>
      </c>
      <c r="R168">
        <v>270870.95760000002</v>
      </c>
    </row>
    <row r="169" spans="1:18" x14ac:dyDescent="0.2">
      <c r="A169">
        <v>81</v>
      </c>
      <c r="B169" t="s">
        <v>193</v>
      </c>
      <c r="C169" t="s">
        <v>194</v>
      </c>
      <c r="D169">
        <v>66350.176909999995</v>
      </c>
      <c r="E169">
        <v>4679190.5779999997</v>
      </c>
      <c r="F169">
        <v>203271.92170000001</v>
      </c>
      <c r="G169">
        <v>314236.93079999997</v>
      </c>
      <c r="H169">
        <v>292622.4057</v>
      </c>
      <c r="I169">
        <v>14425.489380000001</v>
      </c>
      <c r="J169">
        <v>2463.6577539999998</v>
      </c>
      <c r="K169">
        <v>5498.9955010000003</v>
      </c>
      <c r="L169">
        <v>75212.407649999994</v>
      </c>
      <c r="M169">
        <v>132303.97469999999</v>
      </c>
      <c r="N169">
        <v>1618.4997659999999</v>
      </c>
      <c r="O169">
        <v>1057754.2830000001</v>
      </c>
      <c r="P169">
        <v>74545.54204</v>
      </c>
      <c r="Q169">
        <v>26381.710630000001</v>
      </c>
      <c r="R169">
        <v>69306.956860000006</v>
      </c>
    </row>
    <row r="170" spans="1:18" x14ac:dyDescent="0.2">
      <c r="A170">
        <v>89</v>
      </c>
      <c r="B170" t="s">
        <v>209</v>
      </c>
      <c r="C170" t="s">
        <v>210</v>
      </c>
      <c r="D170">
        <v>65457.359479999999</v>
      </c>
      <c r="E170">
        <v>1440046.203</v>
      </c>
      <c r="F170">
        <v>109115.22380000001</v>
      </c>
      <c r="G170">
        <v>28649.570830000001</v>
      </c>
      <c r="H170">
        <v>106386.4004</v>
      </c>
      <c r="I170">
        <v>14283.869559999999</v>
      </c>
      <c r="J170">
        <v>2974.2846509999999</v>
      </c>
      <c r="K170">
        <v>62951.840980000001</v>
      </c>
      <c r="L170">
        <v>37153.152690000003</v>
      </c>
      <c r="M170">
        <v>120499.0097</v>
      </c>
      <c r="N170">
        <v>1954.8767789999999</v>
      </c>
      <c r="O170">
        <v>816302.26260000002</v>
      </c>
      <c r="P170">
        <v>39032.665309999997</v>
      </c>
      <c r="Q170">
        <v>5259.5397560000001</v>
      </c>
      <c r="R170">
        <v>24470.704150000001</v>
      </c>
    </row>
    <row r="171" spans="1:18" x14ac:dyDescent="0.2">
      <c r="A171">
        <v>90</v>
      </c>
      <c r="B171" t="s">
        <v>211</v>
      </c>
      <c r="C171" t="s">
        <v>212</v>
      </c>
      <c r="D171">
        <v>81848.922409999999</v>
      </c>
      <c r="E171">
        <v>206656.77470000001</v>
      </c>
      <c r="F171">
        <v>58983.990660000003</v>
      </c>
      <c r="G171">
        <v>35918.339930000002</v>
      </c>
      <c r="H171">
        <v>89043.244930000001</v>
      </c>
      <c r="I171">
        <v>11986.34071</v>
      </c>
      <c r="J171">
        <v>2934.5374360000001</v>
      </c>
      <c r="K171">
        <v>129244.80250000001</v>
      </c>
      <c r="L171">
        <v>27578.229879999999</v>
      </c>
      <c r="M171">
        <v>158189.49619999999</v>
      </c>
      <c r="N171">
        <v>1560.427056</v>
      </c>
      <c r="O171">
        <v>465378.435</v>
      </c>
      <c r="P171">
        <v>50952.285960000001</v>
      </c>
      <c r="Q171">
        <v>4486.2296379999998</v>
      </c>
      <c r="R171">
        <v>15380.62851</v>
      </c>
    </row>
    <row r="172" spans="1:18" x14ac:dyDescent="0.2">
      <c r="A172">
        <v>207</v>
      </c>
      <c r="B172" t="s">
        <v>436</v>
      </c>
      <c r="C172" t="s">
        <v>437</v>
      </c>
      <c r="D172">
        <v>183583.1207</v>
      </c>
      <c r="E172">
        <v>667419.30480000004</v>
      </c>
      <c r="F172">
        <v>3298969.642</v>
      </c>
      <c r="G172">
        <v>235016.1629</v>
      </c>
      <c r="H172">
        <v>282406.12819999998</v>
      </c>
      <c r="I172">
        <v>71787.573659999995</v>
      </c>
      <c r="J172">
        <v>92480.947039999999</v>
      </c>
      <c r="K172">
        <v>233556.2095</v>
      </c>
      <c r="L172">
        <v>69267.647689999998</v>
      </c>
      <c r="M172">
        <v>93018.400070000003</v>
      </c>
      <c r="N172">
        <v>5321.6436530000001</v>
      </c>
      <c r="O172">
        <v>1090822.9169999999</v>
      </c>
      <c r="P172">
        <v>25357.164959999998</v>
      </c>
      <c r="Q172">
        <v>57875.044119999999</v>
      </c>
      <c r="R172">
        <v>1773271.638</v>
      </c>
    </row>
    <row r="173" spans="1:18" x14ac:dyDescent="0.2">
      <c r="A173">
        <v>179</v>
      </c>
      <c r="B173" t="s">
        <v>382</v>
      </c>
      <c r="C173" t="s">
        <v>383</v>
      </c>
      <c r="D173">
        <v>203037.1955</v>
      </c>
      <c r="E173">
        <v>82445.79969</v>
      </c>
      <c r="F173">
        <v>1463036.017</v>
      </c>
      <c r="G173">
        <v>63726.139719999999</v>
      </c>
      <c r="H173">
        <v>59749.088309999999</v>
      </c>
      <c r="I173">
        <v>10212.36429</v>
      </c>
      <c r="J173">
        <v>6124.3813579999996</v>
      </c>
      <c r="K173">
        <v>37366.801679999997</v>
      </c>
      <c r="L173">
        <v>75213.617629999993</v>
      </c>
      <c r="M173">
        <v>79171.866529999999</v>
      </c>
      <c r="N173">
        <v>2088.7077640000002</v>
      </c>
      <c r="O173">
        <v>325678.43410000001</v>
      </c>
      <c r="P173">
        <v>49937.759169999998</v>
      </c>
      <c r="Q173">
        <v>80740.30442</v>
      </c>
      <c r="R173">
        <v>481195.53110000002</v>
      </c>
    </row>
    <row r="174" spans="1:18" x14ac:dyDescent="0.2">
      <c r="A174">
        <v>14</v>
      </c>
      <c r="B174" t="s">
        <v>64</v>
      </c>
      <c r="C174" t="s">
        <v>65</v>
      </c>
      <c r="D174">
        <v>237950.04670000001</v>
      </c>
      <c r="E174">
        <v>200968.45050000001</v>
      </c>
      <c r="F174">
        <v>390997.10950000002</v>
      </c>
      <c r="G174">
        <v>272774.1973</v>
      </c>
      <c r="H174">
        <v>343419.89799999999</v>
      </c>
      <c r="I174">
        <v>31881.724839999999</v>
      </c>
      <c r="J174">
        <v>27288.726119999999</v>
      </c>
      <c r="K174">
        <v>24609.687180000001</v>
      </c>
      <c r="L174">
        <v>25521.182680000002</v>
      </c>
      <c r="M174">
        <v>44209.2644</v>
      </c>
      <c r="N174">
        <v>3360.4645609999998</v>
      </c>
      <c r="O174">
        <v>244229.98850000001</v>
      </c>
      <c r="P174">
        <v>228245.2261</v>
      </c>
      <c r="Q174">
        <v>43114.0461</v>
      </c>
      <c r="R174">
        <v>93639.250400000004</v>
      </c>
    </row>
    <row r="175" spans="1:18" x14ac:dyDescent="0.2">
      <c r="A175">
        <v>82</v>
      </c>
      <c r="B175" t="s">
        <v>195</v>
      </c>
      <c r="C175" t="s">
        <v>196</v>
      </c>
      <c r="D175">
        <v>63023.778660000004</v>
      </c>
      <c r="E175">
        <v>1365416.77</v>
      </c>
      <c r="F175">
        <v>293883.49410000001</v>
      </c>
      <c r="G175">
        <v>77648.324540000001</v>
      </c>
      <c r="H175">
        <v>89210.013999999996</v>
      </c>
      <c r="I175">
        <v>14359.588320000001</v>
      </c>
      <c r="J175">
        <v>2585.40735</v>
      </c>
      <c r="K175">
        <v>45487.87455</v>
      </c>
      <c r="L175">
        <v>263194.30949999997</v>
      </c>
      <c r="M175">
        <v>81628.116930000004</v>
      </c>
      <c r="N175">
        <v>1869.1160150000001</v>
      </c>
      <c r="O175">
        <v>438241.3051</v>
      </c>
      <c r="P175">
        <v>63834.052649999998</v>
      </c>
      <c r="Q175">
        <v>20659.20724</v>
      </c>
      <c r="R175">
        <v>41419.031710000003</v>
      </c>
    </row>
    <row r="176" spans="1:18" x14ac:dyDescent="0.2">
      <c r="A176">
        <v>182</v>
      </c>
      <c r="B176" t="s">
        <v>388</v>
      </c>
      <c r="C176" t="s">
        <v>389</v>
      </c>
      <c r="D176">
        <v>88035.357669999998</v>
      </c>
      <c r="E176">
        <v>162834.6844</v>
      </c>
      <c r="F176">
        <v>144455.32079999999</v>
      </c>
      <c r="G176">
        <v>90723.801770000005</v>
      </c>
      <c r="H176">
        <v>24320.013190000001</v>
      </c>
      <c r="I176">
        <v>13861.529909999999</v>
      </c>
      <c r="J176">
        <v>6869.868031</v>
      </c>
      <c r="K176">
        <v>87438.157170000006</v>
      </c>
      <c r="L176">
        <v>28770.510340000001</v>
      </c>
      <c r="M176">
        <v>138765.20689999999</v>
      </c>
      <c r="N176">
        <v>3158.0923170000001</v>
      </c>
      <c r="O176">
        <v>765102.38450000004</v>
      </c>
      <c r="P176">
        <v>22785.61332</v>
      </c>
      <c r="Q176">
        <v>58500.499969999997</v>
      </c>
      <c r="R176">
        <v>57547.276279999998</v>
      </c>
    </row>
    <row r="177" spans="1:18" x14ac:dyDescent="0.2">
      <c r="A177">
        <v>91</v>
      </c>
      <c r="B177" t="s">
        <v>213</v>
      </c>
      <c r="C177" t="s">
        <v>214</v>
      </c>
      <c r="D177">
        <v>11570.748680000001</v>
      </c>
      <c r="E177">
        <v>3817217.4219999998</v>
      </c>
      <c r="F177">
        <v>74001.326289999997</v>
      </c>
      <c r="G177">
        <v>63251.5239</v>
      </c>
      <c r="H177">
        <v>70236.844819999998</v>
      </c>
      <c r="I177">
        <v>16974.142629999998</v>
      </c>
      <c r="J177">
        <v>4840.8308180000004</v>
      </c>
      <c r="K177">
        <v>136151.43400000001</v>
      </c>
      <c r="L177">
        <v>29237.058809999999</v>
      </c>
      <c r="M177">
        <v>200546.40289999999</v>
      </c>
      <c r="N177">
        <v>3318.8088630000002</v>
      </c>
      <c r="O177">
        <v>1012969.358</v>
      </c>
      <c r="P177">
        <v>11331.9941</v>
      </c>
      <c r="Q177">
        <v>9659.9766540000001</v>
      </c>
      <c r="R177">
        <v>28889.63308</v>
      </c>
    </row>
    <row r="178" spans="1:18" x14ac:dyDescent="0.2">
      <c r="A178">
        <v>108</v>
      </c>
      <c r="B178" t="s">
        <v>246</v>
      </c>
      <c r="C178" t="s">
        <v>247</v>
      </c>
      <c r="D178">
        <v>377961.26630000002</v>
      </c>
      <c r="E178">
        <v>98197.966520000002</v>
      </c>
      <c r="F178">
        <v>672973.26919999998</v>
      </c>
      <c r="G178">
        <v>878195.06909999996</v>
      </c>
      <c r="H178">
        <v>172684.92809999999</v>
      </c>
      <c r="I178">
        <v>9438.8898119999994</v>
      </c>
      <c r="J178">
        <v>2393.390124</v>
      </c>
      <c r="K178">
        <v>67862.801699999996</v>
      </c>
      <c r="L178">
        <v>94686.822509999998</v>
      </c>
      <c r="M178">
        <v>205898.56049999999</v>
      </c>
      <c r="N178">
        <v>2777.4875590000001</v>
      </c>
      <c r="O178">
        <v>175795.87390000001</v>
      </c>
      <c r="P178">
        <v>47384.773020000001</v>
      </c>
      <c r="Q178">
        <v>14756.53184</v>
      </c>
      <c r="R178">
        <v>243443.89920000001</v>
      </c>
    </row>
    <row r="179" spans="1:18" x14ac:dyDescent="0.2">
      <c r="A179">
        <v>84</v>
      </c>
      <c r="B179" t="s">
        <v>199</v>
      </c>
      <c r="C179" t="s">
        <v>200</v>
      </c>
      <c r="D179">
        <v>60561.744630000001</v>
      </c>
      <c r="E179">
        <v>128978.3431</v>
      </c>
      <c r="F179">
        <v>538482.12580000004</v>
      </c>
      <c r="G179">
        <v>90353.926240000001</v>
      </c>
      <c r="H179">
        <v>11167.636619999999</v>
      </c>
      <c r="I179">
        <v>2321.444551</v>
      </c>
      <c r="J179">
        <v>1971.480313</v>
      </c>
      <c r="K179">
        <v>58386.777309999998</v>
      </c>
      <c r="L179">
        <v>438937.7304</v>
      </c>
      <c r="M179">
        <v>139290.6354</v>
      </c>
      <c r="N179">
        <v>2052.4340649999999</v>
      </c>
      <c r="O179">
        <v>696440.8504</v>
      </c>
      <c r="P179">
        <v>48167.745940000001</v>
      </c>
      <c r="Q179">
        <v>64888.77173</v>
      </c>
      <c r="R179">
        <v>166795.48689999999</v>
      </c>
    </row>
    <row r="180" spans="1:18" x14ac:dyDescent="0.2">
      <c r="A180">
        <v>11</v>
      </c>
      <c r="B180" t="s">
        <v>58</v>
      </c>
      <c r="C180" t="s">
        <v>59</v>
      </c>
      <c r="D180">
        <v>81930.386100000003</v>
      </c>
      <c r="E180">
        <v>74580.825549999994</v>
      </c>
      <c r="F180">
        <v>906800.77890000003</v>
      </c>
      <c r="G180">
        <v>188188.09789999999</v>
      </c>
      <c r="H180">
        <v>55479.098460000001</v>
      </c>
      <c r="I180">
        <v>17124.050190000002</v>
      </c>
      <c r="J180">
        <v>3210.3961060000001</v>
      </c>
      <c r="K180">
        <v>22948.482489999999</v>
      </c>
      <c r="L180">
        <v>23965.737450000001</v>
      </c>
      <c r="M180">
        <v>43255.600109999999</v>
      </c>
      <c r="N180">
        <v>4627.6285440000001</v>
      </c>
      <c r="O180">
        <v>454586.3333</v>
      </c>
      <c r="P180">
        <v>40419.6754</v>
      </c>
      <c r="Q180">
        <v>15004.71882</v>
      </c>
      <c r="R180">
        <v>320020.766</v>
      </c>
    </row>
    <row r="181" spans="1:18" x14ac:dyDescent="0.2">
      <c r="A181">
        <v>1</v>
      </c>
      <c r="B181" t="s">
        <v>38</v>
      </c>
      <c r="C181" t="s">
        <v>39</v>
      </c>
      <c r="D181">
        <v>312494.77909999999</v>
      </c>
      <c r="E181">
        <v>123570.2959</v>
      </c>
      <c r="F181">
        <v>1332374.6410000001</v>
      </c>
      <c r="G181">
        <v>243522.9173</v>
      </c>
      <c r="H181">
        <v>92258.85888</v>
      </c>
      <c r="I181">
        <v>18697.140790000001</v>
      </c>
      <c r="J181">
        <v>3099.563521</v>
      </c>
      <c r="K181">
        <v>138627.7763</v>
      </c>
      <c r="L181">
        <v>198875.90090000001</v>
      </c>
      <c r="M181">
        <v>71947.353810000001</v>
      </c>
      <c r="N181">
        <v>3939.8742400000001</v>
      </c>
      <c r="O181">
        <v>257082.89430000001</v>
      </c>
      <c r="P181">
        <v>284131.68030000001</v>
      </c>
      <c r="Q181">
        <v>68671.4234</v>
      </c>
      <c r="R181">
        <v>384462.09840000002</v>
      </c>
    </row>
    <row r="182" spans="1:18" x14ac:dyDescent="0.2">
      <c r="A182">
        <v>175</v>
      </c>
      <c r="B182" t="s">
        <v>375</v>
      </c>
      <c r="C182" t="s">
        <v>376</v>
      </c>
      <c r="D182">
        <v>185978.13089999999</v>
      </c>
      <c r="E182">
        <v>55541.225149999998</v>
      </c>
      <c r="F182">
        <v>1049860.1359999999</v>
      </c>
      <c r="G182">
        <v>1501936.5090000001</v>
      </c>
      <c r="H182">
        <v>55403.21024</v>
      </c>
      <c r="I182">
        <v>15417.828649999999</v>
      </c>
      <c r="J182">
        <v>1784.681106</v>
      </c>
      <c r="K182">
        <v>54228.420599999998</v>
      </c>
      <c r="L182">
        <v>270539.37359999999</v>
      </c>
      <c r="M182">
        <v>135862.1067</v>
      </c>
      <c r="N182">
        <v>2532.6441850000001</v>
      </c>
      <c r="O182">
        <v>297184.67009999999</v>
      </c>
      <c r="P182">
        <v>51162.968760000003</v>
      </c>
      <c r="Q182">
        <v>150135.26319999999</v>
      </c>
      <c r="R182">
        <v>276625.55180000002</v>
      </c>
    </row>
    <row r="183" spans="1:18" x14ac:dyDescent="0.2">
      <c r="A183">
        <v>0</v>
      </c>
      <c r="B183" t="s">
        <v>36</v>
      </c>
      <c r="C183" t="s">
        <v>37</v>
      </c>
      <c r="D183">
        <v>42722.184150000001</v>
      </c>
      <c r="E183">
        <v>359314.17660000001</v>
      </c>
      <c r="F183">
        <v>605710.27289999998</v>
      </c>
      <c r="G183">
        <v>208026.97659999999</v>
      </c>
      <c r="H183">
        <v>12307.20585</v>
      </c>
      <c r="I183">
        <v>2809.1134750000001</v>
      </c>
      <c r="J183">
        <v>5397.5445250000002</v>
      </c>
      <c r="K183">
        <v>95523.241729999994</v>
      </c>
      <c r="L183">
        <v>93081.804550000001</v>
      </c>
      <c r="M183">
        <v>120835.9123</v>
      </c>
      <c r="N183">
        <v>4100.5177599999997</v>
      </c>
      <c r="O183">
        <v>627832.85270000005</v>
      </c>
      <c r="P183">
        <v>113992.9997</v>
      </c>
      <c r="Q183">
        <v>81588.364069999996</v>
      </c>
      <c r="R183">
        <v>230878.26190000001</v>
      </c>
    </row>
    <row r="184" spans="1:18" x14ac:dyDescent="0.2">
      <c r="A184">
        <v>44</v>
      </c>
      <c r="B184" t="s">
        <v>121</v>
      </c>
      <c r="C184" t="s">
        <v>122</v>
      </c>
      <c r="D184">
        <v>156169.26920000001</v>
      </c>
      <c r="E184">
        <v>54674.349009999998</v>
      </c>
      <c r="F184">
        <v>375181.462</v>
      </c>
      <c r="G184">
        <v>248233.6018</v>
      </c>
      <c r="H184">
        <v>629306.24730000005</v>
      </c>
      <c r="I184">
        <v>15298.14371</v>
      </c>
      <c r="J184">
        <v>4047.9648790000001</v>
      </c>
      <c r="K184">
        <v>205795.7494</v>
      </c>
      <c r="L184">
        <v>94806.337880000006</v>
      </c>
      <c r="M184">
        <v>331138.98540000001</v>
      </c>
      <c r="N184">
        <v>57724.95996</v>
      </c>
      <c r="O184">
        <v>729364.91729999997</v>
      </c>
      <c r="P184">
        <v>125289.5472</v>
      </c>
      <c r="Q184">
        <v>0</v>
      </c>
      <c r="R184">
        <v>196779.53810000001</v>
      </c>
    </row>
    <row r="185" spans="1:18" x14ac:dyDescent="0.2">
      <c r="A185">
        <v>2</v>
      </c>
      <c r="B185" t="s">
        <v>40</v>
      </c>
      <c r="C185" t="s">
        <v>41</v>
      </c>
      <c r="D185">
        <v>161152.56030000001</v>
      </c>
      <c r="E185">
        <v>898547.29180000001</v>
      </c>
      <c r="F185">
        <v>289219.3492</v>
      </c>
      <c r="G185">
        <v>235890.8046</v>
      </c>
      <c r="H185">
        <v>46556.156040000002</v>
      </c>
      <c r="I185">
        <v>12163.788850000001</v>
      </c>
      <c r="J185">
        <v>1655.5377490000001</v>
      </c>
      <c r="K185">
        <v>116535.2917</v>
      </c>
      <c r="L185">
        <v>991839.05740000005</v>
      </c>
      <c r="M185">
        <v>258144.35709999999</v>
      </c>
      <c r="N185">
        <v>2582.3961479999998</v>
      </c>
      <c r="O185">
        <v>822178.62159999995</v>
      </c>
      <c r="P185">
        <v>256511.55989999999</v>
      </c>
      <c r="Q185">
        <v>131040.6462</v>
      </c>
      <c r="R185">
        <v>311885.44459999999</v>
      </c>
    </row>
    <row r="186" spans="1:18" x14ac:dyDescent="0.2">
      <c r="A186">
        <v>202</v>
      </c>
      <c r="B186" t="s">
        <v>426</v>
      </c>
      <c r="C186" t="s">
        <v>427</v>
      </c>
      <c r="D186">
        <v>85996.935630000007</v>
      </c>
      <c r="E186">
        <v>608403.97640000004</v>
      </c>
      <c r="F186">
        <v>648951.99360000005</v>
      </c>
      <c r="G186">
        <v>127783.5395</v>
      </c>
      <c r="H186">
        <v>645631.2365</v>
      </c>
      <c r="I186">
        <v>22591.122960000001</v>
      </c>
      <c r="J186">
        <v>1010993.703</v>
      </c>
      <c r="K186">
        <v>82477.705860000002</v>
      </c>
      <c r="L186">
        <v>41974.26223</v>
      </c>
      <c r="M186">
        <v>100851.5763</v>
      </c>
      <c r="N186">
        <v>11495.68657</v>
      </c>
      <c r="O186">
        <v>848078.03350000002</v>
      </c>
      <c r="P186">
        <v>208042.43150000001</v>
      </c>
      <c r="Q186">
        <v>169295.8646</v>
      </c>
      <c r="R186">
        <v>1473141.4410000001</v>
      </c>
    </row>
    <row r="187" spans="1:18" x14ac:dyDescent="0.2">
      <c r="A187">
        <v>46</v>
      </c>
      <c r="B187" t="s">
        <v>125</v>
      </c>
      <c r="C187" t="s">
        <v>126</v>
      </c>
      <c r="D187">
        <v>225152.9106</v>
      </c>
      <c r="E187">
        <v>115104.5494</v>
      </c>
      <c r="F187">
        <v>319613.96389999997</v>
      </c>
      <c r="G187">
        <v>425207.50160000002</v>
      </c>
      <c r="H187">
        <v>497552.95789999998</v>
      </c>
      <c r="I187">
        <v>28452.329180000001</v>
      </c>
      <c r="J187">
        <v>4789.5485339999996</v>
      </c>
      <c r="K187">
        <v>107993.7577</v>
      </c>
      <c r="L187">
        <v>33751.869509999997</v>
      </c>
      <c r="M187">
        <v>114695.7403</v>
      </c>
      <c r="N187">
        <v>201264.37359999999</v>
      </c>
      <c r="O187">
        <v>616140.37419999996</v>
      </c>
      <c r="P187">
        <v>103778.82640000001</v>
      </c>
      <c r="Q187">
        <v>0</v>
      </c>
      <c r="R187">
        <v>208586.54680000001</v>
      </c>
    </row>
    <row r="188" spans="1:18" x14ac:dyDescent="0.2">
      <c r="A188">
        <v>190</v>
      </c>
      <c r="B188" t="s">
        <v>403</v>
      </c>
      <c r="C188" t="s">
        <v>404</v>
      </c>
      <c r="D188">
        <v>151754.75599999999</v>
      </c>
      <c r="E188">
        <v>143619.94620000001</v>
      </c>
      <c r="F188">
        <v>1909732.5830000001</v>
      </c>
      <c r="G188">
        <v>97794.671279999995</v>
      </c>
      <c r="H188">
        <v>161982.3719</v>
      </c>
      <c r="I188">
        <v>13579.76484</v>
      </c>
      <c r="J188">
        <v>2315.01782</v>
      </c>
      <c r="K188">
        <v>42783.136760000001</v>
      </c>
      <c r="L188">
        <v>69886.266570000007</v>
      </c>
      <c r="M188">
        <v>115191.83040000001</v>
      </c>
      <c r="N188">
        <v>2118.231546</v>
      </c>
      <c r="O188">
        <v>89829.923280000003</v>
      </c>
      <c r="P188">
        <v>71358.367589999994</v>
      </c>
      <c r="Q188">
        <v>198583.01819999999</v>
      </c>
      <c r="R188">
        <v>1256139.101</v>
      </c>
    </row>
    <row r="189" spans="1:18" x14ac:dyDescent="0.2">
      <c r="A189">
        <v>173</v>
      </c>
      <c r="B189" t="s">
        <v>371</v>
      </c>
      <c r="C189" t="s">
        <v>372</v>
      </c>
      <c r="D189">
        <v>375941.46029999998</v>
      </c>
      <c r="E189">
        <v>39284.295019999998</v>
      </c>
      <c r="F189">
        <v>653963.03740000003</v>
      </c>
      <c r="G189">
        <v>417953.35029999999</v>
      </c>
      <c r="H189">
        <v>93648.097989999995</v>
      </c>
      <c r="I189">
        <v>6880.4281769999998</v>
      </c>
      <c r="J189">
        <v>3926.0106230000001</v>
      </c>
      <c r="K189">
        <v>34887.763160000002</v>
      </c>
      <c r="L189">
        <v>126122.59269999999</v>
      </c>
      <c r="M189">
        <v>73694.991569999998</v>
      </c>
      <c r="N189">
        <v>1042.706907</v>
      </c>
      <c r="O189">
        <v>55397.345220000003</v>
      </c>
      <c r="P189">
        <v>52599.825700000001</v>
      </c>
      <c r="Q189">
        <v>125815.16379999999</v>
      </c>
      <c r="R189">
        <v>241669.78599999999</v>
      </c>
    </row>
    <row r="190" spans="1:18" x14ac:dyDescent="0.2">
      <c r="A190">
        <v>45</v>
      </c>
      <c r="B190" t="s">
        <v>123</v>
      </c>
      <c r="C190" t="s">
        <v>124</v>
      </c>
      <c r="D190">
        <v>353451.30670000002</v>
      </c>
      <c r="E190">
        <v>335778.67460000003</v>
      </c>
      <c r="F190">
        <v>1010909.7709999999</v>
      </c>
      <c r="G190">
        <v>627837.72710000002</v>
      </c>
      <c r="H190">
        <v>360417.59220000001</v>
      </c>
      <c r="I190">
        <v>15320.659250000001</v>
      </c>
      <c r="J190">
        <v>3741.8580360000001</v>
      </c>
      <c r="K190">
        <v>136805.9307</v>
      </c>
      <c r="L190">
        <v>89921.586569999999</v>
      </c>
      <c r="M190">
        <v>202225.40429999999</v>
      </c>
      <c r="N190">
        <v>897852.59609999997</v>
      </c>
      <c r="O190">
        <v>512202.0062</v>
      </c>
      <c r="P190">
        <v>99364.991569999998</v>
      </c>
      <c r="Q190">
        <v>14974.731089999999</v>
      </c>
      <c r="R190">
        <v>476264.37180000002</v>
      </c>
    </row>
    <row r="191" spans="1:18" x14ac:dyDescent="0.2">
      <c r="A191">
        <v>185</v>
      </c>
      <c r="B191" t="s">
        <v>394</v>
      </c>
      <c r="C191" t="s">
        <v>395</v>
      </c>
      <c r="D191">
        <v>381191.076</v>
      </c>
      <c r="E191">
        <v>104570.2804</v>
      </c>
      <c r="F191">
        <v>2833999.5430000001</v>
      </c>
      <c r="G191">
        <v>317337.09980000003</v>
      </c>
      <c r="H191">
        <v>74422.331229999996</v>
      </c>
      <c r="I191">
        <v>12758.23918</v>
      </c>
      <c r="J191">
        <v>2797.3572359999998</v>
      </c>
      <c r="K191">
        <v>37711.277750000001</v>
      </c>
      <c r="L191">
        <v>140156.84169999999</v>
      </c>
      <c r="M191">
        <v>141733.10750000001</v>
      </c>
      <c r="N191">
        <v>217045.91029999999</v>
      </c>
      <c r="O191">
        <v>280662.76049999997</v>
      </c>
      <c r="P191">
        <v>72530.089080000005</v>
      </c>
      <c r="Q191">
        <v>182000.17720000001</v>
      </c>
      <c r="R191">
        <v>3801144.6030000001</v>
      </c>
    </row>
    <row r="192" spans="1:18" x14ac:dyDescent="0.2">
      <c r="A192">
        <v>208</v>
      </c>
      <c r="B192" t="s">
        <v>438</v>
      </c>
      <c r="C192" t="s">
        <v>439</v>
      </c>
      <c r="D192">
        <v>127183.1627</v>
      </c>
      <c r="E192">
        <v>143516.3487</v>
      </c>
      <c r="F192">
        <v>3085910.4730000002</v>
      </c>
      <c r="G192">
        <v>189466.492</v>
      </c>
      <c r="H192">
        <v>142533.334</v>
      </c>
      <c r="I192">
        <v>27891.350620000001</v>
      </c>
      <c r="J192">
        <v>21674.424449999999</v>
      </c>
      <c r="K192">
        <v>107938.2044</v>
      </c>
      <c r="L192">
        <v>100889.32610000001</v>
      </c>
      <c r="M192">
        <v>146651.80720000001</v>
      </c>
      <c r="N192">
        <v>30509.973139999998</v>
      </c>
      <c r="O192">
        <v>634180.75950000004</v>
      </c>
      <c r="P192">
        <v>23030.49093</v>
      </c>
      <c r="Q192">
        <v>128908.3986</v>
      </c>
      <c r="R192">
        <v>2713730.8339999998</v>
      </c>
    </row>
    <row r="193" spans="1:18" x14ac:dyDescent="0.2">
      <c r="A193">
        <v>174</v>
      </c>
      <c r="B193" t="s">
        <v>373</v>
      </c>
      <c r="C193" t="s">
        <v>374</v>
      </c>
      <c r="D193">
        <v>491509.82829999999</v>
      </c>
      <c r="E193">
        <v>141293.86120000001</v>
      </c>
      <c r="F193">
        <v>2227267.2439999999</v>
      </c>
      <c r="G193">
        <v>4365481.51</v>
      </c>
      <c r="H193">
        <v>70895.574240000002</v>
      </c>
      <c r="I193">
        <v>18472.129529999998</v>
      </c>
      <c r="J193">
        <v>4837.5453649999999</v>
      </c>
      <c r="K193">
        <v>111493.2966</v>
      </c>
      <c r="L193">
        <v>126622.17290000001</v>
      </c>
      <c r="M193">
        <v>193776.5569</v>
      </c>
      <c r="N193">
        <v>11240.879849999999</v>
      </c>
      <c r="O193">
        <v>672228.77549999999</v>
      </c>
      <c r="P193">
        <v>142483.63159999999</v>
      </c>
      <c r="Q193">
        <v>225979.7463</v>
      </c>
      <c r="R193">
        <v>1113610.308</v>
      </c>
    </row>
    <row r="194" spans="1:18" x14ac:dyDescent="0.2">
      <c r="A194">
        <v>12</v>
      </c>
      <c r="B194" t="s">
        <v>60</v>
      </c>
      <c r="C194" t="s">
        <v>61</v>
      </c>
      <c r="D194">
        <v>74491.980179999999</v>
      </c>
      <c r="E194">
        <v>239847.31330000001</v>
      </c>
      <c r="F194">
        <v>1081800.7779999999</v>
      </c>
      <c r="G194">
        <v>108145.9648</v>
      </c>
      <c r="H194">
        <v>78684.954639999996</v>
      </c>
      <c r="I194">
        <v>15685.063889999999</v>
      </c>
      <c r="J194">
        <v>3862.5519079999999</v>
      </c>
      <c r="K194">
        <v>30695.416280000001</v>
      </c>
      <c r="L194">
        <v>24426.092929999999</v>
      </c>
      <c r="M194">
        <v>54657.73502</v>
      </c>
      <c r="N194">
        <v>4345.9903340000001</v>
      </c>
      <c r="O194">
        <v>415605.80930000002</v>
      </c>
      <c r="P194">
        <v>37466.440190000001</v>
      </c>
      <c r="Q194">
        <v>31621.239989999998</v>
      </c>
      <c r="R194">
        <v>202612.0576</v>
      </c>
    </row>
    <row r="195" spans="1:18" x14ac:dyDescent="0.2">
      <c r="A195">
        <v>3</v>
      </c>
      <c r="B195" t="s">
        <v>42</v>
      </c>
      <c r="C195" t="s">
        <v>43</v>
      </c>
      <c r="D195">
        <v>399120.43650000001</v>
      </c>
      <c r="E195">
        <v>334705.12420000002</v>
      </c>
      <c r="F195">
        <v>1532200.152</v>
      </c>
      <c r="G195">
        <v>268844.1201</v>
      </c>
      <c r="H195">
        <v>23658.52605</v>
      </c>
      <c r="I195">
        <v>11511.31769</v>
      </c>
      <c r="J195">
        <v>4716.2708359999997</v>
      </c>
      <c r="K195">
        <v>66749.737540000002</v>
      </c>
      <c r="L195">
        <v>84822.378169999996</v>
      </c>
      <c r="M195">
        <v>42101.196649999998</v>
      </c>
      <c r="N195">
        <v>75089.266099999993</v>
      </c>
      <c r="O195">
        <v>321867.16460000002</v>
      </c>
      <c r="P195">
        <v>180010.06450000001</v>
      </c>
      <c r="Q195">
        <v>78765.045679999996</v>
      </c>
      <c r="R195">
        <v>669371.87809999997</v>
      </c>
    </row>
    <row r="196" spans="1:18" x14ac:dyDescent="0.2">
      <c r="A196">
        <v>106</v>
      </c>
      <c r="B196" t="s">
        <v>242</v>
      </c>
      <c r="C196" t="s">
        <v>243</v>
      </c>
      <c r="D196">
        <v>365539.86700000003</v>
      </c>
      <c r="E196">
        <v>63382.933770000003</v>
      </c>
      <c r="F196">
        <v>388026.63760000002</v>
      </c>
      <c r="G196">
        <v>274359.25319999998</v>
      </c>
      <c r="H196">
        <v>26570.462100000001</v>
      </c>
      <c r="I196">
        <v>5269.194845</v>
      </c>
      <c r="J196">
        <v>2125.1011319999998</v>
      </c>
      <c r="K196">
        <v>46061.081570000002</v>
      </c>
      <c r="L196">
        <v>24231.629649999999</v>
      </c>
      <c r="M196">
        <v>22862.561440000001</v>
      </c>
      <c r="N196">
        <v>8785.0939760000001</v>
      </c>
      <c r="O196">
        <v>90530.090920000002</v>
      </c>
      <c r="P196">
        <v>24311.758870000001</v>
      </c>
      <c r="Q196">
        <v>63952.977989999999</v>
      </c>
      <c r="R196">
        <v>465256.91489999997</v>
      </c>
    </row>
    <row r="197" spans="1:18" x14ac:dyDescent="0.2">
      <c r="A197">
        <v>170</v>
      </c>
      <c r="B197" t="s">
        <v>365</v>
      </c>
      <c r="C197" t="s">
        <v>366</v>
      </c>
      <c r="D197">
        <v>240765.38440000001</v>
      </c>
      <c r="E197">
        <v>159286.33670000001</v>
      </c>
      <c r="F197">
        <v>308399.16810000001</v>
      </c>
      <c r="G197">
        <v>199100.35699999999</v>
      </c>
      <c r="H197">
        <v>146292.6825</v>
      </c>
      <c r="I197">
        <v>20266.546320000001</v>
      </c>
      <c r="J197">
        <v>3365.6994119999999</v>
      </c>
      <c r="K197">
        <v>116030.1596</v>
      </c>
      <c r="L197">
        <v>97173.279020000002</v>
      </c>
      <c r="M197">
        <v>188106.47709999999</v>
      </c>
      <c r="N197">
        <v>4480.4017389999999</v>
      </c>
      <c r="O197">
        <v>740995.80859999999</v>
      </c>
      <c r="P197">
        <v>73597.548429999995</v>
      </c>
      <c r="Q197">
        <v>14762.630349999999</v>
      </c>
      <c r="R197">
        <v>164710.4179</v>
      </c>
    </row>
    <row r="198" spans="1:18" x14ac:dyDescent="0.2">
      <c r="B198" t="s">
        <v>0</v>
      </c>
      <c r="C198" t="s">
        <v>1</v>
      </c>
      <c r="D198">
        <v>0</v>
      </c>
      <c r="E198">
        <v>1</v>
      </c>
      <c r="F198">
        <v>2</v>
      </c>
      <c r="G198">
        <v>3</v>
      </c>
      <c r="H198">
        <v>4</v>
      </c>
      <c r="I198">
        <v>5</v>
      </c>
      <c r="J198">
        <v>6</v>
      </c>
      <c r="K198">
        <v>7</v>
      </c>
      <c r="L198">
        <v>8</v>
      </c>
      <c r="M198">
        <v>9</v>
      </c>
      <c r="N198">
        <v>10</v>
      </c>
      <c r="O198">
        <v>11</v>
      </c>
      <c r="P198">
        <v>12</v>
      </c>
      <c r="Q198">
        <v>13</v>
      </c>
      <c r="R198">
        <v>14</v>
      </c>
    </row>
    <row r="199" spans="1:18" x14ac:dyDescent="0.2">
      <c r="A199">
        <v>5</v>
      </c>
      <c r="B199" t="s">
        <v>46</v>
      </c>
      <c r="C199" t="s">
        <v>47</v>
      </c>
      <c r="D199">
        <v>151609.86290000001</v>
      </c>
      <c r="E199">
        <v>586101.10129999998</v>
      </c>
      <c r="F199">
        <v>1125607.946</v>
      </c>
      <c r="G199">
        <v>308905.54320000001</v>
      </c>
      <c r="H199">
        <v>149879.6819</v>
      </c>
      <c r="I199">
        <v>39860.753199999999</v>
      </c>
      <c r="J199">
        <v>28573.417659999999</v>
      </c>
      <c r="K199">
        <v>73252.625400000004</v>
      </c>
      <c r="L199">
        <v>113664.4218</v>
      </c>
      <c r="M199">
        <v>164830.60440000001</v>
      </c>
      <c r="N199">
        <v>19108.474020000001</v>
      </c>
      <c r="O199">
        <v>1331582.6270000001</v>
      </c>
      <c r="P199">
        <v>92040.04376</v>
      </c>
      <c r="Q199">
        <v>84878.454329999993</v>
      </c>
      <c r="R199">
        <v>926113.28229999996</v>
      </c>
    </row>
    <row r="200" spans="1:18" x14ac:dyDescent="0.2">
      <c r="A200">
        <v>16</v>
      </c>
      <c r="B200" t="s">
        <v>68</v>
      </c>
      <c r="C200" t="s">
        <v>47</v>
      </c>
      <c r="D200">
        <v>244486.42610000001</v>
      </c>
      <c r="E200">
        <v>435762.413</v>
      </c>
      <c r="F200">
        <v>1004091.091</v>
      </c>
      <c r="G200">
        <v>327055.3175</v>
      </c>
      <c r="H200">
        <v>145461.10999999999</v>
      </c>
      <c r="I200">
        <v>31563.476480000001</v>
      </c>
      <c r="J200">
        <v>25100.13696</v>
      </c>
      <c r="K200">
        <v>56856.386010000002</v>
      </c>
      <c r="L200">
        <v>82482.815170000002</v>
      </c>
      <c r="M200">
        <v>130691.77650000001</v>
      </c>
      <c r="N200">
        <v>14898.19723</v>
      </c>
      <c r="O200">
        <v>1121440.666</v>
      </c>
      <c r="P200">
        <v>92480.557130000001</v>
      </c>
      <c r="Q200">
        <v>92614.848989999999</v>
      </c>
      <c r="R200">
        <v>782218.9436</v>
      </c>
    </row>
    <row r="201" spans="1:18" x14ac:dyDescent="0.2">
      <c r="A201">
        <v>27</v>
      </c>
      <c r="B201" t="s">
        <v>89</v>
      </c>
      <c r="C201" t="s">
        <v>47</v>
      </c>
      <c r="D201">
        <v>331609.35769999999</v>
      </c>
      <c r="E201">
        <v>470051.24320000003</v>
      </c>
      <c r="F201">
        <v>1005014.002</v>
      </c>
      <c r="G201">
        <v>428224.00410000002</v>
      </c>
      <c r="H201">
        <v>151531.0508</v>
      </c>
      <c r="I201">
        <v>34729.731339999998</v>
      </c>
      <c r="J201">
        <v>26998.19239</v>
      </c>
      <c r="K201">
        <v>62046.0288</v>
      </c>
      <c r="L201">
        <v>94224.475179999994</v>
      </c>
      <c r="M201">
        <v>131366.0779</v>
      </c>
      <c r="N201">
        <v>15955.16516</v>
      </c>
      <c r="O201">
        <v>1261015.037</v>
      </c>
      <c r="P201">
        <v>91945.278430000006</v>
      </c>
      <c r="Q201">
        <v>82806.868430000002</v>
      </c>
      <c r="R201">
        <v>803980.11069999996</v>
      </c>
    </row>
    <row r="202" spans="1:18" x14ac:dyDescent="0.2">
      <c r="A202">
        <v>38</v>
      </c>
      <c r="B202" t="s">
        <v>110</v>
      </c>
      <c r="C202" t="s">
        <v>47</v>
      </c>
      <c r="D202">
        <v>235887.0018</v>
      </c>
      <c r="E202">
        <v>527728.73569999996</v>
      </c>
      <c r="F202">
        <v>1120365.416</v>
      </c>
      <c r="G202">
        <v>359927.01679999998</v>
      </c>
      <c r="H202">
        <v>143958.0246</v>
      </c>
      <c r="I202">
        <v>37111.987379999999</v>
      </c>
      <c r="J202">
        <v>24864.963169999999</v>
      </c>
      <c r="K202">
        <v>67666.592139999993</v>
      </c>
      <c r="L202">
        <v>103242.0037</v>
      </c>
      <c r="M202">
        <v>156553.8952</v>
      </c>
      <c r="N202">
        <v>17019.47596</v>
      </c>
      <c r="O202">
        <v>1319208.74</v>
      </c>
      <c r="P202">
        <v>79819.34547</v>
      </c>
      <c r="Q202">
        <v>82025.897899999996</v>
      </c>
      <c r="R202">
        <v>870572.21039999998</v>
      </c>
    </row>
    <row r="203" spans="1:18" x14ac:dyDescent="0.2">
      <c r="A203">
        <v>49</v>
      </c>
      <c r="B203" t="s">
        <v>131</v>
      </c>
      <c r="C203" t="s">
        <v>47</v>
      </c>
      <c r="D203">
        <v>338018.3504</v>
      </c>
      <c r="E203">
        <v>519451.47369999997</v>
      </c>
      <c r="F203">
        <v>1022757.084</v>
      </c>
      <c r="G203">
        <v>451648.37359999999</v>
      </c>
      <c r="H203">
        <v>178013.51180000001</v>
      </c>
      <c r="I203">
        <v>36761.450929999999</v>
      </c>
      <c r="J203">
        <v>27119.84247</v>
      </c>
      <c r="K203">
        <v>60373.451560000001</v>
      </c>
      <c r="L203">
        <v>93821.664390000005</v>
      </c>
      <c r="M203">
        <v>138362.9283</v>
      </c>
      <c r="N203">
        <v>16185.48013</v>
      </c>
      <c r="O203">
        <v>1256208.0870000001</v>
      </c>
      <c r="P203">
        <v>77432.182320000007</v>
      </c>
      <c r="Q203">
        <v>85060.880520000006</v>
      </c>
      <c r="R203">
        <v>812332.75840000005</v>
      </c>
    </row>
    <row r="204" spans="1:18" x14ac:dyDescent="0.2">
      <c r="A204">
        <v>60</v>
      </c>
      <c r="B204" t="s">
        <v>152</v>
      </c>
      <c r="C204" t="s">
        <v>47</v>
      </c>
      <c r="D204">
        <v>251208.5759</v>
      </c>
      <c r="E204">
        <v>517609.35460000002</v>
      </c>
      <c r="F204">
        <v>1084418.1029999999</v>
      </c>
      <c r="G204">
        <v>365344.7671</v>
      </c>
      <c r="H204">
        <v>25752.584510000001</v>
      </c>
      <c r="I204">
        <v>9559.3168530000003</v>
      </c>
      <c r="J204">
        <v>26278.762719999999</v>
      </c>
      <c r="K204">
        <v>66147.876390000005</v>
      </c>
      <c r="L204">
        <v>96265.314490000004</v>
      </c>
      <c r="M204">
        <v>150120.09409999999</v>
      </c>
      <c r="N204">
        <v>17450.09575</v>
      </c>
      <c r="O204">
        <v>1304868.827</v>
      </c>
      <c r="P204">
        <v>82107.033630000005</v>
      </c>
      <c r="Q204">
        <v>83784.294760000004</v>
      </c>
      <c r="R204">
        <v>860769.26249999995</v>
      </c>
    </row>
    <row r="205" spans="1:18" x14ac:dyDescent="0.2">
      <c r="A205">
        <v>101</v>
      </c>
      <c r="B205" t="s">
        <v>233</v>
      </c>
      <c r="C205" t="s">
        <v>47</v>
      </c>
      <c r="D205">
        <v>197676.1441</v>
      </c>
      <c r="E205">
        <v>427530.10700000002</v>
      </c>
      <c r="F205">
        <v>980326.58680000005</v>
      </c>
      <c r="G205">
        <v>283450.58439999999</v>
      </c>
      <c r="H205">
        <v>133231.1967</v>
      </c>
      <c r="I205">
        <v>30671.91473</v>
      </c>
      <c r="J205">
        <v>22675.299569999999</v>
      </c>
      <c r="K205">
        <v>57235.58367</v>
      </c>
      <c r="L205">
        <v>113208.4872</v>
      </c>
      <c r="M205">
        <v>133620.8075</v>
      </c>
      <c r="N205">
        <v>15212.746370000001</v>
      </c>
      <c r="O205">
        <v>1177048.3899999999</v>
      </c>
      <c r="P205">
        <v>82380.436379999999</v>
      </c>
      <c r="Q205">
        <v>113770.2792</v>
      </c>
      <c r="R205">
        <v>752421.71869999997</v>
      </c>
    </row>
    <row r="206" spans="1:18" x14ac:dyDescent="0.2">
      <c r="A206">
        <v>112</v>
      </c>
      <c r="B206" t="s">
        <v>254</v>
      </c>
      <c r="C206" t="s">
        <v>47</v>
      </c>
      <c r="D206">
        <v>207506.98740000001</v>
      </c>
      <c r="E206">
        <v>453102.79350000003</v>
      </c>
      <c r="F206">
        <v>966662.28980000003</v>
      </c>
      <c r="G206">
        <v>300908.32579999999</v>
      </c>
      <c r="H206">
        <v>134969.58799999999</v>
      </c>
      <c r="I206">
        <v>33993.832060000001</v>
      </c>
      <c r="J206">
        <v>25015.694469999999</v>
      </c>
      <c r="K206">
        <v>57925.939720000002</v>
      </c>
      <c r="L206">
        <v>85749.509300000005</v>
      </c>
      <c r="M206">
        <v>131128.26250000001</v>
      </c>
      <c r="N206">
        <v>14779.404210000001</v>
      </c>
      <c r="O206">
        <v>1196858.4450000001</v>
      </c>
      <c r="P206">
        <v>84222.84736</v>
      </c>
      <c r="Q206">
        <v>75474.174039999998</v>
      </c>
      <c r="R206">
        <v>769399.7084</v>
      </c>
    </row>
    <row r="207" spans="1:18" x14ac:dyDescent="0.2">
      <c r="A207">
        <v>123</v>
      </c>
      <c r="B207" t="s">
        <v>275</v>
      </c>
      <c r="C207" t="s">
        <v>47</v>
      </c>
      <c r="D207">
        <v>235901.76930000001</v>
      </c>
      <c r="E207">
        <v>555961.63089999999</v>
      </c>
      <c r="F207">
        <v>1152435.7339999999</v>
      </c>
      <c r="G207">
        <v>351944.79399999999</v>
      </c>
      <c r="H207">
        <v>158098.1532</v>
      </c>
      <c r="I207">
        <v>40706.763570000003</v>
      </c>
      <c r="J207">
        <v>27971.555100000001</v>
      </c>
      <c r="K207">
        <v>70167.906489999994</v>
      </c>
      <c r="L207">
        <v>94365.569239999997</v>
      </c>
      <c r="M207">
        <v>150786.46040000001</v>
      </c>
      <c r="N207">
        <v>18238.476320000002</v>
      </c>
      <c r="O207">
        <v>1331759.1070000001</v>
      </c>
      <c r="P207">
        <v>93137.539260000005</v>
      </c>
      <c r="Q207">
        <v>87200.010370000004</v>
      </c>
      <c r="R207">
        <v>924963.18920000002</v>
      </c>
    </row>
    <row r="208" spans="1:18" x14ac:dyDescent="0.2">
      <c r="A208">
        <v>134</v>
      </c>
      <c r="B208" t="s">
        <v>296</v>
      </c>
      <c r="C208" t="s">
        <v>47</v>
      </c>
      <c r="D208">
        <v>253860.43410000001</v>
      </c>
      <c r="E208">
        <v>508002.00559999997</v>
      </c>
      <c r="F208">
        <v>1068549.2439999999</v>
      </c>
      <c r="G208">
        <v>337945.69910000003</v>
      </c>
      <c r="H208">
        <v>172597.0478</v>
      </c>
      <c r="I208">
        <v>36579.23833</v>
      </c>
      <c r="J208">
        <v>26800.842850000001</v>
      </c>
      <c r="K208">
        <v>62776.576719999997</v>
      </c>
      <c r="L208">
        <v>91025.707250000007</v>
      </c>
      <c r="M208">
        <v>140204.36989999999</v>
      </c>
      <c r="N208">
        <v>16528.072110000001</v>
      </c>
      <c r="O208">
        <v>1284083.2050000001</v>
      </c>
      <c r="P208">
        <v>87789.137239999996</v>
      </c>
      <c r="Q208">
        <v>85238.030960000004</v>
      </c>
      <c r="R208">
        <v>851456.56370000006</v>
      </c>
    </row>
    <row r="209" spans="1:18" x14ac:dyDescent="0.2">
      <c r="A209">
        <v>145</v>
      </c>
      <c r="B209" t="s">
        <v>317</v>
      </c>
      <c r="C209" t="s">
        <v>47</v>
      </c>
      <c r="D209">
        <v>258380.2677</v>
      </c>
      <c r="E209">
        <v>589027.06570000004</v>
      </c>
      <c r="F209">
        <v>1063499.034</v>
      </c>
      <c r="G209">
        <v>359309.81349999999</v>
      </c>
      <c r="H209">
        <v>166201.77489999999</v>
      </c>
      <c r="I209">
        <v>39996.91777</v>
      </c>
      <c r="J209">
        <v>30599.65136</v>
      </c>
      <c r="K209">
        <v>70064.700930000006</v>
      </c>
      <c r="L209">
        <v>105710.8098</v>
      </c>
      <c r="M209">
        <v>157030.23749999999</v>
      </c>
      <c r="N209">
        <v>18438.8102</v>
      </c>
      <c r="O209">
        <v>1374695.5249999999</v>
      </c>
      <c r="P209">
        <v>96066.756219999996</v>
      </c>
      <c r="Q209">
        <v>91941.713879999996</v>
      </c>
      <c r="R209">
        <v>907518.56669999997</v>
      </c>
    </row>
    <row r="210" spans="1:18" x14ac:dyDescent="0.2">
      <c r="A210">
        <v>156</v>
      </c>
      <c r="B210" t="s">
        <v>338</v>
      </c>
      <c r="C210" t="s">
        <v>47</v>
      </c>
      <c r="D210">
        <v>234936.69760000001</v>
      </c>
      <c r="E210">
        <v>458735.70799999998</v>
      </c>
      <c r="F210">
        <v>958024.83100000001</v>
      </c>
      <c r="G210">
        <v>320504.07459999999</v>
      </c>
      <c r="H210">
        <v>138383.31959999999</v>
      </c>
      <c r="I210">
        <v>31560.522150000001</v>
      </c>
      <c r="J210">
        <v>24664.910899999999</v>
      </c>
      <c r="K210">
        <v>58375.867080000004</v>
      </c>
      <c r="L210">
        <v>84453.625419999997</v>
      </c>
      <c r="M210">
        <v>126319.3232</v>
      </c>
      <c r="N210">
        <v>15409.95694</v>
      </c>
      <c r="O210">
        <v>1196548.9029999999</v>
      </c>
      <c r="P210">
        <v>81193.017659999998</v>
      </c>
      <c r="Q210">
        <v>77357.684670000002</v>
      </c>
      <c r="R210">
        <v>793597.52729999996</v>
      </c>
    </row>
    <row r="211" spans="1:18" x14ac:dyDescent="0.2">
      <c r="A211">
        <v>177</v>
      </c>
      <c r="B211" t="s">
        <v>379</v>
      </c>
      <c r="C211" t="s">
        <v>47</v>
      </c>
      <c r="D211">
        <v>267551.67570000002</v>
      </c>
      <c r="E211">
        <v>640647.58880000003</v>
      </c>
      <c r="F211">
        <v>1149944.7690000001</v>
      </c>
      <c r="G211">
        <v>402796.17570000002</v>
      </c>
      <c r="H211">
        <v>169947.0912</v>
      </c>
      <c r="I211">
        <v>43412.36176</v>
      </c>
      <c r="J211">
        <v>30704.067230000001</v>
      </c>
      <c r="K211">
        <v>76035.158360000001</v>
      </c>
      <c r="L211">
        <v>120327.2012</v>
      </c>
      <c r="M211">
        <v>175627.3186</v>
      </c>
      <c r="N211">
        <v>18979.008300000001</v>
      </c>
      <c r="O211">
        <v>1402819.327</v>
      </c>
      <c r="P211">
        <v>102750.4964</v>
      </c>
      <c r="Q211">
        <v>102125.83229999999</v>
      </c>
      <c r="R211">
        <v>923868.83649999998</v>
      </c>
    </row>
    <row r="212" spans="1:18" x14ac:dyDescent="0.2">
      <c r="A212">
        <v>188</v>
      </c>
      <c r="B212" t="s">
        <v>400</v>
      </c>
      <c r="C212" t="s">
        <v>47</v>
      </c>
      <c r="D212">
        <v>238340.36290000001</v>
      </c>
      <c r="E212">
        <v>487522.69569999998</v>
      </c>
      <c r="F212">
        <v>1118815.2509999999</v>
      </c>
      <c r="G212">
        <v>323207.41830000002</v>
      </c>
      <c r="H212">
        <v>134663.4492</v>
      </c>
      <c r="I212">
        <v>33391.655319999998</v>
      </c>
      <c r="J212">
        <v>24853.15148</v>
      </c>
      <c r="K212">
        <v>62326.310790000003</v>
      </c>
      <c r="L212">
        <v>91255.965460000007</v>
      </c>
      <c r="M212">
        <v>137671.1458</v>
      </c>
      <c r="N212">
        <v>15470.854810000001</v>
      </c>
      <c r="O212">
        <v>1257247.8659999999</v>
      </c>
      <c r="P212">
        <v>83687.960869999995</v>
      </c>
      <c r="Q212">
        <v>84440.424929999994</v>
      </c>
      <c r="R212">
        <v>835699.67429999996</v>
      </c>
    </row>
    <row r="213" spans="1:18" x14ac:dyDescent="0.2">
      <c r="A213">
        <v>199</v>
      </c>
      <c r="B213" t="s">
        <v>421</v>
      </c>
      <c r="C213" t="s">
        <v>47</v>
      </c>
      <c r="D213">
        <v>229889.6538</v>
      </c>
      <c r="E213">
        <v>464090.13219999999</v>
      </c>
      <c r="F213">
        <v>913848.55299999996</v>
      </c>
      <c r="G213">
        <v>317494.35230000003</v>
      </c>
      <c r="H213">
        <v>145564.62839999999</v>
      </c>
      <c r="I213">
        <v>34474.376479999999</v>
      </c>
      <c r="J213">
        <v>24462.07058</v>
      </c>
      <c r="K213">
        <v>59351.390979999996</v>
      </c>
      <c r="L213">
        <v>87871.966480000003</v>
      </c>
      <c r="M213">
        <v>135376.82490000001</v>
      </c>
      <c r="N213">
        <v>15514.791429999999</v>
      </c>
      <c r="O213">
        <v>1225575.834</v>
      </c>
      <c r="P213">
        <v>81709.429380000001</v>
      </c>
      <c r="Q213">
        <v>83248.428350000002</v>
      </c>
      <c r="R213">
        <v>764650.03940000001</v>
      </c>
    </row>
    <row r="214" spans="1:18" x14ac:dyDescent="0.2">
      <c r="A214">
        <v>210</v>
      </c>
      <c r="B214" t="s">
        <v>442</v>
      </c>
      <c r="C214" t="s">
        <v>47</v>
      </c>
      <c r="D214">
        <v>241187.39660000001</v>
      </c>
      <c r="E214">
        <v>506959.49099999998</v>
      </c>
      <c r="F214">
        <v>1086110.196</v>
      </c>
      <c r="G214">
        <v>326861.14929999999</v>
      </c>
      <c r="H214">
        <v>152138.22500000001</v>
      </c>
      <c r="I214">
        <v>36066.892070000002</v>
      </c>
      <c r="J214">
        <v>27430.50203</v>
      </c>
      <c r="K214">
        <v>65630.815979999999</v>
      </c>
      <c r="L214">
        <v>105770.9489</v>
      </c>
      <c r="M214">
        <v>149670.42850000001</v>
      </c>
      <c r="N214">
        <v>17410.90093</v>
      </c>
      <c r="O214">
        <v>1269411.2479999999</v>
      </c>
      <c r="P214">
        <v>91784.723079999996</v>
      </c>
      <c r="Q214">
        <v>86771.010030000005</v>
      </c>
      <c r="R214">
        <v>860743.82799999998</v>
      </c>
    </row>
    <row r="215" spans="1:18" x14ac:dyDescent="0.2">
      <c r="A215" t="s">
        <v>2</v>
      </c>
      <c r="D215" t="s">
        <v>3</v>
      </c>
      <c r="E215" t="s">
        <v>4</v>
      </c>
      <c r="F215" t="s">
        <v>5</v>
      </c>
      <c r="G215" t="s">
        <v>6</v>
      </c>
      <c r="H215" t="s">
        <v>7</v>
      </c>
      <c r="I215" t="s">
        <v>8</v>
      </c>
      <c r="J215" t="s">
        <v>9</v>
      </c>
      <c r="K215" t="s">
        <v>10</v>
      </c>
      <c r="L215" t="s">
        <v>11</v>
      </c>
      <c r="M215" t="s">
        <v>12</v>
      </c>
      <c r="N215" t="s">
        <v>13</v>
      </c>
      <c r="O215" t="s">
        <v>14</v>
      </c>
      <c r="P215" t="s">
        <v>15</v>
      </c>
      <c r="Q215" t="s">
        <v>16</v>
      </c>
      <c r="R215" t="s">
        <v>17</v>
      </c>
    </row>
    <row r="216" spans="1:18" x14ac:dyDescent="0.2">
      <c r="A216" t="s">
        <v>18</v>
      </c>
      <c r="D216" t="s">
        <v>19</v>
      </c>
      <c r="E216" t="s">
        <v>20</v>
      </c>
      <c r="F216" t="s">
        <v>21</v>
      </c>
      <c r="G216" t="s">
        <v>22</v>
      </c>
      <c r="H216" t="s">
        <v>23</v>
      </c>
      <c r="I216" t="s">
        <v>24</v>
      </c>
      <c r="J216" t="s">
        <v>25</v>
      </c>
      <c r="K216" t="s">
        <v>26</v>
      </c>
      <c r="L216" t="s">
        <v>27</v>
      </c>
      <c r="M216" t="s">
        <v>28</v>
      </c>
      <c r="N216" t="s">
        <v>29</v>
      </c>
      <c r="O216" t="s">
        <v>30</v>
      </c>
      <c r="P216" t="s">
        <v>31</v>
      </c>
      <c r="Q216" t="s">
        <v>32</v>
      </c>
      <c r="R216" t="s">
        <v>33</v>
      </c>
    </row>
    <row r="217" spans="1:18" x14ac:dyDescent="0.2">
      <c r="A217" t="s">
        <v>34</v>
      </c>
      <c r="D217">
        <v>363.67867649999999</v>
      </c>
      <c r="E217">
        <v>328.8112711</v>
      </c>
      <c r="F217">
        <v>362.34331580000003</v>
      </c>
      <c r="G217">
        <v>373.61884240000001</v>
      </c>
      <c r="H217">
        <v>57.443992090000002</v>
      </c>
      <c r="I217">
        <v>64.91437182</v>
      </c>
      <c r="J217">
        <v>89.650417590000004</v>
      </c>
      <c r="K217">
        <v>346.33530710000002</v>
      </c>
      <c r="L217">
        <v>360.41901369999999</v>
      </c>
      <c r="M217">
        <v>362.77344160000001</v>
      </c>
      <c r="N217">
        <v>251.9733602</v>
      </c>
      <c r="O217">
        <v>343.75430990000001</v>
      </c>
      <c r="P217">
        <v>77.912491090000003</v>
      </c>
      <c r="Q217">
        <v>89.708482279999998</v>
      </c>
      <c r="R217">
        <v>367.27214789999999</v>
      </c>
    </row>
    <row r="218" spans="1:18" x14ac:dyDescent="0.2">
      <c r="A218" t="s">
        <v>35</v>
      </c>
      <c r="D218">
        <v>203.1505578</v>
      </c>
      <c r="E218">
        <v>162.11318270000001</v>
      </c>
      <c r="F218">
        <v>188.17672880000001</v>
      </c>
      <c r="G218">
        <v>189.1604834</v>
      </c>
      <c r="H218">
        <v>181.0728373</v>
      </c>
      <c r="I218">
        <v>123.05583489999999</v>
      </c>
      <c r="J218">
        <v>177.1026158</v>
      </c>
      <c r="K218">
        <v>176.10375020000001</v>
      </c>
      <c r="L218">
        <v>175.11950110000001</v>
      </c>
      <c r="M218">
        <v>147.11341289999999</v>
      </c>
      <c r="N218">
        <v>312.21664659999999</v>
      </c>
      <c r="O218">
        <v>265.11275239999998</v>
      </c>
      <c r="P218">
        <v>153.06644800000001</v>
      </c>
      <c r="Q218">
        <v>151.06155459999999</v>
      </c>
      <c r="R218">
        <v>287.2449211</v>
      </c>
    </row>
  </sheetData>
  <sortState xmlns:xlrd2="http://schemas.microsoft.com/office/spreadsheetml/2017/richdata2" ref="A1:R218">
    <sortCondition ref="C6:C218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C198"/>
  <sheetViews>
    <sheetView topLeftCell="B1" workbookViewId="0">
      <pane ySplit="1" topLeftCell="A106" activePane="bottomLeft" state="frozen"/>
      <selection pane="bottomLeft" activeCell="O132" sqref="O132:AC132"/>
    </sheetView>
  </sheetViews>
  <sheetFormatPr baseColWidth="10" defaultRowHeight="16" x14ac:dyDescent="0.2"/>
  <sheetData>
    <row r="1" spans="1:29" x14ac:dyDescent="0.2">
      <c r="A1" t="s">
        <v>667</v>
      </c>
      <c r="B1" t="s">
        <v>668</v>
      </c>
      <c r="C1" t="s">
        <v>669</v>
      </c>
      <c r="D1" t="s">
        <v>670</v>
      </c>
      <c r="E1" t="s">
        <v>671</v>
      </c>
      <c r="F1" t="s">
        <v>672</v>
      </c>
      <c r="G1" t="s">
        <v>673</v>
      </c>
      <c r="H1" t="s">
        <v>674</v>
      </c>
      <c r="I1" t="s">
        <v>675</v>
      </c>
      <c r="J1" t="s">
        <v>676</v>
      </c>
      <c r="K1" t="s">
        <v>677</v>
      </c>
      <c r="L1" t="s">
        <v>678</v>
      </c>
      <c r="M1" t="s">
        <v>679</v>
      </c>
      <c r="O1" t="s">
        <v>3</v>
      </c>
      <c r="P1" t="s">
        <v>4</v>
      </c>
      <c r="Q1" t="s">
        <v>5</v>
      </c>
      <c r="R1" t="s">
        <v>6</v>
      </c>
      <c r="S1" t="s">
        <v>7</v>
      </c>
      <c r="T1" t="s">
        <v>8</v>
      </c>
      <c r="U1" t="s">
        <v>9</v>
      </c>
      <c r="V1" t="s">
        <v>10</v>
      </c>
      <c r="W1" t="s">
        <v>11</v>
      </c>
      <c r="X1" t="s">
        <v>12</v>
      </c>
      <c r="Y1" t="s">
        <v>13</v>
      </c>
      <c r="Z1" t="s">
        <v>14</v>
      </c>
      <c r="AA1" t="s">
        <v>15</v>
      </c>
      <c r="AB1" t="s">
        <v>16</v>
      </c>
      <c r="AC1" t="s">
        <v>17</v>
      </c>
    </row>
    <row r="2" spans="1:29" x14ac:dyDescent="0.2">
      <c r="A2" s="1" t="s">
        <v>447</v>
      </c>
      <c r="B2" s="1" t="s">
        <v>133</v>
      </c>
      <c r="C2" s="1" t="s">
        <v>448</v>
      </c>
      <c r="D2" s="1" t="s">
        <v>449</v>
      </c>
      <c r="E2" s="1" t="s">
        <v>450</v>
      </c>
      <c r="F2" s="3">
        <v>36363</v>
      </c>
      <c r="G2" s="3">
        <v>43210</v>
      </c>
      <c r="H2" s="1">
        <v>18</v>
      </c>
      <c r="I2" s="1">
        <v>1</v>
      </c>
      <c r="J2" s="1" t="s">
        <v>451</v>
      </c>
      <c r="K2" s="1">
        <v>200</v>
      </c>
      <c r="L2" s="1" t="s">
        <v>450</v>
      </c>
      <c r="M2" t="str">
        <f>IF(B2=N2,"TRUE","FALSE")</f>
        <v>TRUE</v>
      </c>
      <c r="N2" t="s">
        <v>133</v>
      </c>
      <c r="O2">
        <v>210836.62700000001</v>
      </c>
      <c r="P2">
        <v>24161.565549999999</v>
      </c>
      <c r="Q2">
        <v>429323.78090000001</v>
      </c>
      <c r="R2">
        <v>166098.82250000001</v>
      </c>
      <c r="S2">
        <v>47694.041190000004</v>
      </c>
      <c r="T2">
        <v>5962.5990579999998</v>
      </c>
      <c r="U2">
        <v>1910.045147</v>
      </c>
      <c r="V2">
        <v>8517.2445389999993</v>
      </c>
      <c r="W2">
        <v>57626.917520000003</v>
      </c>
      <c r="X2">
        <v>34916.670859999998</v>
      </c>
      <c r="Y2">
        <v>2684.5903239999998</v>
      </c>
      <c r="Z2">
        <v>246649.10769999999</v>
      </c>
      <c r="AA2">
        <v>42165.291980000002</v>
      </c>
      <c r="AB2">
        <v>30404.01226</v>
      </c>
      <c r="AC2">
        <v>100302.06849999999</v>
      </c>
    </row>
    <row r="3" spans="1:29" x14ac:dyDescent="0.2">
      <c r="A3" s="1" t="s">
        <v>452</v>
      </c>
      <c r="B3" s="1" t="s">
        <v>99</v>
      </c>
      <c r="C3" s="1" t="s">
        <v>453</v>
      </c>
      <c r="D3" s="1" t="s">
        <v>454</v>
      </c>
      <c r="E3" s="1" t="s">
        <v>455</v>
      </c>
      <c r="F3" s="3">
        <v>21294</v>
      </c>
      <c r="G3" s="3">
        <v>43210</v>
      </c>
      <c r="H3" s="1">
        <v>60</v>
      </c>
      <c r="I3" s="1">
        <v>1</v>
      </c>
      <c r="J3" s="1" t="s">
        <v>456</v>
      </c>
      <c r="K3" s="1">
        <v>1269</v>
      </c>
      <c r="L3" s="1">
        <v>8</v>
      </c>
      <c r="M3" t="str">
        <f t="shared" ref="M3:M66" si="0">IF(B3=N3,"TRUE","FALSE")</f>
        <v>TRUE</v>
      </c>
      <c r="N3" t="s">
        <v>99</v>
      </c>
      <c r="O3">
        <v>206061.19820000001</v>
      </c>
      <c r="P3">
        <v>43380.917119999998</v>
      </c>
      <c r="Q3">
        <v>222643.26939999999</v>
      </c>
      <c r="R3">
        <v>442669.17570000002</v>
      </c>
      <c r="S3">
        <v>78751.114719999998</v>
      </c>
      <c r="T3">
        <v>7621.2872040000002</v>
      </c>
      <c r="U3">
        <v>4643.9089309999999</v>
      </c>
      <c r="V3">
        <v>24035.492160000002</v>
      </c>
      <c r="W3">
        <v>9037.9884349999993</v>
      </c>
      <c r="X3">
        <v>14518.719950000001</v>
      </c>
      <c r="Y3">
        <v>2170.8456729999998</v>
      </c>
      <c r="Z3">
        <v>46535.149700000002</v>
      </c>
      <c r="AA3">
        <v>65097.070650000001</v>
      </c>
      <c r="AB3">
        <v>23557.566760000002</v>
      </c>
      <c r="AC3">
        <v>108104.6315</v>
      </c>
    </row>
    <row r="4" spans="1:29" x14ac:dyDescent="0.2">
      <c r="A4" s="1" t="s">
        <v>457</v>
      </c>
      <c r="B4" s="1" t="s">
        <v>308</v>
      </c>
      <c r="C4" s="1" t="s">
        <v>453</v>
      </c>
      <c r="D4" s="1" t="s">
        <v>454</v>
      </c>
      <c r="E4" s="1" t="s">
        <v>455</v>
      </c>
      <c r="F4" s="3">
        <v>21589</v>
      </c>
      <c r="G4" s="3">
        <v>43291</v>
      </c>
      <c r="H4" s="1">
        <v>59</v>
      </c>
      <c r="I4" s="1">
        <v>1</v>
      </c>
      <c r="J4" s="1" t="s">
        <v>451</v>
      </c>
      <c r="K4" s="1">
        <v>3000</v>
      </c>
      <c r="L4" s="1">
        <v>9</v>
      </c>
      <c r="M4" t="str">
        <f t="shared" si="0"/>
        <v>TRUE</v>
      </c>
      <c r="N4" t="s">
        <v>308</v>
      </c>
      <c r="O4">
        <v>79982.828039999993</v>
      </c>
      <c r="P4">
        <v>938.31885639999996</v>
      </c>
      <c r="Q4">
        <v>222841.0576</v>
      </c>
      <c r="R4">
        <v>57371.503340000003</v>
      </c>
      <c r="S4">
        <v>7352.0578219999998</v>
      </c>
      <c r="T4">
        <v>29892.222470000001</v>
      </c>
      <c r="U4">
        <v>551.63103420000004</v>
      </c>
      <c r="V4">
        <v>35707.650560000002</v>
      </c>
      <c r="W4">
        <v>128398.59299999999</v>
      </c>
      <c r="X4">
        <v>62091.508070000003</v>
      </c>
      <c r="Y4">
        <v>1198.380709</v>
      </c>
      <c r="Z4">
        <v>10272.93355</v>
      </c>
      <c r="AA4">
        <v>12665.54385</v>
      </c>
      <c r="AB4">
        <v>13670.62162</v>
      </c>
      <c r="AC4">
        <v>502892.87310000003</v>
      </c>
    </row>
    <row r="5" spans="1:29" x14ac:dyDescent="0.2">
      <c r="A5" s="1" t="s">
        <v>458</v>
      </c>
      <c r="B5" s="1" t="s">
        <v>97</v>
      </c>
      <c r="C5" s="1" t="s">
        <v>448</v>
      </c>
      <c r="D5" s="1" t="s">
        <v>459</v>
      </c>
      <c r="E5" s="1" t="s">
        <v>450</v>
      </c>
      <c r="F5" s="3">
        <v>21741</v>
      </c>
      <c r="G5" s="3">
        <v>43297</v>
      </c>
      <c r="H5" s="1">
        <v>59</v>
      </c>
      <c r="I5" s="1">
        <v>1</v>
      </c>
      <c r="J5" s="1" t="s">
        <v>456</v>
      </c>
      <c r="K5" s="1">
        <v>289</v>
      </c>
      <c r="L5" s="1" t="s">
        <v>450</v>
      </c>
      <c r="M5" t="str">
        <f t="shared" si="0"/>
        <v>TRUE</v>
      </c>
      <c r="N5" t="s">
        <v>97</v>
      </c>
      <c r="O5">
        <v>103939.1036</v>
      </c>
      <c r="P5">
        <v>4472.1348479999997</v>
      </c>
      <c r="Q5">
        <v>206547.48699999999</v>
      </c>
      <c r="R5">
        <v>167366.10490000001</v>
      </c>
      <c r="S5">
        <v>51668.232989999997</v>
      </c>
      <c r="T5">
        <v>17275.223559999999</v>
      </c>
      <c r="U5">
        <v>1149.543363</v>
      </c>
      <c r="V5">
        <v>7708.5577640000001</v>
      </c>
      <c r="W5">
        <v>29127.293180000001</v>
      </c>
      <c r="X5">
        <v>10071.594279999999</v>
      </c>
      <c r="Y5">
        <v>1125.7673050000001</v>
      </c>
      <c r="Z5">
        <v>33767.196300000003</v>
      </c>
      <c r="AA5">
        <v>39385.802609999999</v>
      </c>
      <c r="AB5">
        <v>15505.36579</v>
      </c>
      <c r="AC5">
        <v>145542.41519999999</v>
      </c>
    </row>
    <row r="6" spans="1:29" x14ac:dyDescent="0.2">
      <c r="A6" s="1" t="s">
        <v>460</v>
      </c>
      <c r="B6" s="1" t="s">
        <v>74</v>
      </c>
      <c r="C6" s="1" t="s">
        <v>453</v>
      </c>
      <c r="D6" s="1" t="s">
        <v>461</v>
      </c>
      <c r="E6" s="1" t="s">
        <v>462</v>
      </c>
      <c r="F6" s="3">
        <v>30401</v>
      </c>
      <c r="G6" s="3">
        <v>43300</v>
      </c>
      <c r="H6" s="1">
        <v>35</v>
      </c>
      <c r="I6" s="1">
        <v>1</v>
      </c>
      <c r="J6" s="1" t="s">
        <v>451</v>
      </c>
      <c r="K6" s="1">
        <v>250</v>
      </c>
      <c r="L6" s="1">
        <v>0</v>
      </c>
      <c r="M6" t="str">
        <f t="shared" si="0"/>
        <v>TRUE</v>
      </c>
      <c r="N6" t="s">
        <v>74</v>
      </c>
      <c r="O6">
        <v>186325.42319999999</v>
      </c>
      <c r="P6">
        <v>36918.847379999999</v>
      </c>
      <c r="Q6">
        <v>131716.08360000001</v>
      </c>
      <c r="R6">
        <v>159657.56469999999</v>
      </c>
      <c r="S6">
        <v>96187.646479999996</v>
      </c>
      <c r="T6">
        <v>10444.8297</v>
      </c>
      <c r="U6">
        <v>11058.554700000001</v>
      </c>
      <c r="V6">
        <v>5361.2462100000002</v>
      </c>
      <c r="W6">
        <v>22001.877509999998</v>
      </c>
      <c r="X6">
        <v>17563.395079999998</v>
      </c>
      <c r="Y6">
        <v>1863.2028849999999</v>
      </c>
      <c r="Z6">
        <v>60941.683140000001</v>
      </c>
      <c r="AA6">
        <v>92545.677729999996</v>
      </c>
      <c r="AB6">
        <v>23576.175759999998</v>
      </c>
      <c r="AC6">
        <v>80312.230739999999</v>
      </c>
    </row>
    <row r="7" spans="1:29" x14ac:dyDescent="0.2">
      <c r="A7" s="1" t="s">
        <v>463</v>
      </c>
      <c r="B7" s="1" t="s">
        <v>266</v>
      </c>
      <c r="C7" s="1" t="s">
        <v>464</v>
      </c>
      <c r="D7" s="1" t="s">
        <v>465</v>
      </c>
      <c r="E7" s="1" t="s">
        <v>455</v>
      </c>
      <c r="F7" s="3">
        <v>29526</v>
      </c>
      <c r="G7" s="3">
        <v>43301</v>
      </c>
      <c r="H7" s="1">
        <v>37</v>
      </c>
      <c r="I7" s="1">
        <v>1</v>
      </c>
      <c r="J7" s="1" t="s">
        <v>456</v>
      </c>
      <c r="K7" s="1">
        <v>70</v>
      </c>
      <c r="L7" s="1">
        <v>6</v>
      </c>
      <c r="M7" t="str">
        <f t="shared" si="0"/>
        <v>TRUE</v>
      </c>
      <c r="N7" t="s">
        <v>266</v>
      </c>
      <c r="O7">
        <v>82109.235000000001</v>
      </c>
      <c r="P7">
        <v>41848.22365</v>
      </c>
      <c r="Q7">
        <v>967104.78890000004</v>
      </c>
      <c r="R7">
        <v>69001.329740000001</v>
      </c>
      <c r="S7">
        <v>24791.354790000001</v>
      </c>
      <c r="T7">
        <v>5654.3052109999999</v>
      </c>
      <c r="U7">
        <v>2681.414436</v>
      </c>
      <c r="V7">
        <v>36578.377439999997</v>
      </c>
      <c r="W7">
        <v>15741.35872</v>
      </c>
      <c r="X7">
        <v>35991.152179999997</v>
      </c>
      <c r="Y7">
        <v>22443.801729999999</v>
      </c>
      <c r="Z7">
        <v>49271.046730000002</v>
      </c>
      <c r="AA7">
        <v>16323.66553</v>
      </c>
      <c r="AB7">
        <v>66453.764739999999</v>
      </c>
      <c r="AC7">
        <v>403329.34080000001</v>
      </c>
    </row>
    <row r="8" spans="1:29" x14ac:dyDescent="0.2">
      <c r="A8" s="1" t="s">
        <v>618</v>
      </c>
      <c r="B8" s="1" t="s">
        <v>287</v>
      </c>
      <c r="C8" s="1" t="s">
        <v>453</v>
      </c>
      <c r="D8" s="1" t="s">
        <v>461</v>
      </c>
      <c r="E8" s="1" t="s">
        <v>462</v>
      </c>
      <c r="F8" s="3">
        <v>32618</v>
      </c>
      <c r="G8" s="3">
        <v>43308</v>
      </c>
      <c r="H8" s="1">
        <v>29</v>
      </c>
      <c r="I8" s="1">
        <v>1</v>
      </c>
      <c r="J8" s="1" t="s">
        <v>451</v>
      </c>
      <c r="K8" s="1">
        <v>2826</v>
      </c>
      <c r="L8" s="1">
        <v>5</v>
      </c>
      <c r="M8" t="str">
        <f t="shared" si="0"/>
        <v>TRUE</v>
      </c>
      <c r="N8" t="s">
        <v>287</v>
      </c>
      <c r="O8">
        <v>55763.972130000002</v>
      </c>
      <c r="P8">
        <v>1518900.64</v>
      </c>
      <c r="Q8">
        <v>277404.1789</v>
      </c>
      <c r="R8">
        <v>50004.262640000001</v>
      </c>
      <c r="S8">
        <v>58872.798410000003</v>
      </c>
      <c r="T8">
        <v>8883.4321820000005</v>
      </c>
      <c r="U8">
        <v>2324.2585389999999</v>
      </c>
      <c r="V8">
        <v>51695.603710000003</v>
      </c>
      <c r="W8">
        <v>61849.987609999996</v>
      </c>
      <c r="X8">
        <v>111568.19319999999</v>
      </c>
      <c r="Y8">
        <v>3130.2666549999999</v>
      </c>
      <c r="Z8">
        <v>511532.9681</v>
      </c>
      <c r="AA8">
        <v>150779.35879999999</v>
      </c>
      <c r="AB8">
        <v>7858.4073580000004</v>
      </c>
      <c r="AC8">
        <v>75594.488329999993</v>
      </c>
    </row>
    <row r="9" spans="1:29" x14ac:dyDescent="0.2">
      <c r="A9" s="1" t="s">
        <v>468</v>
      </c>
      <c r="B9" s="1" t="s">
        <v>433</v>
      </c>
      <c r="C9" s="1" t="s">
        <v>448</v>
      </c>
      <c r="D9" s="1" t="s">
        <v>459</v>
      </c>
      <c r="E9" s="1" t="s">
        <v>450</v>
      </c>
      <c r="F9" s="3">
        <v>36594</v>
      </c>
      <c r="G9" s="3">
        <v>43320</v>
      </c>
      <c r="H9" s="1">
        <v>18</v>
      </c>
      <c r="I9" s="1">
        <v>1</v>
      </c>
      <c r="J9" s="1" t="s">
        <v>451</v>
      </c>
      <c r="K9" s="1">
        <v>133</v>
      </c>
      <c r="L9" s="1" t="s">
        <v>450</v>
      </c>
      <c r="M9" t="str">
        <f t="shared" si="0"/>
        <v>TRUE</v>
      </c>
      <c r="N9" t="s">
        <v>433</v>
      </c>
      <c r="O9">
        <v>160012.30489999999</v>
      </c>
      <c r="P9">
        <v>51404.358590000003</v>
      </c>
      <c r="Q9">
        <v>1054016.689</v>
      </c>
      <c r="R9">
        <v>64889.824930000002</v>
      </c>
      <c r="S9">
        <v>53300.115570000002</v>
      </c>
      <c r="T9">
        <v>3141.356217</v>
      </c>
      <c r="U9">
        <v>2455.883969</v>
      </c>
      <c r="V9">
        <v>19484.459019999998</v>
      </c>
      <c r="W9">
        <v>11287.22985</v>
      </c>
      <c r="X9">
        <v>22201.096020000001</v>
      </c>
      <c r="Y9">
        <v>2239.2410570000002</v>
      </c>
      <c r="Z9">
        <v>159321.0484</v>
      </c>
      <c r="AA9">
        <v>52478.636140000002</v>
      </c>
      <c r="AB9">
        <v>68697.8266</v>
      </c>
      <c r="AC9">
        <v>639904.59860000003</v>
      </c>
    </row>
    <row r="10" spans="1:29" x14ac:dyDescent="0.2">
      <c r="A10" s="1" t="s">
        <v>469</v>
      </c>
      <c r="B10" s="1" t="s">
        <v>381</v>
      </c>
      <c r="C10" s="1" t="s">
        <v>448</v>
      </c>
      <c r="D10" s="1" t="s">
        <v>459</v>
      </c>
      <c r="E10" s="1" t="s">
        <v>470</v>
      </c>
      <c r="F10" s="3">
        <v>32592</v>
      </c>
      <c r="G10" s="3">
        <v>43321</v>
      </c>
      <c r="H10" s="1">
        <v>29</v>
      </c>
      <c r="I10" s="1">
        <v>1</v>
      </c>
      <c r="J10" s="1" t="s">
        <v>451</v>
      </c>
      <c r="K10" s="1">
        <v>125</v>
      </c>
      <c r="L10" s="1" t="s">
        <v>450</v>
      </c>
      <c r="M10" t="str">
        <f t="shared" si="0"/>
        <v>TRUE</v>
      </c>
      <c r="N10" t="s">
        <v>381</v>
      </c>
      <c r="O10">
        <v>121204.67419999999</v>
      </c>
      <c r="P10">
        <v>76077.230280000003</v>
      </c>
      <c r="Q10">
        <v>617115.353</v>
      </c>
      <c r="R10">
        <v>348711.27659999998</v>
      </c>
      <c r="S10">
        <v>152842.32920000001</v>
      </c>
      <c r="T10">
        <v>5161.0543360000001</v>
      </c>
      <c r="U10">
        <v>2137.6646559999999</v>
      </c>
      <c r="V10">
        <v>7120.9796679999999</v>
      </c>
      <c r="W10">
        <v>14219.527249999999</v>
      </c>
      <c r="X10">
        <v>60586.305350000002</v>
      </c>
      <c r="Y10">
        <v>17505.69543</v>
      </c>
      <c r="Z10">
        <v>221353.4498</v>
      </c>
      <c r="AA10">
        <v>44643.430200000003</v>
      </c>
      <c r="AB10">
        <v>19310.816060000001</v>
      </c>
      <c r="AC10">
        <v>269413.45079999999</v>
      </c>
    </row>
    <row r="11" spans="1:29" x14ac:dyDescent="0.2">
      <c r="A11" s="1" t="s">
        <v>471</v>
      </c>
      <c r="B11" s="1" t="s">
        <v>55</v>
      </c>
      <c r="C11" s="1" t="s">
        <v>464</v>
      </c>
      <c r="D11" s="1" t="s">
        <v>465</v>
      </c>
      <c r="E11" s="1" t="s">
        <v>462</v>
      </c>
      <c r="F11" s="3">
        <v>32901</v>
      </c>
      <c r="G11" s="3">
        <v>43296</v>
      </c>
      <c r="H11" s="1">
        <v>28</v>
      </c>
      <c r="I11" s="1">
        <v>1</v>
      </c>
      <c r="J11" s="1" t="s">
        <v>451</v>
      </c>
      <c r="K11" s="1">
        <v>796</v>
      </c>
      <c r="L11" s="1">
        <v>6</v>
      </c>
      <c r="M11" t="str">
        <f t="shared" si="0"/>
        <v>TRUE</v>
      </c>
      <c r="N11" t="s">
        <v>55</v>
      </c>
      <c r="O11">
        <v>59277.854610000002</v>
      </c>
      <c r="P11">
        <v>160912.39290000001</v>
      </c>
      <c r="Q11">
        <v>138485.55290000001</v>
      </c>
      <c r="R11">
        <v>50875.789190000003</v>
      </c>
      <c r="S11">
        <v>45254.655680000003</v>
      </c>
      <c r="T11">
        <v>11405.658600000001</v>
      </c>
      <c r="U11">
        <v>4284.6046370000004</v>
      </c>
      <c r="V11">
        <v>9665.3309590000008</v>
      </c>
      <c r="W11">
        <v>9014.1255000000001</v>
      </c>
      <c r="X11">
        <v>25665.77765</v>
      </c>
      <c r="Y11">
        <v>1532.8359579999999</v>
      </c>
      <c r="Z11">
        <v>214871.2108</v>
      </c>
      <c r="AA11">
        <v>54070.144500000002</v>
      </c>
      <c r="AB11">
        <v>4857.7283710000002</v>
      </c>
      <c r="AC11">
        <v>37597.558440000001</v>
      </c>
    </row>
    <row r="12" spans="1:29" x14ac:dyDescent="0.2">
      <c r="A12" s="1" t="s">
        <v>649</v>
      </c>
      <c r="B12" s="1" t="s">
        <v>178</v>
      </c>
      <c r="C12" s="1" t="s">
        <v>453</v>
      </c>
      <c r="D12" s="1" t="s">
        <v>454</v>
      </c>
      <c r="E12" s="1" t="s">
        <v>462</v>
      </c>
      <c r="F12" s="3">
        <v>29445</v>
      </c>
      <c r="G12" s="3">
        <v>43329</v>
      </c>
      <c r="H12" s="1">
        <v>38</v>
      </c>
      <c r="I12" s="1">
        <v>1</v>
      </c>
      <c r="J12" s="1" t="s">
        <v>451</v>
      </c>
      <c r="K12" s="1">
        <v>2043</v>
      </c>
      <c r="L12" s="1">
        <v>8</v>
      </c>
      <c r="M12" t="str">
        <f t="shared" si="0"/>
        <v>TRUE</v>
      </c>
      <c r="N12" t="s">
        <v>178</v>
      </c>
      <c r="O12">
        <v>84782.201960000006</v>
      </c>
      <c r="P12">
        <v>39773.50705</v>
      </c>
      <c r="Q12">
        <v>270447.55330000003</v>
      </c>
      <c r="R12">
        <v>78268.701130000001</v>
      </c>
      <c r="S12">
        <v>37720.631009999997</v>
      </c>
      <c r="T12">
        <v>5242.8999089999998</v>
      </c>
      <c r="U12">
        <v>3084.359168</v>
      </c>
      <c r="V12">
        <v>6800.3290999999999</v>
      </c>
      <c r="W12">
        <v>16083.416149999999</v>
      </c>
      <c r="X12">
        <v>21760.583500000001</v>
      </c>
      <c r="Y12">
        <v>1813.582541</v>
      </c>
      <c r="Z12">
        <v>49057.940750000002</v>
      </c>
      <c r="AA12">
        <v>19059.174739999999</v>
      </c>
      <c r="AB12">
        <v>37174.558870000001</v>
      </c>
      <c r="AC12">
        <v>88558.926569999996</v>
      </c>
    </row>
    <row r="13" spans="1:29" x14ac:dyDescent="0.2">
      <c r="A13" s="1" t="s">
        <v>473</v>
      </c>
      <c r="B13" s="1" t="s">
        <v>237</v>
      </c>
      <c r="C13" s="1" t="s">
        <v>448</v>
      </c>
      <c r="D13" s="1" t="s">
        <v>449</v>
      </c>
      <c r="E13" s="1" t="s">
        <v>450</v>
      </c>
      <c r="F13" s="3">
        <v>32770</v>
      </c>
      <c r="G13" s="3">
        <v>43341</v>
      </c>
      <c r="H13" s="1">
        <v>28</v>
      </c>
      <c r="I13" s="1">
        <v>1</v>
      </c>
      <c r="J13" s="1" t="s">
        <v>451</v>
      </c>
      <c r="K13" s="1">
        <v>56</v>
      </c>
      <c r="L13" s="1" t="s">
        <v>450</v>
      </c>
      <c r="M13" t="str">
        <f t="shared" si="0"/>
        <v>TRUE</v>
      </c>
      <c r="N13" t="s">
        <v>237</v>
      </c>
      <c r="O13">
        <v>34848.438759999997</v>
      </c>
      <c r="P13">
        <v>77790.058220000006</v>
      </c>
      <c r="Q13">
        <v>243763.65109999999</v>
      </c>
      <c r="R13">
        <v>44015.851300000002</v>
      </c>
      <c r="S13">
        <v>85675.802179999999</v>
      </c>
      <c r="T13">
        <v>3847.973035</v>
      </c>
      <c r="U13">
        <v>2487.6949800000002</v>
      </c>
      <c r="V13">
        <v>14765.70464</v>
      </c>
      <c r="W13">
        <v>9728.6784320000006</v>
      </c>
      <c r="X13">
        <v>41617.421309999998</v>
      </c>
      <c r="Y13">
        <v>2033.119657</v>
      </c>
      <c r="Z13">
        <v>270015.16840000002</v>
      </c>
      <c r="AA13">
        <v>15981.385979999999</v>
      </c>
      <c r="AB13">
        <v>54291.622649999998</v>
      </c>
      <c r="AC13">
        <v>117382.73119999999</v>
      </c>
    </row>
    <row r="14" spans="1:29" x14ac:dyDescent="0.2">
      <c r="A14" s="1" t="s">
        <v>474</v>
      </c>
      <c r="B14" s="1" t="s">
        <v>444</v>
      </c>
      <c r="C14" s="1" t="s">
        <v>464</v>
      </c>
      <c r="D14" s="1" t="s">
        <v>465</v>
      </c>
      <c r="E14" s="1" t="s">
        <v>462</v>
      </c>
      <c r="F14" s="3">
        <v>21233</v>
      </c>
      <c r="G14" s="3">
        <v>43350</v>
      </c>
      <c r="H14" s="1">
        <v>60</v>
      </c>
      <c r="I14" s="1">
        <v>1</v>
      </c>
      <c r="J14" s="1" t="s">
        <v>451</v>
      </c>
      <c r="K14" s="1">
        <v>992</v>
      </c>
      <c r="L14" s="1">
        <v>1</v>
      </c>
      <c r="M14" t="str">
        <f t="shared" si="0"/>
        <v>TRUE</v>
      </c>
      <c r="N14" t="s">
        <v>444</v>
      </c>
      <c r="O14">
        <v>11637.03083</v>
      </c>
      <c r="P14">
        <v>22345.005639999999</v>
      </c>
      <c r="Q14">
        <v>400551.68729999999</v>
      </c>
      <c r="R14">
        <v>34588.656799999997</v>
      </c>
      <c r="S14">
        <v>14992.851640000001</v>
      </c>
      <c r="T14">
        <v>17077.501509999998</v>
      </c>
      <c r="U14">
        <v>2419.7585690000001</v>
      </c>
      <c r="V14">
        <v>18695.13925</v>
      </c>
      <c r="W14">
        <v>17335.169109999999</v>
      </c>
      <c r="X14">
        <v>26698.37959</v>
      </c>
      <c r="Y14">
        <v>1511.4919970000001</v>
      </c>
      <c r="Z14">
        <v>461345.84980000003</v>
      </c>
      <c r="AA14">
        <v>93753.118199999997</v>
      </c>
      <c r="AB14">
        <v>3689.263551</v>
      </c>
      <c r="AC14">
        <v>135462.52679999999</v>
      </c>
    </row>
    <row r="15" spans="1:29" x14ac:dyDescent="0.2">
      <c r="A15" s="1" t="s">
        <v>475</v>
      </c>
      <c r="B15" s="1" t="s">
        <v>170</v>
      </c>
      <c r="C15" s="1" t="s">
        <v>453</v>
      </c>
      <c r="D15" s="1" t="s">
        <v>476</v>
      </c>
      <c r="E15" s="1" t="s">
        <v>462</v>
      </c>
      <c r="F15" s="3">
        <v>31343</v>
      </c>
      <c r="G15" s="3">
        <v>43371</v>
      </c>
      <c r="H15" s="1">
        <v>32</v>
      </c>
      <c r="I15" s="1">
        <v>1</v>
      </c>
      <c r="J15" s="1" t="s">
        <v>451</v>
      </c>
      <c r="K15" s="1">
        <v>143</v>
      </c>
      <c r="L15" s="1">
        <v>5</v>
      </c>
      <c r="M15" t="str">
        <f t="shared" si="0"/>
        <v>TRUE</v>
      </c>
      <c r="N15" t="s">
        <v>170</v>
      </c>
      <c r="O15">
        <v>121088.8073</v>
      </c>
      <c r="P15">
        <v>342815.00229999999</v>
      </c>
      <c r="Q15">
        <v>331571.09769999998</v>
      </c>
      <c r="R15">
        <v>163856.78599999999</v>
      </c>
      <c r="S15">
        <v>83402.970759999997</v>
      </c>
      <c r="T15">
        <v>17806.866839999999</v>
      </c>
      <c r="U15">
        <v>4677.7113529999997</v>
      </c>
      <c r="V15">
        <v>25803.539769999999</v>
      </c>
      <c r="W15">
        <v>38320.123500000002</v>
      </c>
      <c r="X15">
        <v>63462.85082</v>
      </c>
      <c r="Y15">
        <v>5675.6076329999996</v>
      </c>
      <c r="Z15">
        <v>1234775.7649999999</v>
      </c>
      <c r="AA15">
        <v>24002.249510000001</v>
      </c>
      <c r="AB15">
        <v>7460.5707249999996</v>
      </c>
      <c r="AC15">
        <v>72784.852629999994</v>
      </c>
    </row>
    <row r="16" spans="1:29" x14ac:dyDescent="0.2">
      <c r="A16" s="1" t="s">
        <v>477</v>
      </c>
      <c r="B16" s="1" t="s">
        <v>306</v>
      </c>
      <c r="C16" s="1" t="s">
        <v>453</v>
      </c>
      <c r="D16" s="1" t="s">
        <v>454</v>
      </c>
      <c r="E16" s="1" t="s">
        <v>455</v>
      </c>
      <c r="F16" s="3">
        <v>21589</v>
      </c>
      <c r="G16" s="3">
        <v>43375</v>
      </c>
      <c r="H16" s="1">
        <v>59</v>
      </c>
      <c r="I16" s="1">
        <v>2</v>
      </c>
      <c r="J16" s="1" t="s">
        <v>451</v>
      </c>
      <c r="K16" s="1">
        <v>17</v>
      </c>
      <c r="L16" s="1">
        <v>4</v>
      </c>
      <c r="M16" t="str">
        <f t="shared" si="0"/>
        <v>TRUE</v>
      </c>
      <c r="N16" t="s">
        <v>306</v>
      </c>
      <c r="O16">
        <v>204712.8285</v>
      </c>
      <c r="P16">
        <v>305329.72169999999</v>
      </c>
      <c r="Q16">
        <v>1092144.3419999999</v>
      </c>
      <c r="R16">
        <v>43802.249349999998</v>
      </c>
      <c r="S16">
        <v>417000.40889999998</v>
      </c>
      <c r="T16">
        <v>17136.567739999999</v>
      </c>
      <c r="U16">
        <v>2714.1195990000001</v>
      </c>
      <c r="V16">
        <v>59477.544040000001</v>
      </c>
      <c r="W16">
        <v>46628.736859999997</v>
      </c>
      <c r="X16">
        <v>99911.088220000005</v>
      </c>
      <c r="Y16">
        <v>13579.07842</v>
      </c>
      <c r="Z16">
        <v>214803.00339999999</v>
      </c>
      <c r="AA16">
        <v>122450.20940000001</v>
      </c>
      <c r="AB16">
        <v>218496.73800000001</v>
      </c>
      <c r="AC16">
        <v>1069324.254</v>
      </c>
    </row>
    <row r="17" spans="1:29" x14ac:dyDescent="0.2">
      <c r="A17" s="1" t="s">
        <v>478</v>
      </c>
      <c r="B17" s="1" t="s">
        <v>416</v>
      </c>
      <c r="C17" s="1" t="s">
        <v>453</v>
      </c>
      <c r="D17" s="1" t="s">
        <v>454</v>
      </c>
      <c r="E17" s="1" t="s">
        <v>462</v>
      </c>
      <c r="F17" s="3">
        <v>35211</v>
      </c>
      <c r="G17" s="3">
        <v>43377</v>
      </c>
      <c r="H17" s="1">
        <v>22</v>
      </c>
      <c r="I17" s="1">
        <v>1</v>
      </c>
      <c r="J17" s="1" t="s">
        <v>451</v>
      </c>
      <c r="K17" s="1">
        <v>69</v>
      </c>
      <c r="L17" s="1">
        <v>4</v>
      </c>
      <c r="M17" t="str">
        <f t="shared" si="0"/>
        <v>TRUE</v>
      </c>
      <c r="N17" t="s">
        <v>416</v>
      </c>
      <c r="O17">
        <v>88496.592149999997</v>
      </c>
      <c r="P17">
        <v>1515629.0220000001</v>
      </c>
      <c r="Q17">
        <v>1058143.3870000001</v>
      </c>
      <c r="R17">
        <v>57124.13164</v>
      </c>
      <c r="S17">
        <v>90411.04999</v>
      </c>
      <c r="T17">
        <v>10398.722949999999</v>
      </c>
      <c r="U17">
        <v>10982.64803</v>
      </c>
      <c r="V17">
        <v>46402.002520000002</v>
      </c>
      <c r="W17">
        <v>23291.690890000002</v>
      </c>
      <c r="X17">
        <v>87599.695049999995</v>
      </c>
      <c r="Y17">
        <v>18643.043109999999</v>
      </c>
      <c r="Z17">
        <v>317814.32919999998</v>
      </c>
      <c r="AA17">
        <v>24753.936470000001</v>
      </c>
      <c r="AB17">
        <v>69254.139389999997</v>
      </c>
      <c r="AC17">
        <v>587127.19030000002</v>
      </c>
    </row>
    <row r="18" spans="1:29" x14ac:dyDescent="0.2">
      <c r="A18" s="1" t="s">
        <v>479</v>
      </c>
      <c r="B18" s="1" t="s">
        <v>137</v>
      </c>
      <c r="C18" s="1" t="s">
        <v>453</v>
      </c>
      <c r="D18" s="1" t="s">
        <v>461</v>
      </c>
      <c r="E18" s="1" t="s">
        <v>462</v>
      </c>
      <c r="F18" s="3">
        <v>23573</v>
      </c>
      <c r="G18" s="3">
        <v>43392</v>
      </c>
      <c r="H18" s="1">
        <v>54</v>
      </c>
      <c r="I18" s="1">
        <v>1</v>
      </c>
      <c r="J18" s="1" t="s">
        <v>451</v>
      </c>
      <c r="K18" s="1">
        <v>6000</v>
      </c>
      <c r="L18" s="1">
        <v>7</v>
      </c>
      <c r="M18" t="str">
        <f t="shared" si="0"/>
        <v>TRUE</v>
      </c>
      <c r="N18" t="s">
        <v>137</v>
      </c>
      <c r="O18">
        <v>456896.9987</v>
      </c>
      <c r="P18">
        <v>22173.729139999999</v>
      </c>
      <c r="Q18">
        <v>289068.68680000002</v>
      </c>
      <c r="R18">
        <v>465433.90529999998</v>
      </c>
      <c r="S18">
        <v>93775.37341</v>
      </c>
      <c r="T18">
        <v>72401.782579999999</v>
      </c>
      <c r="U18">
        <v>4919.0395619999999</v>
      </c>
      <c r="V18">
        <v>28172.414990000001</v>
      </c>
      <c r="W18">
        <v>19708.065760000001</v>
      </c>
      <c r="X18">
        <v>66449.053069999994</v>
      </c>
      <c r="Y18">
        <v>1598.902824</v>
      </c>
      <c r="Z18">
        <v>19320.043440000001</v>
      </c>
      <c r="AA18">
        <v>33640.265630000002</v>
      </c>
      <c r="AB18">
        <v>19073.145779999999</v>
      </c>
      <c r="AC18">
        <v>504572.52710000001</v>
      </c>
    </row>
    <row r="19" spans="1:29" x14ac:dyDescent="0.2">
      <c r="A19" s="1" t="s">
        <v>480</v>
      </c>
      <c r="B19" s="1" t="s">
        <v>423</v>
      </c>
      <c r="C19" s="1" t="s">
        <v>448</v>
      </c>
      <c r="D19" s="1" t="s">
        <v>459</v>
      </c>
      <c r="E19" s="1" t="s">
        <v>450</v>
      </c>
      <c r="F19" s="3">
        <v>26190</v>
      </c>
      <c r="G19" s="3">
        <v>43409</v>
      </c>
      <c r="H19" s="1">
        <v>47</v>
      </c>
      <c r="I19" s="1">
        <v>1</v>
      </c>
      <c r="J19" s="1" t="s">
        <v>451</v>
      </c>
      <c r="K19" s="1">
        <v>189</v>
      </c>
      <c r="L19" s="1">
        <v>5</v>
      </c>
      <c r="M19" t="str">
        <f t="shared" si="0"/>
        <v>TRUE</v>
      </c>
      <c r="N19" t="s">
        <v>423</v>
      </c>
      <c r="O19">
        <v>48823.177250000001</v>
      </c>
      <c r="P19">
        <v>135318.4584</v>
      </c>
      <c r="Q19">
        <v>579878.82810000004</v>
      </c>
      <c r="R19">
        <v>58677.996050000002</v>
      </c>
      <c r="S19">
        <v>39033.455199999997</v>
      </c>
      <c r="T19">
        <v>8443.4687560000002</v>
      </c>
      <c r="U19">
        <v>2019.6404620000001</v>
      </c>
      <c r="V19">
        <v>51097.924859999999</v>
      </c>
      <c r="W19">
        <v>97547.410820000005</v>
      </c>
      <c r="X19">
        <v>100582.1479</v>
      </c>
      <c r="Y19">
        <v>932.73137870000005</v>
      </c>
      <c r="Z19">
        <v>575370.49849999999</v>
      </c>
      <c r="AA19">
        <v>7407.766259</v>
      </c>
      <c r="AB19">
        <v>5571.0400410000002</v>
      </c>
      <c r="AC19">
        <v>119329.0895</v>
      </c>
    </row>
    <row r="20" spans="1:29" x14ac:dyDescent="0.2">
      <c r="A20" s="1" t="s">
        <v>636</v>
      </c>
      <c r="B20" s="1" t="s">
        <v>130</v>
      </c>
      <c r="C20" s="1" t="s">
        <v>453</v>
      </c>
      <c r="D20" s="1" t="s">
        <v>461</v>
      </c>
      <c r="E20" s="1" t="s">
        <v>462</v>
      </c>
      <c r="F20" s="3">
        <v>24908</v>
      </c>
      <c r="G20" s="3">
        <v>43411</v>
      </c>
      <c r="H20" s="1">
        <v>50</v>
      </c>
      <c r="I20" s="1">
        <v>1</v>
      </c>
      <c r="J20" s="1" t="s">
        <v>451</v>
      </c>
      <c r="K20" s="1">
        <v>322</v>
      </c>
      <c r="L20" s="1">
        <v>4</v>
      </c>
      <c r="M20" t="str">
        <f t="shared" si="0"/>
        <v>TRUE</v>
      </c>
      <c r="N20" t="s">
        <v>130</v>
      </c>
      <c r="O20">
        <v>325227.51510000002</v>
      </c>
      <c r="P20">
        <v>233127.20180000001</v>
      </c>
      <c r="Q20">
        <v>104151.7387</v>
      </c>
      <c r="R20">
        <v>342729.66379999998</v>
      </c>
      <c r="S20">
        <v>449926.95569999999</v>
      </c>
      <c r="T20">
        <v>21922.967639999999</v>
      </c>
      <c r="U20">
        <v>3769.6729719999998</v>
      </c>
      <c r="V20">
        <v>17440.48976</v>
      </c>
      <c r="W20">
        <v>16307.41048</v>
      </c>
      <c r="X20">
        <v>37379.207840000003</v>
      </c>
      <c r="Y20">
        <v>3211.5691660000002</v>
      </c>
      <c r="Z20">
        <v>268270.7219</v>
      </c>
      <c r="AA20">
        <v>38786.884590000001</v>
      </c>
      <c r="AB20">
        <v>11914.311830000001</v>
      </c>
      <c r="AC20">
        <v>27639.13349</v>
      </c>
    </row>
    <row r="21" spans="1:29" x14ac:dyDescent="0.2">
      <c r="A21" s="1" t="s">
        <v>483</v>
      </c>
      <c r="B21" s="1" t="s">
        <v>300</v>
      </c>
      <c r="C21" s="1" t="s">
        <v>453</v>
      </c>
      <c r="D21" s="1" t="s">
        <v>461</v>
      </c>
      <c r="E21" s="1" t="s">
        <v>462</v>
      </c>
      <c r="F21" s="3">
        <v>29437</v>
      </c>
      <c r="G21" s="3">
        <v>43417</v>
      </c>
      <c r="H21" s="1">
        <v>38</v>
      </c>
      <c r="I21" s="1">
        <v>1</v>
      </c>
      <c r="J21" s="1" t="s">
        <v>451</v>
      </c>
      <c r="K21" s="1">
        <v>1073</v>
      </c>
      <c r="L21" s="1">
        <v>10</v>
      </c>
      <c r="M21" t="str">
        <f t="shared" si="0"/>
        <v>TRUE</v>
      </c>
      <c r="N21" t="s">
        <v>300</v>
      </c>
      <c r="O21">
        <v>278909.66259999998</v>
      </c>
      <c r="P21">
        <v>20401.27966</v>
      </c>
      <c r="Q21">
        <v>303675.1005</v>
      </c>
      <c r="R21">
        <v>261250.4344</v>
      </c>
      <c r="S21">
        <v>112452.31660000001</v>
      </c>
      <c r="T21">
        <v>27002.278160000002</v>
      </c>
      <c r="U21">
        <v>15256.187760000001</v>
      </c>
      <c r="V21">
        <v>67807.088969999997</v>
      </c>
      <c r="W21">
        <v>622862.81940000004</v>
      </c>
      <c r="X21">
        <v>284190.50030000001</v>
      </c>
      <c r="Y21">
        <v>1605.449077</v>
      </c>
      <c r="Z21">
        <v>12080.01209</v>
      </c>
      <c r="AA21">
        <v>26041.892909999999</v>
      </c>
      <c r="AB21">
        <v>31442.263630000001</v>
      </c>
      <c r="AC21">
        <v>428750.2672</v>
      </c>
    </row>
    <row r="22" spans="1:29" x14ac:dyDescent="0.2">
      <c r="A22" s="1" t="s">
        <v>484</v>
      </c>
      <c r="B22" s="1" t="s">
        <v>151</v>
      </c>
      <c r="C22" s="1" t="s">
        <v>453</v>
      </c>
      <c r="D22" s="1" t="s">
        <v>476</v>
      </c>
      <c r="E22" s="1" t="s">
        <v>462</v>
      </c>
      <c r="F22" s="3">
        <v>25575</v>
      </c>
      <c r="G22" s="3">
        <v>43426</v>
      </c>
      <c r="H22" s="1">
        <v>48</v>
      </c>
      <c r="I22" s="1">
        <v>1</v>
      </c>
      <c r="J22" s="1" t="s">
        <v>451</v>
      </c>
      <c r="K22" s="1">
        <v>98</v>
      </c>
      <c r="L22" s="1">
        <v>4</v>
      </c>
      <c r="M22" t="str">
        <f t="shared" si="0"/>
        <v>TRUE</v>
      </c>
      <c r="N22" t="s">
        <v>151</v>
      </c>
      <c r="O22">
        <v>125775.61040000001</v>
      </c>
      <c r="P22">
        <v>612626.98860000004</v>
      </c>
      <c r="Q22">
        <v>371740.55229999998</v>
      </c>
      <c r="R22">
        <v>154428.67389999999</v>
      </c>
      <c r="S22">
        <v>428069.16739999998</v>
      </c>
      <c r="T22">
        <v>49885.802589999999</v>
      </c>
      <c r="U22">
        <v>225064.23939999999</v>
      </c>
      <c r="V22">
        <v>38814.854469999998</v>
      </c>
      <c r="W22">
        <v>29555.34546</v>
      </c>
      <c r="X22">
        <v>65561.727849999996</v>
      </c>
      <c r="Y22">
        <v>1916.0545910000001</v>
      </c>
      <c r="Z22">
        <v>970749.19400000002</v>
      </c>
      <c r="AA22">
        <v>40108.329769999997</v>
      </c>
      <c r="AB22">
        <v>8026.7359669999996</v>
      </c>
      <c r="AC22">
        <v>87279.036630000002</v>
      </c>
    </row>
    <row r="23" spans="1:29" x14ac:dyDescent="0.2">
      <c r="A23" s="1" t="s">
        <v>485</v>
      </c>
      <c r="B23" s="1" t="s">
        <v>239</v>
      </c>
      <c r="C23" s="1" t="s">
        <v>448</v>
      </c>
      <c r="D23" s="1" t="s">
        <v>449</v>
      </c>
      <c r="E23" s="1" t="s">
        <v>450</v>
      </c>
      <c r="F23" s="3">
        <v>32770</v>
      </c>
      <c r="G23" s="3">
        <v>43432</v>
      </c>
      <c r="H23" s="1">
        <v>29</v>
      </c>
      <c r="I23" s="1">
        <v>2</v>
      </c>
      <c r="J23" s="1" t="s">
        <v>451</v>
      </c>
      <c r="K23" s="1">
        <v>20</v>
      </c>
      <c r="L23" s="1" t="s">
        <v>450</v>
      </c>
      <c r="M23" t="str">
        <f t="shared" si="0"/>
        <v>TRUE</v>
      </c>
      <c r="N23" t="s">
        <v>239</v>
      </c>
      <c r="O23">
        <v>26703.285940000002</v>
      </c>
      <c r="P23">
        <v>458107.50229999999</v>
      </c>
      <c r="Q23">
        <v>467191.11469999998</v>
      </c>
      <c r="R23">
        <v>53332.839469999999</v>
      </c>
      <c r="S23">
        <v>20863.092369999998</v>
      </c>
      <c r="T23">
        <v>13603.842070000001</v>
      </c>
      <c r="U23">
        <v>19759.678019999999</v>
      </c>
      <c r="V23">
        <v>39526.813629999997</v>
      </c>
      <c r="W23">
        <v>20772.455610000001</v>
      </c>
      <c r="X23">
        <v>49362.607680000001</v>
      </c>
      <c r="Y23">
        <v>2568.70721</v>
      </c>
      <c r="Z23">
        <v>798444.63359999994</v>
      </c>
      <c r="AA23">
        <v>11872.20829</v>
      </c>
      <c r="AB23">
        <v>5257.4859370000004</v>
      </c>
      <c r="AC23">
        <v>61401.692009999999</v>
      </c>
    </row>
    <row r="24" spans="1:29" x14ac:dyDescent="0.2">
      <c r="A24" s="1" t="s">
        <v>486</v>
      </c>
      <c r="B24" s="1" t="s">
        <v>262</v>
      </c>
      <c r="C24" s="1" t="s">
        <v>464</v>
      </c>
      <c r="D24" s="1" t="s">
        <v>465</v>
      </c>
      <c r="E24" s="1" t="s">
        <v>455</v>
      </c>
      <c r="F24" s="3">
        <v>29526</v>
      </c>
      <c r="G24" s="3">
        <v>43430</v>
      </c>
      <c r="H24" s="1">
        <v>38</v>
      </c>
      <c r="I24" s="1">
        <v>2</v>
      </c>
      <c r="J24" s="1" t="s">
        <v>456</v>
      </c>
      <c r="K24" s="1">
        <v>99</v>
      </c>
      <c r="L24" s="1">
        <v>7</v>
      </c>
      <c r="M24" t="str">
        <f t="shared" si="0"/>
        <v>TRUE</v>
      </c>
      <c r="N24" t="s">
        <v>262</v>
      </c>
      <c r="O24">
        <v>223551.90100000001</v>
      </c>
      <c r="P24">
        <v>138841.06349999999</v>
      </c>
      <c r="Q24">
        <v>1013043.91</v>
      </c>
      <c r="R24">
        <v>142447.84529999999</v>
      </c>
      <c r="S24">
        <v>38403.46398</v>
      </c>
      <c r="T24">
        <v>13546.91691</v>
      </c>
      <c r="U24">
        <v>1268.225944</v>
      </c>
      <c r="V24">
        <v>108623.7893</v>
      </c>
      <c r="W24">
        <v>29890.013029999998</v>
      </c>
      <c r="X24">
        <v>132791.6684</v>
      </c>
      <c r="Y24">
        <v>2298.6289729999999</v>
      </c>
      <c r="Z24">
        <v>115979.51089999999</v>
      </c>
      <c r="AA24">
        <v>28194.925319999998</v>
      </c>
      <c r="AB24">
        <v>91834.350550000003</v>
      </c>
      <c r="AC24">
        <v>578553.33660000004</v>
      </c>
    </row>
    <row r="25" spans="1:29" x14ac:dyDescent="0.2">
      <c r="A25" s="1" t="s">
        <v>487</v>
      </c>
      <c r="B25" s="1" t="s">
        <v>222</v>
      </c>
      <c r="C25" s="1" t="s">
        <v>453</v>
      </c>
      <c r="D25" s="1" t="s">
        <v>454</v>
      </c>
      <c r="E25" s="1" t="s">
        <v>462</v>
      </c>
      <c r="F25" s="3">
        <v>17139</v>
      </c>
      <c r="G25" s="3">
        <v>43427</v>
      </c>
      <c r="H25" s="1">
        <v>71</v>
      </c>
      <c r="I25" s="1">
        <v>1</v>
      </c>
      <c r="J25" s="1" t="s">
        <v>451</v>
      </c>
      <c r="K25" s="1">
        <v>164</v>
      </c>
      <c r="L25" s="1">
        <v>4</v>
      </c>
      <c r="M25" t="str">
        <f t="shared" si="0"/>
        <v>TRUE</v>
      </c>
      <c r="N25" t="s">
        <v>222</v>
      </c>
      <c r="O25">
        <v>27590.935990000002</v>
      </c>
      <c r="P25">
        <v>44420.662969999998</v>
      </c>
      <c r="Q25">
        <v>212562.39170000001</v>
      </c>
      <c r="R25">
        <v>70291.528649999993</v>
      </c>
      <c r="S25">
        <v>44792.840519999998</v>
      </c>
      <c r="T25">
        <v>59466.887150000002</v>
      </c>
      <c r="U25">
        <v>12023.878350000001</v>
      </c>
      <c r="V25">
        <v>93679.907980000004</v>
      </c>
      <c r="W25">
        <v>49634.384989999999</v>
      </c>
      <c r="X25">
        <v>183308.66880000001</v>
      </c>
      <c r="Y25">
        <v>477.79092259999999</v>
      </c>
      <c r="Z25">
        <v>2790279.0720000002</v>
      </c>
      <c r="AA25">
        <v>35181.766580000003</v>
      </c>
      <c r="AB25">
        <v>7954.467533</v>
      </c>
      <c r="AC25">
        <v>28292.820400000001</v>
      </c>
    </row>
    <row r="26" spans="1:29" x14ac:dyDescent="0.2">
      <c r="A26" s="1" t="s">
        <v>488</v>
      </c>
      <c r="B26" s="1" t="s">
        <v>53</v>
      </c>
      <c r="C26" s="1" t="s">
        <v>464</v>
      </c>
      <c r="D26" s="1" t="s">
        <v>465</v>
      </c>
      <c r="E26" s="1" t="s">
        <v>462</v>
      </c>
      <c r="F26" s="3">
        <v>32901</v>
      </c>
      <c r="G26" s="3">
        <v>43431</v>
      </c>
      <c r="H26" s="1">
        <v>28</v>
      </c>
      <c r="I26" s="1">
        <v>2</v>
      </c>
      <c r="J26" s="1" t="s">
        <v>451</v>
      </c>
      <c r="K26" s="1">
        <v>23</v>
      </c>
      <c r="L26" s="1">
        <v>2</v>
      </c>
      <c r="M26" t="str">
        <f t="shared" si="0"/>
        <v>TRUE</v>
      </c>
      <c r="N26" t="s">
        <v>53</v>
      </c>
      <c r="O26">
        <v>10698.952520000001</v>
      </c>
      <c r="P26">
        <v>781166.3345</v>
      </c>
      <c r="Q26">
        <v>131361.79879999999</v>
      </c>
      <c r="R26">
        <v>35994.310899999997</v>
      </c>
      <c r="S26">
        <v>9721.8735629999992</v>
      </c>
      <c r="T26">
        <v>13186.85745</v>
      </c>
      <c r="U26">
        <v>2140.904313</v>
      </c>
      <c r="V26">
        <v>3388.8283040000001</v>
      </c>
      <c r="W26">
        <v>19986.600780000001</v>
      </c>
      <c r="X26">
        <v>35168.905469999998</v>
      </c>
      <c r="Y26">
        <v>2182.1476250000001</v>
      </c>
      <c r="Z26">
        <v>327430.71029999998</v>
      </c>
      <c r="AA26">
        <v>23948.037939999998</v>
      </c>
      <c r="AB26">
        <v>1696.142415</v>
      </c>
      <c r="AC26">
        <v>26417.731309999999</v>
      </c>
    </row>
    <row r="27" spans="1:29" x14ac:dyDescent="0.2">
      <c r="A27" s="1" t="s">
        <v>489</v>
      </c>
      <c r="B27" s="1" t="s">
        <v>164</v>
      </c>
      <c r="C27" s="1" t="s">
        <v>453</v>
      </c>
      <c r="D27" s="1" t="s">
        <v>454</v>
      </c>
      <c r="E27" s="1" t="s">
        <v>462</v>
      </c>
      <c r="F27" s="3">
        <v>36196</v>
      </c>
      <c r="G27" s="3">
        <v>43462</v>
      </c>
      <c r="H27" s="1">
        <v>19</v>
      </c>
      <c r="I27" s="1">
        <v>2</v>
      </c>
      <c r="J27" s="1" t="s">
        <v>451</v>
      </c>
      <c r="K27" s="1">
        <v>108</v>
      </c>
      <c r="L27" s="1">
        <v>3</v>
      </c>
      <c r="M27" t="str">
        <f t="shared" si="0"/>
        <v>TRUE</v>
      </c>
      <c r="N27" t="s">
        <v>164</v>
      </c>
      <c r="O27">
        <v>150037.16260000001</v>
      </c>
      <c r="P27">
        <v>24501.095890000001</v>
      </c>
      <c r="Q27">
        <v>668847.47950000002</v>
      </c>
      <c r="R27">
        <v>579737.97490000003</v>
      </c>
      <c r="S27">
        <v>209027.91589999999</v>
      </c>
      <c r="T27">
        <v>8969.1992219999993</v>
      </c>
      <c r="U27">
        <v>2356.9018529999998</v>
      </c>
      <c r="V27">
        <v>13771.96056</v>
      </c>
      <c r="W27">
        <v>88254.420270000002</v>
      </c>
      <c r="X27">
        <v>64973.470549999998</v>
      </c>
      <c r="Y27">
        <v>2009.877571</v>
      </c>
      <c r="Z27">
        <v>35260.038330000003</v>
      </c>
      <c r="AA27">
        <v>45349.287170000003</v>
      </c>
      <c r="AB27">
        <v>53050.550790000001</v>
      </c>
      <c r="AC27">
        <v>1041099.939</v>
      </c>
    </row>
    <row r="28" spans="1:29" x14ac:dyDescent="0.2">
      <c r="A28" s="1" t="s">
        <v>658</v>
      </c>
      <c r="B28" s="1" t="s">
        <v>57</v>
      </c>
      <c r="C28" s="1" t="s">
        <v>659</v>
      </c>
      <c r="D28" s="1" t="s">
        <v>558</v>
      </c>
      <c r="E28" s="1" t="s">
        <v>450</v>
      </c>
      <c r="F28" s="3">
        <v>32551</v>
      </c>
      <c r="G28" s="3">
        <v>43469</v>
      </c>
      <c r="H28" s="1">
        <v>29</v>
      </c>
      <c r="I28" s="1">
        <v>1</v>
      </c>
      <c r="J28" s="1" t="s">
        <v>451</v>
      </c>
      <c r="K28" s="1">
        <v>510</v>
      </c>
      <c r="L28" s="1" t="s">
        <v>450</v>
      </c>
      <c r="M28" t="str">
        <f t="shared" si="0"/>
        <v>TRUE</v>
      </c>
      <c r="N28" t="s">
        <v>57</v>
      </c>
      <c r="O28">
        <v>227217.18229999999</v>
      </c>
      <c r="P28">
        <v>485127.08799999999</v>
      </c>
      <c r="Q28">
        <v>1307720.8940000001</v>
      </c>
      <c r="R28">
        <v>612047.95719999995</v>
      </c>
      <c r="S28">
        <v>58299.45433</v>
      </c>
      <c r="T28">
        <v>13339.623680000001</v>
      </c>
      <c r="U28">
        <v>8832.5971370000007</v>
      </c>
      <c r="V28">
        <v>64098.991329999997</v>
      </c>
      <c r="W28">
        <v>73128.261350000001</v>
      </c>
      <c r="X28">
        <v>197005.46249999999</v>
      </c>
      <c r="Y28">
        <v>4129.8235009999999</v>
      </c>
      <c r="Z28">
        <v>581070.70929999999</v>
      </c>
      <c r="AA28">
        <v>140320.4466</v>
      </c>
      <c r="AB28">
        <v>117847.8509</v>
      </c>
      <c r="AC28">
        <v>634204.10809999995</v>
      </c>
    </row>
    <row r="29" spans="1:29" x14ac:dyDescent="0.2">
      <c r="A29" s="1" t="s">
        <v>492</v>
      </c>
      <c r="B29" s="1" t="s">
        <v>335</v>
      </c>
      <c r="C29" s="1" t="s">
        <v>464</v>
      </c>
      <c r="D29" s="1" t="s">
        <v>465</v>
      </c>
      <c r="E29" s="1" t="s">
        <v>462</v>
      </c>
      <c r="F29" s="3">
        <v>33939</v>
      </c>
      <c r="G29" s="3">
        <v>43465</v>
      </c>
      <c r="H29" s="1">
        <v>26</v>
      </c>
      <c r="I29" s="1">
        <v>1</v>
      </c>
      <c r="J29" s="1" t="s">
        <v>451</v>
      </c>
      <c r="K29" s="1">
        <v>2103</v>
      </c>
      <c r="L29" s="1">
        <v>10</v>
      </c>
      <c r="M29" t="str">
        <f t="shared" si="0"/>
        <v>TRUE</v>
      </c>
      <c r="N29" t="s">
        <v>335</v>
      </c>
      <c r="O29">
        <v>112340.62390000001</v>
      </c>
      <c r="P29">
        <v>39580.060409999998</v>
      </c>
      <c r="Q29">
        <v>368658.4852</v>
      </c>
      <c r="R29">
        <v>69079.27721</v>
      </c>
      <c r="S29">
        <v>104237.9801</v>
      </c>
      <c r="T29">
        <v>6266.3751089999996</v>
      </c>
      <c r="U29">
        <v>11467.740449999999</v>
      </c>
      <c r="V29">
        <v>99772.896429999993</v>
      </c>
      <c r="W29">
        <v>17005.178919999998</v>
      </c>
      <c r="X29">
        <v>176371.3193</v>
      </c>
      <c r="Y29">
        <v>2087.9578769999998</v>
      </c>
      <c r="Z29">
        <v>574631.95790000004</v>
      </c>
      <c r="AA29">
        <v>123068.0001</v>
      </c>
      <c r="AB29">
        <v>46228.592089999998</v>
      </c>
      <c r="AC29">
        <v>411414.61739999999</v>
      </c>
    </row>
    <row r="30" spans="1:29" x14ac:dyDescent="0.2">
      <c r="A30" s="1" t="s">
        <v>493</v>
      </c>
      <c r="B30" s="1" t="s">
        <v>302</v>
      </c>
      <c r="C30" s="1" t="s">
        <v>453</v>
      </c>
      <c r="D30" s="1" t="s">
        <v>461</v>
      </c>
      <c r="E30" s="1" t="s">
        <v>462</v>
      </c>
      <c r="F30" s="3">
        <v>29437</v>
      </c>
      <c r="G30" s="3">
        <v>43467</v>
      </c>
      <c r="H30" s="1">
        <v>38</v>
      </c>
      <c r="I30" s="1">
        <v>2</v>
      </c>
      <c r="J30" s="1" t="s">
        <v>451</v>
      </c>
      <c r="K30" s="1">
        <v>1248</v>
      </c>
      <c r="L30" s="1">
        <v>5</v>
      </c>
      <c r="M30" t="str">
        <f t="shared" si="0"/>
        <v>TRUE</v>
      </c>
      <c r="N30" t="s">
        <v>302</v>
      </c>
      <c r="O30">
        <v>129717.539</v>
      </c>
      <c r="P30">
        <v>405931.3112</v>
      </c>
      <c r="Q30">
        <v>506395.22169999999</v>
      </c>
      <c r="R30">
        <v>117793.0077</v>
      </c>
      <c r="S30">
        <v>102232.87790000001</v>
      </c>
      <c r="T30">
        <v>16427.4938</v>
      </c>
      <c r="U30">
        <v>19367.269830000001</v>
      </c>
      <c r="V30">
        <v>73646.004279999994</v>
      </c>
      <c r="W30">
        <v>84113.167000000001</v>
      </c>
      <c r="X30">
        <v>325653.07449999999</v>
      </c>
      <c r="Y30">
        <v>2297.950331</v>
      </c>
      <c r="Z30">
        <v>1021598.254</v>
      </c>
      <c r="AA30">
        <v>28756.14229</v>
      </c>
      <c r="AB30">
        <v>26061.380160000001</v>
      </c>
      <c r="AC30">
        <v>176679.7691</v>
      </c>
    </row>
    <row r="31" spans="1:29" x14ac:dyDescent="0.2">
      <c r="A31" s="1" t="s">
        <v>494</v>
      </c>
      <c r="B31" s="1" t="s">
        <v>72</v>
      </c>
      <c r="C31" s="1" t="s">
        <v>453</v>
      </c>
      <c r="D31" s="1" t="s">
        <v>461</v>
      </c>
      <c r="E31" s="1" t="s">
        <v>462</v>
      </c>
      <c r="F31" s="3">
        <v>30401</v>
      </c>
      <c r="G31" s="3">
        <v>43469</v>
      </c>
      <c r="H31" s="1">
        <v>35</v>
      </c>
      <c r="I31" s="1">
        <v>2</v>
      </c>
      <c r="J31" s="1" t="s">
        <v>451</v>
      </c>
      <c r="K31" s="1">
        <v>35</v>
      </c>
      <c r="L31" s="1">
        <v>3</v>
      </c>
      <c r="M31" t="str">
        <f t="shared" si="0"/>
        <v>TRUE</v>
      </c>
      <c r="N31" t="s">
        <v>72</v>
      </c>
      <c r="O31">
        <v>525777.94990000001</v>
      </c>
      <c r="P31">
        <v>15689.13528</v>
      </c>
      <c r="Q31">
        <v>249576.79500000001</v>
      </c>
      <c r="R31">
        <v>400210.054</v>
      </c>
      <c r="S31">
        <v>249436.4332</v>
      </c>
      <c r="T31">
        <v>243516.83240000001</v>
      </c>
      <c r="U31">
        <v>20449.86637</v>
      </c>
      <c r="V31">
        <v>89659.161720000004</v>
      </c>
      <c r="W31">
        <v>369277.04639999999</v>
      </c>
      <c r="X31">
        <v>200963.72150000001</v>
      </c>
      <c r="Y31">
        <v>2350.187081</v>
      </c>
      <c r="Z31">
        <v>60760.400020000001</v>
      </c>
      <c r="AA31">
        <v>211345.58110000001</v>
      </c>
      <c r="AB31">
        <v>38821.601110000003</v>
      </c>
      <c r="AC31">
        <v>1092030.142</v>
      </c>
    </row>
    <row r="32" spans="1:29" x14ac:dyDescent="0.2">
      <c r="A32" s="1" t="s">
        <v>495</v>
      </c>
      <c r="B32" s="1" t="s">
        <v>291</v>
      </c>
      <c r="C32" s="1" t="s">
        <v>453</v>
      </c>
      <c r="D32" s="1" t="s">
        <v>461</v>
      </c>
      <c r="E32" s="1" t="s">
        <v>462</v>
      </c>
      <c r="F32" s="3">
        <v>32618</v>
      </c>
      <c r="G32" s="3">
        <v>43476</v>
      </c>
      <c r="H32" s="1">
        <v>29</v>
      </c>
      <c r="I32" s="1">
        <v>2</v>
      </c>
      <c r="J32" s="1" t="s">
        <v>451</v>
      </c>
      <c r="K32" s="1">
        <v>103</v>
      </c>
      <c r="L32" s="1">
        <v>2</v>
      </c>
      <c r="M32" t="str">
        <f t="shared" si="0"/>
        <v>TRUE</v>
      </c>
      <c r="N32" t="s">
        <v>291</v>
      </c>
      <c r="O32">
        <v>148333.079</v>
      </c>
      <c r="P32">
        <v>201172.11180000001</v>
      </c>
      <c r="Q32">
        <v>953499.78599999996</v>
      </c>
      <c r="R32">
        <v>134182.1434</v>
      </c>
      <c r="S32">
        <v>208370.06340000001</v>
      </c>
      <c r="T32">
        <v>20104.772860000001</v>
      </c>
      <c r="U32">
        <v>3106.0704649999998</v>
      </c>
      <c r="V32">
        <v>68625.864189999993</v>
      </c>
      <c r="W32">
        <v>90716.736180000007</v>
      </c>
      <c r="X32">
        <v>76522.660390000005</v>
      </c>
      <c r="Y32">
        <v>2676.7112080000002</v>
      </c>
      <c r="Z32">
        <v>194043.88959999999</v>
      </c>
      <c r="AA32">
        <v>146057.30379999999</v>
      </c>
      <c r="AB32">
        <v>53834.12066</v>
      </c>
      <c r="AC32">
        <v>802715.36369999999</v>
      </c>
    </row>
    <row r="33" spans="1:29" x14ac:dyDescent="0.2">
      <c r="A33" s="1" t="s">
        <v>496</v>
      </c>
      <c r="B33" s="1" t="s">
        <v>139</v>
      </c>
      <c r="C33" s="1" t="s">
        <v>453</v>
      </c>
      <c r="D33" s="1" t="s">
        <v>461</v>
      </c>
      <c r="E33" s="1" t="s">
        <v>462</v>
      </c>
      <c r="F33" s="3">
        <v>23573</v>
      </c>
      <c r="G33" s="3">
        <v>43483</v>
      </c>
      <c r="H33" s="1">
        <v>54</v>
      </c>
      <c r="I33" s="1">
        <v>2</v>
      </c>
      <c r="J33" s="1" t="s">
        <v>451</v>
      </c>
      <c r="K33" s="1">
        <v>15</v>
      </c>
      <c r="L33" s="1">
        <v>0</v>
      </c>
      <c r="M33" t="str">
        <f t="shared" si="0"/>
        <v>TRUE</v>
      </c>
      <c r="N33" t="s">
        <v>139</v>
      </c>
      <c r="O33">
        <v>158820.88260000001</v>
      </c>
      <c r="P33">
        <v>546084.90330000001</v>
      </c>
      <c r="Q33">
        <v>544478.66859999998</v>
      </c>
      <c r="R33">
        <v>187613.5661</v>
      </c>
      <c r="S33">
        <v>289323.41080000001</v>
      </c>
      <c r="T33">
        <v>10065.079589999999</v>
      </c>
      <c r="U33">
        <v>1675.5614350000001</v>
      </c>
      <c r="V33">
        <v>30012.543160000001</v>
      </c>
      <c r="W33">
        <v>117684.7252</v>
      </c>
      <c r="X33">
        <v>62094.42787</v>
      </c>
      <c r="Y33">
        <v>2770.4239969999999</v>
      </c>
      <c r="Z33">
        <v>657752.23930000002</v>
      </c>
      <c r="AA33">
        <v>107043.72530000001</v>
      </c>
      <c r="AB33">
        <v>22723.894420000001</v>
      </c>
      <c r="AC33">
        <v>184758.45009999999</v>
      </c>
    </row>
    <row r="34" spans="1:29" x14ac:dyDescent="0.2">
      <c r="A34" s="1" t="s">
        <v>497</v>
      </c>
      <c r="B34" s="1" t="s">
        <v>105</v>
      </c>
      <c r="C34" s="1" t="s">
        <v>464</v>
      </c>
      <c r="D34" s="1" t="s">
        <v>465</v>
      </c>
      <c r="E34" s="1" t="s">
        <v>462</v>
      </c>
      <c r="F34" s="3">
        <v>33786</v>
      </c>
      <c r="G34" s="3">
        <v>43491</v>
      </c>
      <c r="H34" s="1">
        <v>26</v>
      </c>
      <c r="I34" s="1">
        <v>1</v>
      </c>
      <c r="J34" s="1" t="s">
        <v>456</v>
      </c>
      <c r="K34" s="1">
        <v>15</v>
      </c>
      <c r="L34" s="1">
        <v>1</v>
      </c>
      <c r="M34" t="str">
        <f t="shared" si="0"/>
        <v>TRUE</v>
      </c>
      <c r="N34" t="s">
        <v>105</v>
      </c>
      <c r="O34">
        <v>583666.27029999997</v>
      </c>
      <c r="P34">
        <v>189135.54800000001</v>
      </c>
      <c r="Q34">
        <v>1323760.0959999999</v>
      </c>
      <c r="R34">
        <v>542241.78170000005</v>
      </c>
      <c r="S34">
        <v>203705.22990000001</v>
      </c>
      <c r="T34">
        <v>20466.22207</v>
      </c>
      <c r="U34">
        <v>8340.8120369999997</v>
      </c>
      <c r="V34">
        <v>37475.774219999999</v>
      </c>
      <c r="W34">
        <v>93310.915609999996</v>
      </c>
      <c r="X34">
        <v>132961.2058</v>
      </c>
      <c r="Y34">
        <v>5949.8756549999998</v>
      </c>
      <c r="Z34">
        <v>945882.79449999996</v>
      </c>
      <c r="AA34">
        <v>118881.15330000001</v>
      </c>
      <c r="AB34">
        <v>16149.93115</v>
      </c>
      <c r="AC34">
        <v>1197602.152</v>
      </c>
    </row>
    <row r="35" spans="1:29" x14ac:dyDescent="0.2">
      <c r="A35" s="1" t="s">
        <v>498</v>
      </c>
      <c r="B35" s="1" t="s">
        <v>354</v>
      </c>
      <c r="C35" s="1" t="s">
        <v>464</v>
      </c>
      <c r="D35" s="1" t="s">
        <v>499</v>
      </c>
      <c r="E35" s="1" t="s">
        <v>462</v>
      </c>
      <c r="F35" s="3">
        <v>33519</v>
      </c>
      <c r="G35" s="3">
        <v>43487</v>
      </c>
      <c r="H35" s="1">
        <v>27</v>
      </c>
      <c r="I35" s="1">
        <v>1</v>
      </c>
      <c r="J35" s="1" t="s">
        <v>451</v>
      </c>
      <c r="K35" s="1">
        <v>448</v>
      </c>
      <c r="L35" s="1">
        <v>2</v>
      </c>
      <c r="M35" t="str">
        <f t="shared" si="0"/>
        <v>TRUE</v>
      </c>
      <c r="N35" t="s">
        <v>354</v>
      </c>
      <c r="O35">
        <v>32757.750309999999</v>
      </c>
      <c r="P35">
        <v>115421.2187</v>
      </c>
      <c r="Q35">
        <v>182606.50099999999</v>
      </c>
      <c r="R35">
        <v>69686.474889999998</v>
      </c>
      <c r="S35">
        <v>14007.107819999999</v>
      </c>
      <c r="T35">
        <v>22271.171149999998</v>
      </c>
      <c r="U35">
        <v>2153.729969</v>
      </c>
      <c r="V35">
        <v>22469.049459999998</v>
      </c>
      <c r="W35">
        <v>29066.914540000002</v>
      </c>
      <c r="X35">
        <v>115790.0579</v>
      </c>
      <c r="Y35">
        <v>3118.186463</v>
      </c>
      <c r="Z35">
        <v>652525.27670000005</v>
      </c>
      <c r="AA35">
        <v>6987.5327230000003</v>
      </c>
      <c r="AB35">
        <v>2403.0339730000001</v>
      </c>
      <c r="AC35">
        <v>46860.386319999998</v>
      </c>
    </row>
    <row r="36" spans="1:29" x14ac:dyDescent="0.2">
      <c r="A36" s="1" t="s">
        <v>500</v>
      </c>
      <c r="B36" s="1" t="s">
        <v>310</v>
      </c>
      <c r="C36" s="1" t="s">
        <v>453</v>
      </c>
      <c r="D36" s="1" t="s">
        <v>454</v>
      </c>
      <c r="E36" s="1" t="s">
        <v>455</v>
      </c>
      <c r="F36" s="3">
        <v>21589</v>
      </c>
      <c r="G36" s="3">
        <v>43487</v>
      </c>
      <c r="H36" s="1">
        <v>59</v>
      </c>
      <c r="I36" s="1">
        <v>3</v>
      </c>
      <c r="J36" s="1" t="s">
        <v>451</v>
      </c>
      <c r="K36" s="1">
        <v>34</v>
      </c>
      <c r="L36" s="1">
        <v>0</v>
      </c>
      <c r="M36" t="str">
        <f t="shared" si="0"/>
        <v>TRUE</v>
      </c>
      <c r="N36" t="s">
        <v>310</v>
      </c>
      <c r="O36">
        <v>61902.370289999999</v>
      </c>
      <c r="P36">
        <v>105314.5855</v>
      </c>
      <c r="Q36">
        <v>823862.00859999994</v>
      </c>
      <c r="R36">
        <v>156011.59479999999</v>
      </c>
      <c r="S36">
        <v>276112.67139999999</v>
      </c>
      <c r="T36">
        <v>5124.44776</v>
      </c>
      <c r="U36">
        <v>2838.7346680000001</v>
      </c>
      <c r="V36">
        <v>38109.315170000002</v>
      </c>
      <c r="W36">
        <v>45934.624640000002</v>
      </c>
      <c r="X36">
        <v>44385.969620000003</v>
      </c>
      <c r="Y36">
        <v>1172.7579290000001</v>
      </c>
      <c r="Z36">
        <v>78691.187359999996</v>
      </c>
      <c r="AA36">
        <v>73983.751019999996</v>
      </c>
      <c r="AB36">
        <v>186302.204</v>
      </c>
      <c r="AC36">
        <v>396869.85600000003</v>
      </c>
    </row>
    <row r="37" spans="1:29" x14ac:dyDescent="0.2">
      <c r="A37" s="1" t="s">
        <v>501</v>
      </c>
      <c r="B37" s="1" t="s">
        <v>176</v>
      </c>
      <c r="C37" s="1" t="s">
        <v>453</v>
      </c>
      <c r="D37" s="1" t="s">
        <v>454</v>
      </c>
      <c r="E37" s="1" t="s">
        <v>462</v>
      </c>
      <c r="F37" s="3">
        <v>29445</v>
      </c>
      <c r="G37" s="3">
        <v>43497</v>
      </c>
      <c r="H37" s="1">
        <v>38</v>
      </c>
      <c r="I37" s="1">
        <v>2</v>
      </c>
      <c r="J37" s="1" t="s">
        <v>451</v>
      </c>
      <c r="K37" s="1">
        <v>803</v>
      </c>
      <c r="L37" s="1">
        <v>1</v>
      </c>
      <c r="M37" t="str">
        <f t="shared" si="0"/>
        <v>TRUE</v>
      </c>
      <c r="N37" t="s">
        <v>176</v>
      </c>
      <c r="O37">
        <v>825878.33380000002</v>
      </c>
      <c r="P37">
        <v>3172706.875</v>
      </c>
      <c r="Q37">
        <v>425550.48560000001</v>
      </c>
      <c r="R37">
        <v>98710.768710000004</v>
      </c>
      <c r="S37">
        <v>82961.148520000002</v>
      </c>
      <c r="T37">
        <v>10472.17396</v>
      </c>
      <c r="U37">
        <v>4185.2255180000002</v>
      </c>
      <c r="V37">
        <v>76752.332859999995</v>
      </c>
      <c r="W37">
        <v>98010.273650000003</v>
      </c>
      <c r="X37">
        <v>85358.677460000006</v>
      </c>
      <c r="Y37">
        <v>2203.5749949999999</v>
      </c>
      <c r="Z37">
        <v>410529.99709999998</v>
      </c>
      <c r="AA37">
        <v>110092.9653</v>
      </c>
      <c r="AB37">
        <v>66370.123370000001</v>
      </c>
      <c r="AC37">
        <v>75808.146599999993</v>
      </c>
    </row>
    <row r="38" spans="1:29" x14ac:dyDescent="0.2">
      <c r="A38" s="1" t="s">
        <v>502</v>
      </c>
      <c r="B38" s="1" t="s">
        <v>331</v>
      </c>
      <c r="C38" s="1" t="s">
        <v>464</v>
      </c>
      <c r="D38" s="1" t="s">
        <v>465</v>
      </c>
      <c r="E38" s="1" t="s">
        <v>462</v>
      </c>
      <c r="F38" s="3">
        <v>33939</v>
      </c>
      <c r="G38" s="3">
        <v>43502</v>
      </c>
      <c r="H38" s="1">
        <v>26</v>
      </c>
      <c r="I38" s="1">
        <v>2</v>
      </c>
      <c r="J38" s="1" t="s">
        <v>451</v>
      </c>
      <c r="K38" s="1">
        <v>1248</v>
      </c>
      <c r="L38" s="1">
        <v>2</v>
      </c>
      <c r="M38" t="str">
        <f t="shared" si="0"/>
        <v>TRUE</v>
      </c>
      <c r="N38" t="s">
        <v>331</v>
      </c>
      <c r="O38">
        <v>120426.83930000001</v>
      </c>
      <c r="P38">
        <v>219491.4633</v>
      </c>
      <c r="Q38">
        <v>452469.75329999998</v>
      </c>
      <c r="R38">
        <v>184019.76259999999</v>
      </c>
      <c r="S38">
        <v>98960.189740000002</v>
      </c>
      <c r="T38">
        <v>13392.404570000001</v>
      </c>
      <c r="U38">
        <v>4429.7146659999999</v>
      </c>
      <c r="V38">
        <v>150023.5528</v>
      </c>
      <c r="W38">
        <v>73466.497579999996</v>
      </c>
      <c r="X38">
        <v>368105.31670000002</v>
      </c>
      <c r="Y38">
        <v>3115.9949969999998</v>
      </c>
      <c r="Z38">
        <v>541547.65390000003</v>
      </c>
      <c r="AA38">
        <v>109991.974</v>
      </c>
      <c r="AB38">
        <v>33462.491990000002</v>
      </c>
      <c r="AC38">
        <v>1265580.767</v>
      </c>
    </row>
    <row r="39" spans="1:29" x14ac:dyDescent="0.2">
      <c r="A39" s="1" t="s">
        <v>626</v>
      </c>
      <c r="B39" s="1" t="s">
        <v>103</v>
      </c>
      <c r="C39" s="1" t="s">
        <v>453</v>
      </c>
      <c r="D39" s="1" t="s">
        <v>454</v>
      </c>
      <c r="E39" s="1" t="s">
        <v>455</v>
      </c>
      <c r="F39" s="3">
        <v>36595</v>
      </c>
      <c r="G39" s="3">
        <v>43490</v>
      </c>
      <c r="H39" s="1">
        <v>18</v>
      </c>
      <c r="I39" s="1">
        <v>1</v>
      </c>
      <c r="J39" s="1" t="s">
        <v>456</v>
      </c>
      <c r="K39" s="1">
        <v>1276</v>
      </c>
      <c r="L39" s="1">
        <v>11</v>
      </c>
      <c r="M39" t="str">
        <f t="shared" si="0"/>
        <v>TRUE</v>
      </c>
      <c r="N39" t="s">
        <v>103</v>
      </c>
      <c r="O39">
        <v>163173.85999999999</v>
      </c>
      <c r="P39">
        <v>56394.030579999999</v>
      </c>
      <c r="Q39">
        <v>1996747.9210000001</v>
      </c>
      <c r="R39">
        <v>397748.76779999997</v>
      </c>
      <c r="S39">
        <v>105305.4737</v>
      </c>
      <c r="T39">
        <v>11427.959720000001</v>
      </c>
      <c r="U39">
        <v>2047.7586590000001</v>
      </c>
      <c r="V39">
        <v>59996.603089999997</v>
      </c>
      <c r="W39">
        <v>622684.94279999996</v>
      </c>
      <c r="X39">
        <v>70224.665410000001</v>
      </c>
      <c r="Y39">
        <v>7894.2976349999999</v>
      </c>
      <c r="Z39">
        <v>263814.9374</v>
      </c>
      <c r="AA39">
        <v>113042.49830000001</v>
      </c>
      <c r="AB39">
        <v>88799.948210000002</v>
      </c>
      <c r="AC39">
        <v>1328470.077</v>
      </c>
    </row>
    <row r="40" spans="1:29" x14ac:dyDescent="0.2">
      <c r="A40" s="1" t="s">
        <v>504</v>
      </c>
      <c r="B40" s="1" t="s">
        <v>112</v>
      </c>
      <c r="C40" s="1" t="s">
        <v>464</v>
      </c>
      <c r="D40" s="1" t="s">
        <v>482</v>
      </c>
      <c r="E40" s="1" t="s">
        <v>462</v>
      </c>
      <c r="F40" s="3">
        <v>35185</v>
      </c>
      <c r="G40" s="3">
        <v>43501</v>
      </c>
      <c r="H40" s="1">
        <v>22</v>
      </c>
      <c r="I40" s="1">
        <v>1</v>
      </c>
      <c r="J40" s="1" t="s">
        <v>456</v>
      </c>
      <c r="K40" s="1">
        <v>307</v>
      </c>
      <c r="L40" s="1">
        <v>4</v>
      </c>
      <c r="M40" t="str">
        <f t="shared" si="0"/>
        <v>TRUE</v>
      </c>
      <c r="N40" t="s">
        <v>112</v>
      </c>
      <c r="O40">
        <v>596633.95979999995</v>
      </c>
      <c r="P40">
        <v>174319.55119999999</v>
      </c>
      <c r="Q40">
        <v>1807495.334</v>
      </c>
      <c r="R40">
        <v>823092.39729999995</v>
      </c>
      <c r="S40">
        <v>140008.91949999999</v>
      </c>
      <c r="T40">
        <v>5651.654802</v>
      </c>
      <c r="U40">
        <v>178850.49350000001</v>
      </c>
      <c r="V40">
        <v>38744.69255</v>
      </c>
      <c r="W40">
        <v>167337.76120000001</v>
      </c>
      <c r="X40">
        <v>56287.261530000003</v>
      </c>
      <c r="Y40">
        <v>4713.2779430000001</v>
      </c>
      <c r="Z40">
        <v>583988.33629999997</v>
      </c>
      <c r="AA40">
        <v>114036.5474</v>
      </c>
      <c r="AB40">
        <v>128111.1361</v>
      </c>
      <c r="AC40">
        <v>1618396.007</v>
      </c>
    </row>
    <row r="41" spans="1:29" x14ac:dyDescent="0.2">
      <c r="A41" s="1" t="s">
        <v>505</v>
      </c>
      <c r="B41" s="1" t="s">
        <v>425</v>
      </c>
      <c r="C41" s="1" t="s">
        <v>448</v>
      </c>
      <c r="D41" s="1" t="s">
        <v>459</v>
      </c>
      <c r="E41" s="1" t="s">
        <v>450</v>
      </c>
      <c r="F41" s="3">
        <v>26190</v>
      </c>
      <c r="G41" s="3">
        <v>43504</v>
      </c>
      <c r="H41" s="1">
        <v>47</v>
      </c>
      <c r="I41" s="1">
        <v>2</v>
      </c>
      <c r="J41" s="1" t="s">
        <v>451</v>
      </c>
      <c r="K41" s="1">
        <v>15</v>
      </c>
      <c r="L41" s="1">
        <v>0</v>
      </c>
      <c r="M41" t="str">
        <f t="shared" si="0"/>
        <v>TRUE</v>
      </c>
      <c r="N41" t="s">
        <v>425</v>
      </c>
      <c r="O41">
        <v>42678.077109999998</v>
      </c>
      <c r="P41">
        <v>1011976.107</v>
      </c>
      <c r="Q41">
        <v>736061.69200000004</v>
      </c>
      <c r="R41">
        <v>73963.270420000001</v>
      </c>
      <c r="S41">
        <v>55792.264470000002</v>
      </c>
      <c r="T41">
        <v>14894.140090000001</v>
      </c>
      <c r="U41">
        <v>3419.1478649999999</v>
      </c>
      <c r="V41">
        <v>40375.178590000003</v>
      </c>
      <c r="W41">
        <v>59330.592100000002</v>
      </c>
      <c r="X41">
        <v>107320.14350000001</v>
      </c>
      <c r="Y41">
        <v>29110.418600000001</v>
      </c>
      <c r="Z41">
        <v>3082874.7650000001</v>
      </c>
      <c r="AA41">
        <v>200880.8953</v>
      </c>
      <c r="AB41">
        <v>365583.2536</v>
      </c>
      <c r="AC41">
        <v>113244.4617</v>
      </c>
    </row>
    <row r="42" spans="1:29" x14ac:dyDescent="0.2">
      <c r="A42" s="1" t="s">
        <v>506</v>
      </c>
      <c r="B42" s="1" t="s">
        <v>226</v>
      </c>
      <c r="C42" s="1" t="s">
        <v>453</v>
      </c>
      <c r="D42" s="1" t="s">
        <v>476</v>
      </c>
      <c r="E42" s="1" t="s">
        <v>462</v>
      </c>
      <c r="F42" s="3">
        <v>30482</v>
      </c>
      <c r="G42" s="3">
        <v>43518</v>
      </c>
      <c r="H42" s="1">
        <v>35</v>
      </c>
      <c r="I42" s="4">
        <v>1</v>
      </c>
      <c r="J42" s="1" t="s">
        <v>451</v>
      </c>
      <c r="K42" s="1">
        <v>42</v>
      </c>
      <c r="L42" s="1">
        <v>3</v>
      </c>
      <c r="M42" t="str">
        <f t="shared" si="0"/>
        <v>TRUE</v>
      </c>
      <c r="N42" t="s">
        <v>226</v>
      </c>
      <c r="O42">
        <v>57289.161460000003</v>
      </c>
      <c r="P42">
        <v>44001.21458</v>
      </c>
      <c r="Q42">
        <v>1319002.18</v>
      </c>
      <c r="R42">
        <v>211456.00200000001</v>
      </c>
      <c r="S42">
        <v>62858.520600000003</v>
      </c>
      <c r="T42">
        <v>10390.670829999999</v>
      </c>
      <c r="U42">
        <v>375.09430900000001</v>
      </c>
      <c r="V42">
        <v>23759.757389999999</v>
      </c>
      <c r="W42">
        <v>40520.035430000004</v>
      </c>
      <c r="X42">
        <v>41969.941700000003</v>
      </c>
      <c r="Y42">
        <v>31767.29492</v>
      </c>
      <c r="Z42">
        <v>788737.38959999999</v>
      </c>
      <c r="AA42">
        <v>88412.254700000005</v>
      </c>
      <c r="AB42">
        <v>20023.321840000001</v>
      </c>
      <c r="AC42">
        <v>1105985.821</v>
      </c>
    </row>
    <row r="43" spans="1:29" x14ac:dyDescent="0.2">
      <c r="A43" s="1" t="s">
        <v>507</v>
      </c>
      <c r="B43" s="1" t="s">
        <v>128</v>
      </c>
      <c r="C43" s="1" t="s">
        <v>453</v>
      </c>
      <c r="D43" s="1" t="s">
        <v>461</v>
      </c>
      <c r="E43" s="1" t="s">
        <v>462</v>
      </c>
      <c r="F43" s="3">
        <v>24908</v>
      </c>
      <c r="G43" s="3">
        <v>43509</v>
      </c>
      <c r="H43" s="1">
        <v>50</v>
      </c>
      <c r="I43" s="1">
        <v>2</v>
      </c>
      <c r="J43" s="1" t="s">
        <v>451</v>
      </c>
      <c r="K43" s="1">
        <v>15</v>
      </c>
      <c r="L43" s="1">
        <v>2</v>
      </c>
      <c r="M43" t="str">
        <f t="shared" si="0"/>
        <v>TRUE</v>
      </c>
      <c r="N43" t="s">
        <v>128</v>
      </c>
      <c r="O43">
        <v>173953.2831</v>
      </c>
      <c r="P43">
        <v>135707.0582</v>
      </c>
      <c r="Q43">
        <v>145137.0963</v>
      </c>
      <c r="R43">
        <v>255854.49189999999</v>
      </c>
      <c r="S43">
        <v>288414.7292</v>
      </c>
      <c r="T43">
        <v>23323.96703</v>
      </c>
      <c r="U43">
        <v>2833.6570230000002</v>
      </c>
      <c r="V43">
        <v>18860.14198</v>
      </c>
      <c r="W43">
        <v>14949.869199999999</v>
      </c>
      <c r="X43">
        <v>39142.360030000003</v>
      </c>
      <c r="Y43">
        <v>2870.6447320000002</v>
      </c>
      <c r="Z43">
        <v>286540.01750000002</v>
      </c>
      <c r="AA43">
        <v>25886.580979999999</v>
      </c>
      <c r="AB43">
        <v>6053.5714129999997</v>
      </c>
      <c r="AC43">
        <v>38073.950819999998</v>
      </c>
    </row>
    <row r="44" spans="1:29" x14ac:dyDescent="0.2">
      <c r="A44" s="1" t="s">
        <v>508</v>
      </c>
      <c r="B44" s="1" t="s">
        <v>285</v>
      </c>
      <c r="C44" s="1" t="s">
        <v>453</v>
      </c>
      <c r="D44" s="1" t="s">
        <v>454</v>
      </c>
      <c r="E44" s="1" t="s">
        <v>462</v>
      </c>
      <c r="F44" s="3">
        <v>25311</v>
      </c>
      <c r="G44" s="3">
        <v>43511</v>
      </c>
      <c r="H44" s="1">
        <v>49</v>
      </c>
      <c r="I44" s="1">
        <v>1</v>
      </c>
      <c r="J44" s="1" t="s">
        <v>451</v>
      </c>
      <c r="K44" s="1">
        <v>2216</v>
      </c>
      <c r="L44" s="1">
        <v>7</v>
      </c>
      <c r="M44" t="str">
        <f t="shared" si="0"/>
        <v>TRUE</v>
      </c>
      <c r="N44" t="s">
        <v>285</v>
      </c>
      <c r="O44">
        <v>135960.85490000001</v>
      </c>
      <c r="P44">
        <v>145254.02929999999</v>
      </c>
      <c r="Q44">
        <v>1010181.5060000001</v>
      </c>
      <c r="R44">
        <v>886608.36600000004</v>
      </c>
      <c r="S44">
        <v>53404.561549999999</v>
      </c>
      <c r="T44">
        <v>3929.0086679999999</v>
      </c>
      <c r="U44">
        <v>17744.2124</v>
      </c>
      <c r="V44">
        <v>38247.787850000001</v>
      </c>
      <c r="W44">
        <v>47289.991459999997</v>
      </c>
      <c r="X44">
        <v>106427.7988</v>
      </c>
      <c r="Y44">
        <v>1488.4060999999999</v>
      </c>
      <c r="Z44">
        <v>103636.66650000001</v>
      </c>
      <c r="AA44">
        <v>76049.643800000005</v>
      </c>
      <c r="AB44">
        <v>67239.766839999997</v>
      </c>
      <c r="AC44">
        <v>760252.07620000001</v>
      </c>
    </row>
    <row r="45" spans="1:29" x14ac:dyDescent="0.2">
      <c r="A45" s="1" t="s">
        <v>509</v>
      </c>
      <c r="B45" s="1" t="s">
        <v>264</v>
      </c>
      <c r="C45" s="1" t="s">
        <v>464</v>
      </c>
      <c r="D45" s="1" t="s">
        <v>465</v>
      </c>
      <c r="E45" s="1" t="s">
        <v>455</v>
      </c>
      <c r="F45" s="3">
        <v>29526</v>
      </c>
      <c r="G45" s="3">
        <v>43518</v>
      </c>
      <c r="H45" s="1">
        <v>38</v>
      </c>
      <c r="I45" s="1">
        <v>3</v>
      </c>
      <c r="J45" s="1" t="s">
        <v>456</v>
      </c>
      <c r="K45" s="1">
        <v>27</v>
      </c>
      <c r="L45" s="1">
        <v>3</v>
      </c>
      <c r="M45" t="str">
        <f t="shared" si="0"/>
        <v>TRUE</v>
      </c>
      <c r="N45" t="s">
        <v>264</v>
      </c>
      <c r="O45">
        <v>206506.4584</v>
      </c>
      <c r="P45">
        <v>318453.80550000002</v>
      </c>
      <c r="Q45">
        <v>1897715.716</v>
      </c>
      <c r="R45">
        <v>128109.3273</v>
      </c>
      <c r="S45">
        <v>87820.169309999997</v>
      </c>
      <c r="T45">
        <v>11735.52622</v>
      </c>
      <c r="U45">
        <v>3674.05278</v>
      </c>
      <c r="V45">
        <v>149396.5638</v>
      </c>
      <c r="W45">
        <v>34070.252659999998</v>
      </c>
      <c r="X45">
        <v>98120.480410000004</v>
      </c>
      <c r="Y45">
        <v>8260.9242209999993</v>
      </c>
      <c r="Z45">
        <v>269325.1482</v>
      </c>
      <c r="AA45">
        <v>43058.709649999997</v>
      </c>
      <c r="AB45">
        <v>128102.17630000001</v>
      </c>
      <c r="AC45">
        <v>1758698.1980000001</v>
      </c>
    </row>
    <row r="46" spans="1:29" x14ac:dyDescent="0.2">
      <c r="A46" s="1" t="s">
        <v>510</v>
      </c>
      <c r="B46" s="1" t="s">
        <v>149</v>
      </c>
      <c r="C46" s="1" t="s">
        <v>453</v>
      </c>
      <c r="D46" s="1" t="s">
        <v>476</v>
      </c>
      <c r="E46" s="1" t="s">
        <v>462</v>
      </c>
      <c r="F46" s="3">
        <v>25575</v>
      </c>
      <c r="G46" s="3">
        <v>43518</v>
      </c>
      <c r="H46" s="1">
        <v>49</v>
      </c>
      <c r="I46" s="1">
        <v>2</v>
      </c>
      <c r="J46" s="1" t="s">
        <v>451</v>
      </c>
      <c r="K46" s="1">
        <v>19</v>
      </c>
      <c r="L46" s="1">
        <v>2</v>
      </c>
      <c r="M46" t="str">
        <f t="shared" si="0"/>
        <v>TRUE</v>
      </c>
      <c r="N46" t="s">
        <v>149</v>
      </c>
      <c r="O46">
        <v>154616.43169999999</v>
      </c>
      <c r="P46">
        <v>107388.6349</v>
      </c>
      <c r="Q46">
        <v>2178920.068</v>
      </c>
      <c r="R46">
        <v>145258.47769999999</v>
      </c>
      <c r="S46">
        <v>148176.37849999999</v>
      </c>
      <c r="T46">
        <v>9888.7777929999993</v>
      </c>
      <c r="U46">
        <v>79286.337350000002</v>
      </c>
      <c r="V46">
        <v>35261.399420000002</v>
      </c>
      <c r="W46">
        <v>26590.458269999999</v>
      </c>
      <c r="X46">
        <v>72893.153940000004</v>
      </c>
      <c r="Y46">
        <v>2075.4334330000002</v>
      </c>
      <c r="Z46">
        <v>685231.85649999999</v>
      </c>
      <c r="AA46">
        <v>62767.703780000003</v>
      </c>
      <c r="AB46">
        <v>37054.025410000002</v>
      </c>
      <c r="AC46">
        <v>1165498.2560000001</v>
      </c>
    </row>
    <row r="47" spans="1:29" x14ac:dyDescent="0.2">
      <c r="A47" s="1" t="s">
        <v>511</v>
      </c>
      <c r="B47" s="1" t="s">
        <v>224</v>
      </c>
      <c r="C47" s="1" t="s">
        <v>453</v>
      </c>
      <c r="D47" s="1" t="s">
        <v>454</v>
      </c>
      <c r="E47" s="1" t="s">
        <v>462</v>
      </c>
      <c r="F47" s="3">
        <v>17139</v>
      </c>
      <c r="G47" s="3">
        <v>43518</v>
      </c>
      <c r="H47" s="1">
        <v>72</v>
      </c>
      <c r="I47" s="1">
        <v>2</v>
      </c>
      <c r="J47" s="1" t="s">
        <v>451</v>
      </c>
      <c r="K47" s="1">
        <v>15</v>
      </c>
      <c r="L47" s="1">
        <v>1</v>
      </c>
      <c r="M47" t="str">
        <f t="shared" si="0"/>
        <v>TRUE</v>
      </c>
      <c r="N47" t="s">
        <v>224</v>
      </c>
      <c r="O47">
        <v>81611.525240000003</v>
      </c>
      <c r="P47">
        <v>131777.6256</v>
      </c>
      <c r="Q47">
        <v>265010.87780000002</v>
      </c>
      <c r="R47">
        <v>88075.444470000002</v>
      </c>
      <c r="S47">
        <v>78735.727379999997</v>
      </c>
      <c r="T47">
        <v>31052.338680000001</v>
      </c>
      <c r="U47">
        <v>4539.0632770000002</v>
      </c>
      <c r="V47">
        <v>169118.05609999999</v>
      </c>
      <c r="W47">
        <v>180601.46</v>
      </c>
      <c r="X47">
        <v>285084.1923</v>
      </c>
      <c r="Y47">
        <v>2754.0871649999999</v>
      </c>
      <c r="Z47">
        <v>1643588.763</v>
      </c>
      <c r="AA47">
        <v>330419.90019999997</v>
      </c>
      <c r="AB47">
        <v>3959.2641239999998</v>
      </c>
      <c r="AC47">
        <v>87664.397899999996</v>
      </c>
    </row>
    <row r="48" spans="1:29" x14ac:dyDescent="0.2">
      <c r="A48" s="1" t="s">
        <v>512</v>
      </c>
      <c r="B48" s="1" t="s">
        <v>342</v>
      </c>
      <c r="C48" s="1" t="s">
        <v>453</v>
      </c>
      <c r="D48" s="1" t="s">
        <v>454</v>
      </c>
      <c r="E48" s="1" t="s">
        <v>455</v>
      </c>
      <c r="F48" s="3">
        <v>34403</v>
      </c>
      <c r="G48" s="3">
        <v>43529</v>
      </c>
      <c r="H48" s="1">
        <v>24</v>
      </c>
      <c r="I48" s="1">
        <v>2</v>
      </c>
      <c r="J48" s="1" t="s">
        <v>456</v>
      </c>
      <c r="K48" s="1">
        <v>2021</v>
      </c>
      <c r="L48" s="1">
        <v>5</v>
      </c>
      <c r="M48" t="str">
        <f t="shared" si="0"/>
        <v>TRUE</v>
      </c>
      <c r="N48" t="s">
        <v>342</v>
      </c>
      <c r="O48">
        <v>632313.3382</v>
      </c>
      <c r="P48">
        <v>51306.499329999999</v>
      </c>
      <c r="Q48">
        <v>1229803.247</v>
      </c>
      <c r="R48">
        <v>431637.4129</v>
      </c>
      <c r="S48">
        <v>112011.6985</v>
      </c>
      <c r="T48">
        <v>14718.59331</v>
      </c>
      <c r="U48">
        <v>4538.4337660000001</v>
      </c>
      <c r="V48">
        <v>74579.00722</v>
      </c>
      <c r="W48">
        <v>48177.128620000003</v>
      </c>
      <c r="X48">
        <v>74175.521670000002</v>
      </c>
      <c r="Y48">
        <v>3667.1851539999998</v>
      </c>
      <c r="Z48">
        <v>553856.93519999995</v>
      </c>
      <c r="AA48">
        <v>266129.1948</v>
      </c>
      <c r="AB48">
        <v>34584.266450000003</v>
      </c>
      <c r="AC48">
        <v>1061774.375</v>
      </c>
    </row>
    <row r="49" spans="1:29" x14ac:dyDescent="0.2">
      <c r="A49" s="1" t="s">
        <v>513</v>
      </c>
      <c r="B49" s="1" t="s">
        <v>51</v>
      </c>
      <c r="C49" s="1" t="s">
        <v>464</v>
      </c>
      <c r="D49" s="1" t="s">
        <v>465</v>
      </c>
      <c r="E49" s="1" t="s">
        <v>462</v>
      </c>
      <c r="F49" s="3">
        <v>32901</v>
      </c>
      <c r="G49" s="3">
        <v>43522</v>
      </c>
      <c r="H49" s="1">
        <v>29</v>
      </c>
      <c r="I49" s="1">
        <v>3</v>
      </c>
      <c r="J49" s="1" t="s">
        <v>451</v>
      </c>
      <c r="K49" s="1">
        <v>47</v>
      </c>
      <c r="L49" s="1">
        <v>2</v>
      </c>
      <c r="M49" t="str">
        <f t="shared" si="0"/>
        <v>TRUE</v>
      </c>
      <c r="N49" t="s">
        <v>51</v>
      </c>
      <c r="O49">
        <v>27698.736870000001</v>
      </c>
      <c r="P49">
        <v>53471.609380000002</v>
      </c>
      <c r="Q49">
        <v>409510.62359999999</v>
      </c>
      <c r="R49">
        <v>41065.029419999999</v>
      </c>
      <c r="S49">
        <v>9334.98207</v>
      </c>
      <c r="T49">
        <v>16050.262479999999</v>
      </c>
      <c r="U49">
        <v>1898.819105</v>
      </c>
      <c r="V49">
        <v>15068.27414</v>
      </c>
      <c r="W49">
        <v>27037.900099999999</v>
      </c>
      <c r="X49">
        <v>53122.201509999999</v>
      </c>
      <c r="Y49">
        <v>1618.247901</v>
      </c>
      <c r="Z49">
        <v>362862.86290000001</v>
      </c>
      <c r="AA49">
        <v>14459.37219</v>
      </c>
      <c r="AB49">
        <v>2261.4762639999999</v>
      </c>
      <c r="AC49">
        <v>103572.1265</v>
      </c>
    </row>
    <row r="50" spans="1:29" x14ac:dyDescent="0.2">
      <c r="A50" s="1" t="s">
        <v>514</v>
      </c>
      <c r="B50" s="1" t="s">
        <v>399</v>
      </c>
      <c r="C50" s="1" t="s">
        <v>453</v>
      </c>
      <c r="D50" s="1" t="s">
        <v>461</v>
      </c>
      <c r="E50" s="1" t="s">
        <v>455</v>
      </c>
      <c r="F50" s="3">
        <v>29943</v>
      </c>
      <c r="G50" s="3">
        <v>43525</v>
      </c>
      <c r="H50" s="1">
        <v>37</v>
      </c>
      <c r="I50" s="1">
        <v>1</v>
      </c>
      <c r="J50" s="1" t="s">
        <v>451</v>
      </c>
      <c r="K50" s="1">
        <v>922</v>
      </c>
      <c r="L50" s="1">
        <v>8</v>
      </c>
      <c r="M50" t="str">
        <f t="shared" si="0"/>
        <v>TRUE</v>
      </c>
      <c r="N50" t="s">
        <v>399</v>
      </c>
      <c r="O50">
        <v>203653.68030000001</v>
      </c>
      <c r="P50">
        <v>320699.89199999999</v>
      </c>
      <c r="Q50">
        <v>3481608.4509999999</v>
      </c>
      <c r="R50">
        <v>132466.92850000001</v>
      </c>
      <c r="S50">
        <v>161942.04029999999</v>
      </c>
      <c r="T50">
        <v>30714.92006</v>
      </c>
      <c r="U50">
        <v>20985.111069999999</v>
      </c>
      <c r="V50">
        <v>54084.79507</v>
      </c>
      <c r="W50">
        <v>56956.257810000003</v>
      </c>
      <c r="X50">
        <v>121563.42969999999</v>
      </c>
      <c r="Y50">
        <v>4059.5511139999999</v>
      </c>
      <c r="Z50">
        <v>1951331.906</v>
      </c>
      <c r="AA50">
        <v>244027.25810000001</v>
      </c>
      <c r="AB50">
        <v>131927.5778</v>
      </c>
      <c r="AC50">
        <v>2633553.7990000001</v>
      </c>
    </row>
    <row r="51" spans="1:29" x14ac:dyDescent="0.2">
      <c r="A51" s="1" t="s">
        <v>515</v>
      </c>
      <c r="B51" s="1" t="s">
        <v>350</v>
      </c>
      <c r="C51" s="1" t="s">
        <v>464</v>
      </c>
      <c r="D51" s="1" t="s">
        <v>499</v>
      </c>
      <c r="E51" s="1" t="s">
        <v>462</v>
      </c>
      <c r="F51" s="3">
        <v>33519</v>
      </c>
      <c r="G51" s="3">
        <v>43525</v>
      </c>
      <c r="H51" s="1">
        <v>27</v>
      </c>
      <c r="I51" s="1">
        <v>2</v>
      </c>
      <c r="J51" s="1" t="s">
        <v>451</v>
      </c>
      <c r="K51" s="1">
        <v>110</v>
      </c>
      <c r="L51" s="1">
        <v>0</v>
      </c>
      <c r="M51" t="str">
        <f t="shared" si="0"/>
        <v>TRUE</v>
      </c>
      <c r="N51" t="s">
        <v>350</v>
      </c>
      <c r="O51">
        <v>57683.637260000003</v>
      </c>
      <c r="P51">
        <v>1545362.7239999999</v>
      </c>
      <c r="Q51">
        <v>909378.8321</v>
      </c>
      <c r="R51">
        <v>193024.28169999999</v>
      </c>
      <c r="S51">
        <v>95987.027539999995</v>
      </c>
      <c r="T51">
        <v>30952.948810000002</v>
      </c>
      <c r="U51">
        <v>3568.3863689999998</v>
      </c>
      <c r="V51">
        <v>43765.134409999999</v>
      </c>
      <c r="W51">
        <v>53385.72176</v>
      </c>
      <c r="X51">
        <v>240151.47279999999</v>
      </c>
      <c r="Y51">
        <v>2151.6159520000001</v>
      </c>
      <c r="Z51">
        <v>1046416.851</v>
      </c>
      <c r="AA51">
        <v>17157.622319999999</v>
      </c>
      <c r="AB51">
        <v>11438.33481</v>
      </c>
      <c r="AC51">
        <v>439323.43479999999</v>
      </c>
    </row>
    <row r="52" spans="1:29" x14ac:dyDescent="0.2">
      <c r="A52" s="1" t="s">
        <v>516</v>
      </c>
      <c r="B52" s="1" t="s">
        <v>312</v>
      </c>
      <c r="C52" s="1" t="s">
        <v>453</v>
      </c>
      <c r="D52" s="1" t="s">
        <v>461</v>
      </c>
      <c r="E52" s="1" t="s">
        <v>462</v>
      </c>
      <c r="F52" s="3">
        <v>35129</v>
      </c>
      <c r="G52" s="3">
        <v>43532</v>
      </c>
      <c r="H52" s="1">
        <v>23</v>
      </c>
      <c r="I52" s="1">
        <v>2</v>
      </c>
      <c r="J52" s="1" t="s">
        <v>451</v>
      </c>
      <c r="K52" s="1">
        <v>80</v>
      </c>
      <c r="L52" s="1">
        <v>2</v>
      </c>
      <c r="M52" t="str">
        <f t="shared" si="0"/>
        <v>TRUE</v>
      </c>
      <c r="N52" t="s">
        <v>312</v>
      </c>
      <c r="O52">
        <v>176751.56959999999</v>
      </c>
      <c r="P52">
        <v>38850.994469999998</v>
      </c>
      <c r="Q52">
        <v>285865.59330000001</v>
      </c>
      <c r="R52">
        <v>38585.363129999998</v>
      </c>
      <c r="S52">
        <v>83789.150110000002</v>
      </c>
      <c r="T52">
        <v>18838.327529999999</v>
      </c>
      <c r="U52">
        <v>2725.9271739999999</v>
      </c>
      <c r="V52">
        <v>54128.307970000002</v>
      </c>
      <c r="W52">
        <v>67030.803820000001</v>
      </c>
      <c r="X52">
        <v>39416.98661</v>
      </c>
      <c r="Y52">
        <v>1893.4265270000001</v>
      </c>
      <c r="Z52">
        <v>16543.799200000001</v>
      </c>
      <c r="AA52">
        <v>12903.113090000001</v>
      </c>
      <c r="AB52">
        <v>6304.4548000000004</v>
      </c>
      <c r="AC52">
        <v>269852.83630000002</v>
      </c>
    </row>
    <row r="53" spans="1:29" x14ac:dyDescent="0.2">
      <c r="A53" s="1" t="s">
        <v>517</v>
      </c>
      <c r="B53" s="1" t="s">
        <v>333</v>
      </c>
      <c r="C53" s="1" t="s">
        <v>464</v>
      </c>
      <c r="D53" s="1" t="s">
        <v>465</v>
      </c>
      <c r="E53" s="1" t="s">
        <v>462</v>
      </c>
      <c r="F53" s="3">
        <v>33939</v>
      </c>
      <c r="G53" s="3">
        <v>43539</v>
      </c>
      <c r="H53" s="1">
        <v>26</v>
      </c>
      <c r="I53" s="1">
        <v>3</v>
      </c>
      <c r="J53" s="1" t="s">
        <v>451</v>
      </c>
      <c r="K53" s="1">
        <v>15</v>
      </c>
      <c r="L53" s="1">
        <v>0</v>
      </c>
      <c r="M53" t="str">
        <f t="shared" si="0"/>
        <v>TRUE</v>
      </c>
      <c r="N53" t="s">
        <v>333</v>
      </c>
      <c r="O53">
        <v>1332818.0179999999</v>
      </c>
      <c r="P53">
        <v>391120.1251</v>
      </c>
      <c r="Q53">
        <v>2322147.41</v>
      </c>
      <c r="R53">
        <v>151538.73360000001</v>
      </c>
      <c r="S53">
        <v>19219.03414</v>
      </c>
      <c r="T53">
        <v>5908.6086189999996</v>
      </c>
      <c r="U53">
        <v>2126.7214990000002</v>
      </c>
      <c r="V53">
        <v>93109.447419999997</v>
      </c>
      <c r="W53">
        <v>109285.68859999999</v>
      </c>
      <c r="X53">
        <v>785062.16460000002</v>
      </c>
      <c r="Y53">
        <v>3251.6108709999999</v>
      </c>
      <c r="Z53">
        <v>944450.76139999996</v>
      </c>
      <c r="AA53">
        <v>209600.56099999999</v>
      </c>
      <c r="AB53">
        <v>27647.266029999999</v>
      </c>
      <c r="AC53">
        <v>6925673.0829999996</v>
      </c>
    </row>
    <row r="54" spans="1:29" x14ac:dyDescent="0.2">
      <c r="A54" s="1" t="s">
        <v>632</v>
      </c>
      <c r="B54" s="1" t="s">
        <v>204</v>
      </c>
      <c r="C54" s="1" t="s">
        <v>453</v>
      </c>
      <c r="D54" s="1" t="s">
        <v>454</v>
      </c>
      <c r="E54" s="1" t="s">
        <v>462</v>
      </c>
      <c r="F54" s="3">
        <v>31823</v>
      </c>
      <c r="G54" s="3">
        <v>43546</v>
      </c>
      <c r="H54" s="1">
        <v>32</v>
      </c>
      <c r="I54" s="1">
        <v>1</v>
      </c>
      <c r="J54" s="1" t="s">
        <v>456</v>
      </c>
      <c r="K54" s="1">
        <v>306</v>
      </c>
      <c r="L54" s="1">
        <v>4</v>
      </c>
      <c r="M54" t="str">
        <f t="shared" si="0"/>
        <v>TRUE</v>
      </c>
      <c r="N54" t="s">
        <v>204</v>
      </c>
      <c r="O54">
        <v>381859.37180000002</v>
      </c>
      <c r="P54">
        <v>73695.733099999998</v>
      </c>
      <c r="Q54">
        <v>1158896.4920000001</v>
      </c>
      <c r="R54">
        <v>141278.2077</v>
      </c>
      <c r="S54">
        <v>196148.66959999999</v>
      </c>
      <c r="T54">
        <v>15375.586520000001</v>
      </c>
      <c r="U54">
        <v>2557.8425400000001</v>
      </c>
      <c r="V54">
        <v>63631.140599999999</v>
      </c>
      <c r="W54">
        <v>47804.4712</v>
      </c>
      <c r="X54">
        <v>109913.9589</v>
      </c>
      <c r="Y54">
        <v>119820.3995</v>
      </c>
      <c r="Z54">
        <v>325380.42139999999</v>
      </c>
      <c r="AA54">
        <v>15256.0604</v>
      </c>
      <c r="AB54">
        <v>127601.9911</v>
      </c>
      <c r="AC54">
        <v>812113.54960000003</v>
      </c>
    </row>
    <row r="55" spans="1:29" x14ac:dyDescent="0.2">
      <c r="A55" s="1" t="s">
        <v>519</v>
      </c>
      <c r="B55" s="1" t="s">
        <v>304</v>
      </c>
      <c r="C55" s="1" t="s">
        <v>453</v>
      </c>
      <c r="D55" s="1" t="s">
        <v>461</v>
      </c>
      <c r="E55" s="1" t="s">
        <v>462</v>
      </c>
      <c r="F55" s="3">
        <v>29437</v>
      </c>
      <c r="G55" s="3">
        <v>43558</v>
      </c>
      <c r="H55" s="1">
        <v>38</v>
      </c>
      <c r="I55" s="1">
        <v>3</v>
      </c>
      <c r="J55" s="1" t="s">
        <v>451</v>
      </c>
      <c r="K55" s="1">
        <v>56</v>
      </c>
      <c r="L55" s="1">
        <v>0</v>
      </c>
      <c r="M55" t="str">
        <f t="shared" si="0"/>
        <v>TRUE</v>
      </c>
      <c r="N55" t="s">
        <v>304</v>
      </c>
      <c r="O55">
        <v>199560.85070000001</v>
      </c>
      <c r="P55">
        <v>969800.54040000006</v>
      </c>
      <c r="Q55">
        <v>884771.12910000002</v>
      </c>
      <c r="R55">
        <v>293674.1433</v>
      </c>
      <c r="S55">
        <v>415643.701</v>
      </c>
      <c r="T55">
        <v>32581.66635</v>
      </c>
      <c r="U55">
        <v>26695.777340000001</v>
      </c>
      <c r="V55">
        <v>198638.1109</v>
      </c>
      <c r="W55">
        <v>202895.53690000001</v>
      </c>
      <c r="X55">
        <v>566144.81299999997</v>
      </c>
      <c r="Y55">
        <v>4115.7884340000001</v>
      </c>
      <c r="Z55">
        <v>1040767.91</v>
      </c>
      <c r="AA55">
        <v>157319.64739999999</v>
      </c>
      <c r="AB55">
        <v>165725.2475</v>
      </c>
      <c r="AC55">
        <v>459614.24959999998</v>
      </c>
    </row>
    <row r="56" spans="1:29" x14ac:dyDescent="0.2">
      <c r="A56" s="1" t="s">
        <v>520</v>
      </c>
      <c r="B56" s="1" t="s">
        <v>76</v>
      </c>
      <c r="C56" s="1" t="s">
        <v>453</v>
      </c>
      <c r="D56" s="1" t="s">
        <v>461</v>
      </c>
      <c r="E56" s="1" t="s">
        <v>462</v>
      </c>
      <c r="F56" s="3">
        <v>30401</v>
      </c>
      <c r="G56" s="3">
        <v>43560</v>
      </c>
      <c r="H56" s="1">
        <v>36</v>
      </c>
      <c r="I56" s="1">
        <v>3</v>
      </c>
      <c r="J56" s="1" t="s">
        <v>451</v>
      </c>
      <c r="K56" s="1">
        <v>28</v>
      </c>
      <c r="L56" s="1">
        <v>0</v>
      </c>
      <c r="M56" t="str">
        <f t="shared" si="0"/>
        <v>TRUE</v>
      </c>
      <c r="N56" t="s">
        <v>76</v>
      </c>
      <c r="O56">
        <v>177208.236</v>
      </c>
      <c r="P56">
        <v>140916.59950000001</v>
      </c>
      <c r="Q56">
        <v>186816.02050000001</v>
      </c>
      <c r="R56">
        <v>167581.4884</v>
      </c>
      <c r="S56">
        <v>69153.998630000002</v>
      </c>
      <c r="T56">
        <v>27046.759829999999</v>
      </c>
      <c r="U56">
        <v>9587.858209</v>
      </c>
      <c r="V56">
        <v>26159.819869999999</v>
      </c>
      <c r="W56">
        <v>27320.346269999998</v>
      </c>
      <c r="X56">
        <v>69386.658230000001</v>
      </c>
      <c r="Y56">
        <v>1551.8137730000001</v>
      </c>
      <c r="Z56">
        <v>949200.14650000003</v>
      </c>
      <c r="AA56">
        <v>58621.004079999999</v>
      </c>
      <c r="AB56">
        <v>15156.678540000001</v>
      </c>
      <c r="AC56">
        <v>54702.172129999999</v>
      </c>
    </row>
    <row r="57" spans="1:29" x14ac:dyDescent="0.2">
      <c r="A57" s="1" t="s">
        <v>521</v>
      </c>
      <c r="B57" s="1" t="s">
        <v>135</v>
      </c>
      <c r="C57" s="1" t="s">
        <v>453</v>
      </c>
      <c r="D57" s="1" t="s">
        <v>461</v>
      </c>
      <c r="E57" s="1" t="s">
        <v>462</v>
      </c>
      <c r="F57" s="3">
        <v>23573</v>
      </c>
      <c r="G57" s="3">
        <v>43560</v>
      </c>
      <c r="H57" s="1">
        <v>54</v>
      </c>
      <c r="I57" s="1">
        <v>3</v>
      </c>
      <c r="J57" s="1" t="s">
        <v>451</v>
      </c>
      <c r="K57" s="1">
        <v>35</v>
      </c>
      <c r="L57" s="1">
        <v>0</v>
      </c>
      <c r="M57" t="str">
        <f t="shared" si="0"/>
        <v>TRUE</v>
      </c>
      <c r="N57" t="s">
        <v>135</v>
      </c>
      <c r="O57">
        <v>185906.85459999999</v>
      </c>
      <c r="P57">
        <v>226844.94399999999</v>
      </c>
      <c r="Q57">
        <v>374812.04710000003</v>
      </c>
      <c r="R57">
        <v>195392.96109999999</v>
      </c>
      <c r="S57">
        <v>393398.93359999999</v>
      </c>
      <c r="T57">
        <v>11188.0159</v>
      </c>
      <c r="U57">
        <v>2807.75522</v>
      </c>
      <c r="V57">
        <v>18637.833170000002</v>
      </c>
      <c r="W57">
        <v>40087.453410000002</v>
      </c>
      <c r="X57">
        <v>56400.240859999998</v>
      </c>
      <c r="Y57">
        <v>1111.2499909999999</v>
      </c>
      <c r="Z57">
        <v>807741.83719999995</v>
      </c>
      <c r="AA57">
        <v>48871.546820000003</v>
      </c>
      <c r="AB57">
        <v>9282.2599790000004</v>
      </c>
      <c r="AC57">
        <v>165722.34520000001</v>
      </c>
    </row>
    <row r="58" spans="1:29" x14ac:dyDescent="0.2">
      <c r="A58" s="1" t="s">
        <v>522</v>
      </c>
      <c r="B58" s="1" t="s">
        <v>166</v>
      </c>
      <c r="C58" s="1" t="s">
        <v>453</v>
      </c>
      <c r="D58" s="1" t="s">
        <v>454</v>
      </c>
      <c r="E58" s="1" t="s">
        <v>462</v>
      </c>
      <c r="F58" s="3">
        <v>36196</v>
      </c>
      <c r="G58" s="3">
        <v>43560</v>
      </c>
      <c r="H58" s="1">
        <v>20</v>
      </c>
      <c r="I58" s="1">
        <v>3</v>
      </c>
      <c r="J58" s="1" t="s">
        <v>451</v>
      </c>
      <c r="K58" s="1">
        <v>68</v>
      </c>
      <c r="L58" s="1">
        <v>1</v>
      </c>
      <c r="M58" t="str">
        <f t="shared" si="0"/>
        <v>TRUE</v>
      </c>
      <c r="N58" t="s">
        <v>166</v>
      </c>
      <c r="O58">
        <v>264704.85499999998</v>
      </c>
      <c r="P58">
        <v>137045.6943</v>
      </c>
      <c r="Q58">
        <v>3329048.6740000001</v>
      </c>
      <c r="R58">
        <v>399165.02899999998</v>
      </c>
      <c r="S58">
        <v>33434.167130000002</v>
      </c>
      <c r="T58">
        <v>17919.99987</v>
      </c>
      <c r="U58">
        <v>2889.2370089999999</v>
      </c>
      <c r="V58">
        <v>12736.639789999999</v>
      </c>
      <c r="W58">
        <v>235023.53820000001</v>
      </c>
      <c r="X58">
        <v>66458.751260000005</v>
      </c>
      <c r="Y58">
        <v>2408.561878</v>
      </c>
      <c r="Z58">
        <v>55097.711470000002</v>
      </c>
      <c r="AA58">
        <v>77888.037729999996</v>
      </c>
      <c r="AB58">
        <v>63765.071810000001</v>
      </c>
      <c r="AC58">
        <v>2897722.574</v>
      </c>
    </row>
    <row r="59" spans="1:29" x14ac:dyDescent="0.2">
      <c r="A59" s="1" t="s">
        <v>523</v>
      </c>
      <c r="B59" s="1" t="s">
        <v>340</v>
      </c>
      <c r="C59" s="1" t="s">
        <v>453</v>
      </c>
      <c r="D59" s="1" t="s">
        <v>454</v>
      </c>
      <c r="E59" s="1" t="s">
        <v>455</v>
      </c>
      <c r="F59" s="3">
        <v>34403</v>
      </c>
      <c r="G59" s="3">
        <v>43546</v>
      </c>
      <c r="H59" s="1">
        <v>25</v>
      </c>
      <c r="I59" s="1">
        <v>2</v>
      </c>
      <c r="J59" s="1" t="s">
        <v>456</v>
      </c>
      <c r="K59" s="1">
        <v>2155</v>
      </c>
      <c r="L59" s="1">
        <v>15</v>
      </c>
      <c r="M59" t="str">
        <f t="shared" si="0"/>
        <v>TRUE</v>
      </c>
      <c r="N59" t="s">
        <v>340</v>
      </c>
      <c r="O59">
        <v>304934.09759999998</v>
      </c>
      <c r="P59">
        <v>55471.286749999999</v>
      </c>
      <c r="Q59">
        <v>806320.03960000002</v>
      </c>
      <c r="R59">
        <v>1293733.3119999999</v>
      </c>
      <c r="S59">
        <v>101010.1038</v>
      </c>
      <c r="T59">
        <v>11589.64948</v>
      </c>
      <c r="U59">
        <v>2117.0936099999999</v>
      </c>
      <c r="V59">
        <v>79445.858739999996</v>
      </c>
      <c r="W59">
        <v>114290.2645</v>
      </c>
      <c r="X59">
        <v>146805.10149999999</v>
      </c>
      <c r="Y59">
        <v>25291.826000000001</v>
      </c>
      <c r="Z59">
        <v>38534.792159999997</v>
      </c>
      <c r="AA59">
        <v>84496.280039999998</v>
      </c>
      <c r="AB59">
        <v>145272.1501</v>
      </c>
      <c r="AC59">
        <v>656047.33239999996</v>
      </c>
    </row>
    <row r="60" spans="1:29" x14ac:dyDescent="0.2">
      <c r="A60" s="1" t="s">
        <v>524</v>
      </c>
      <c r="B60" s="1" t="s">
        <v>202</v>
      </c>
      <c r="C60" s="1" t="s">
        <v>453</v>
      </c>
      <c r="D60" s="1" t="s">
        <v>454</v>
      </c>
      <c r="E60" s="1" t="s">
        <v>462</v>
      </c>
      <c r="F60" s="3">
        <v>31823</v>
      </c>
      <c r="G60" s="3">
        <v>43579</v>
      </c>
      <c r="H60" s="1">
        <v>32</v>
      </c>
      <c r="I60" s="1">
        <v>2</v>
      </c>
      <c r="J60" s="1" t="s">
        <v>456</v>
      </c>
      <c r="K60" s="1">
        <v>15</v>
      </c>
      <c r="L60" s="1">
        <v>0</v>
      </c>
      <c r="M60" t="str">
        <f t="shared" si="0"/>
        <v>TRUE</v>
      </c>
      <c r="N60" t="s">
        <v>202</v>
      </c>
      <c r="O60">
        <v>176542.02970000001</v>
      </c>
      <c r="P60">
        <v>177805.8915</v>
      </c>
      <c r="Q60">
        <v>3400364.6970000002</v>
      </c>
      <c r="R60">
        <v>211419.55799999999</v>
      </c>
      <c r="S60">
        <v>207114.14850000001</v>
      </c>
      <c r="T60">
        <v>28231.134419999998</v>
      </c>
      <c r="U60">
        <v>2172.6756970000001</v>
      </c>
      <c r="V60">
        <v>21888.01917</v>
      </c>
      <c r="W60">
        <v>93122.705539999995</v>
      </c>
      <c r="X60">
        <v>61998.816359999997</v>
      </c>
      <c r="Y60">
        <v>368721.7733</v>
      </c>
      <c r="Z60">
        <v>72634.785870000007</v>
      </c>
      <c r="AA60">
        <v>46220.325100000002</v>
      </c>
      <c r="AB60">
        <v>155820.32569999999</v>
      </c>
      <c r="AC60">
        <v>2373180.855</v>
      </c>
    </row>
    <row r="61" spans="1:29" x14ac:dyDescent="0.2">
      <c r="A61" s="1" t="s">
        <v>525</v>
      </c>
      <c r="B61" s="1" t="s">
        <v>114</v>
      </c>
      <c r="C61" s="1" t="s">
        <v>464</v>
      </c>
      <c r="D61" s="1" t="s">
        <v>482</v>
      </c>
      <c r="E61" s="1" t="s">
        <v>462</v>
      </c>
      <c r="F61" s="3">
        <v>35185</v>
      </c>
      <c r="G61" s="3">
        <v>43580</v>
      </c>
      <c r="H61" s="1">
        <v>22</v>
      </c>
      <c r="I61" s="1">
        <v>2</v>
      </c>
      <c r="J61" s="1" t="s">
        <v>456</v>
      </c>
      <c r="K61" s="1">
        <v>26</v>
      </c>
      <c r="L61" s="1">
        <v>3</v>
      </c>
      <c r="M61" t="str">
        <f t="shared" si="0"/>
        <v>TRUE</v>
      </c>
      <c r="N61" t="s">
        <v>114</v>
      </c>
      <c r="O61">
        <v>367067.5956</v>
      </c>
      <c r="P61">
        <v>25896.461080000001</v>
      </c>
      <c r="Q61">
        <v>506475.74479999999</v>
      </c>
      <c r="R61">
        <v>322835.234</v>
      </c>
      <c r="S61">
        <v>172718.4504</v>
      </c>
      <c r="T61">
        <v>15538.807049999999</v>
      </c>
      <c r="U61">
        <v>30684.85944</v>
      </c>
      <c r="V61">
        <v>6484.7822420000002</v>
      </c>
      <c r="W61">
        <v>28259.393390000001</v>
      </c>
      <c r="X61">
        <v>14120.073979999999</v>
      </c>
      <c r="Y61">
        <v>1284.9963170000001</v>
      </c>
      <c r="Z61">
        <v>70433.722420000006</v>
      </c>
      <c r="AA61">
        <v>92892.347269999998</v>
      </c>
      <c r="AB61">
        <v>37259.41287</v>
      </c>
      <c r="AC61">
        <v>253136.8309</v>
      </c>
    </row>
    <row r="62" spans="1:29" x14ac:dyDescent="0.2">
      <c r="A62" s="1" t="s">
        <v>526</v>
      </c>
      <c r="B62" s="1" t="s">
        <v>397</v>
      </c>
      <c r="C62" s="1" t="s">
        <v>453</v>
      </c>
      <c r="D62" s="1" t="s">
        <v>461</v>
      </c>
      <c r="E62" s="1" t="s">
        <v>455</v>
      </c>
      <c r="F62" s="3">
        <v>29943</v>
      </c>
      <c r="G62" s="3">
        <v>43567</v>
      </c>
      <c r="H62" s="1">
        <v>37</v>
      </c>
      <c r="I62" s="1">
        <v>2</v>
      </c>
      <c r="J62" s="1" t="s">
        <v>451</v>
      </c>
      <c r="K62" s="1">
        <v>31</v>
      </c>
      <c r="L62" s="1">
        <v>0</v>
      </c>
      <c r="M62" t="str">
        <f t="shared" si="0"/>
        <v>TRUE</v>
      </c>
      <c r="N62" t="s">
        <v>397</v>
      </c>
      <c r="O62">
        <v>123500.6781</v>
      </c>
      <c r="P62">
        <v>868722.89670000004</v>
      </c>
      <c r="Q62">
        <v>2034678.118</v>
      </c>
      <c r="R62">
        <v>103030.4834</v>
      </c>
      <c r="S62">
        <v>123475.5719</v>
      </c>
      <c r="T62">
        <v>14684.431339999999</v>
      </c>
      <c r="U62">
        <v>2767.2074269999998</v>
      </c>
      <c r="V62">
        <v>26628.270639999999</v>
      </c>
      <c r="W62">
        <v>62119.05861</v>
      </c>
      <c r="X62">
        <v>106049.01300000001</v>
      </c>
      <c r="Y62">
        <v>2204.847784</v>
      </c>
      <c r="Z62">
        <v>6466893.9060000004</v>
      </c>
      <c r="AA62">
        <v>230109.26819999999</v>
      </c>
      <c r="AB62">
        <v>6411.2718189999996</v>
      </c>
      <c r="AC62">
        <v>1158859.5379999999</v>
      </c>
    </row>
    <row r="63" spans="1:29" x14ac:dyDescent="0.2">
      <c r="A63" s="1" t="s">
        <v>527</v>
      </c>
      <c r="B63" s="1" t="s">
        <v>281</v>
      </c>
      <c r="C63" s="1" t="s">
        <v>453</v>
      </c>
      <c r="D63" s="1" t="s">
        <v>454</v>
      </c>
      <c r="E63" s="1" t="s">
        <v>462</v>
      </c>
      <c r="F63" s="3">
        <v>25311</v>
      </c>
      <c r="G63" s="3">
        <v>43581</v>
      </c>
      <c r="H63" s="1">
        <v>50</v>
      </c>
      <c r="I63" s="1">
        <v>2</v>
      </c>
      <c r="J63" s="1" t="s">
        <v>451</v>
      </c>
      <c r="K63" s="1">
        <v>67</v>
      </c>
      <c r="L63" s="1">
        <v>2</v>
      </c>
      <c r="M63" t="str">
        <f t="shared" si="0"/>
        <v>TRUE</v>
      </c>
      <c r="N63" t="s">
        <v>281</v>
      </c>
      <c r="O63">
        <v>209727.87770000001</v>
      </c>
      <c r="P63">
        <v>134817.81479999999</v>
      </c>
      <c r="Q63">
        <v>1836441.2209999999</v>
      </c>
      <c r="R63">
        <v>79040.305800000002</v>
      </c>
      <c r="S63">
        <v>76254.209669999997</v>
      </c>
      <c r="T63">
        <v>18586.86274</v>
      </c>
      <c r="U63">
        <v>48128.274689999998</v>
      </c>
      <c r="V63">
        <v>16332.43658</v>
      </c>
      <c r="W63">
        <v>37663.03398</v>
      </c>
      <c r="X63">
        <v>44862.788339999999</v>
      </c>
      <c r="Y63">
        <v>4401.167598</v>
      </c>
      <c r="Z63">
        <v>192045.76689999999</v>
      </c>
      <c r="AA63">
        <v>127603.93829999999</v>
      </c>
      <c r="AB63">
        <v>106041.308</v>
      </c>
      <c r="AC63">
        <v>1934402.956</v>
      </c>
    </row>
    <row r="64" spans="1:29" x14ac:dyDescent="0.2">
      <c r="A64" s="1" t="s">
        <v>528</v>
      </c>
      <c r="B64" s="1" t="s">
        <v>220</v>
      </c>
      <c r="C64" s="1" t="s">
        <v>453</v>
      </c>
      <c r="D64" s="1" t="s">
        <v>454</v>
      </c>
      <c r="E64" s="1" t="s">
        <v>462</v>
      </c>
      <c r="F64" s="3">
        <v>17139</v>
      </c>
      <c r="G64" s="3">
        <v>43609</v>
      </c>
      <c r="H64" s="1">
        <v>72</v>
      </c>
      <c r="I64" s="1">
        <v>3</v>
      </c>
      <c r="J64" s="1" t="s">
        <v>451</v>
      </c>
      <c r="K64" s="1">
        <v>15</v>
      </c>
      <c r="L64" s="1">
        <v>2</v>
      </c>
      <c r="M64" t="str">
        <f t="shared" si="0"/>
        <v>TRUE</v>
      </c>
      <c r="N64" t="s">
        <v>220</v>
      </c>
      <c r="O64">
        <v>47974.631379999999</v>
      </c>
      <c r="P64">
        <v>55280.869200000001</v>
      </c>
      <c r="Q64">
        <v>330470.81430000003</v>
      </c>
      <c r="R64">
        <v>55250.245210000001</v>
      </c>
      <c r="S64">
        <v>209019.75109999999</v>
      </c>
      <c r="T64">
        <v>74055.547959999996</v>
      </c>
      <c r="U64">
        <v>2453.349788</v>
      </c>
      <c r="V64">
        <v>23720.287629999999</v>
      </c>
      <c r="W64">
        <v>46067.274709999998</v>
      </c>
      <c r="X64">
        <v>86170.418900000004</v>
      </c>
      <c r="Y64">
        <v>1185.3497950000001</v>
      </c>
      <c r="Z64">
        <v>989808.70629999996</v>
      </c>
      <c r="AA64">
        <v>149301.5491</v>
      </c>
      <c r="AB64">
        <v>5729.8273989999998</v>
      </c>
      <c r="AC64">
        <v>74536.672690000007</v>
      </c>
    </row>
    <row r="65" spans="1:29" x14ac:dyDescent="0.2">
      <c r="A65" s="1" t="s">
        <v>529</v>
      </c>
      <c r="B65" s="1" t="s">
        <v>344</v>
      </c>
      <c r="C65" s="1" t="s">
        <v>453</v>
      </c>
      <c r="D65" s="1" t="s">
        <v>454</v>
      </c>
      <c r="E65" s="1" t="s">
        <v>455</v>
      </c>
      <c r="F65" s="3">
        <v>34403</v>
      </c>
      <c r="G65" s="3">
        <v>43627</v>
      </c>
      <c r="H65" s="1">
        <v>25</v>
      </c>
      <c r="I65" s="1">
        <v>3</v>
      </c>
      <c r="J65" s="1" t="s">
        <v>456</v>
      </c>
      <c r="K65" s="1">
        <v>667</v>
      </c>
      <c r="L65" s="1">
        <v>6</v>
      </c>
      <c r="M65" t="str">
        <f t="shared" si="0"/>
        <v>TRUE</v>
      </c>
      <c r="N65" t="s">
        <v>344</v>
      </c>
      <c r="O65">
        <v>295056.75300000003</v>
      </c>
      <c r="P65">
        <v>14798.830089999999</v>
      </c>
      <c r="Q65">
        <v>378540.4155</v>
      </c>
      <c r="R65">
        <v>517942.24239999999</v>
      </c>
      <c r="S65">
        <v>129441.4749</v>
      </c>
      <c r="T65">
        <v>12313.303089999999</v>
      </c>
      <c r="U65">
        <v>1711.544639</v>
      </c>
      <c r="V65">
        <v>53235.927179999999</v>
      </c>
      <c r="W65">
        <v>26672.279159999998</v>
      </c>
      <c r="X65">
        <v>118956.1275</v>
      </c>
      <c r="Y65">
        <v>2337.4223029999998</v>
      </c>
      <c r="Z65">
        <v>106882.91220000001</v>
      </c>
      <c r="AA65">
        <v>20749.629110000002</v>
      </c>
      <c r="AB65">
        <v>72442.759829999995</v>
      </c>
      <c r="AC65">
        <v>205248.80929999999</v>
      </c>
    </row>
    <row r="66" spans="1:29" x14ac:dyDescent="0.2">
      <c r="A66" s="1" t="s">
        <v>622</v>
      </c>
      <c r="B66" s="1" t="s">
        <v>348</v>
      </c>
      <c r="C66" s="1" t="s">
        <v>453</v>
      </c>
      <c r="D66" s="1" t="s">
        <v>454</v>
      </c>
      <c r="E66" s="1" t="s">
        <v>455</v>
      </c>
      <c r="F66" s="3">
        <v>34403</v>
      </c>
      <c r="G66" s="3">
        <v>43664</v>
      </c>
      <c r="H66" s="1">
        <v>25</v>
      </c>
      <c r="I66" s="4">
        <v>1</v>
      </c>
      <c r="J66" s="1" t="s">
        <v>456</v>
      </c>
      <c r="K66" s="1">
        <v>312</v>
      </c>
      <c r="L66" s="1">
        <v>3</v>
      </c>
      <c r="M66" t="str">
        <f t="shared" si="0"/>
        <v>TRUE</v>
      </c>
      <c r="N66" t="s">
        <v>348</v>
      </c>
      <c r="O66">
        <v>406108.87050000002</v>
      </c>
      <c r="P66">
        <v>87607.770560000004</v>
      </c>
      <c r="Q66">
        <v>882641.94110000005</v>
      </c>
      <c r="R66">
        <v>1374393.7390000001</v>
      </c>
      <c r="S66">
        <v>7628.9076340000001</v>
      </c>
      <c r="T66">
        <v>10625.16353</v>
      </c>
      <c r="U66">
        <v>2572.3435159999999</v>
      </c>
      <c r="V66">
        <v>25541.34002</v>
      </c>
      <c r="W66">
        <v>23620.181919999999</v>
      </c>
      <c r="X66">
        <v>57637.05399</v>
      </c>
      <c r="Y66">
        <v>6030.6352479999996</v>
      </c>
      <c r="Z66">
        <v>123548.42479999999</v>
      </c>
      <c r="AA66">
        <v>16870.08684</v>
      </c>
      <c r="AB66">
        <v>53473.121019999999</v>
      </c>
      <c r="AC66">
        <v>432850.70789999998</v>
      </c>
    </row>
    <row r="67" spans="1:29" x14ac:dyDescent="0.2">
      <c r="A67" s="1" t="s">
        <v>532</v>
      </c>
      <c r="B67" s="1" t="s">
        <v>256</v>
      </c>
      <c r="C67" s="1" t="s">
        <v>448</v>
      </c>
      <c r="D67" s="1" t="s">
        <v>459</v>
      </c>
      <c r="E67" s="1" t="s">
        <v>450</v>
      </c>
      <c r="F67" s="3">
        <v>34502</v>
      </c>
      <c r="G67" s="3">
        <v>43677</v>
      </c>
      <c r="H67" s="1">
        <v>25</v>
      </c>
      <c r="I67" s="1">
        <v>1</v>
      </c>
      <c r="J67" s="1" t="s">
        <v>456</v>
      </c>
      <c r="K67" s="1">
        <v>769</v>
      </c>
      <c r="L67" s="1" t="s">
        <v>450</v>
      </c>
      <c r="M67" t="str">
        <f t="shared" ref="M67:M130" si="1">IF(B67=N67,"TRUE","FALSE")</f>
        <v>TRUE</v>
      </c>
      <c r="N67" t="s">
        <v>256</v>
      </c>
      <c r="O67">
        <v>111539.49649999999</v>
      </c>
      <c r="P67">
        <v>368954.12609999999</v>
      </c>
      <c r="Q67">
        <v>1768317.452</v>
      </c>
      <c r="R67">
        <v>130775.4656</v>
      </c>
      <c r="S67">
        <v>114299.4932</v>
      </c>
      <c r="T67">
        <v>18238.546859999999</v>
      </c>
      <c r="U67">
        <v>2795.7671359999999</v>
      </c>
      <c r="V67">
        <v>110400.14629999999</v>
      </c>
      <c r="W67">
        <v>93719.663159999996</v>
      </c>
      <c r="X67">
        <v>226630.70180000001</v>
      </c>
      <c r="Y67">
        <v>25228.154060000001</v>
      </c>
      <c r="Z67">
        <v>562737.41890000005</v>
      </c>
      <c r="AA67">
        <v>92165.674840000007</v>
      </c>
      <c r="AB67">
        <v>107882.1971</v>
      </c>
      <c r="AC67">
        <v>1910607.1769999999</v>
      </c>
    </row>
    <row r="68" spans="1:29" x14ac:dyDescent="0.2">
      <c r="A68" s="1" t="s">
        <v>533</v>
      </c>
      <c r="B68" s="1" t="s">
        <v>283</v>
      </c>
      <c r="C68" s="1" t="s">
        <v>453</v>
      </c>
      <c r="D68" s="1" t="s">
        <v>454</v>
      </c>
      <c r="E68" s="1" t="s">
        <v>462</v>
      </c>
      <c r="F68" s="3">
        <v>25311</v>
      </c>
      <c r="G68" s="3">
        <v>43672</v>
      </c>
      <c r="H68" s="1">
        <v>50</v>
      </c>
      <c r="I68" s="1">
        <v>3</v>
      </c>
      <c r="J68" s="1" t="s">
        <v>451</v>
      </c>
      <c r="K68" s="1">
        <v>786</v>
      </c>
      <c r="L68" s="1">
        <v>3</v>
      </c>
      <c r="M68" t="str">
        <f t="shared" si="1"/>
        <v>TRUE</v>
      </c>
      <c r="N68" t="s">
        <v>283</v>
      </c>
      <c r="O68">
        <v>229335.73</v>
      </c>
      <c r="P68">
        <v>106737.9145</v>
      </c>
      <c r="Q68">
        <v>733062.10519999999</v>
      </c>
      <c r="R68">
        <v>47769.409059999998</v>
      </c>
      <c r="S68">
        <v>269199.72960000002</v>
      </c>
      <c r="T68">
        <v>15384.31179</v>
      </c>
      <c r="U68">
        <v>56263.774299999997</v>
      </c>
      <c r="V68">
        <v>68880.692970000004</v>
      </c>
      <c r="W68">
        <v>124852.3437</v>
      </c>
      <c r="X68">
        <v>176123.98019999999</v>
      </c>
      <c r="Y68">
        <v>101475.0592</v>
      </c>
      <c r="Z68">
        <v>395612.64880000002</v>
      </c>
      <c r="AA68">
        <v>202096.06280000001</v>
      </c>
      <c r="AB68">
        <v>82142.114950000003</v>
      </c>
      <c r="AC68">
        <v>784590.85030000005</v>
      </c>
    </row>
    <row r="69" spans="1:29" x14ac:dyDescent="0.2">
      <c r="A69" s="1" t="s">
        <v>534</v>
      </c>
      <c r="B69" s="1" t="s">
        <v>63</v>
      </c>
      <c r="C69" s="1" t="s">
        <v>464</v>
      </c>
      <c r="D69" s="1" t="s">
        <v>465</v>
      </c>
      <c r="E69" s="1" t="s">
        <v>462</v>
      </c>
      <c r="F69" s="3">
        <v>22293</v>
      </c>
      <c r="G69" s="3">
        <v>43657</v>
      </c>
      <c r="H69" s="1">
        <v>58</v>
      </c>
      <c r="I69" s="1">
        <v>1</v>
      </c>
      <c r="J69" s="1" t="s">
        <v>456</v>
      </c>
      <c r="K69" s="1">
        <v>1013</v>
      </c>
      <c r="L69" s="1">
        <v>8</v>
      </c>
      <c r="M69" t="str">
        <f t="shared" si="1"/>
        <v>TRUE</v>
      </c>
      <c r="N69" t="s">
        <v>63</v>
      </c>
      <c r="O69">
        <v>66439.568849999996</v>
      </c>
      <c r="P69">
        <v>1841823.8910000001</v>
      </c>
      <c r="Q69">
        <v>510892.79869999998</v>
      </c>
      <c r="R69">
        <v>171947.1574</v>
      </c>
      <c r="S69">
        <v>143183.13800000001</v>
      </c>
      <c r="T69">
        <v>30900.341179999999</v>
      </c>
      <c r="U69">
        <v>105153.32279999999</v>
      </c>
      <c r="V69">
        <v>69008.479609999995</v>
      </c>
      <c r="W69">
        <v>31462.779170000002</v>
      </c>
      <c r="X69">
        <v>51894.700290000001</v>
      </c>
      <c r="Y69">
        <v>3994.054427</v>
      </c>
      <c r="Z69">
        <v>690567.56920000003</v>
      </c>
      <c r="AA69">
        <v>44358.568930000001</v>
      </c>
      <c r="AB69">
        <v>6271.6364460000004</v>
      </c>
      <c r="AC69">
        <v>93372.258449999994</v>
      </c>
    </row>
    <row r="70" spans="1:29" x14ac:dyDescent="0.2">
      <c r="A70" s="1" t="s">
        <v>535</v>
      </c>
      <c r="B70" s="1" t="s">
        <v>387</v>
      </c>
      <c r="C70" s="1" t="s">
        <v>453</v>
      </c>
      <c r="D70" s="1" t="s">
        <v>454</v>
      </c>
      <c r="E70" s="1" t="s">
        <v>462</v>
      </c>
      <c r="F70" s="3">
        <v>23568</v>
      </c>
      <c r="G70" s="3">
        <v>43658</v>
      </c>
      <c r="H70" s="1">
        <v>55</v>
      </c>
      <c r="I70" s="1">
        <v>1</v>
      </c>
      <c r="J70" s="1" t="s">
        <v>451</v>
      </c>
      <c r="K70" s="1">
        <v>4750</v>
      </c>
      <c r="L70" s="1">
        <v>10</v>
      </c>
      <c r="M70" t="str">
        <f t="shared" si="1"/>
        <v>TRUE</v>
      </c>
      <c r="N70" t="s">
        <v>387</v>
      </c>
      <c r="O70">
        <v>46004.114139999998</v>
      </c>
      <c r="P70">
        <v>84855.629079999999</v>
      </c>
      <c r="Q70">
        <v>240010.37419999999</v>
      </c>
      <c r="R70">
        <v>99773.571909999999</v>
      </c>
      <c r="S70">
        <v>127472.1058</v>
      </c>
      <c r="T70">
        <v>27521.39443</v>
      </c>
      <c r="U70">
        <v>3179.7370519999999</v>
      </c>
      <c r="V70">
        <v>20969.486489999999</v>
      </c>
      <c r="W70">
        <v>16805.972430000002</v>
      </c>
      <c r="X70">
        <v>66654.956340000004</v>
      </c>
      <c r="Y70">
        <v>2263.4884689999999</v>
      </c>
      <c r="Z70">
        <v>566646.18489999999</v>
      </c>
      <c r="AA70">
        <v>8512.6505219999999</v>
      </c>
      <c r="AB70">
        <v>12367.572109999999</v>
      </c>
      <c r="AC70">
        <v>55731.791729999997</v>
      </c>
    </row>
    <row r="71" spans="1:29" x14ac:dyDescent="0.2">
      <c r="A71" s="1" t="s">
        <v>536</v>
      </c>
      <c r="B71" s="1" t="s">
        <v>174</v>
      </c>
      <c r="C71" s="1" t="s">
        <v>453</v>
      </c>
      <c r="D71" s="1" t="s">
        <v>454</v>
      </c>
      <c r="E71" s="1" t="s">
        <v>462</v>
      </c>
      <c r="F71" s="3">
        <v>29445</v>
      </c>
      <c r="G71" s="3">
        <v>43679</v>
      </c>
      <c r="H71" s="1">
        <v>38</v>
      </c>
      <c r="I71" s="1">
        <v>3</v>
      </c>
      <c r="J71" s="1" t="s">
        <v>451</v>
      </c>
      <c r="K71" s="1">
        <v>155</v>
      </c>
      <c r="L71" s="1">
        <v>1</v>
      </c>
      <c r="M71" t="str">
        <f t="shared" si="1"/>
        <v>TRUE</v>
      </c>
      <c r="N71" t="s">
        <v>174</v>
      </c>
      <c r="O71">
        <v>1223697.8870000001</v>
      </c>
      <c r="P71">
        <v>296965.92119999998</v>
      </c>
      <c r="Q71">
        <v>1897955.398</v>
      </c>
      <c r="R71">
        <v>209353.94589999999</v>
      </c>
      <c r="S71">
        <v>236734.36300000001</v>
      </c>
      <c r="T71">
        <v>26460.039929999999</v>
      </c>
      <c r="U71">
        <v>4239.8058469999996</v>
      </c>
      <c r="V71">
        <v>105458.12450000001</v>
      </c>
      <c r="W71">
        <v>531568.58530000004</v>
      </c>
      <c r="X71">
        <v>225085.11840000001</v>
      </c>
      <c r="Y71">
        <v>8135.8956500000004</v>
      </c>
      <c r="Z71">
        <v>4851746.1660000002</v>
      </c>
      <c r="AA71">
        <v>89140.948480000006</v>
      </c>
      <c r="AB71">
        <v>26007.86045</v>
      </c>
      <c r="AC71">
        <v>663112.74089999998</v>
      </c>
    </row>
    <row r="72" spans="1:29" x14ac:dyDescent="0.2">
      <c r="A72" s="1" t="s">
        <v>537</v>
      </c>
      <c r="B72" s="1" t="s">
        <v>435</v>
      </c>
      <c r="C72" s="1" t="s">
        <v>464</v>
      </c>
      <c r="D72" s="1" t="s">
        <v>491</v>
      </c>
      <c r="E72" s="1" t="s">
        <v>455</v>
      </c>
      <c r="F72" s="3">
        <v>31009</v>
      </c>
      <c r="G72" s="3">
        <v>43699</v>
      </c>
      <c r="H72" s="1">
        <v>34</v>
      </c>
      <c r="I72" s="1">
        <v>1</v>
      </c>
      <c r="J72" s="1" t="s">
        <v>451</v>
      </c>
      <c r="K72" s="1">
        <v>2000</v>
      </c>
      <c r="L72" s="1">
        <v>10</v>
      </c>
      <c r="M72" t="str">
        <f t="shared" si="1"/>
        <v>TRUE</v>
      </c>
      <c r="N72" t="s">
        <v>435</v>
      </c>
      <c r="O72">
        <v>195084.34210000001</v>
      </c>
      <c r="P72">
        <v>182363.5724</v>
      </c>
      <c r="Q72">
        <v>1219938.6599999999</v>
      </c>
      <c r="R72">
        <v>1159550.6089999999</v>
      </c>
      <c r="S72">
        <v>257817.34700000001</v>
      </c>
      <c r="T72">
        <v>71743.119980000003</v>
      </c>
      <c r="U72">
        <v>263231.60720000003</v>
      </c>
      <c r="V72">
        <v>75391.739400000006</v>
      </c>
      <c r="W72">
        <v>63296.742440000002</v>
      </c>
      <c r="X72">
        <v>43121.414169999996</v>
      </c>
      <c r="Y72">
        <v>2092.3324440000001</v>
      </c>
      <c r="Z72">
        <v>180026.2543</v>
      </c>
      <c r="AA72">
        <v>36854.135430000002</v>
      </c>
      <c r="AB72">
        <v>377342.05450000003</v>
      </c>
      <c r="AC72">
        <v>1164341.389</v>
      </c>
    </row>
    <row r="73" spans="1:29" x14ac:dyDescent="0.2">
      <c r="A73" s="1" t="s">
        <v>538</v>
      </c>
      <c r="B73" s="1" t="s">
        <v>154</v>
      </c>
      <c r="C73" s="1" t="s">
        <v>453</v>
      </c>
      <c r="D73" s="1" t="s">
        <v>476</v>
      </c>
      <c r="E73" s="1" t="s">
        <v>462</v>
      </c>
      <c r="F73" s="3">
        <v>25575</v>
      </c>
      <c r="G73" s="3">
        <v>43700</v>
      </c>
      <c r="H73" s="1">
        <v>49</v>
      </c>
      <c r="I73" s="1">
        <v>3</v>
      </c>
      <c r="J73" s="1" t="s">
        <v>451</v>
      </c>
      <c r="K73" s="1">
        <v>15</v>
      </c>
      <c r="L73" s="1">
        <v>2</v>
      </c>
      <c r="M73" t="str">
        <f t="shared" si="1"/>
        <v>TRUE</v>
      </c>
      <c r="N73" t="s">
        <v>154</v>
      </c>
      <c r="O73">
        <v>77683.554659999994</v>
      </c>
      <c r="P73">
        <v>133039.3229</v>
      </c>
      <c r="Q73">
        <v>2558367.0499999998</v>
      </c>
      <c r="R73">
        <v>221335.7757</v>
      </c>
      <c r="S73">
        <v>200584.53940000001</v>
      </c>
      <c r="T73">
        <v>14824.84036</v>
      </c>
      <c r="U73">
        <v>138215.07060000001</v>
      </c>
      <c r="V73">
        <v>15415.49757</v>
      </c>
      <c r="W73">
        <v>30369.677230000001</v>
      </c>
      <c r="X73">
        <v>26123.059300000001</v>
      </c>
      <c r="Y73">
        <v>2209.613022</v>
      </c>
      <c r="Z73">
        <v>618199.50340000005</v>
      </c>
      <c r="AA73">
        <v>45326.291319999997</v>
      </c>
      <c r="AB73">
        <v>33302.400699999998</v>
      </c>
      <c r="AC73">
        <v>1177658.547</v>
      </c>
    </row>
    <row r="74" spans="1:29" x14ac:dyDescent="0.2">
      <c r="A74" s="1" t="s">
        <v>539</v>
      </c>
      <c r="B74" s="1" t="s">
        <v>206</v>
      </c>
      <c r="C74" s="1" t="s">
        <v>453</v>
      </c>
      <c r="D74" s="1" t="s">
        <v>454</v>
      </c>
      <c r="E74" s="1" t="s">
        <v>462</v>
      </c>
      <c r="F74" s="3">
        <v>31823</v>
      </c>
      <c r="G74" s="3">
        <v>43726</v>
      </c>
      <c r="H74" s="1">
        <v>32</v>
      </c>
      <c r="I74" s="1">
        <v>3</v>
      </c>
      <c r="J74" s="1" t="s">
        <v>456</v>
      </c>
      <c r="K74" s="1">
        <v>15</v>
      </c>
      <c r="L74" s="1">
        <v>0</v>
      </c>
      <c r="M74" t="str">
        <f t="shared" si="1"/>
        <v>TRUE</v>
      </c>
      <c r="N74" t="s">
        <v>206</v>
      </c>
      <c r="O74">
        <v>191665.84469999999</v>
      </c>
      <c r="P74">
        <v>333709.52039999998</v>
      </c>
      <c r="Q74">
        <v>1689455.4539999999</v>
      </c>
      <c r="R74">
        <v>94807.863209999996</v>
      </c>
      <c r="S74">
        <v>170184.2506</v>
      </c>
      <c r="T74">
        <v>21057.00691</v>
      </c>
      <c r="U74">
        <v>2451.2585220000001</v>
      </c>
      <c r="V74">
        <v>35364.903619999997</v>
      </c>
      <c r="W74">
        <v>57430.784030000003</v>
      </c>
      <c r="X74">
        <v>83410.209480000005</v>
      </c>
      <c r="Y74">
        <v>4557.3293629999998</v>
      </c>
      <c r="Z74">
        <v>385767.23599999998</v>
      </c>
      <c r="AA74">
        <v>17099.616399999999</v>
      </c>
      <c r="AB74">
        <v>34870.382080000003</v>
      </c>
      <c r="AC74">
        <v>1656108.081</v>
      </c>
    </row>
    <row r="75" spans="1:29" x14ac:dyDescent="0.2">
      <c r="A75" s="1" t="s">
        <v>540</v>
      </c>
      <c r="B75" s="1" t="s">
        <v>352</v>
      </c>
      <c r="C75" s="1" t="s">
        <v>464</v>
      </c>
      <c r="D75" s="1" t="s">
        <v>499</v>
      </c>
      <c r="E75" s="1" t="s">
        <v>462</v>
      </c>
      <c r="F75" s="3">
        <v>33519</v>
      </c>
      <c r="G75" s="3">
        <v>43718</v>
      </c>
      <c r="H75" s="1">
        <v>27</v>
      </c>
      <c r="I75" s="1">
        <v>3</v>
      </c>
      <c r="J75" s="1" t="s">
        <v>451</v>
      </c>
      <c r="K75" s="1">
        <v>335</v>
      </c>
      <c r="L75" s="1">
        <v>1</v>
      </c>
      <c r="M75" t="str">
        <f t="shared" si="1"/>
        <v>TRUE</v>
      </c>
      <c r="N75" t="s">
        <v>352</v>
      </c>
      <c r="O75">
        <v>73929.406529999993</v>
      </c>
      <c r="P75">
        <v>583333.22530000005</v>
      </c>
      <c r="Q75">
        <v>384476.91029999999</v>
      </c>
      <c r="R75">
        <v>192754.2911</v>
      </c>
      <c r="S75">
        <v>16842.434850000001</v>
      </c>
      <c r="T75">
        <v>24779.479340000002</v>
      </c>
      <c r="U75">
        <v>2019.002283</v>
      </c>
      <c r="V75">
        <v>262293.21779999998</v>
      </c>
      <c r="W75">
        <v>296587.81030000001</v>
      </c>
      <c r="X75">
        <v>454207.21120000002</v>
      </c>
      <c r="Y75">
        <v>9862.1592789999995</v>
      </c>
      <c r="Z75">
        <v>1136400.4169999999</v>
      </c>
      <c r="AA75">
        <v>43965.180220000002</v>
      </c>
      <c r="AB75">
        <v>975.65895690000002</v>
      </c>
      <c r="AC75">
        <v>168431.7132</v>
      </c>
    </row>
    <row r="76" spans="1:29" x14ac:dyDescent="0.2">
      <c r="A76" s="1" t="s">
        <v>541</v>
      </c>
      <c r="B76" s="1" t="s">
        <v>414</v>
      </c>
      <c r="C76" s="1" t="s">
        <v>453</v>
      </c>
      <c r="D76" s="1" t="s">
        <v>454</v>
      </c>
      <c r="E76" s="1" t="s">
        <v>462</v>
      </c>
      <c r="F76" s="3">
        <v>35211</v>
      </c>
      <c r="G76" s="3">
        <v>43728</v>
      </c>
      <c r="H76" s="1">
        <v>23</v>
      </c>
      <c r="I76" s="1">
        <v>2</v>
      </c>
      <c r="J76" s="1" t="s">
        <v>451</v>
      </c>
      <c r="K76" s="1">
        <v>64</v>
      </c>
      <c r="L76" s="1">
        <v>2</v>
      </c>
      <c r="M76" t="str">
        <f t="shared" si="1"/>
        <v>TRUE</v>
      </c>
      <c r="N76" t="s">
        <v>414</v>
      </c>
      <c r="O76">
        <v>88100.243109999996</v>
      </c>
      <c r="P76">
        <v>230955.6654</v>
      </c>
      <c r="Q76">
        <v>3418064.8590000002</v>
      </c>
      <c r="R76">
        <v>141802.51550000001</v>
      </c>
      <c r="S76">
        <v>135313.17139999999</v>
      </c>
      <c r="T76">
        <v>38280.43823</v>
      </c>
      <c r="U76">
        <v>22320.624609999999</v>
      </c>
      <c r="V76">
        <v>62860.556729999997</v>
      </c>
      <c r="W76">
        <v>55101.609940000002</v>
      </c>
      <c r="X76">
        <v>139635.8738</v>
      </c>
      <c r="Y76">
        <v>43132.287170000003</v>
      </c>
      <c r="Z76">
        <v>311475.06780000002</v>
      </c>
      <c r="AA76">
        <v>96830.243210000001</v>
      </c>
      <c r="AB76">
        <v>93393.472269999998</v>
      </c>
      <c r="AC76">
        <v>4263916.2029999997</v>
      </c>
    </row>
    <row r="77" spans="1:29" x14ac:dyDescent="0.2">
      <c r="A77" s="1" t="s">
        <v>542</v>
      </c>
      <c r="B77" s="1" t="s">
        <v>109</v>
      </c>
      <c r="C77" s="1" t="s">
        <v>464</v>
      </c>
      <c r="D77" s="1" t="s">
        <v>482</v>
      </c>
      <c r="E77" s="1" t="s">
        <v>462</v>
      </c>
      <c r="F77" s="3">
        <v>25311</v>
      </c>
      <c r="G77" s="3">
        <v>43731</v>
      </c>
      <c r="H77" s="1">
        <v>50</v>
      </c>
      <c r="I77" s="1">
        <v>1</v>
      </c>
      <c r="J77" s="1" t="s">
        <v>451</v>
      </c>
      <c r="K77" s="1">
        <v>1112</v>
      </c>
      <c r="L77" s="1">
        <v>8</v>
      </c>
      <c r="M77" t="str">
        <f t="shared" si="1"/>
        <v>TRUE</v>
      </c>
      <c r="N77" t="s">
        <v>109</v>
      </c>
      <c r="O77">
        <v>173756.53049999999</v>
      </c>
      <c r="P77">
        <v>204420.72150000001</v>
      </c>
      <c r="Q77">
        <v>813928.06290000002</v>
      </c>
      <c r="R77">
        <v>236039.96830000001</v>
      </c>
      <c r="S77">
        <v>72098.21961</v>
      </c>
      <c r="T77">
        <v>36788.019820000001</v>
      </c>
      <c r="U77">
        <v>2723.1468129999998</v>
      </c>
      <c r="V77">
        <v>73464.475510000004</v>
      </c>
      <c r="W77">
        <v>129025.37820000001</v>
      </c>
      <c r="X77">
        <v>223577.07209999999</v>
      </c>
      <c r="Y77">
        <v>2110.6214260000002</v>
      </c>
      <c r="Z77">
        <v>794901.89980000001</v>
      </c>
      <c r="AA77">
        <v>51625.272929999999</v>
      </c>
      <c r="AB77">
        <v>4006.7235139999998</v>
      </c>
      <c r="AC77">
        <v>252998.83489999999</v>
      </c>
    </row>
    <row r="78" spans="1:29" x14ac:dyDescent="0.2">
      <c r="A78" s="1" t="s">
        <v>664</v>
      </c>
      <c r="B78" s="1" t="s">
        <v>162</v>
      </c>
      <c r="C78" s="1" t="s">
        <v>453</v>
      </c>
      <c r="D78" s="1" t="s">
        <v>454</v>
      </c>
      <c r="E78" s="1" t="s">
        <v>462</v>
      </c>
      <c r="F78" s="3">
        <v>36196</v>
      </c>
      <c r="G78" s="3">
        <v>43748</v>
      </c>
      <c r="H78" s="1">
        <v>20</v>
      </c>
      <c r="I78" s="1">
        <v>3</v>
      </c>
      <c r="J78" s="1" t="s">
        <v>451</v>
      </c>
      <c r="K78" s="1">
        <v>60</v>
      </c>
      <c r="L78" s="1">
        <v>1</v>
      </c>
      <c r="M78" t="str">
        <f t="shared" si="1"/>
        <v>TRUE</v>
      </c>
      <c r="N78" t="s">
        <v>162</v>
      </c>
      <c r="O78">
        <v>253714.9039</v>
      </c>
      <c r="P78">
        <v>68093.648289999997</v>
      </c>
      <c r="Q78">
        <v>1694920.46</v>
      </c>
      <c r="R78">
        <v>286378.85800000001</v>
      </c>
      <c r="S78">
        <v>126684.97659999999</v>
      </c>
      <c r="T78">
        <v>12983.650680000001</v>
      </c>
      <c r="U78">
        <v>3535.3833169999998</v>
      </c>
      <c r="V78">
        <v>36745.043669999999</v>
      </c>
      <c r="W78">
        <v>200735.58489999999</v>
      </c>
      <c r="X78">
        <v>344133.70699999999</v>
      </c>
      <c r="Y78">
        <v>16687.375110000001</v>
      </c>
      <c r="Z78">
        <v>98422.953880000001</v>
      </c>
      <c r="AA78">
        <v>71749.089200000002</v>
      </c>
      <c r="AB78">
        <v>72132.751439999993</v>
      </c>
      <c r="AC78">
        <v>1517635.1529999999</v>
      </c>
    </row>
    <row r="79" spans="1:29" x14ac:dyDescent="0.2">
      <c r="A79" s="1" t="s">
        <v>544</v>
      </c>
      <c r="B79" s="1" t="s">
        <v>141</v>
      </c>
      <c r="C79" s="1" t="s">
        <v>453</v>
      </c>
      <c r="D79" s="1" t="s">
        <v>461</v>
      </c>
      <c r="E79" s="1" t="s">
        <v>462</v>
      </c>
      <c r="F79" s="3">
        <v>23573</v>
      </c>
      <c r="G79" s="3">
        <v>43742</v>
      </c>
      <c r="H79" s="1">
        <v>55</v>
      </c>
      <c r="I79" s="1">
        <v>4</v>
      </c>
      <c r="J79" s="1" t="s">
        <v>451</v>
      </c>
      <c r="K79" s="1">
        <v>4476</v>
      </c>
      <c r="L79" s="1">
        <v>1</v>
      </c>
      <c r="M79" t="str">
        <f t="shared" si="1"/>
        <v>TRUE</v>
      </c>
      <c r="N79" t="s">
        <v>141</v>
      </c>
      <c r="O79">
        <v>414450.94309999997</v>
      </c>
      <c r="P79">
        <v>100628.03810000001</v>
      </c>
      <c r="Q79">
        <v>148892.11139999999</v>
      </c>
      <c r="R79">
        <v>1012201.65</v>
      </c>
      <c r="S79">
        <v>495945.8</v>
      </c>
      <c r="T79">
        <v>20514.34276</v>
      </c>
      <c r="U79">
        <v>4234.5639920000003</v>
      </c>
      <c r="V79">
        <v>59190.572</v>
      </c>
      <c r="W79">
        <v>460261.83250000002</v>
      </c>
      <c r="X79">
        <v>168857.33979999999</v>
      </c>
      <c r="Y79">
        <v>2339.514533</v>
      </c>
      <c r="Z79">
        <v>586745.32990000001</v>
      </c>
      <c r="AA79">
        <v>267538.81469999999</v>
      </c>
      <c r="AB79">
        <v>114232.41650000001</v>
      </c>
      <c r="AC79">
        <v>137469.1825</v>
      </c>
    </row>
    <row r="80" spans="1:29" x14ac:dyDescent="0.2">
      <c r="A80" s="1" t="s">
        <v>545</v>
      </c>
      <c r="B80" s="1" t="s">
        <v>289</v>
      </c>
      <c r="C80" s="1" t="s">
        <v>453</v>
      </c>
      <c r="D80" s="1" t="s">
        <v>461</v>
      </c>
      <c r="E80" s="1" t="s">
        <v>462</v>
      </c>
      <c r="F80" s="3">
        <v>32618</v>
      </c>
      <c r="G80" s="3">
        <v>43843</v>
      </c>
      <c r="H80" s="1">
        <v>30</v>
      </c>
      <c r="I80" s="1">
        <v>3</v>
      </c>
      <c r="J80" s="1" t="s">
        <v>451</v>
      </c>
      <c r="K80" s="1">
        <v>180</v>
      </c>
      <c r="L80" s="1">
        <v>3</v>
      </c>
      <c r="M80" t="str">
        <f t="shared" si="1"/>
        <v>TRUE</v>
      </c>
      <c r="N80" t="s">
        <v>289</v>
      </c>
      <c r="O80">
        <v>98176.824619999999</v>
      </c>
      <c r="P80">
        <v>63389.601089999996</v>
      </c>
      <c r="Q80">
        <v>1182309.1259999999</v>
      </c>
      <c r="R80">
        <v>117587.7191</v>
      </c>
      <c r="S80">
        <v>67978.754499999995</v>
      </c>
      <c r="T80">
        <v>11368.863729999999</v>
      </c>
      <c r="U80">
        <v>2317.6514619999998</v>
      </c>
      <c r="V80">
        <v>22216.586670000001</v>
      </c>
      <c r="W80">
        <v>115378.7167</v>
      </c>
      <c r="X80">
        <v>51926.506780000003</v>
      </c>
      <c r="Y80">
        <v>2729.207054</v>
      </c>
      <c r="Z80">
        <v>154216.9191</v>
      </c>
      <c r="AA80">
        <v>92065.089770000006</v>
      </c>
      <c r="AB80">
        <v>67526.161619999999</v>
      </c>
      <c r="AC80">
        <v>1001538.872</v>
      </c>
    </row>
    <row r="81" spans="1:29" x14ac:dyDescent="0.2">
      <c r="A81" s="1" t="s">
        <v>546</v>
      </c>
      <c r="B81" s="1" t="s">
        <v>402</v>
      </c>
      <c r="C81" s="1" t="s">
        <v>453</v>
      </c>
      <c r="D81" s="1" t="s">
        <v>461</v>
      </c>
      <c r="E81" s="1" t="s">
        <v>455</v>
      </c>
      <c r="F81" s="3">
        <v>29943</v>
      </c>
      <c r="G81" s="3">
        <v>43733</v>
      </c>
      <c r="H81" s="1">
        <v>37</v>
      </c>
      <c r="I81" s="1">
        <v>3</v>
      </c>
      <c r="J81" s="1" t="s">
        <v>451</v>
      </c>
      <c r="K81" s="1">
        <v>11409</v>
      </c>
      <c r="L81" s="1">
        <v>10</v>
      </c>
      <c r="M81" t="str">
        <f t="shared" si="1"/>
        <v>TRUE</v>
      </c>
      <c r="N81" t="s">
        <v>402</v>
      </c>
      <c r="O81">
        <v>185021.33780000001</v>
      </c>
      <c r="P81">
        <v>1746899.5090000001</v>
      </c>
      <c r="Q81">
        <v>1599829.0560000001</v>
      </c>
      <c r="R81">
        <v>160921.20069999999</v>
      </c>
      <c r="S81">
        <v>46450.225960000003</v>
      </c>
      <c r="T81">
        <v>21103.563150000002</v>
      </c>
      <c r="U81">
        <v>2117.8759789999999</v>
      </c>
      <c r="V81">
        <v>39179.330139999998</v>
      </c>
      <c r="W81">
        <v>83685.167419999998</v>
      </c>
      <c r="X81">
        <v>31475.859100000001</v>
      </c>
      <c r="Y81">
        <v>3957.4913449999999</v>
      </c>
      <c r="Z81">
        <v>4412726.7640000004</v>
      </c>
      <c r="AA81">
        <v>146626.13589999999</v>
      </c>
      <c r="AB81">
        <v>254427.30379999999</v>
      </c>
      <c r="AC81">
        <v>959706.44900000002</v>
      </c>
    </row>
    <row r="82" spans="1:29" x14ac:dyDescent="0.2">
      <c r="A82" s="1" t="s">
        <v>547</v>
      </c>
      <c r="B82" s="1" t="s">
        <v>245</v>
      </c>
      <c r="C82" s="1" t="s">
        <v>464</v>
      </c>
      <c r="D82" s="1" t="s">
        <v>548</v>
      </c>
      <c r="E82" s="1" t="s">
        <v>455</v>
      </c>
      <c r="F82" s="3">
        <v>21300</v>
      </c>
      <c r="G82" s="3">
        <v>43741</v>
      </c>
      <c r="H82" s="1">
        <v>61</v>
      </c>
      <c r="I82" s="1">
        <v>1</v>
      </c>
      <c r="J82" s="1" t="s">
        <v>456</v>
      </c>
      <c r="K82" s="1">
        <v>1217</v>
      </c>
      <c r="L82" s="1">
        <v>8</v>
      </c>
      <c r="M82" t="str">
        <f t="shared" si="1"/>
        <v>TRUE</v>
      </c>
      <c r="N82" t="s">
        <v>245</v>
      </c>
      <c r="O82">
        <v>285983.55550000002</v>
      </c>
      <c r="P82">
        <v>56322.786930000002</v>
      </c>
      <c r="Q82">
        <v>1059041.4480000001</v>
      </c>
      <c r="R82">
        <v>189468.0906</v>
      </c>
      <c r="S82">
        <v>49265.947780000002</v>
      </c>
      <c r="T82">
        <v>18148.593489999999</v>
      </c>
      <c r="U82">
        <v>1281.385931</v>
      </c>
      <c r="V82">
        <v>44371.370779999997</v>
      </c>
      <c r="W82">
        <v>183487.66070000001</v>
      </c>
      <c r="X82">
        <v>84282.046610000005</v>
      </c>
      <c r="Y82">
        <v>3068.4904470000001</v>
      </c>
      <c r="Z82">
        <v>149071.17199999999</v>
      </c>
      <c r="AA82">
        <v>65901.573019999996</v>
      </c>
      <c r="AB82">
        <v>48732.241029999997</v>
      </c>
      <c r="AC82">
        <v>566980.31240000005</v>
      </c>
    </row>
    <row r="83" spans="1:29" x14ac:dyDescent="0.2">
      <c r="A83" s="1" t="s">
        <v>549</v>
      </c>
      <c r="B83" s="1" t="s">
        <v>441</v>
      </c>
      <c r="C83" s="1" t="s">
        <v>464</v>
      </c>
      <c r="D83" s="1" t="s">
        <v>491</v>
      </c>
      <c r="E83" s="1" t="s">
        <v>455</v>
      </c>
      <c r="F83" s="3">
        <v>31009</v>
      </c>
      <c r="G83" s="3">
        <v>43812</v>
      </c>
      <c r="H83" s="1">
        <v>35</v>
      </c>
      <c r="I83" s="1">
        <v>4</v>
      </c>
      <c r="J83" s="1" t="s">
        <v>451</v>
      </c>
      <c r="K83" s="1">
        <v>545</v>
      </c>
      <c r="L83" s="1">
        <v>4</v>
      </c>
      <c r="M83" t="str">
        <f t="shared" si="1"/>
        <v>TRUE</v>
      </c>
      <c r="N83" t="s">
        <v>441</v>
      </c>
      <c r="O83">
        <v>67898.882670000006</v>
      </c>
      <c r="P83">
        <v>404204.97440000001</v>
      </c>
      <c r="Q83">
        <v>918661.60340000002</v>
      </c>
      <c r="R83">
        <v>92974.379960000006</v>
      </c>
      <c r="S83">
        <v>367457.1372</v>
      </c>
      <c r="T83">
        <v>64496.098469999997</v>
      </c>
      <c r="U83">
        <v>29282.1404</v>
      </c>
      <c r="V83">
        <v>93791.942670000004</v>
      </c>
      <c r="W83">
        <v>217225.2433</v>
      </c>
      <c r="X83">
        <v>155417.09899999999</v>
      </c>
      <c r="Y83">
        <v>2212.3282589999999</v>
      </c>
      <c r="Z83">
        <v>607766.82059999998</v>
      </c>
      <c r="AA83">
        <v>14281.357319999999</v>
      </c>
      <c r="AB83">
        <v>15882.889719999999</v>
      </c>
      <c r="AC83">
        <v>521928.08110000001</v>
      </c>
    </row>
    <row r="84" spans="1:29" x14ac:dyDescent="0.2">
      <c r="A84" s="1" t="s">
        <v>550</v>
      </c>
      <c r="B84" s="1" t="s">
        <v>370</v>
      </c>
      <c r="C84" s="1" t="s">
        <v>464</v>
      </c>
      <c r="D84" s="1" t="s">
        <v>491</v>
      </c>
      <c r="E84" s="1" t="s">
        <v>462</v>
      </c>
      <c r="F84" s="3">
        <v>29371</v>
      </c>
      <c r="G84" s="3">
        <v>43812</v>
      </c>
      <c r="H84" s="1">
        <v>39</v>
      </c>
      <c r="I84" s="1">
        <v>2</v>
      </c>
      <c r="J84" s="1" t="s">
        <v>456</v>
      </c>
      <c r="K84" s="1">
        <v>45</v>
      </c>
      <c r="L84" s="1">
        <v>2</v>
      </c>
      <c r="M84" t="str">
        <f t="shared" si="1"/>
        <v>TRUE</v>
      </c>
      <c r="N84" t="s">
        <v>370</v>
      </c>
      <c r="O84">
        <v>177546.6243</v>
      </c>
      <c r="P84">
        <v>68950.063970000003</v>
      </c>
      <c r="Q84">
        <v>721847.83279999997</v>
      </c>
      <c r="R84">
        <v>735585.87919999997</v>
      </c>
      <c r="S84">
        <v>8327.5897710000008</v>
      </c>
      <c r="T84">
        <v>6305.135276</v>
      </c>
      <c r="U84">
        <v>2472.8486229999999</v>
      </c>
      <c r="V84">
        <v>34096.433149999997</v>
      </c>
      <c r="W84">
        <v>66300.242360000004</v>
      </c>
      <c r="X84">
        <v>65802.692569999999</v>
      </c>
      <c r="Y84">
        <v>4190.0271210000001</v>
      </c>
      <c r="Z84">
        <v>194173.06330000001</v>
      </c>
      <c r="AA84">
        <v>39423.688179999997</v>
      </c>
      <c r="AB84">
        <v>147657.3052</v>
      </c>
      <c r="AC84">
        <v>538156.24069999997</v>
      </c>
    </row>
    <row r="85" spans="1:29" x14ac:dyDescent="0.2">
      <c r="A85" s="1" t="s">
        <v>551</v>
      </c>
      <c r="B85" s="1" t="s">
        <v>258</v>
      </c>
      <c r="C85" s="1" t="s">
        <v>448</v>
      </c>
      <c r="D85" s="1" t="s">
        <v>459</v>
      </c>
      <c r="E85" s="1" t="s">
        <v>450</v>
      </c>
      <c r="F85" s="3">
        <v>34502</v>
      </c>
      <c r="G85" s="3">
        <v>43763</v>
      </c>
      <c r="H85" s="1">
        <v>25</v>
      </c>
      <c r="I85" s="1">
        <v>2</v>
      </c>
      <c r="J85" s="1" t="s">
        <v>456</v>
      </c>
      <c r="K85" s="1">
        <v>106</v>
      </c>
      <c r="L85" s="1" t="s">
        <v>450</v>
      </c>
      <c r="M85" t="str">
        <f t="shared" si="1"/>
        <v>TRUE</v>
      </c>
      <c r="N85" t="s">
        <v>258</v>
      </c>
      <c r="O85">
        <v>30000.617770000001</v>
      </c>
      <c r="P85">
        <v>256254.9423</v>
      </c>
      <c r="Q85">
        <v>1036903.482</v>
      </c>
      <c r="R85">
        <v>53474.017269999997</v>
      </c>
      <c r="S85">
        <v>183344.26190000001</v>
      </c>
      <c r="T85">
        <v>14528.988880000001</v>
      </c>
      <c r="U85">
        <v>2479.2974479999998</v>
      </c>
      <c r="V85">
        <v>83141.232529999994</v>
      </c>
      <c r="W85">
        <v>52645.127039999999</v>
      </c>
      <c r="X85">
        <v>100834.28909999999</v>
      </c>
      <c r="Y85">
        <v>2169.0131240000001</v>
      </c>
      <c r="Z85">
        <v>522212.18900000001</v>
      </c>
      <c r="AA85">
        <v>70706.450330000007</v>
      </c>
      <c r="AB85">
        <v>84966.29711</v>
      </c>
      <c r="AC85">
        <v>2012674.3430000001</v>
      </c>
    </row>
    <row r="86" spans="1:29" x14ac:dyDescent="0.2">
      <c r="A86" s="1" t="s">
        <v>552</v>
      </c>
      <c r="B86" s="1" t="s">
        <v>298</v>
      </c>
      <c r="C86" s="1" t="s">
        <v>453</v>
      </c>
      <c r="D86" s="1" t="s">
        <v>461</v>
      </c>
      <c r="E86" s="1" t="s">
        <v>462</v>
      </c>
      <c r="F86" s="3">
        <v>29437</v>
      </c>
      <c r="G86" s="3">
        <v>43796</v>
      </c>
      <c r="H86" s="1">
        <v>39</v>
      </c>
      <c r="I86" s="1">
        <v>4</v>
      </c>
      <c r="J86" s="1" t="s">
        <v>451</v>
      </c>
      <c r="K86" s="1">
        <v>98</v>
      </c>
      <c r="L86" s="1">
        <v>0</v>
      </c>
      <c r="M86" t="str">
        <f t="shared" si="1"/>
        <v>TRUE</v>
      </c>
      <c r="N86" t="s">
        <v>298</v>
      </c>
      <c r="O86">
        <v>59155.873189999998</v>
      </c>
      <c r="P86">
        <v>129095.1971</v>
      </c>
      <c r="Q86">
        <v>1780937.6470000001</v>
      </c>
      <c r="R86">
        <v>86975.631590000005</v>
      </c>
      <c r="S86">
        <v>209303.8431</v>
      </c>
      <c r="T86">
        <v>21055.106970000001</v>
      </c>
      <c r="U86">
        <v>16088.3143</v>
      </c>
      <c r="V86">
        <v>45200.657460000002</v>
      </c>
      <c r="W86">
        <v>56245.190790000001</v>
      </c>
      <c r="X86">
        <v>146137.52499999999</v>
      </c>
      <c r="Y86">
        <v>2233.1700430000001</v>
      </c>
      <c r="Z86">
        <v>1461086.46</v>
      </c>
      <c r="AA86">
        <v>111397.2001</v>
      </c>
      <c r="AB86">
        <v>136162.5612</v>
      </c>
      <c r="AC86">
        <v>961177.16799999995</v>
      </c>
    </row>
    <row r="87" spans="1:29" x14ac:dyDescent="0.2">
      <c r="A87" s="1" t="s">
        <v>613</v>
      </c>
      <c r="B87" s="1" t="s">
        <v>391</v>
      </c>
      <c r="C87" s="1" t="s">
        <v>453</v>
      </c>
      <c r="D87" s="1" t="s">
        <v>476</v>
      </c>
      <c r="E87" s="1" t="s">
        <v>462</v>
      </c>
      <c r="F87" s="3">
        <v>34720</v>
      </c>
      <c r="G87" s="3">
        <v>43812</v>
      </c>
      <c r="H87" s="1">
        <v>24</v>
      </c>
      <c r="I87" s="1">
        <v>1</v>
      </c>
      <c r="J87" s="1" t="s">
        <v>451</v>
      </c>
      <c r="K87" s="1">
        <v>375</v>
      </c>
      <c r="L87" s="1">
        <v>9</v>
      </c>
      <c r="M87" t="str">
        <f t="shared" si="1"/>
        <v>TRUE</v>
      </c>
      <c r="N87" t="s">
        <v>391</v>
      </c>
      <c r="O87">
        <v>184465.38639999999</v>
      </c>
      <c r="P87">
        <v>1251954.898</v>
      </c>
      <c r="Q87">
        <v>1658208.1</v>
      </c>
      <c r="R87">
        <v>45467.873910000002</v>
      </c>
      <c r="S87">
        <v>183405.2126</v>
      </c>
      <c r="T87">
        <v>158005.3236</v>
      </c>
      <c r="U87">
        <v>138196.12210000001</v>
      </c>
      <c r="V87">
        <v>18911.605060000002</v>
      </c>
      <c r="W87">
        <v>22764.474419999999</v>
      </c>
      <c r="X87">
        <v>45525.082029999998</v>
      </c>
      <c r="Y87">
        <v>2066.8570420000001</v>
      </c>
      <c r="Z87">
        <v>632850.87549999997</v>
      </c>
      <c r="AA87">
        <v>94670.563039999994</v>
      </c>
      <c r="AB87">
        <v>5507.1976029999996</v>
      </c>
      <c r="AC87">
        <v>418247.89730000001</v>
      </c>
    </row>
    <row r="88" spans="1:29" x14ac:dyDescent="0.2">
      <c r="A88" s="1" t="s">
        <v>554</v>
      </c>
      <c r="B88" s="1" t="s">
        <v>182</v>
      </c>
      <c r="C88" s="1" t="s">
        <v>453</v>
      </c>
      <c r="D88" s="1" t="s">
        <v>461</v>
      </c>
      <c r="E88" s="1" t="s">
        <v>462</v>
      </c>
      <c r="F88" s="3">
        <v>33760</v>
      </c>
      <c r="G88" s="3">
        <v>43815</v>
      </c>
      <c r="H88" s="1">
        <v>27</v>
      </c>
      <c r="I88" s="1">
        <v>1</v>
      </c>
      <c r="J88" s="1" t="s">
        <v>451</v>
      </c>
      <c r="K88" s="1">
        <v>704</v>
      </c>
      <c r="L88" s="1">
        <v>10</v>
      </c>
      <c r="M88" t="str">
        <f t="shared" si="1"/>
        <v>TRUE</v>
      </c>
      <c r="N88" t="s">
        <v>182</v>
      </c>
      <c r="O88">
        <v>73105.13566</v>
      </c>
      <c r="P88">
        <v>109196.17110000001</v>
      </c>
      <c r="Q88">
        <v>136514.11809999999</v>
      </c>
      <c r="R88">
        <v>108607.2138</v>
      </c>
      <c r="S88">
        <v>56606.8223</v>
      </c>
      <c r="T88">
        <v>25134.14488</v>
      </c>
      <c r="U88">
        <v>2852.9067150000001</v>
      </c>
      <c r="V88">
        <v>29953.011849999999</v>
      </c>
      <c r="W88">
        <v>44616.206559999999</v>
      </c>
      <c r="X88">
        <v>44877.283969999997</v>
      </c>
      <c r="Y88">
        <v>2802.7452349999999</v>
      </c>
      <c r="Z88">
        <v>345333.5563</v>
      </c>
      <c r="AA88">
        <v>12033.54715</v>
      </c>
      <c r="AB88">
        <v>7250.1805189999995</v>
      </c>
      <c r="AC88">
        <v>41040.93015</v>
      </c>
    </row>
    <row r="89" spans="1:29" x14ac:dyDescent="0.2">
      <c r="A89" s="1" t="s">
        <v>555</v>
      </c>
      <c r="B89" s="1" t="s">
        <v>120</v>
      </c>
      <c r="C89" s="1" t="s">
        <v>448</v>
      </c>
      <c r="D89" s="1" t="s">
        <v>459</v>
      </c>
      <c r="E89" s="1" t="s">
        <v>450</v>
      </c>
      <c r="F89" s="3">
        <v>29236</v>
      </c>
      <c r="G89" s="3">
        <v>43763</v>
      </c>
      <c r="H89" s="1">
        <v>39</v>
      </c>
      <c r="I89" s="1">
        <v>1</v>
      </c>
      <c r="J89" s="1" t="s">
        <v>451</v>
      </c>
      <c r="K89" s="1">
        <v>2317</v>
      </c>
      <c r="L89" s="1" t="s">
        <v>450</v>
      </c>
      <c r="M89" t="str">
        <f t="shared" si="1"/>
        <v>TRUE</v>
      </c>
      <c r="N89" t="s">
        <v>120</v>
      </c>
      <c r="O89">
        <v>131287.25270000001</v>
      </c>
      <c r="P89">
        <v>2052089.8740000001</v>
      </c>
      <c r="Q89">
        <v>1991080.385</v>
      </c>
      <c r="R89">
        <v>143130.7752</v>
      </c>
      <c r="S89">
        <v>59934.154640000001</v>
      </c>
      <c r="T89">
        <v>34159.015610000002</v>
      </c>
      <c r="U89">
        <v>2177.2513269999999</v>
      </c>
      <c r="V89">
        <v>25397.309850000001</v>
      </c>
      <c r="W89">
        <v>36719.062669999999</v>
      </c>
      <c r="X89">
        <v>43671.526709999998</v>
      </c>
      <c r="Y89">
        <v>3294.4465970000001</v>
      </c>
      <c r="Z89">
        <v>342725.60460000002</v>
      </c>
      <c r="AA89">
        <v>125401.0594</v>
      </c>
      <c r="AB89">
        <v>23737.617819999999</v>
      </c>
      <c r="AC89">
        <v>1760493.15</v>
      </c>
    </row>
    <row r="90" spans="1:29" x14ac:dyDescent="0.2">
      <c r="A90" s="1" t="s">
        <v>556</v>
      </c>
      <c r="B90" s="1" t="s">
        <v>418</v>
      </c>
      <c r="C90" s="1" t="s">
        <v>448</v>
      </c>
      <c r="D90" s="1" t="s">
        <v>459</v>
      </c>
      <c r="E90" s="1" t="s">
        <v>450</v>
      </c>
      <c r="F90" s="3">
        <v>33514</v>
      </c>
      <c r="G90" s="3">
        <v>43805</v>
      </c>
      <c r="H90" s="1">
        <v>28</v>
      </c>
      <c r="I90" s="1">
        <v>1</v>
      </c>
      <c r="J90" s="1" t="s">
        <v>451</v>
      </c>
      <c r="K90" s="1">
        <v>874</v>
      </c>
      <c r="L90" s="1" t="s">
        <v>450</v>
      </c>
      <c r="M90" t="str">
        <f t="shared" si="1"/>
        <v>TRUE</v>
      </c>
      <c r="N90" t="s">
        <v>418</v>
      </c>
      <c r="O90">
        <v>28582.21542</v>
      </c>
      <c r="P90">
        <v>161892.74479999999</v>
      </c>
      <c r="Q90">
        <v>440355.23090000002</v>
      </c>
      <c r="R90">
        <v>53243.183510000003</v>
      </c>
      <c r="S90">
        <v>114854.9999</v>
      </c>
      <c r="T90">
        <v>8640.9408039999998</v>
      </c>
      <c r="U90">
        <v>2047.2523450000001</v>
      </c>
      <c r="V90">
        <v>16886.627479999999</v>
      </c>
      <c r="W90">
        <v>14066.678540000001</v>
      </c>
      <c r="X90">
        <v>63366.11578</v>
      </c>
      <c r="Y90">
        <v>2285.723156</v>
      </c>
      <c r="Z90">
        <v>705630.78040000005</v>
      </c>
      <c r="AA90">
        <v>31864.678889999999</v>
      </c>
      <c r="AB90">
        <v>34678.229599999999</v>
      </c>
      <c r="AC90">
        <v>103438.01179999999</v>
      </c>
    </row>
    <row r="91" spans="1:29" x14ac:dyDescent="0.2">
      <c r="A91" s="1" t="s">
        <v>557</v>
      </c>
      <c r="B91" s="1" t="s">
        <v>88</v>
      </c>
      <c r="C91" s="3" t="s">
        <v>448</v>
      </c>
      <c r="D91" s="3" t="s">
        <v>558</v>
      </c>
      <c r="E91" s="3" t="s">
        <v>450</v>
      </c>
      <c r="F91" s="3">
        <v>34656</v>
      </c>
      <c r="G91" s="3">
        <v>43756</v>
      </c>
      <c r="H91" s="1">
        <v>24</v>
      </c>
      <c r="I91" s="1">
        <v>1</v>
      </c>
      <c r="J91" s="1" t="s">
        <v>451</v>
      </c>
      <c r="K91" s="1">
        <v>2189</v>
      </c>
      <c r="L91" s="1" t="s">
        <v>450</v>
      </c>
      <c r="M91" t="str">
        <f t="shared" si="1"/>
        <v>TRUE</v>
      </c>
      <c r="N91" t="s">
        <v>88</v>
      </c>
      <c r="O91">
        <v>189459.7801</v>
      </c>
      <c r="P91">
        <v>20640.988239999999</v>
      </c>
      <c r="Q91">
        <v>550444.59979999997</v>
      </c>
      <c r="R91">
        <v>156866.33489999999</v>
      </c>
      <c r="S91">
        <v>87811.140899999999</v>
      </c>
      <c r="T91">
        <v>24561.20982</v>
      </c>
      <c r="U91">
        <v>8045.2086099999997</v>
      </c>
      <c r="V91">
        <v>18310.598740000001</v>
      </c>
      <c r="W91">
        <v>35226.992489999997</v>
      </c>
      <c r="X91">
        <v>39985.822849999997</v>
      </c>
      <c r="Y91">
        <v>1525.820976</v>
      </c>
      <c r="Z91">
        <v>276072.81359999999</v>
      </c>
      <c r="AA91">
        <v>53168.169110000003</v>
      </c>
      <c r="AB91">
        <v>10372.1883</v>
      </c>
      <c r="AC91">
        <v>72593.169420000006</v>
      </c>
    </row>
    <row r="92" spans="1:29" x14ac:dyDescent="0.2">
      <c r="A92" s="1" t="s">
        <v>559</v>
      </c>
      <c r="B92" s="1" t="s">
        <v>180</v>
      </c>
      <c r="C92" s="1" t="s">
        <v>453</v>
      </c>
      <c r="D92" s="1" t="s">
        <v>461</v>
      </c>
      <c r="E92" s="1" t="s">
        <v>462</v>
      </c>
      <c r="F92" s="3">
        <v>33760</v>
      </c>
      <c r="G92" s="3">
        <v>43830</v>
      </c>
      <c r="H92" s="1">
        <v>27</v>
      </c>
      <c r="I92" s="1">
        <v>2</v>
      </c>
      <c r="J92" s="1" t="s">
        <v>451</v>
      </c>
      <c r="K92" s="1">
        <v>129</v>
      </c>
      <c r="L92" s="1">
        <v>0</v>
      </c>
      <c r="M92" t="str">
        <f t="shared" si="1"/>
        <v>TRUE</v>
      </c>
      <c r="N92" t="s">
        <v>180</v>
      </c>
      <c r="O92">
        <v>223731.14199999999</v>
      </c>
      <c r="P92">
        <v>167342.48680000001</v>
      </c>
      <c r="Q92">
        <v>320888.28149999998</v>
      </c>
      <c r="R92">
        <v>162467.74650000001</v>
      </c>
      <c r="S92">
        <v>1352274.9650000001</v>
      </c>
      <c r="T92">
        <v>13371.06473</v>
      </c>
      <c r="U92">
        <v>2830.659572</v>
      </c>
      <c r="V92">
        <v>104143.7453</v>
      </c>
      <c r="W92">
        <v>257528.91140000001</v>
      </c>
      <c r="X92">
        <v>170782.55249999999</v>
      </c>
      <c r="Y92">
        <v>2198.7629099999999</v>
      </c>
      <c r="Z92">
        <v>684288.53929999995</v>
      </c>
      <c r="AA92">
        <v>101563.25659999999</v>
      </c>
      <c r="AB92">
        <v>0</v>
      </c>
      <c r="AC92">
        <v>250348.3106</v>
      </c>
    </row>
    <row r="93" spans="1:29" x14ac:dyDescent="0.2">
      <c r="A93" s="1" t="s">
        <v>560</v>
      </c>
      <c r="B93" s="1" t="s">
        <v>293</v>
      </c>
      <c r="C93" s="1" t="s">
        <v>453</v>
      </c>
      <c r="D93" s="1" t="s">
        <v>454</v>
      </c>
      <c r="E93" s="1" t="s">
        <v>455</v>
      </c>
      <c r="F93" s="3">
        <v>23236</v>
      </c>
      <c r="G93" s="3">
        <v>43866</v>
      </c>
      <c r="H93" s="1">
        <v>56</v>
      </c>
      <c r="I93" s="1">
        <v>1</v>
      </c>
      <c r="J93" s="1" t="s">
        <v>451</v>
      </c>
      <c r="K93" s="1">
        <v>1854</v>
      </c>
      <c r="L93" s="1">
        <v>14</v>
      </c>
      <c r="M93" t="str">
        <f t="shared" si="1"/>
        <v>TRUE</v>
      </c>
      <c r="N93" t="s">
        <v>293</v>
      </c>
      <c r="O93">
        <v>418664.75380000001</v>
      </c>
      <c r="P93">
        <v>125676.7629</v>
      </c>
      <c r="Q93">
        <v>4529962.9170000004</v>
      </c>
      <c r="R93">
        <v>130158.9519</v>
      </c>
      <c r="S93">
        <v>22867.182369999999</v>
      </c>
      <c r="T93">
        <v>45253.896269999997</v>
      </c>
      <c r="U93">
        <v>79571.877680000005</v>
      </c>
      <c r="V93">
        <v>78180.662370000005</v>
      </c>
      <c r="W93">
        <v>43939.00131</v>
      </c>
      <c r="X93">
        <v>73790.0003</v>
      </c>
      <c r="Y93">
        <v>3122.625344</v>
      </c>
      <c r="Z93">
        <v>6586149.3969999999</v>
      </c>
      <c r="AA93">
        <v>260749.57639999999</v>
      </c>
      <c r="AB93">
        <v>278034.86930000002</v>
      </c>
      <c r="AC93">
        <v>1964033.496</v>
      </c>
    </row>
    <row r="94" spans="1:29" x14ac:dyDescent="0.2">
      <c r="A94" s="1" t="s">
        <v>561</v>
      </c>
      <c r="B94" s="1" t="s">
        <v>316</v>
      </c>
      <c r="C94" s="1" t="s">
        <v>464</v>
      </c>
      <c r="D94" s="1" t="s">
        <v>465</v>
      </c>
      <c r="E94" s="1" t="s">
        <v>462</v>
      </c>
      <c r="F94" s="3">
        <v>33242</v>
      </c>
      <c r="G94" s="3">
        <v>43878</v>
      </c>
      <c r="H94" s="1">
        <v>29</v>
      </c>
      <c r="I94" s="1">
        <v>1</v>
      </c>
      <c r="J94" s="1" t="s">
        <v>451</v>
      </c>
      <c r="K94" s="1">
        <v>148</v>
      </c>
      <c r="L94" s="1">
        <v>9</v>
      </c>
      <c r="M94" t="str">
        <f t="shared" si="1"/>
        <v>TRUE</v>
      </c>
      <c r="N94" t="s">
        <v>316</v>
      </c>
      <c r="O94">
        <v>461037.40889999998</v>
      </c>
      <c r="P94">
        <v>300047.63880000002</v>
      </c>
      <c r="Q94">
        <v>1270175.804</v>
      </c>
      <c r="R94">
        <v>97215.136660000004</v>
      </c>
      <c r="S94">
        <v>169863.25880000001</v>
      </c>
      <c r="T94">
        <v>17553.422930000001</v>
      </c>
      <c r="U94">
        <v>126761.50810000001</v>
      </c>
      <c r="V94">
        <v>100554.99800000001</v>
      </c>
      <c r="W94">
        <v>186768.38070000001</v>
      </c>
      <c r="X94">
        <v>191797.08069999999</v>
      </c>
      <c r="Y94">
        <v>13263.18757</v>
      </c>
      <c r="Z94">
        <v>420591.08730000001</v>
      </c>
      <c r="AA94">
        <v>90696.735230000006</v>
      </c>
      <c r="AB94">
        <v>6814.9411380000001</v>
      </c>
      <c r="AC94">
        <v>1400301.014</v>
      </c>
    </row>
    <row r="95" spans="1:29" x14ac:dyDescent="0.2">
      <c r="A95" s="1" t="s">
        <v>562</v>
      </c>
      <c r="B95" s="1" t="s">
        <v>270</v>
      </c>
      <c r="C95" s="1" t="s">
        <v>453</v>
      </c>
      <c r="D95" s="1" t="s">
        <v>454</v>
      </c>
      <c r="E95" s="1" t="s">
        <v>455</v>
      </c>
      <c r="F95" s="3">
        <v>30355</v>
      </c>
      <c r="G95" s="3">
        <v>43854</v>
      </c>
      <c r="H95" s="1">
        <v>36</v>
      </c>
      <c r="I95" s="1">
        <v>1</v>
      </c>
      <c r="J95" s="1" t="s">
        <v>456</v>
      </c>
      <c r="K95" s="1">
        <v>2375</v>
      </c>
      <c r="L95" s="1">
        <v>14</v>
      </c>
      <c r="M95" t="str">
        <f t="shared" si="1"/>
        <v>TRUE</v>
      </c>
      <c r="N95" t="s">
        <v>270</v>
      </c>
      <c r="O95">
        <v>600279.06740000006</v>
      </c>
      <c r="P95">
        <v>40943.692029999998</v>
      </c>
      <c r="Q95">
        <v>1051571.727</v>
      </c>
      <c r="R95">
        <v>553691.77890000003</v>
      </c>
      <c r="S95">
        <v>20771.778429999998</v>
      </c>
      <c r="T95">
        <v>43747.356290000003</v>
      </c>
      <c r="U95">
        <v>3304.589481</v>
      </c>
      <c r="V95">
        <v>100823.6351</v>
      </c>
      <c r="W95">
        <v>78958.037979999994</v>
      </c>
      <c r="X95">
        <v>89193.971179999993</v>
      </c>
      <c r="Y95">
        <v>2018.345963</v>
      </c>
      <c r="Z95">
        <v>38894.218710000001</v>
      </c>
      <c r="AA95">
        <v>703292.31070000003</v>
      </c>
      <c r="AB95">
        <v>570218.62190000003</v>
      </c>
      <c r="AC95">
        <v>3684660.6510000001</v>
      </c>
    </row>
    <row r="96" spans="1:29" x14ac:dyDescent="0.2">
      <c r="A96" s="1" t="s">
        <v>563</v>
      </c>
      <c r="B96" s="1" t="s">
        <v>412</v>
      </c>
      <c r="C96" s="1" t="s">
        <v>464</v>
      </c>
      <c r="D96" s="1" t="s">
        <v>482</v>
      </c>
      <c r="E96" s="1" t="s">
        <v>462</v>
      </c>
      <c r="F96" s="3">
        <v>34130</v>
      </c>
      <c r="G96" s="3">
        <v>43854</v>
      </c>
      <c r="H96" s="1">
        <v>26</v>
      </c>
      <c r="I96" s="1">
        <v>1</v>
      </c>
      <c r="J96" s="1" t="s">
        <v>456</v>
      </c>
      <c r="K96" s="1">
        <v>647</v>
      </c>
      <c r="L96" s="1">
        <v>4</v>
      </c>
      <c r="M96" t="str">
        <f t="shared" si="1"/>
        <v>TRUE</v>
      </c>
      <c r="N96" t="s">
        <v>412</v>
      </c>
      <c r="O96">
        <v>198622.5632</v>
      </c>
      <c r="P96">
        <v>277385.65639999998</v>
      </c>
      <c r="Q96">
        <v>2355202.9389999998</v>
      </c>
      <c r="R96">
        <v>779831.47129999998</v>
      </c>
      <c r="S96">
        <v>26613.72423</v>
      </c>
      <c r="T96">
        <v>27077.61793</v>
      </c>
      <c r="U96">
        <v>3423.3317520000001</v>
      </c>
      <c r="V96">
        <v>27378.17182</v>
      </c>
      <c r="W96">
        <v>340358.16009999998</v>
      </c>
      <c r="X96">
        <v>157245.6734</v>
      </c>
      <c r="Y96">
        <v>3337.8398390000002</v>
      </c>
      <c r="Z96">
        <v>512971.49420000002</v>
      </c>
      <c r="AA96">
        <v>16764.256710000001</v>
      </c>
      <c r="AB96">
        <v>165669.41279999999</v>
      </c>
      <c r="AC96">
        <v>2550961.406</v>
      </c>
    </row>
    <row r="97" spans="1:29" x14ac:dyDescent="0.2">
      <c r="A97" s="1" t="s">
        <v>656</v>
      </c>
      <c r="B97" s="1" t="s">
        <v>228</v>
      </c>
      <c r="C97" s="1" t="s">
        <v>453</v>
      </c>
      <c r="D97" s="1" t="s">
        <v>461</v>
      </c>
      <c r="E97" s="1" t="s">
        <v>462</v>
      </c>
      <c r="F97" s="3">
        <v>25518</v>
      </c>
      <c r="G97" s="3">
        <v>43864</v>
      </c>
      <c r="H97" s="1">
        <v>50</v>
      </c>
      <c r="I97" s="1">
        <v>1</v>
      </c>
      <c r="J97" s="1" t="s">
        <v>456</v>
      </c>
      <c r="K97" s="1">
        <v>1982</v>
      </c>
      <c r="L97" s="1">
        <v>10</v>
      </c>
      <c r="M97" t="str">
        <f t="shared" si="1"/>
        <v>TRUE</v>
      </c>
      <c r="N97" t="s">
        <v>228</v>
      </c>
      <c r="O97">
        <v>359914.8137</v>
      </c>
      <c r="P97">
        <v>219030.43700000001</v>
      </c>
      <c r="Q97">
        <v>1142978.915</v>
      </c>
      <c r="R97">
        <v>463398.473</v>
      </c>
      <c r="S97">
        <v>59865.93907</v>
      </c>
      <c r="T97">
        <v>30588.158780000002</v>
      </c>
      <c r="U97">
        <v>2420.6363270000002</v>
      </c>
      <c r="V97">
        <v>99285.472840000002</v>
      </c>
      <c r="W97">
        <v>71809.721590000001</v>
      </c>
      <c r="X97">
        <v>97358.289699999994</v>
      </c>
      <c r="Y97">
        <v>714.56339809999997</v>
      </c>
      <c r="Z97">
        <v>191583.7328</v>
      </c>
      <c r="AA97">
        <v>104858.6171</v>
      </c>
      <c r="AB97">
        <v>78213.407720000003</v>
      </c>
      <c r="AC97">
        <v>850655.41890000005</v>
      </c>
    </row>
    <row r="98" spans="1:29" x14ac:dyDescent="0.2">
      <c r="A98" s="1" t="s">
        <v>565</v>
      </c>
      <c r="B98" s="1" t="s">
        <v>230</v>
      </c>
      <c r="C98" s="1" t="s">
        <v>453</v>
      </c>
      <c r="D98" s="1" t="s">
        <v>461</v>
      </c>
      <c r="E98" s="1" t="s">
        <v>462</v>
      </c>
      <c r="F98" s="3">
        <v>25518</v>
      </c>
      <c r="G98" s="3">
        <v>43916</v>
      </c>
      <c r="H98" s="1">
        <v>50</v>
      </c>
      <c r="I98" s="1">
        <v>2</v>
      </c>
      <c r="J98" s="1" t="s">
        <v>456</v>
      </c>
      <c r="K98" s="1">
        <v>178</v>
      </c>
      <c r="L98" s="1">
        <v>0</v>
      </c>
      <c r="M98" t="str">
        <f t="shared" si="1"/>
        <v>TRUE</v>
      </c>
      <c r="N98" t="s">
        <v>230</v>
      </c>
      <c r="O98">
        <v>322102.28409999999</v>
      </c>
      <c r="P98">
        <v>175825.4871</v>
      </c>
      <c r="Q98">
        <v>1726990.754</v>
      </c>
      <c r="R98">
        <v>1106090.5330000001</v>
      </c>
      <c r="S98">
        <v>30897.823</v>
      </c>
      <c r="T98">
        <v>66722.153829999996</v>
      </c>
      <c r="U98">
        <v>2170.5631800000001</v>
      </c>
      <c r="V98">
        <v>49379.932840000001</v>
      </c>
      <c r="W98">
        <v>195247.9136</v>
      </c>
      <c r="X98">
        <v>47816.989589999997</v>
      </c>
      <c r="Y98">
        <v>3864.8336760000002</v>
      </c>
      <c r="Z98">
        <v>292414.9509</v>
      </c>
      <c r="AA98">
        <v>183603.91889999999</v>
      </c>
      <c r="AB98">
        <v>53780.888590000002</v>
      </c>
      <c r="AC98">
        <v>732985.08539999998</v>
      </c>
    </row>
    <row r="99" spans="1:29" x14ac:dyDescent="0.2">
      <c r="A99" s="1" t="s">
        <v>566</v>
      </c>
      <c r="B99" s="1" t="s">
        <v>118</v>
      </c>
      <c r="C99" s="1" t="s">
        <v>448</v>
      </c>
      <c r="D99" s="1" t="s">
        <v>459</v>
      </c>
      <c r="E99" s="1" t="s">
        <v>450</v>
      </c>
      <c r="F99" s="3">
        <v>29236</v>
      </c>
      <c r="G99" s="3">
        <v>43868</v>
      </c>
      <c r="H99" s="1">
        <v>40</v>
      </c>
      <c r="I99" s="1">
        <v>2</v>
      </c>
      <c r="J99" s="1" t="s">
        <v>451</v>
      </c>
      <c r="K99" s="1">
        <v>37</v>
      </c>
      <c r="L99" s="1" t="s">
        <v>450</v>
      </c>
      <c r="M99" t="str">
        <f t="shared" si="1"/>
        <v>TRUE</v>
      </c>
      <c r="N99" t="s">
        <v>118</v>
      </c>
      <c r="O99">
        <v>158163.28330000001</v>
      </c>
      <c r="P99">
        <v>245582.1911</v>
      </c>
      <c r="Q99">
        <v>1524682.0819999999</v>
      </c>
      <c r="R99">
        <v>167058.11350000001</v>
      </c>
      <c r="S99">
        <v>92217.390849999996</v>
      </c>
      <c r="T99">
        <v>40925.569329999998</v>
      </c>
      <c r="U99">
        <v>3037.387064</v>
      </c>
      <c r="V99">
        <v>18930.172470000001</v>
      </c>
      <c r="W99">
        <v>44086.9758</v>
      </c>
      <c r="X99">
        <v>46350.753239999998</v>
      </c>
      <c r="Y99">
        <v>1434.2836239999999</v>
      </c>
      <c r="Z99">
        <v>553917.45860000001</v>
      </c>
      <c r="AA99">
        <v>80524.682220000002</v>
      </c>
      <c r="AB99">
        <v>23923.089070000002</v>
      </c>
      <c r="AC99">
        <v>847855.07869999995</v>
      </c>
    </row>
    <row r="100" spans="1:29" x14ac:dyDescent="0.2">
      <c r="A100" s="1" t="s">
        <v>567</v>
      </c>
      <c r="B100" s="1" t="s">
        <v>295</v>
      </c>
      <c r="C100" s="1" t="s">
        <v>453</v>
      </c>
      <c r="D100" s="1" t="s">
        <v>454</v>
      </c>
      <c r="E100" s="1" t="s">
        <v>455</v>
      </c>
      <c r="F100" s="3">
        <v>23236</v>
      </c>
      <c r="G100" s="3">
        <v>43905</v>
      </c>
      <c r="H100" s="1">
        <v>56</v>
      </c>
      <c r="I100" s="1">
        <v>2</v>
      </c>
      <c r="J100" s="1" t="s">
        <v>451</v>
      </c>
      <c r="K100" s="1">
        <v>373</v>
      </c>
      <c r="L100" s="1">
        <v>4</v>
      </c>
      <c r="M100" t="str">
        <f t="shared" si="1"/>
        <v>TRUE</v>
      </c>
      <c r="N100" t="s">
        <v>295</v>
      </c>
      <c r="O100">
        <v>78749.830839999995</v>
      </c>
      <c r="P100">
        <v>95010.95796</v>
      </c>
      <c r="Q100">
        <v>965350.28890000004</v>
      </c>
      <c r="R100">
        <v>161669.62100000001</v>
      </c>
      <c r="S100">
        <v>119616.2815</v>
      </c>
      <c r="T100">
        <v>15293.49699</v>
      </c>
      <c r="U100">
        <v>1105.5817440000001</v>
      </c>
      <c r="V100">
        <v>59794.148840000002</v>
      </c>
      <c r="W100">
        <v>49268.612289999997</v>
      </c>
      <c r="X100">
        <v>133413.57320000001</v>
      </c>
      <c r="Y100">
        <v>1735.155411</v>
      </c>
      <c r="Z100">
        <v>384256.75109999999</v>
      </c>
      <c r="AA100">
        <v>60510.989860000001</v>
      </c>
      <c r="AB100">
        <v>3672.7402489999999</v>
      </c>
      <c r="AC100">
        <v>721555.63049999997</v>
      </c>
    </row>
    <row r="101" spans="1:29" x14ac:dyDescent="0.2">
      <c r="A101" s="1" t="s">
        <v>568</v>
      </c>
      <c r="B101" s="1" t="s">
        <v>393</v>
      </c>
      <c r="C101" s="1" t="s">
        <v>453</v>
      </c>
      <c r="D101" s="1" t="s">
        <v>476</v>
      </c>
      <c r="E101" s="1" t="s">
        <v>462</v>
      </c>
      <c r="F101" s="3">
        <v>34720</v>
      </c>
      <c r="G101" s="3">
        <v>43903</v>
      </c>
      <c r="H101" s="1">
        <v>25</v>
      </c>
      <c r="I101" s="1">
        <v>2</v>
      </c>
      <c r="J101" s="1" t="s">
        <v>451</v>
      </c>
      <c r="K101" s="1">
        <v>172</v>
      </c>
      <c r="L101" s="1">
        <v>0</v>
      </c>
      <c r="M101" t="str">
        <f t="shared" si="1"/>
        <v>TRUE</v>
      </c>
      <c r="N101" t="s">
        <v>393</v>
      </c>
      <c r="O101">
        <v>96752.001040000003</v>
      </c>
      <c r="P101">
        <v>6084403.5779999997</v>
      </c>
      <c r="Q101">
        <v>1938290.145</v>
      </c>
      <c r="R101">
        <v>66694.036219999995</v>
      </c>
      <c r="S101">
        <v>259245.61670000001</v>
      </c>
      <c r="T101">
        <v>143513.7451</v>
      </c>
      <c r="U101">
        <v>239551.37359999999</v>
      </c>
      <c r="V101">
        <v>16220.436470000001</v>
      </c>
      <c r="W101">
        <v>29977.0357</v>
      </c>
      <c r="X101">
        <v>102948.6119</v>
      </c>
      <c r="Y101">
        <v>3082.2516949999999</v>
      </c>
      <c r="Z101">
        <v>1024328.5060000001</v>
      </c>
      <c r="AA101">
        <v>114751.1075</v>
      </c>
      <c r="AB101">
        <v>3745.4442159999999</v>
      </c>
      <c r="AC101">
        <v>332634.03830000001</v>
      </c>
    </row>
    <row r="102" spans="1:29" x14ac:dyDescent="0.2">
      <c r="A102" s="1" t="s">
        <v>569</v>
      </c>
      <c r="B102" s="1" t="s">
        <v>80</v>
      </c>
      <c r="C102" s="1" t="s">
        <v>453</v>
      </c>
      <c r="D102" s="1" t="s">
        <v>476</v>
      </c>
      <c r="E102" s="1" t="s">
        <v>462</v>
      </c>
      <c r="F102" s="3">
        <v>21477</v>
      </c>
      <c r="G102" s="3">
        <v>44042</v>
      </c>
      <c r="H102" s="1">
        <v>61</v>
      </c>
      <c r="I102" s="1">
        <v>1</v>
      </c>
      <c r="J102" s="1" t="s">
        <v>451</v>
      </c>
      <c r="K102" s="1">
        <v>394</v>
      </c>
      <c r="L102" s="1">
        <v>6</v>
      </c>
      <c r="M102" t="str">
        <f t="shared" si="1"/>
        <v>TRUE</v>
      </c>
      <c r="N102" t="s">
        <v>80</v>
      </c>
      <c r="O102">
        <v>62665.259709999998</v>
      </c>
      <c r="P102">
        <v>83140.719129999998</v>
      </c>
      <c r="Q102">
        <v>88903.431750000003</v>
      </c>
      <c r="R102">
        <v>150773.0202</v>
      </c>
      <c r="S102">
        <v>20069.32473</v>
      </c>
      <c r="T102">
        <v>4600.266294</v>
      </c>
      <c r="U102">
        <v>7315.030968</v>
      </c>
      <c r="V102">
        <v>84124.677989999996</v>
      </c>
      <c r="W102">
        <v>24970.758160000001</v>
      </c>
      <c r="X102">
        <v>110925.04790000001</v>
      </c>
      <c r="Y102">
        <v>2293.0988619999998</v>
      </c>
      <c r="Z102">
        <v>460730.85070000001</v>
      </c>
      <c r="AA102">
        <v>73541.873579999999</v>
      </c>
      <c r="AB102">
        <v>12716.622789999999</v>
      </c>
      <c r="AC102">
        <v>35835.092989999997</v>
      </c>
    </row>
    <row r="103" spans="1:29" x14ac:dyDescent="0.2">
      <c r="A103" s="1" t="s">
        <v>642</v>
      </c>
      <c r="B103" s="1" t="s">
        <v>253</v>
      </c>
      <c r="C103" s="1" t="s">
        <v>453</v>
      </c>
      <c r="D103" s="1" t="s">
        <v>461</v>
      </c>
      <c r="E103" s="1" t="s">
        <v>462</v>
      </c>
      <c r="F103" s="3">
        <v>36030</v>
      </c>
      <c r="G103" s="3">
        <v>44054</v>
      </c>
      <c r="H103" s="1">
        <v>21</v>
      </c>
      <c r="I103" s="1">
        <v>1</v>
      </c>
      <c r="J103" s="1" t="s">
        <v>451</v>
      </c>
      <c r="K103" s="1">
        <v>2208</v>
      </c>
      <c r="L103" s="1">
        <v>5</v>
      </c>
      <c r="M103" t="str">
        <f t="shared" si="1"/>
        <v>TRUE</v>
      </c>
      <c r="N103" t="s">
        <v>253</v>
      </c>
      <c r="O103">
        <v>369427.93459999998</v>
      </c>
      <c r="P103">
        <v>122574.1737</v>
      </c>
      <c r="Q103">
        <v>305675.0943</v>
      </c>
      <c r="R103">
        <v>395544.99449999997</v>
      </c>
      <c r="S103">
        <v>11043.952579999999</v>
      </c>
      <c r="T103">
        <v>29759.466090000002</v>
      </c>
      <c r="U103">
        <v>4993.7481610000004</v>
      </c>
      <c r="V103">
        <v>11597.5142</v>
      </c>
      <c r="W103">
        <v>37568.268349999998</v>
      </c>
      <c r="X103">
        <v>107851.5436</v>
      </c>
      <c r="Y103">
        <v>2388.0853400000001</v>
      </c>
      <c r="Z103">
        <v>250052.47339999999</v>
      </c>
      <c r="AA103">
        <v>79210.819619999995</v>
      </c>
      <c r="AB103">
        <v>11662.61543</v>
      </c>
      <c r="AC103">
        <v>296556.22259999998</v>
      </c>
    </row>
    <row r="104" spans="1:29" x14ac:dyDescent="0.2">
      <c r="A104" s="1" t="s">
        <v>571</v>
      </c>
      <c r="B104" s="1" t="s">
        <v>272</v>
      </c>
      <c r="C104" s="1" t="s">
        <v>453</v>
      </c>
      <c r="D104" s="1" t="s">
        <v>454</v>
      </c>
      <c r="E104" s="1" t="s">
        <v>455</v>
      </c>
      <c r="F104" s="3">
        <v>30355</v>
      </c>
      <c r="G104" s="3">
        <v>43978</v>
      </c>
      <c r="H104" s="1">
        <v>37</v>
      </c>
      <c r="I104" s="1">
        <v>2</v>
      </c>
      <c r="J104" s="1" t="s">
        <v>456</v>
      </c>
      <c r="K104" s="1">
        <v>3372</v>
      </c>
      <c r="L104" s="1">
        <v>13</v>
      </c>
      <c r="M104" t="str">
        <f t="shared" si="1"/>
        <v>TRUE</v>
      </c>
      <c r="N104" t="s">
        <v>272</v>
      </c>
      <c r="O104">
        <v>227115.9241</v>
      </c>
      <c r="P104">
        <v>75356.545970000006</v>
      </c>
      <c r="Q104">
        <v>1369687.9779999999</v>
      </c>
      <c r="R104">
        <v>1071772.8459999999</v>
      </c>
      <c r="S104">
        <v>115732.2574</v>
      </c>
      <c r="T104">
        <v>28048.570479999998</v>
      </c>
      <c r="U104">
        <v>18691.540969999998</v>
      </c>
      <c r="V104">
        <v>86618.680609999996</v>
      </c>
      <c r="W104">
        <v>36014.029609999998</v>
      </c>
      <c r="X104">
        <v>86970.999089999998</v>
      </c>
      <c r="Y104">
        <v>2652.6875190000001</v>
      </c>
      <c r="Z104">
        <v>57997.730170000003</v>
      </c>
      <c r="AA104">
        <v>282947.86930000002</v>
      </c>
      <c r="AB104">
        <v>108373.0254</v>
      </c>
      <c r="AC104">
        <v>2884123.7489999998</v>
      </c>
    </row>
    <row r="105" spans="1:29" x14ac:dyDescent="0.2">
      <c r="A105" s="1" t="s">
        <v>572</v>
      </c>
      <c r="B105" s="1" t="s">
        <v>232</v>
      </c>
      <c r="C105" s="1" t="s">
        <v>464</v>
      </c>
      <c r="D105" s="1" t="s">
        <v>491</v>
      </c>
      <c r="E105" s="1" t="s">
        <v>455</v>
      </c>
      <c r="F105" s="3">
        <v>32221</v>
      </c>
      <c r="G105" s="3">
        <v>44063</v>
      </c>
      <c r="H105" s="1">
        <v>32</v>
      </c>
      <c r="I105" s="1">
        <v>1</v>
      </c>
      <c r="J105" s="1" t="s">
        <v>451</v>
      </c>
      <c r="K105" s="1">
        <v>700</v>
      </c>
      <c r="L105" s="1">
        <v>4</v>
      </c>
      <c r="M105" t="str">
        <f t="shared" si="1"/>
        <v>TRUE</v>
      </c>
      <c r="N105" t="s">
        <v>232</v>
      </c>
      <c r="O105">
        <v>352120.74300000002</v>
      </c>
      <c r="P105">
        <v>190106.89720000001</v>
      </c>
      <c r="Q105">
        <v>320572.70169999998</v>
      </c>
      <c r="R105">
        <v>89254.523109999995</v>
      </c>
      <c r="S105">
        <v>349034.85930000001</v>
      </c>
      <c r="T105">
        <v>29080.37558</v>
      </c>
      <c r="U105">
        <v>844.51895460000003</v>
      </c>
      <c r="V105">
        <v>238812.75709999999</v>
      </c>
      <c r="W105">
        <v>853317.09019999998</v>
      </c>
      <c r="X105">
        <v>358878.4498</v>
      </c>
      <c r="Y105">
        <v>2892.0556940000001</v>
      </c>
      <c r="Z105">
        <v>579667.20409999997</v>
      </c>
      <c r="AA105">
        <v>89663.602209999997</v>
      </c>
      <c r="AB105">
        <v>133937.78700000001</v>
      </c>
      <c r="AC105">
        <v>209850.77609999999</v>
      </c>
    </row>
    <row r="106" spans="1:29" x14ac:dyDescent="0.2">
      <c r="A106" s="1" t="s">
        <v>573</v>
      </c>
      <c r="B106" s="1" t="s">
        <v>274</v>
      </c>
      <c r="C106" s="1" t="s">
        <v>448</v>
      </c>
      <c r="D106" s="1" t="s">
        <v>459</v>
      </c>
      <c r="E106" s="1" t="s">
        <v>450</v>
      </c>
      <c r="F106" s="3">
        <v>23988</v>
      </c>
      <c r="G106" s="3">
        <v>44084</v>
      </c>
      <c r="H106" s="1">
        <v>55</v>
      </c>
      <c r="I106" s="1">
        <v>1</v>
      </c>
      <c r="J106" s="1" t="s">
        <v>451</v>
      </c>
      <c r="K106" s="1">
        <v>264</v>
      </c>
      <c r="L106" s="1" t="s">
        <v>450</v>
      </c>
      <c r="M106" t="str">
        <f t="shared" si="1"/>
        <v>TRUE</v>
      </c>
      <c r="N106" t="s">
        <v>274</v>
      </c>
      <c r="O106">
        <v>62813.679210000002</v>
      </c>
      <c r="P106">
        <v>105473.47100000001</v>
      </c>
      <c r="Q106">
        <v>1025892.416</v>
      </c>
      <c r="R106">
        <v>87008.661630000002</v>
      </c>
      <c r="S106">
        <v>10694.60183</v>
      </c>
      <c r="T106">
        <v>3319.4942219999998</v>
      </c>
      <c r="U106">
        <v>3769.4399699999999</v>
      </c>
      <c r="V106">
        <v>38303.810389999999</v>
      </c>
      <c r="W106">
        <v>24468.641199999998</v>
      </c>
      <c r="X106">
        <v>66050.94872</v>
      </c>
      <c r="Y106">
        <v>4107.0854280000003</v>
      </c>
      <c r="Z106">
        <v>7101431.8710000003</v>
      </c>
      <c r="AA106">
        <v>15192.427110000001</v>
      </c>
      <c r="AB106">
        <v>7353.6178909999999</v>
      </c>
      <c r="AC106">
        <v>323108.679</v>
      </c>
    </row>
    <row r="107" spans="1:29" x14ac:dyDescent="0.2">
      <c r="A107" s="1" t="s">
        <v>574</v>
      </c>
      <c r="B107" s="1" t="s">
        <v>420</v>
      </c>
      <c r="C107" s="1" t="s">
        <v>448</v>
      </c>
      <c r="D107" s="1" t="s">
        <v>459</v>
      </c>
      <c r="E107" s="1" t="s">
        <v>450</v>
      </c>
      <c r="F107" s="3">
        <v>34492</v>
      </c>
      <c r="G107" s="3">
        <v>44084</v>
      </c>
      <c r="H107" s="1">
        <v>26</v>
      </c>
      <c r="I107" s="1">
        <v>1</v>
      </c>
      <c r="J107" s="1" t="s">
        <v>451</v>
      </c>
      <c r="K107" s="1">
        <v>1928</v>
      </c>
      <c r="L107" s="1" t="s">
        <v>450</v>
      </c>
      <c r="M107" t="str">
        <f t="shared" si="1"/>
        <v>TRUE</v>
      </c>
      <c r="N107" t="s">
        <v>420</v>
      </c>
      <c r="O107">
        <v>10969.57257</v>
      </c>
      <c r="P107">
        <v>30637.605869999999</v>
      </c>
      <c r="Q107">
        <v>88408.726909999998</v>
      </c>
      <c r="R107">
        <v>29921.41851</v>
      </c>
      <c r="S107">
        <v>88393.764509999994</v>
      </c>
      <c r="T107">
        <v>12913.284100000001</v>
      </c>
      <c r="U107">
        <v>2015.0727670000001</v>
      </c>
      <c r="V107">
        <v>75285.442179999998</v>
      </c>
      <c r="W107">
        <v>27287.974979999999</v>
      </c>
      <c r="X107">
        <v>139210.48209999999</v>
      </c>
      <c r="Y107">
        <v>15093.482040000001</v>
      </c>
      <c r="Z107">
        <v>759599.38029999996</v>
      </c>
      <c r="AA107">
        <v>69969.149890000001</v>
      </c>
      <c r="AB107">
        <v>93715.637969999996</v>
      </c>
      <c r="AC107">
        <v>51880.48403</v>
      </c>
    </row>
    <row r="108" spans="1:29" x14ac:dyDescent="0.2">
      <c r="A108" s="1" t="s">
        <v>665</v>
      </c>
      <c r="B108" s="1" t="s">
        <v>249</v>
      </c>
      <c r="C108" s="1" t="s">
        <v>453</v>
      </c>
      <c r="D108" s="1" t="s">
        <v>476</v>
      </c>
      <c r="E108" s="1" t="s">
        <v>462</v>
      </c>
      <c r="F108" s="3">
        <v>33194</v>
      </c>
      <c r="G108" s="3">
        <v>44084</v>
      </c>
      <c r="H108" s="1">
        <v>29</v>
      </c>
      <c r="I108" s="1">
        <v>1</v>
      </c>
      <c r="J108" s="1" t="s">
        <v>456</v>
      </c>
      <c r="K108" s="1">
        <v>6689</v>
      </c>
      <c r="L108" s="1">
        <v>4</v>
      </c>
      <c r="M108" t="str">
        <f t="shared" si="1"/>
        <v>TRUE</v>
      </c>
      <c r="N108" t="s">
        <v>249</v>
      </c>
      <c r="O108">
        <v>559446.59369999997</v>
      </c>
      <c r="P108">
        <v>183506.3235</v>
      </c>
      <c r="Q108">
        <v>397653.60009999998</v>
      </c>
      <c r="R108">
        <v>531084.13840000005</v>
      </c>
      <c r="S108">
        <v>75510.586720000007</v>
      </c>
      <c r="T108">
        <v>57535.01513</v>
      </c>
      <c r="U108">
        <v>2637.429678</v>
      </c>
      <c r="V108">
        <v>168571.8186</v>
      </c>
      <c r="W108">
        <v>180039.5759</v>
      </c>
      <c r="X108">
        <v>463251.212</v>
      </c>
      <c r="Y108">
        <v>6777.0129109999998</v>
      </c>
      <c r="Z108">
        <v>96599.806060000003</v>
      </c>
      <c r="AA108">
        <v>26318.781630000001</v>
      </c>
      <c r="AB108">
        <v>32883.475160000002</v>
      </c>
      <c r="AC108">
        <v>91468.419550000006</v>
      </c>
    </row>
    <row r="109" spans="1:29" x14ac:dyDescent="0.2">
      <c r="A109" s="1" t="s">
        <v>575</v>
      </c>
      <c r="B109" s="1" t="s">
        <v>190</v>
      </c>
      <c r="C109" s="1" t="s">
        <v>464</v>
      </c>
      <c r="D109" s="1" t="s">
        <v>499</v>
      </c>
      <c r="E109" s="1" t="s">
        <v>455</v>
      </c>
      <c r="F109" s="3">
        <v>34219</v>
      </c>
      <c r="G109" s="3">
        <v>44092</v>
      </c>
      <c r="H109" s="1">
        <v>27</v>
      </c>
      <c r="I109" s="1">
        <v>1</v>
      </c>
      <c r="J109" s="1" t="s">
        <v>456</v>
      </c>
      <c r="K109" s="1">
        <v>2255</v>
      </c>
      <c r="L109" s="1">
        <v>11</v>
      </c>
      <c r="M109" t="str">
        <f t="shared" si="1"/>
        <v>TRUE</v>
      </c>
      <c r="N109" t="s">
        <v>190</v>
      </c>
      <c r="O109">
        <v>231638.226</v>
      </c>
      <c r="P109">
        <v>83841.992060000004</v>
      </c>
      <c r="Q109">
        <v>1439535.253</v>
      </c>
      <c r="R109">
        <v>590520.49340000004</v>
      </c>
      <c r="S109">
        <v>56091.545469999997</v>
      </c>
      <c r="T109">
        <v>22760.027910000001</v>
      </c>
      <c r="U109">
        <v>3381.1323179999999</v>
      </c>
      <c r="V109">
        <v>302050.99219999998</v>
      </c>
      <c r="W109">
        <v>37585.617810000003</v>
      </c>
      <c r="X109">
        <v>264818.54269999999</v>
      </c>
      <c r="Y109">
        <v>23103.201990000001</v>
      </c>
      <c r="Z109">
        <v>339943.86420000001</v>
      </c>
      <c r="AA109">
        <v>129480.1681</v>
      </c>
      <c r="AB109">
        <v>154165.39559999999</v>
      </c>
      <c r="AC109">
        <v>999666.86399999994</v>
      </c>
    </row>
    <row r="110" spans="1:29" x14ac:dyDescent="0.2">
      <c r="A110" s="1" t="s">
        <v>576</v>
      </c>
      <c r="B110" s="1" t="s">
        <v>91</v>
      </c>
      <c r="C110" s="1" t="s">
        <v>448</v>
      </c>
      <c r="D110" s="1" t="s">
        <v>449</v>
      </c>
      <c r="E110" s="1" t="s">
        <v>450</v>
      </c>
      <c r="F110" s="3">
        <v>30903</v>
      </c>
      <c r="G110" s="3">
        <v>44095</v>
      </c>
      <c r="H110" s="1">
        <v>36</v>
      </c>
      <c r="I110" s="1">
        <v>1</v>
      </c>
      <c r="J110" s="1" t="s">
        <v>451</v>
      </c>
      <c r="K110" s="1">
        <v>1036</v>
      </c>
      <c r="L110" s="1" t="s">
        <v>450</v>
      </c>
      <c r="M110" t="str">
        <f t="shared" si="1"/>
        <v>TRUE</v>
      </c>
      <c r="N110" t="s">
        <v>91</v>
      </c>
      <c r="O110">
        <v>135564.10810000001</v>
      </c>
      <c r="P110">
        <v>248845.10709999999</v>
      </c>
      <c r="Q110">
        <v>503185.21750000003</v>
      </c>
      <c r="R110">
        <v>250326.11120000001</v>
      </c>
      <c r="S110">
        <v>134026.3806</v>
      </c>
      <c r="T110">
        <v>64006.519950000002</v>
      </c>
      <c r="U110">
        <v>10846.211810000001</v>
      </c>
      <c r="V110">
        <v>64499.658360000001</v>
      </c>
      <c r="W110">
        <v>31674.608530000001</v>
      </c>
      <c r="X110">
        <v>131983.37270000001</v>
      </c>
      <c r="Y110">
        <v>4999.2714690000003</v>
      </c>
      <c r="Z110">
        <v>1256751.416</v>
      </c>
      <c r="AA110">
        <v>97314.637690000003</v>
      </c>
      <c r="AB110">
        <v>25314.43419</v>
      </c>
      <c r="AC110">
        <v>66057.15453</v>
      </c>
    </row>
    <row r="111" spans="1:29" x14ac:dyDescent="0.2">
      <c r="A111" s="1" t="s">
        <v>577</v>
      </c>
      <c r="B111" s="1" t="s">
        <v>78</v>
      </c>
      <c r="C111" s="1" t="s">
        <v>453</v>
      </c>
      <c r="D111" s="1" t="s">
        <v>476</v>
      </c>
      <c r="E111" s="1" t="s">
        <v>462</v>
      </c>
      <c r="F111" s="3">
        <v>21477</v>
      </c>
      <c r="G111" s="3">
        <v>44098</v>
      </c>
      <c r="H111" s="1">
        <v>61</v>
      </c>
      <c r="I111" s="1">
        <v>2</v>
      </c>
      <c r="J111" s="1" t="s">
        <v>451</v>
      </c>
      <c r="K111" s="1">
        <v>66</v>
      </c>
      <c r="L111" s="1">
        <v>1</v>
      </c>
      <c r="M111" t="str">
        <f t="shared" si="1"/>
        <v>TRUE</v>
      </c>
      <c r="N111" t="s">
        <v>78</v>
      </c>
      <c r="O111">
        <v>200892.26</v>
      </c>
      <c r="P111">
        <v>189535.9933</v>
      </c>
      <c r="Q111">
        <v>301779.87040000001</v>
      </c>
      <c r="R111">
        <v>189402.1502</v>
      </c>
      <c r="S111">
        <v>236199.34599999999</v>
      </c>
      <c r="T111">
        <v>46112.972659999999</v>
      </c>
      <c r="U111">
        <v>6165.998724</v>
      </c>
      <c r="V111">
        <v>32454.85266</v>
      </c>
      <c r="W111">
        <v>37089.440649999997</v>
      </c>
      <c r="X111">
        <v>118745.24980000001</v>
      </c>
      <c r="Y111">
        <v>2117.4362099999998</v>
      </c>
      <c r="Z111">
        <v>908155.23230000003</v>
      </c>
      <c r="AA111">
        <v>57207.46675</v>
      </c>
      <c r="AB111">
        <v>2097.3646950000002</v>
      </c>
      <c r="AC111">
        <v>77292.356620000006</v>
      </c>
    </row>
    <row r="112" spans="1:29" x14ac:dyDescent="0.2">
      <c r="A112" s="1" t="s">
        <v>578</v>
      </c>
      <c r="B112" s="1" t="s">
        <v>408</v>
      </c>
      <c r="C112" s="1" t="s">
        <v>453</v>
      </c>
      <c r="D112" s="1" t="s">
        <v>476</v>
      </c>
      <c r="E112" s="1" t="s">
        <v>462</v>
      </c>
      <c r="F112" s="3">
        <v>29096</v>
      </c>
      <c r="G112" s="3">
        <v>44099</v>
      </c>
      <c r="H112" s="1">
        <v>41</v>
      </c>
      <c r="I112" s="1">
        <v>1</v>
      </c>
      <c r="J112" s="1" t="s">
        <v>451</v>
      </c>
      <c r="K112" s="1">
        <v>1897</v>
      </c>
      <c r="L112" s="1">
        <v>13</v>
      </c>
      <c r="M112" t="str">
        <f t="shared" si="1"/>
        <v>TRUE</v>
      </c>
      <c r="N112" t="s">
        <v>408</v>
      </c>
      <c r="O112">
        <v>53387.422980000003</v>
      </c>
      <c r="P112">
        <v>150102.20019999999</v>
      </c>
      <c r="Q112">
        <v>210961.2322</v>
      </c>
      <c r="R112">
        <v>126044.1281</v>
      </c>
      <c r="S112">
        <v>246872.2789</v>
      </c>
      <c r="T112">
        <v>28264.263800000001</v>
      </c>
      <c r="U112">
        <v>3762.8584890000002</v>
      </c>
      <c r="V112">
        <v>21390.484079999998</v>
      </c>
      <c r="W112">
        <v>33811.697</v>
      </c>
      <c r="X112">
        <v>134535.43239999999</v>
      </c>
      <c r="Y112">
        <v>3219.6964659999999</v>
      </c>
      <c r="Z112">
        <v>1110704.236</v>
      </c>
      <c r="AA112">
        <v>47071.736389999998</v>
      </c>
      <c r="AB112">
        <v>4236.3660220000002</v>
      </c>
      <c r="AC112">
        <v>48482.01165</v>
      </c>
    </row>
    <row r="113" spans="1:29" x14ac:dyDescent="0.2">
      <c r="A113" s="1" t="s">
        <v>579</v>
      </c>
      <c r="B113" s="1" t="s">
        <v>358</v>
      </c>
      <c r="C113" s="1" t="s">
        <v>453</v>
      </c>
      <c r="D113" s="1" t="s">
        <v>461</v>
      </c>
      <c r="E113" s="1" t="s">
        <v>455</v>
      </c>
      <c r="F113" s="3">
        <v>24431</v>
      </c>
      <c r="G113" s="3">
        <v>44099</v>
      </c>
      <c r="H113" s="1">
        <v>53</v>
      </c>
      <c r="I113" s="1">
        <v>1</v>
      </c>
      <c r="J113" s="1" t="s">
        <v>456</v>
      </c>
      <c r="K113" s="1">
        <v>1126</v>
      </c>
      <c r="L113" s="1">
        <v>15</v>
      </c>
      <c r="M113" t="str">
        <f t="shared" si="1"/>
        <v>TRUE</v>
      </c>
      <c r="N113" t="s">
        <v>358</v>
      </c>
      <c r="O113">
        <v>59538.945010000003</v>
      </c>
      <c r="P113">
        <v>216422.32709999999</v>
      </c>
      <c r="Q113">
        <v>213026.93549999999</v>
      </c>
      <c r="R113">
        <v>75640.76874</v>
      </c>
      <c r="S113">
        <v>93382.402770000001</v>
      </c>
      <c r="T113">
        <v>22546.182379999998</v>
      </c>
      <c r="U113">
        <v>3618.3672110000002</v>
      </c>
      <c r="V113">
        <v>69161.474289999998</v>
      </c>
      <c r="W113">
        <v>32576.87343</v>
      </c>
      <c r="X113">
        <v>282998.272</v>
      </c>
      <c r="Y113">
        <v>3640.0545390000002</v>
      </c>
      <c r="Z113">
        <v>88723.948399999994</v>
      </c>
      <c r="AA113">
        <v>101149.6211</v>
      </c>
      <c r="AB113">
        <v>152183.58170000001</v>
      </c>
      <c r="AC113">
        <v>78569.594029999993</v>
      </c>
    </row>
    <row r="114" spans="1:29" x14ac:dyDescent="0.2">
      <c r="A114" s="1" t="s">
        <v>640</v>
      </c>
      <c r="B114" s="1" t="s">
        <v>158</v>
      </c>
      <c r="C114" s="1" t="s">
        <v>464</v>
      </c>
      <c r="D114" s="1" t="s">
        <v>499</v>
      </c>
      <c r="E114" s="1" t="s">
        <v>462</v>
      </c>
      <c r="F114" s="3">
        <v>35213</v>
      </c>
      <c r="G114" s="3">
        <v>44104</v>
      </c>
      <c r="H114" s="1">
        <v>24</v>
      </c>
      <c r="I114" s="1">
        <v>1</v>
      </c>
      <c r="J114" s="1" t="s">
        <v>451</v>
      </c>
      <c r="K114" s="1">
        <v>1123</v>
      </c>
      <c r="L114" s="1">
        <v>6</v>
      </c>
      <c r="M114" t="str">
        <f t="shared" si="1"/>
        <v>TRUE</v>
      </c>
      <c r="N114" t="s">
        <v>158</v>
      </c>
      <c r="O114">
        <v>35623.446470000003</v>
      </c>
      <c r="P114">
        <v>62608.291169999997</v>
      </c>
      <c r="Q114">
        <v>112731.68730000001</v>
      </c>
      <c r="R114">
        <v>82149.246939999997</v>
      </c>
      <c r="S114">
        <v>42808.262439999999</v>
      </c>
      <c r="T114">
        <v>30704.260859999999</v>
      </c>
      <c r="U114">
        <v>4606.5542400000004</v>
      </c>
      <c r="V114">
        <v>10657.94254</v>
      </c>
      <c r="W114">
        <v>17805.821250000001</v>
      </c>
      <c r="X114">
        <v>51107.249819999997</v>
      </c>
      <c r="Y114">
        <v>1885.8512330000001</v>
      </c>
      <c r="Z114">
        <v>284041.48109999998</v>
      </c>
      <c r="AA114">
        <v>71507.21544</v>
      </c>
      <c r="AB114">
        <v>7830.3929200000002</v>
      </c>
      <c r="AC114">
        <v>20754.660810000001</v>
      </c>
    </row>
    <row r="115" spans="1:29" x14ac:dyDescent="0.2">
      <c r="A115" s="1" t="s">
        <v>581</v>
      </c>
      <c r="B115" s="1" t="s">
        <v>84</v>
      </c>
      <c r="C115" s="1" t="s">
        <v>453</v>
      </c>
      <c r="D115" s="1" t="s">
        <v>461</v>
      </c>
      <c r="E115" s="1" t="s">
        <v>462</v>
      </c>
      <c r="F115" s="3">
        <v>23988</v>
      </c>
      <c r="G115" s="3">
        <v>44104</v>
      </c>
      <c r="H115" s="1">
        <v>55</v>
      </c>
      <c r="I115" s="1">
        <v>1</v>
      </c>
      <c r="J115" s="1" t="s">
        <v>456</v>
      </c>
      <c r="K115" s="1">
        <v>4713</v>
      </c>
      <c r="L115" s="1">
        <v>6</v>
      </c>
      <c r="M115" t="str">
        <f t="shared" si="1"/>
        <v>TRUE</v>
      </c>
      <c r="N115" t="s">
        <v>84</v>
      </c>
      <c r="O115">
        <v>281310.70110000001</v>
      </c>
      <c r="P115">
        <v>912588.64080000005</v>
      </c>
      <c r="Q115">
        <v>247144.06349999999</v>
      </c>
      <c r="R115">
        <v>141032.33780000001</v>
      </c>
      <c r="S115">
        <v>9404.5635010000005</v>
      </c>
      <c r="T115">
        <v>49958.866099999999</v>
      </c>
      <c r="U115">
        <v>1638.7600640000001</v>
      </c>
      <c r="V115">
        <v>11940.33409</v>
      </c>
      <c r="W115">
        <v>48993.286220000002</v>
      </c>
      <c r="X115">
        <v>80478.903990000006</v>
      </c>
      <c r="Y115">
        <v>1532.3894789999999</v>
      </c>
      <c r="Z115">
        <v>165037.41450000001</v>
      </c>
      <c r="AA115">
        <v>42892.996700000003</v>
      </c>
      <c r="AB115">
        <v>8147.8482739999999</v>
      </c>
      <c r="AC115">
        <v>199870.5074</v>
      </c>
    </row>
    <row r="116" spans="1:29" x14ac:dyDescent="0.2">
      <c r="A116" s="1" t="s">
        <v>582</v>
      </c>
      <c r="B116" s="1" t="s">
        <v>279</v>
      </c>
      <c r="C116" s="1" t="s">
        <v>453</v>
      </c>
      <c r="D116" s="1" t="s">
        <v>454</v>
      </c>
      <c r="E116" s="1" t="s">
        <v>462</v>
      </c>
      <c r="F116" s="3">
        <v>16624</v>
      </c>
      <c r="G116" s="3">
        <v>44106</v>
      </c>
      <c r="H116" s="1">
        <v>75</v>
      </c>
      <c r="I116" s="1">
        <v>1</v>
      </c>
      <c r="J116" s="1" t="s">
        <v>456</v>
      </c>
      <c r="K116" s="1">
        <v>4146</v>
      </c>
      <c r="L116" s="1">
        <v>6</v>
      </c>
      <c r="M116" t="str">
        <f t="shared" si="1"/>
        <v>TRUE</v>
      </c>
      <c r="N116" t="s">
        <v>279</v>
      </c>
      <c r="O116">
        <v>17405.364519999999</v>
      </c>
      <c r="P116">
        <v>206912.0007</v>
      </c>
      <c r="Q116">
        <v>671033.2622</v>
      </c>
      <c r="R116">
        <v>81628.872310000006</v>
      </c>
      <c r="S116">
        <v>126660.7225</v>
      </c>
      <c r="T116">
        <v>27224.652839999999</v>
      </c>
      <c r="U116">
        <v>3317.4186890000001</v>
      </c>
      <c r="V116">
        <v>9749.9362189999993</v>
      </c>
      <c r="W116">
        <v>11836.119989999999</v>
      </c>
      <c r="X116">
        <v>15407.44974</v>
      </c>
      <c r="Y116">
        <v>2816.7086439999998</v>
      </c>
      <c r="Z116">
        <v>444241.33990000002</v>
      </c>
      <c r="AA116">
        <v>90349.613159999994</v>
      </c>
      <c r="AB116">
        <v>217333.08410000001</v>
      </c>
      <c r="AC116">
        <v>162938.3996</v>
      </c>
    </row>
    <row r="117" spans="1:29" x14ac:dyDescent="0.2">
      <c r="A117" s="1" t="s">
        <v>583</v>
      </c>
      <c r="B117" s="1" t="s">
        <v>95</v>
      </c>
      <c r="C117" s="1" t="s">
        <v>453</v>
      </c>
      <c r="D117" s="1" t="s">
        <v>454</v>
      </c>
      <c r="E117" s="1" t="s">
        <v>455</v>
      </c>
      <c r="F117" s="3">
        <v>33801</v>
      </c>
      <c r="G117" s="3">
        <v>44110</v>
      </c>
      <c r="H117" s="1">
        <v>28</v>
      </c>
      <c r="I117" s="1">
        <v>1</v>
      </c>
      <c r="J117" s="1" t="s">
        <v>451</v>
      </c>
      <c r="K117" s="1">
        <v>2363</v>
      </c>
      <c r="L117" s="1">
        <v>9</v>
      </c>
      <c r="M117" t="str">
        <f t="shared" si="1"/>
        <v>TRUE</v>
      </c>
      <c r="N117" t="s">
        <v>95</v>
      </c>
      <c r="O117">
        <v>138394.0545</v>
      </c>
      <c r="P117">
        <v>75043.568549999996</v>
      </c>
      <c r="Q117">
        <v>1348749.7949999999</v>
      </c>
      <c r="R117">
        <v>125936.0174</v>
      </c>
      <c r="S117">
        <v>112832.99890000001</v>
      </c>
      <c r="T117">
        <v>41088.393709999997</v>
      </c>
      <c r="U117">
        <v>4414.6658660000003</v>
      </c>
      <c r="V117">
        <v>26100.108749999999</v>
      </c>
      <c r="W117">
        <v>28756.269189999999</v>
      </c>
      <c r="X117">
        <v>78652.982980000001</v>
      </c>
      <c r="Y117">
        <v>2462.8921460000001</v>
      </c>
      <c r="Z117">
        <v>493241.49180000002</v>
      </c>
      <c r="AA117">
        <v>35007.273739999997</v>
      </c>
      <c r="AB117">
        <v>20354.07764</v>
      </c>
      <c r="AC117">
        <v>3130002.054</v>
      </c>
    </row>
    <row r="118" spans="1:29" x14ac:dyDescent="0.2">
      <c r="A118" s="1" t="s">
        <v>584</v>
      </c>
      <c r="B118" s="1" t="s">
        <v>314</v>
      </c>
      <c r="C118" s="1" t="s">
        <v>464</v>
      </c>
      <c r="D118" s="1" t="s">
        <v>465</v>
      </c>
      <c r="E118" s="1" t="s">
        <v>462</v>
      </c>
      <c r="F118" s="3">
        <v>33242</v>
      </c>
      <c r="G118" s="3">
        <v>44113</v>
      </c>
      <c r="H118" s="1">
        <v>29</v>
      </c>
      <c r="I118" s="1">
        <v>1</v>
      </c>
      <c r="J118" s="1" t="s">
        <v>451</v>
      </c>
      <c r="K118" s="1">
        <v>38</v>
      </c>
      <c r="L118" s="1">
        <v>1</v>
      </c>
      <c r="M118" t="str">
        <f t="shared" si="1"/>
        <v>TRUE</v>
      </c>
      <c r="N118" t="s">
        <v>314</v>
      </c>
      <c r="O118">
        <v>125392.25410000001</v>
      </c>
      <c r="P118">
        <v>89629.994579999999</v>
      </c>
      <c r="Q118">
        <v>698633.36199999996</v>
      </c>
      <c r="R118">
        <v>61903.407529999997</v>
      </c>
      <c r="S118">
        <v>43099.715380000001</v>
      </c>
      <c r="T118">
        <v>56135.860990000001</v>
      </c>
      <c r="U118">
        <v>89414.624460000006</v>
      </c>
      <c r="V118">
        <v>48923.447719999996</v>
      </c>
      <c r="W118">
        <v>66381.905549999996</v>
      </c>
      <c r="X118">
        <v>79698.001749999996</v>
      </c>
      <c r="Y118">
        <v>2608.3155299999999</v>
      </c>
      <c r="Z118">
        <v>336247.32770000002</v>
      </c>
      <c r="AA118">
        <v>108224.389</v>
      </c>
      <c r="AB118">
        <v>83673.309519999995</v>
      </c>
      <c r="AC118">
        <v>299150.56670000002</v>
      </c>
    </row>
    <row r="119" spans="1:29" x14ac:dyDescent="0.2">
      <c r="A119" s="1" t="s">
        <v>585</v>
      </c>
      <c r="B119" s="1" t="s">
        <v>410</v>
      </c>
      <c r="C119" s="1" t="s">
        <v>448</v>
      </c>
      <c r="D119" s="1" t="s">
        <v>449</v>
      </c>
      <c r="E119" s="1" t="s">
        <v>450</v>
      </c>
      <c r="F119" s="3">
        <v>24811</v>
      </c>
      <c r="G119" s="3">
        <v>44118</v>
      </c>
      <c r="H119" s="1">
        <v>52</v>
      </c>
      <c r="I119" s="1">
        <v>1</v>
      </c>
      <c r="J119" s="1" t="s">
        <v>456</v>
      </c>
      <c r="K119" s="1">
        <v>236</v>
      </c>
      <c r="L119" s="1" t="s">
        <v>450</v>
      </c>
      <c r="M119" t="str">
        <f t="shared" si="1"/>
        <v>TRUE</v>
      </c>
      <c r="N119" t="s">
        <v>410</v>
      </c>
      <c r="O119">
        <v>253736.04860000001</v>
      </c>
      <c r="P119">
        <v>112472.23050000001</v>
      </c>
      <c r="Q119">
        <v>1964657.4269999999</v>
      </c>
      <c r="R119">
        <v>1613606.5660000001</v>
      </c>
      <c r="S119">
        <v>31360.44168</v>
      </c>
      <c r="T119">
        <v>9989.9247510000005</v>
      </c>
      <c r="U119">
        <v>20908.634239999999</v>
      </c>
      <c r="V119">
        <v>70415.33855</v>
      </c>
      <c r="W119">
        <v>39670.694259999997</v>
      </c>
      <c r="X119">
        <v>150936.55960000001</v>
      </c>
      <c r="Y119">
        <v>35220.138570000003</v>
      </c>
      <c r="Z119">
        <v>2059074.3370000001</v>
      </c>
      <c r="AA119">
        <v>105995.0742</v>
      </c>
      <c r="AB119">
        <v>112280.9184</v>
      </c>
      <c r="AC119">
        <v>2726358.9309999999</v>
      </c>
    </row>
    <row r="120" spans="1:29" x14ac:dyDescent="0.2">
      <c r="A120" s="1" t="s">
        <v>586</v>
      </c>
      <c r="B120" s="1" t="s">
        <v>446</v>
      </c>
      <c r="C120" s="1" t="s">
        <v>464</v>
      </c>
      <c r="D120" s="1" t="s">
        <v>499</v>
      </c>
      <c r="E120" s="1" t="s">
        <v>455</v>
      </c>
      <c r="F120" s="3">
        <v>19739</v>
      </c>
      <c r="G120" s="3">
        <v>44119</v>
      </c>
      <c r="H120" s="1">
        <v>66</v>
      </c>
      <c r="I120" s="1">
        <v>1</v>
      </c>
      <c r="J120" s="1" t="s">
        <v>451</v>
      </c>
      <c r="K120" s="1">
        <v>900</v>
      </c>
      <c r="L120" s="1">
        <v>10</v>
      </c>
      <c r="M120" t="str">
        <f t="shared" si="1"/>
        <v>TRUE</v>
      </c>
      <c r="N120" t="s">
        <v>446</v>
      </c>
      <c r="O120">
        <v>108822.4917</v>
      </c>
      <c r="P120">
        <v>253804.7996</v>
      </c>
      <c r="Q120">
        <v>1067545.2720000001</v>
      </c>
      <c r="R120">
        <v>189591.28460000001</v>
      </c>
      <c r="S120">
        <v>238445.49729999999</v>
      </c>
      <c r="T120">
        <v>210168.75169999999</v>
      </c>
      <c r="U120">
        <v>4962.5189959999998</v>
      </c>
      <c r="V120">
        <v>140013.84299999999</v>
      </c>
      <c r="W120">
        <v>72108.107910000006</v>
      </c>
      <c r="X120">
        <v>124747.5258</v>
      </c>
      <c r="Y120">
        <v>2992.3954189999999</v>
      </c>
      <c r="Z120">
        <v>720718.85800000001</v>
      </c>
      <c r="AA120">
        <v>21237.666249999998</v>
      </c>
      <c r="AB120">
        <v>7286.790739</v>
      </c>
      <c r="AC120">
        <v>159976.0894</v>
      </c>
    </row>
    <row r="121" spans="1:29" x14ac:dyDescent="0.2">
      <c r="A121" s="1" t="s">
        <v>587</v>
      </c>
      <c r="B121" s="1" t="s">
        <v>321</v>
      </c>
      <c r="C121" s="1" t="s">
        <v>464</v>
      </c>
      <c r="D121" s="1" t="s">
        <v>499</v>
      </c>
      <c r="E121" s="1" t="s">
        <v>462</v>
      </c>
      <c r="F121" s="3">
        <v>34804</v>
      </c>
      <c r="G121" s="3">
        <v>44127</v>
      </c>
      <c r="H121" s="1">
        <v>25</v>
      </c>
      <c r="I121" s="1">
        <v>1</v>
      </c>
      <c r="J121" s="1" t="s">
        <v>451</v>
      </c>
      <c r="K121" s="1">
        <v>904</v>
      </c>
      <c r="L121" s="1">
        <v>6</v>
      </c>
      <c r="M121" t="str">
        <f t="shared" si="1"/>
        <v>TRUE</v>
      </c>
      <c r="N121" t="s">
        <v>321</v>
      </c>
      <c r="O121">
        <v>167641.79310000001</v>
      </c>
      <c r="P121">
        <v>171982.51610000001</v>
      </c>
      <c r="Q121">
        <v>949222.73499999999</v>
      </c>
      <c r="R121">
        <v>34701.062830000003</v>
      </c>
      <c r="S121">
        <v>247479.35819999999</v>
      </c>
      <c r="T121">
        <v>83636.557390000002</v>
      </c>
      <c r="U121">
        <v>2829.780452</v>
      </c>
      <c r="V121">
        <v>16152.1448</v>
      </c>
      <c r="W121">
        <v>49980.177000000003</v>
      </c>
      <c r="X121">
        <v>49070.646000000001</v>
      </c>
      <c r="Y121">
        <v>3249.6866580000001</v>
      </c>
      <c r="Z121">
        <v>126399.4221</v>
      </c>
      <c r="AA121">
        <v>197337.4425</v>
      </c>
      <c r="AB121">
        <v>76745.126669999998</v>
      </c>
      <c r="AC121">
        <v>742406.83649999998</v>
      </c>
    </row>
    <row r="122" spans="1:29" x14ac:dyDescent="0.2">
      <c r="A122" s="1" t="s">
        <v>588</v>
      </c>
      <c r="B122" s="1" t="s">
        <v>360</v>
      </c>
      <c r="C122" s="1" t="s">
        <v>464</v>
      </c>
      <c r="D122" s="1" t="s">
        <v>465</v>
      </c>
      <c r="E122" s="1" t="s">
        <v>462</v>
      </c>
      <c r="F122" s="3">
        <v>23778</v>
      </c>
      <c r="G122" s="3">
        <v>44130</v>
      </c>
      <c r="H122" s="1">
        <v>55</v>
      </c>
      <c r="I122" s="1">
        <v>1</v>
      </c>
      <c r="J122" s="1" t="s">
        <v>451</v>
      </c>
      <c r="K122" s="1">
        <v>319</v>
      </c>
      <c r="L122" s="1">
        <v>11</v>
      </c>
      <c r="M122" t="str">
        <f t="shared" si="1"/>
        <v>TRUE</v>
      </c>
      <c r="N122" t="s">
        <v>360</v>
      </c>
      <c r="O122">
        <v>225564.75409999999</v>
      </c>
      <c r="P122">
        <v>100876.6165</v>
      </c>
      <c r="Q122">
        <v>716941.13119999995</v>
      </c>
      <c r="R122">
        <v>160847.83720000001</v>
      </c>
      <c r="S122">
        <v>442142.35560000001</v>
      </c>
      <c r="T122">
        <v>36165.514600000002</v>
      </c>
      <c r="U122">
        <v>6510.5765469999997</v>
      </c>
      <c r="V122">
        <v>72167.514899999995</v>
      </c>
      <c r="W122">
        <v>48809.98027</v>
      </c>
      <c r="X122">
        <v>198339.09090000001</v>
      </c>
      <c r="Y122">
        <v>2593.5382180000001</v>
      </c>
      <c r="Z122">
        <v>633251.82779999997</v>
      </c>
      <c r="AA122">
        <v>119763.6189</v>
      </c>
      <c r="AB122">
        <v>18731.58382</v>
      </c>
      <c r="AC122">
        <v>227950.70569999999</v>
      </c>
    </row>
    <row r="123" spans="1:29" x14ac:dyDescent="0.2">
      <c r="A123" s="1" t="s">
        <v>653</v>
      </c>
      <c r="B123" s="1" t="s">
        <v>251</v>
      </c>
      <c r="C123" s="1" t="s">
        <v>453</v>
      </c>
      <c r="D123" s="1" t="s">
        <v>461</v>
      </c>
      <c r="E123" s="1" t="s">
        <v>462</v>
      </c>
      <c r="F123" s="3">
        <v>36030</v>
      </c>
      <c r="G123" s="3">
        <v>44134</v>
      </c>
      <c r="H123" s="1">
        <v>22</v>
      </c>
      <c r="I123" s="1">
        <v>2</v>
      </c>
      <c r="J123" s="1" t="s">
        <v>451</v>
      </c>
      <c r="K123" s="1">
        <v>73</v>
      </c>
      <c r="L123" s="1">
        <v>0</v>
      </c>
      <c r="M123" t="str">
        <f t="shared" si="1"/>
        <v>TRUE</v>
      </c>
      <c r="N123" t="s">
        <v>251</v>
      </c>
      <c r="O123">
        <v>43768.135620000001</v>
      </c>
      <c r="P123">
        <v>416007.25540000002</v>
      </c>
      <c r="Q123">
        <v>235942.16020000001</v>
      </c>
      <c r="R123">
        <v>91737.204979999995</v>
      </c>
      <c r="S123">
        <v>346631.0295</v>
      </c>
      <c r="T123">
        <v>29969.2107</v>
      </c>
      <c r="U123">
        <v>3452.2679229999999</v>
      </c>
      <c r="V123">
        <v>81220.376799999998</v>
      </c>
      <c r="W123">
        <v>77125.468729999993</v>
      </c>
      <c r="X123">
        <v>231448.66200000001</v>
      </c>
      <c r="Y123">
        <v>2799.2360650000001</v>
      </c>
      <c r="Z123">
        <v>7006629.1030000001</v>
      </c>
      <c r="AA123">
        <v>454761.98979999998</v>
      </c>
      <c r="AB123">
        <v>5307.3806850000001</v>
      </c>
      <c r="AC123">
        <v>94491.30184</v>
      </c>
    </row>
    <row r="124" spans="1:29" x14ac:dyDescent="0.2">
      <c r="A124" s="1" t="s">
        <v>590</v>
      </c>
      <c r="B124" s="1" t="s">
        <v>49</v>
      </c>
      <c r="C124" s="1" t="s">
        <v>448</v>
      </c>
      <c r="D124" s="1" t="s">
        <v>558</v>
      </c>
      <c r="E124" s="1" t="s">
        <v>450</v>
      </c>
      <c r="F124" s="3">
        <v>37328</v>
      </c>
      <c r="G124" s="3">
        <v>44146</v>
      </c>
      <c r="H124" s="1">
        <v>18</v>
      </c>
      <c r="I124" s="1">
        <v>1</v>
      </c>
      <c r="J124" s="1" t="s">
        <v>451</v>
      </c>
      <c r="K124" s="1">
        <v>472</v>
      </c>
      <c r="L124" s="1" t="s">
        <v>450</v>
      </c>
      <c r="M124" t="str">
        <f t="shared" si="1"/>
        <v>TRUE</v>
      </c>
      <c r="N124" t="s">
        <v>49</v>
      </c>
      <c r="O124">
        <v>606981.68550000002</v>
      </c>
      <c r="P124">
        <v>395984.46470000001</v>
      </c>
      <c r="Q124">
        <v>1285766.8999999999</v>
      </c>
      <c r="R124">
        <v>698233.73160000006</v>
      </c>
      <c r="S124">
        <v>10073.60211</v>
      </c>
      <c r="T124">
        <v>36788.20321</v>
      </c>
      <c r="U124">
        <v>2573.1040849999999</v>
      </c>
      <c r="V124">
        <v>65642.288820000002</v>
      </c>
      <c r="W124">
        <v>711638.51020000002</v>
      </c>
      <c r="X124">
        <v>544735.57889999996</v>
      </c>
      <c r="Y124">
        <v>2364.1104049999999</v>
      </c>
      <c r="Z124">
        <v>502962.29330000002</v>
      </c>
      <c r="AA124">
        <v>175360.34520000001</v>
      </c>
      <c r="AB124">
        <v>82223.745250000007</v>
      </c>
      <c r="AC124">
        <v>2394236.5410000002</v>
      </c>
    </row>
    <row r="125" spans="1:29" x14ac:dyDescent="0.2">
      <c r="A125" s="1" t="s">
        <v>591</v>
      </c>
      <c r="B125" s="1" t="s">
        <v>406</v>
      </c>
      <c r="C125" s="1" t="s">
        <v>453</v>
      </c>
      <c r="D125" s="1" t="s">
        <v>476</v>
      </c>
      <c r="E125" s="1" t="s">
        <v>462</v>
      </c>
      <c r="F125" s="3">
        <v>29096</v>
      </c>
      <c r="G125" s="3">
        <v>44148</v>
      </c>
      <c r="H125" s="1">
        <v>41</v>
      </c>
      <c r="I125" s="1">
        <v>2</v>
      </c>
      <c r="J125" s="1" t="s">
        <v>451</v>
      </c>
      <c r="K125" s="1">
        <v>55</v>
      </c>
      <c r="L125" s="1">
        <v>1</v>
      </c>
      <c r="M125" t="str">
        <f t="shared" si="1"/>
        <v>TRUE</v>
      </c>
      <c r="N125" t="s">
        <v>406</v>
      </c>
      <c r="O125">
        <v>42817.570010000003</v>
      </c>
      <c r="P125">
        <v>289316.92369999998</v>
      </c>
      <c r="Q125">
        <v>345179.66110000003</v>
      </c>
      <c r="R125">
        <v>284611.78470000002</v>
      </c>
      <c r="S125">
        <v>145217.73509999999</v>
      </c>
      <c r="T125">
        <v>26486.256949999999</v>
      </c>
      <c r="U125">
        <v>3844.456756</v>
      </c>
      <c r="V125">
        <v>31014.279910000001</v>
      </c>
      <c r="W125">
        <v>34751.715429999997</v>
      </c>
      <c r="X125">
        <v>121299.5543</v>
      </c>
      <c r="Y125">
        <v>2995.6845579999999</v>
      </c>
      <c r="Z125">
        <v>1258011.32</v>
      </c>
      <c r="AA125">
        <v>52867.847450000001</v>
      </c>
      <c r="AB125">
        <v>8953.1540910000003</v>
      </c>
      <c r="AC125">
        <v>135946.7562</v>
      </c>
    </row>
    <row r="126" spans="1:29" x14ac:dyDescent="0.2">
      <c r="A126" s="1" t="s">
        <v>592</v>
      </c>
      <c r="B126" s="1" t="s">
        <v>356</v>
      </c>
      <c r="C126" s="1" t="s">
        <v>453</v>
      </c>
      <c r="D126" s="1" t="s">
        <v>461</v>
      </c>
      <c r="E126" s="1" t="s">
        <v>455</v>
      </c>
      <c r="F126" s="3">
        <v>24431</v>
      </c>
      <c r="G126" s="3">
        <v>44148</v>
      </c>
      <c r="H126" s="1">
        <v>53</v>
      </c>
      <c r="I126" s="1">
        <v>2</v>
      </c>
      <c r="J126" s="1" t="s">
        <v>456</v>
      </c>
      <c r="K126" s="1">
        <v>1780</v>
      </c>
      <c r="L126" s="1">
        <v>5</v>
      </c>
      <c r="M126" t="str">
        <f t="shared" si="1"/>
        <v>TRUE</v>
      </c>
      <c r="N126" t="s">
        <v>356</v>
      </c>
      <c r="O126">
        <v>118592.2208</v>
      </c>
      <c r="P126">
        <v>594741.97320000001</v>
      </c>
      <c r="Q126">
        <v>510906.41769999999</v>
      </c>
      <c r="R126">
        <v>170923.50270000001</v>
      </c>
      <c r="S126">
        <v>51151.527540000003</v>
      </c>
      <c r="T126">
        <v>26142.844400000002</v>
      </c>
      <c r="U126">
        <v>2136.062989</v>
      </c>
      <c r="V126">
        <v>103684.447</v>
      </c>
      <c r="W126">
        <v>42305.535819999997</v>
      </c>
      <c r="X126">
        <v>422391.3162</v>
      </c>
      <c r="Y126">
        <v>3063.8718359999998</v>
      </c>
      <c r="Z126">
        <v>73767.387919999994</v>
      </c>
      <c r="AA126">
        <v>79813.432180000003</v>
      </c>
      <c r="AB126">
        <v>70503.955489999993</v>
      </c>
      <c r="AC126">
        <v>373939.95280000003</v>
      </c>
    </row>
    <row r="127" spans="1:29" x14ac:dyDescent="0.2">
      <c r="A127" s="1" t="s">
        <v>593</v>
      </c>
      <c r="B127" s="1" t="s">
        <v>70</v>
      </c>
      <c r="C127" s="1" t="s">
        <v>453</v>
      </c>
      <c r="D127" s="1" t="s">
        <v>461</v>
      </c>
      <c r="E127" s="1" t="s">
        <v>455</v>
      </c>
      <c r="F127" s="3">
        <v>34311</v>
      </c>
      <c r="G127" s="3">
        <v>44148</v>
      </c>
      <c r="H127" s="1">
        <v>26</v>
      </c>
      <c r="I127" s="1">
        <v>1</v>
      </c>
      <c r="J127" s="1" t="s">
        <v>451</v>
      </c>
      <c r="K127" s="1">
        <v>1823</v>
      </c>
      <c r="L127" s="1">
        <v>9</v>
      </c>
      <c r="M127" t="str">
        <f t="shared" si="1"/>
        <v>TRUE</v>
      </c>
      <c r="N127" t="s">
        <v>70</v>
      </c>
      <c r="O127">
        <v>191103.48120000001</v>
      </c>
      <c r="P127">
        <v>411178.1948</v>
      </c>
      <c r="Q127">
        <v>294419.92660000001</v>
      </c>
      <c r="R127">
        <v>180197.25769999999</v>
      </c>
      <c r="S127">
        <v>112583.11380000001</v>
      </c>
      <c r="T127">
        <v>18102.980510000001</v>
      </c>
      <c r="U127">
        <v>8110.7345130000003</v>
      </c>
      <c r="V127">
        <v>24115.734390000001</v>
      </c>
      <c r="W127">
        <v>21200.512890000002</v>
      </c>
      <c r="X127">
        <v>84786.583469999998</v>
      </c>
      <c r="Y127">
        <v>2178.1685790000001</v>
      </c>
      <c r="Z127">
        <v>796489.6176</v>
      </c>
      <c r="AA127">
        <v>70860.738710000005</v>
      </c>
      <c r="AB127">
        <v>14163.978510000001</v>
      </c>
      <c r="AC127">
        <v>81089.106390000001</v>
      </c>
    </row>
    <row r="128" spans="1:29" x14ac:dyDescent="0.2">
      <c r="A128" s="1" t="s">
        <v>594</v>
      </c>
      <c r="B128" s="1" t="s">
        <v>188</v>
      </c>
      <c r="C128" s="1" t="s">
        <v>464</v>
      </c>
      <c r="D128" s="1" t="s">
        <v>499</v>
      </c>
      <c r="E128" s="1" t="s">
        <v>455</v>
      </c>
      <c r="F128" s="3">
        <v>34219</v>
      </c>
      <c r="G128" s="3">
        <v>44151</v>
      </c>
      <c r="H128" s="1">
        <v>27</v>
      </c>
      <c r="I128" s="1">
        <v>2</v>
      </c>
      <c r="J128" s="1" t="s">
        <v>456</v>
      </c>
      <c r="K128" s="1">
        <v>2739</v>
      </c>
      <c r="L128" s="1">
        <v>8</v>
      </c>
      <c r="M128" t="str">
        <f t="shared" si="1"/>
        <v>TRUE</v>
      </c>
      <c r="N128" t="s">
        <v>188</v>
      </c>
      <c r="O128">
        <v>276240.46370000002</v>
      </c>
      <c r="P128">
        <v>41804.30762</v>
      </c>
      <c r="Q128">
        <v>1715921.39</v>
      </c>
      <c r="R128">
        <v>1023845.682</v>
      </c>
      <c r="S128">
        <v>42899.279390000003</v>
      </c>
      <c r="T128">
        <v>39106.186780000004</v>
      </c>
      <c r="U128">
        <v>5950.1493289999999</v>
      </c>
      <c r="V128">
        <v>74004.769020000007</v>
      </c>
      <c r="W128">
        <v>53390.93303</v>
      </c>
      <c r="X128">
        <v>68015.207380000007</v>
      </c>
      <c r="Y128">
        <v>3548.092756</v>
      </c>
      <c r="Z128">
        <v>329934.40000000002</v>
      </c>
      <c r="AA128">
        <v>118832.5818</v>
      </c>
      <c r="AB128">
        <v>266121.17109999998</v>
      </c>
      <c r="AC128">
        <v>2168822.4890000001</v>
      </c>
    </row>
    <row r="129" spans="1:29" x14ac:dyDescent="0.2">
      <c r="A129" s="1" t="s">
        <v>595</v>
      </c>
      <c r="B129" s="1" t="s">
        <v>329</v>
      </c>
      <c r="C129" s="1" t="s">
        <v>453</v>
      </c>
      <c r="D129" s="1" t="s">
        <v>461</v>
      </c>
      <c r="E129" s="1" t="s">
        <v>462</v>
      </c>
      <c r="F129" s="3">
        <v>33826</v>
      </c>
      <c r="G129" s="3">
        <v>44152</v>
      </c>
      <c r="H129" s="1">
        <v>28</v>
      </c>
      <c r="I129" s="1">
        <v>1</v>
      </c>
      <c r="J129" s="1" t="s">
        <v>451</v>
      </c>
      <c r="K129" s="1">
        <v>221</v>
      </c>
      <c r="L129" s="1">
        <v>10</v>
      </c>
      <c r="M129" t="str">
        <f t="shared" si="1"/>
        <v>TRUE</v>
      </c>
      <c r="N129" t="s">
        <v>329</v>
      </c>
      <c r="O129">
        <v>1151068.3959999999</v>
      </c>
      <c r="P129">
        <v>66108.020250000001</v>
      </c>
      <c r="Q129">
        <v>383233.64549999998</v>
      </c>
      <c r="R129">
        <v>836942.68420000002</v>
      </c>
      <c r="S129">
        <v>358258.0673</v>
      </c>
      <c r="T129">
        <v>66049.172040000005</v>
      </c>
      <c r="U129">
        <v>5294.3746359999996</v>
      </c>
      <c r="V129">
        <v>29509.644489999999</v>
      </c>
      <c r="W129">
        <v>168143.4246</v>
      </c>
      <c r="X129">
        <v>106876.53569999999</v>
      </c>
      <c r="Y129">
        <v>2669.712661</v>
      </c>
      <c r="Z129">
        <v>317872.9449</v>
      </c>
      <c r="AA129">
        <v>589513.37139999995</v>
      </c>
      <c r="AB129">
        <v>471195.3039</v>
      </c>
      <c r="AC129">
        <v>265220.88439999998</v>
      </c>
    </row>
    <row r="130" spans="1:29" x14ac:dyDescent="0.2">
      <c r="A130" s="1" t="s">
        <v>596</v>
      </c>
      <c r="B130" s="1" t="s">
        <v>107</v>
      </c>
      <c r="C130" s="1" t="s">
        <v>464</v>
      </c>
      <c r="D130" s="1" t="s">
        <v>482</v>
      </c>
      <c r="E130" s="1" t="s">
        <v>462</v>
      </c>
      <c r="F130" s="3">
        <v>25311</v>
      </c>
      <c r="G130" s="3">
        <v>44161</v>
      </c>
      <c r="H130" s="1">
        <v>51</v>
      </c>
      <c r="I130" s="1">
        <v>1</v>
      </c>
      <c r="J130" s="1" t="s">
        <v>451</v>
      </c>
      <c r="K130" s="1">
        <v>496</v>
      </c>
      <c r="L130" s="1">
        <v>3</v>
      </c>
      <c r="M130" t="str">
        <f t="shared" si="1"/>
        <v>TRUE</v>
      </c>
      <c r="N130" t="s">
        <v>107</v>
      </c>
      <c r="O130">
        <v>211981.56899999999</v>
      </c>
      <c r="P130">
        <v>6329548.8420000002</v>
      </c>
      <c r="Q130">
        <v>198882.41519999999</v>
      </c>
      <c r="R130">
        <v>256328.04089999999</v>
      </c>
      <c r="S130">
        <v>165044.34779999999</v>
      </c>
      <c r="T130">
        <v>20365.771909999999</v>
      </c>
      <c r="U130">
        <v>7183.3351119999998</v>
      </c>
      <c r="V130">
        <v>35069.378290000001</v>
      </c>
      <c r="W130">
        <v>39979.147720000001</v>
      </c>
      <c r="X130">
        <v>124901.45480000001</v>
      </c>
      <c r="Y130">
        <v>4171.2025009999998</v>
      </c>
      <c r="Z130">
        <v>884447.09199999995</v>
      </c>
      <c r="AA130">
        <v>50695.456270000002</v>
      </c>
      <c r="AB130">
        <v>11212.35996</v>
      </c>
      <c r="AC130">
        <v>98478.107250000001</v>
      </c>
    </row>
    <row r="131" spans="1:29" x14ac:dyDescent="0.2">
      <c r="A131" s="1" t="s">
        <v>597</v>
      </c>
      <c r="B131" s="1" t="s">
        <v>145</v>
      </c>
      <c r="C131" s="1" t="s">
        <v>453</v>
      </c>
      <c r="D131" s="1" t="s">
        <v>461</v>
      </c>
      <c r="E131" s="1" t="s">
        <v>462</v>
      </c>
      <c r="F131" s="3">
        <v>35769</v>
      </c>
      <c r="G131" s="3">
        <v>44162</v>
      </c>
      <c r="H131" s="1">
        <v>22</v>
      </c>
      <c r="I131" s="1">
        <v>1</v>
      </c>
      <c r="J131" s="1" t="s">
        <v>456</v>
      </c>
      <c r="K131" s="1">
        <v>7900</v>
      </c>
      <c r="L131" s="1">
        <v>13</v>
      </c>
      <c r="M131" t="str">
        <f t="shared" ref="M131:M194" si="2">IF(B131=N131,"TRUE","FALSE")</f>
        <v>TRUE</v>
      </c>
      <c r="N131" t="s">
        <v>145</v>
      </c>
      <c r="O131">
        <v>430905.83679999999</v>
      </c>
      <c r="P131">
        <v>65493.35241</v>
      </c>
      <c r="Q131">
        <v>297798.0417</v>
      </c>
      <c r="R131">
        <v>355858.25660000002</v>
      </c>
      <c r="S131">
        <v>122716.98330000001</v>
      </c>
      <c r="T131">
        <v>49804.299480000001</v>
      </c>
      <c r="U131">
        <v>177594.99040000001</v>
      </c>
      <c r="V131">
        <v>396517.63949999999</v>
      </c>
      <c r="W131">
        <v>118947.9648</v>
      </c>
      <c r="X131">
        <v>615301.33400000003</v>
      </c>
      <c r="Y131">
        <v>1812.722792</v>
      </c>
      <c r="Z131">
        <v>107134.6596</v>
      </c>
      <c r="AA131">
        <v>191473.63589999999</v>
      </c>
      <c r="AB131">
        <v>83356.860820000002</v>
      </c>
      <c r="AC131">
        <v>2081797.683</v>
      </c>
    </row>
    <row r="132" spans="1:29" x14ac:dyDescent="0.2">
      <c r="A132" s="1" t="s">
        <v>598</v>
      </c>
      <c r="B132" s="1" t="s">
        <v>431</v>
      </c>
      <c r="C132" s="1" t="s">
        <v>453</v>
      </c>
      <c r="D132" s="1" t="s">
        <v>461</v>
      </c>
      <c r="E132" s="1" t="s">
        <v>462</v>
      </c>
      <c r="F132" s="3">
        <v>28094</v>
      </c>
      <c r="G132" s="3">
        <v>44169</v>
      </c>
      <c r="H132" s="1">
        <v>44</v>
      </c>
      <c r="I132" s="1">
        <v>2</v>
      </c>
      <c r="J132" s="1" t="s">
        <v>451</v>
      </c>
      <c r="K132" s="1">
        <v>659</v>
      </c>
      <c r="L132" s="1">
        <v>6</v>
      </c>
      <c r="M132" t="str">
        <f t="shared" si="2"/>
        <v>TRUE</v>
      </c>
      <c r="N132" t="s">
        <v>431</v>
      </c>
      <c r="O132">
        <v>98573.356539999993</v>
      </c>
      <c r="P132">
        <v>1131254.375</v>
      </c>
      <c r="Q132">
        <v>1223079.4210000001</v>
      </c>
      <c r="R132">
        <v>195906.1611</v>
      </c>
      <c r="S132">
        <v>50294.880969999998</v>
      </c>
      <c r="T132">
        <v>106380.3253</v>
      </c>
      <c r="U132">
        <v>2215.7926219999999</v>
      </c>
      <c r="V132">
        <v>137206.30739999999</v>
      </c>
      <c r="W132">
        <v>213769.24410000001</v>
      </c>
      <c r="X132">
        <v>369544.31219999999</v>
      </c>
      <c r="Y132">
        <v>5260.0982649999996</v>
      </c>
      <c r="Z132">
        <v>1264484.811</v>
      </c>
      <c r="AA132">
        <v>21002.00001</v>
      </c>
      <c r="AB132">
        <v>11398.30947</v>
      </c>
      <c r="AC132">
        <v>85290.628320000003</v>
      </c>
    </row>
    <row r="133" spans="1:29" x14ac:dyDescent="0.2">
      <c r="A133" s="1" t="s">
        <v>599</v>
      </c>
      <c r="B133" s="1" t="s">
        <v>156</v>
      </c>
      <c r="C133" s="1" t="s">
        <v>464</v>
      </c>
      <c r="D133" s="1" t="s">
        <v>499</v>
      </c>
      <c r="E133" s="1" t="s">
        <v>462</v>
      </c>
      <c r="F133" s="3">
        <v>35213</v>
      </c>
      <c r="G133" s="3">
        <v>44169</v>
      </c>
      <c r="H133" s="1">
        <v>24</v>
      </c>
      <c r="I133" s="1">
        <v>2</v>
      </c>
      <c r="J133" s="1" t="s">
        <v>451</v>
      </c>
      <c r="K133" s="1">
        <v>1858</v>
      </c>
      <c r="L133" s="1">
        <v>0</v>
      </c>
      <c r="M133" t="str">
        <f t="shared" si="2"/>
        <v>TRUE</v>
      </c>
      <c r="N133" t="s">
        <v>156</v>
      </c>
      <c r="O133">
        <v>81956.888749999998</v>
      </c>
      <c r="P133">
        <v>19148.73172</v>
      </c>
      <c r="Q133">
        <v>618790.76100000006</v>
      </c>
      <c r="R133">
        <v>122605.4611</v>
      </c>
      <c r="S133">
        <v>43120.176059999998</v>
      </c>
      <c r="T133">
        <v>8403.0514500000008</v>
      </c>
      <c r="U133">
        <v>6711.818628</v>
      </c>
      <c r="V133">
        <v>4858.7326540000004</v>
      </c>
      <c r="W133">
        <v>8291.8489449999997</v>
      </c>
      <c r="X133">
        <v>10240.36534</v>
      </c>
      <c r="Y133">
        <v>1735.976261</v>
      </c>
      <c r="Z133">
        <v>67453.085070000001</v>
      </c>
      <c r="AA133">
        <v>33270.708310000002</v>
      </c>
      <c r="AB133">
        <v>8062.7749329999997</v>
      </c>
      <c r="AC133">
        <v>140741.7457</v>
      </c>
    </row>
    <row r="134" spans="1:29" x14ac:dyDescent="0.2">
      <c r="A134" s="1" t="s">
        <v>600</v>
      </c>
      <c r="B134" s="1" t="s">
        <v>277</v>
      </c>
      <c r="C134" s="1" t="s">
        <v>453</v>
      </c>
      <c r="D134" s="1" t="s">
        <v>454</v>
      </c>
      <c r="E134" s="1" t="s">
        <v>462</v>
      </c>
      <c r="F134" s="3">
        <v>16624</v>
      </c>
      <c r="G134" s="3">
        <v>44172</v>
      </c>
      <c r="H134" s="1">
        <v>75</v>
      </c>
      <c r="I134" s="1">
        <v>2</v>
      </c>
      <c r="J134" s="1" t="s">
        <v>456</v>
      </c>
      <c r="K134" s="1">
        <v>324</v>
      </c>
      <c r="L134" s="1">
        <v>0</v>
      </c>
      <c r="M134" t="str">
        <f t="shared" si="2"/>
        <v>TRUE</v>
      </c>
      <c r="N134" t="s">
        <v>277</v>
      </c>
      <c r="O134">
        <v>39321.368540000003</v>
      </c>
      <c r="P134">
        <v>78234.744149999999</v>
      </c>
      <c r="Q134">
        <v>432902.75799999997</v>
      </c>
      <c r="R134">
        <v>39162.943379999997</v>
      </c>
      <c r="S134">
        <v>113877.8446</v>
      </c>
      <c r="T134">
        <v>25813.435799999999</v>
      </c>
      <c r="U134">
        <v>6131.7764450000004</v>
      </c>
      <c r="V134">
        <v>30792.069149999999</v>
      </c>
      <c r="W134">
        <v>14402.2117</v>
      </c>
      <c r="X134">
        <v>43483.400430000002</v>
      </c>
      <c r="Y134">
        <v>3865.2673060000002</v>
      </c>
      <c r="Z134">
        <v>375468.2304</v>
      </c>
      <c r="AA134">
        <v>60952.027370000003</v>
      </c>
      <c r="AB134">
        <v>25359.109100000001</v>
      </c>
      <c r="AC134">
        <v>207871.16010000001</v>
      </c>
    </row>
    <row r="135" spans="1:29" x14ac:dyDescent="0.2">
      <c r="A135" s="1" t="s">
        <v>661</v>
      </c>
      <c r="B135" s="1" t="s">
        <v>143</v>
      </c>
      <c r="C135" s="1" t="s">
        <v>464</v>
      </c>
      <c r="D135" s="1" t="s">
        <v>499</v>
      </c>
      <c r="E135" s="1" t="s">
        <v>462</v>
      </c>
      <c r="F135" s="3">
        <v>25846</v>
      </c>
      <c r="G135" s="3">
        <v>44172</v>
      </c>
      <c r="H135" s="1">
        <v>50</v>
      </c>
      <c r="I135" s="1">
        <v>1</v>
      </c>
      <c r="J135" s="1" t="s">
        <v>456</v>
      </c>
      <c r="K135" s="1">
        <v>549</v>
      </c>
      <c r="L135" s="1">
        <v>9</v>
      </c>
      <c r="M135" t="str">
        <f t="shared" si="2"/>
        <v>TRUE</v>
      </c>
      <c r="N135" t="s">
        <v>143</v>
      </c>
      <c r="O135">
        <v>99642.411380000005</v>
      </c>
      <c r="P135">
        <v>24152.938119999999</v>
      </c>
      <c r="Q135">
        <v>264142.18030000001</v>
      </c>
      <c r="R135">
        <v>155637.87299999999</v>
      </c>
      <c r="S135">
        <v>57566.154869999998</v>
      </c>
      <c r="T135">
        <v>16423.420030000001</v>
      </c>
      <c r="U135">
        <v>8521.1058489999996</v>
      </c>
      <c r="V135">
        <v>58927.252489999999</v>
      </c>
      <c r="W135">
        <v>34120.68273</v>
      </c>
      <c r="X135">
        <v>96945.552819999997</v>
      </c>
      <c r="Y135">
        <v>3620.8927699999999</v>
      </c>
      <c r="Z135">
        <v>981407.38749999995</v>
      </c>
      <c r="AA135">
        <v>47077.183409999998</v>
      </c>
      <c r="AB135">
        <v>10723.09899</v>
      </c>
      <c r="AC135">
        <v>151670.201</v>
      </c>
    </row>
    <row r="136" spans="1:29" x14ac:dyDescent="0.2">
      <c r="A136" s="1" t="s">
        <v>602</v>
      </c>
      <c r="B136" s="1" t="s">
        <v>93</v>
      </c>
      <c r="C136" s="1" t="s">
        <v>453</v>
      </c>
      <c r="D136" s="1" t="s">
        <v>454</v>
      </c>
      <c r="E136" s="1" t="s">
        <v>455</v>
      </c>
      <c r="F136" s="3">
        <v>33801</v>
      </c>
      <c r="G136" s="3">
        <v>44173</v>
      </c>
      <c r="H136" s="1">
        <v>28</v>
      </c>
      <c r="I136" s="1">
        <v>2</v>
      </c>
      <c r="J136" s="1" t="s">
        <v>451</v>
      </c>
      <c r="K136" s="1">
        <v>470</v>
      </c>
      <c r="L136" s="1">
        <v>0</v>
      </c>
      <c r="M136" t="str">
        <f t="shared" si="2"/>
        <v>TRUE</v>
      </c>
      <c r="N136" t="s">
        <v>93</v>
      </c>
      <c r="O136">
        <v>365241.6594</v>
      </c>
      <c r="P136">
        <v>125010.0111</v>
      </c>
      <c r="Q136">
        <v>1140105.841</v>
      </c>
      <c r="R136">
        <v>259630.96230000001</v>
      </c>
      <c r="S136">
        <v>409643.92879999999</v>
      </c>
      <c r="T136">
        <v>28240.53024</v>
      </c>
      <c r="U136">
        <v>7796.0174310000002</v>
      </c>
      <c r="V136">
        <v>23876.00734</v>
      </c>
      <c r="W136">
        <v>39201.378120000001</v>
      </c>
      <c r="X136">
        <v>84152.557140000004</v>
      </c>
      <c r="Y136">
        <v>2758.3711960000001</v>
      </c>
      <c r="Z136">
        <v>382896.19530000002</v>
      </c>
      <c r="AA136">
        <v>109993.1554</v>
      </c>
      <c r="AB136">
        <v>128952.3714</v>
      </c>
      <c r="AC136">
        <v>830334.26740000001</v>
      </c>
    </row>
    <row r="137" spans="1:29" x14ac:dyDescent="0.2">
      <c r="A137" s="1" t="s">
        <v>603</v>
      </c>
      <c r="B137" s="1" t="s">
        <v>323</v>
      </c>
      <c r="C137" s="1" t="s">
        <v>464</v>
      </c>
      <c r="D137" s="1" t="s">
        <v>499</v>
      </c>
      <c r="E137" s="1" t="s">
        <v>462</v>
      </c>
      <c r="F137" s="3">
        <v>34804</v>
      </c>
      <c r="G137" s="3">
        <v>44174</v>
      </c>
      <c r="H137" s="1">
        <v>25</v>
      </c>
      <c r="I137" s="1">
        <v>2</v>
      </c>
      <c r="J137" s="1" t="s">
        <v>451</v>
      </c>
      <c r="K137" s="1">
        <v>44</v>
      </c>
      <c r="L137" s="1">
        <v>3</v>
      </c>
      <c r="M137" t="str">
        <f t="shared" si="2"/>
        <v>TRUE</v>
      </c>
      <c r="N137" t="s">
        <v>323</v>
      </c>
      <c r="O137">
        <v>115490.39200000001</v>
      </c>
      <c r="P137">
        <v>144671.95800000001</v>
      </c>
      <c r="Q137">
        <v>1801427.2649999999</v>
      </c>
      <c r="R137">
        <v>107824.307</v>
      </c>
      <c r="S137">
        <v>280041.74540000001</v>
      </c>
      <c r="T137">
        <v>19716.55126</v>
      </c>
      <c r="U137">
        <v>3234.0701009999998</v>
      </c>
      <c r="V137">
        <v>27976.601859999999</v>
      </c>
      <c r="W137">
        <v>121620.34420000001</v>
      </c>
      <c r="X137">
        <v>42184.583259999999</v>
      </c>
      <c r="Y137">
        <v>204767.16940000001</v>
      </c>
      <c r="Z137">
        <v>133048.92180000001</v>
      </c>
      <c r="AA137">
        <v>45217.630899999996</v>
      </c>
      <c r="AB137">
        <v>78252.916219999999</v>
      </c>
      <c r="AC137">
        <v>807421.68359999999</v>
      </c>
    </row>
    <row r="138" spans="1:29" x14ac:dyDescent="0.2">
      <c r="A138" s="1" t="s">
        <v>604</v>
      </c>
      <c r="B138" s="1" t="s">
        <v>218</v>
      </c>
      <c r="C138" s="1" t="s">
        <v>464</v>
      </c>
      <c r="D138" s="1" t="s">
        <v>465</v>
      </c>
      <c r="E138" s="1" t="s">
        <v>462</v>
      </c>
      <c r="F138" s="3">
        <v>35547</v>
      </c>
      <c r="G138" s="3">
        <v>44181</v>
      </c>
      <c r="H138" s="1">
        <v>23</v>
      </c>
      <c r="I138" s="1">
        <v>1</v>
      </c>
      <c r="J138" s="1" t="s">
        <v>456</v>
      </c>
      <c r="K138" s="1">
        <v>338</v>
      </c>
      <c r="L138" s="1">
        <v>7</v>
      </c>
      <c r="M138" t="str">
        <f t="shared" si="2"/>
        <v>TRUE</v>
      </c>
      <c r="N138" t="s">
        <v>218</v>
      </c>
      <c r="O138">
        <v>52142.328780000003</v>
      </c>
      <c r="P138">
        <v>138891.10550000001</v>
      </c>
      <c r="Q138">
        <v>783795.87639999995</v>
      </c>
      <c r="R138">
        <v>74022.24828</v>
      </c>
      <c r="S138">
        <v>63355.958749999998</v>
      </c>
      <c r="T138">
        <v>115987.4708</v>
      </c>
      <c r="U138">
        <v>2963.5625540000001</v>
      </c>
      <c r="V138">
        <v>19428.57229</v>
      </c>
      <c r="W138">
        <v>56229.513740000002</v>
      </c>
      <c r="X138">
        <v>73683.255040000004</v>
      </c>
      <c r="Y138">
        <v>9790.845319</v>
      </c>
      <c r="Z138">
        <v>78229.898809999999</v>
      </c>
      <c r="AA138">
        <v>36497.527699999999</v>
      </c>
      <c r="AB138">
        <v>9674.5826849999994</v>
      </c>
      <c r="AC138">
        <v>779599.3689</v>
      </c>
    </row>
    <row r="139" spans="1:29" x14ac:dyDescent="0.2">
      <c r="A139" s="1" t="s">
        <v>605</v>
      </c>
      <c r="B139" s="1" t="s">
        <v>147</v>
      </c>
      <c r="C139" s="1" t="s">
        <v>453</v>
      </c>
      <c r="D139" s="1" t="s">
        <v>461</v>
      </c>
      <c r="E139" s="1" t="s">
        <v>462</v>
      </c>
      <c r="F139" s="3">
        <v>35769</v>
      </c>
      <c r="G139" s="3">
        <v>44182</v>
      </c>
      <c r="H139" s="1">
        <v>23</v>
      </c>
      <c r="I139" s="1">
        <v>2</v>
      </c>
      <c r="J139" s="1" t="s">
        <v>456</v>
      </c>
      <c r="K139" s="1">
        <v>282</v>
      </c>
      <c r="L139" s="1">
        <v>1</v>
      </c>
      <c r="M139" t="str">
        <f t="shared" si="2"/>
        <v>TRUE</v>
      </c>
      <c r="N139" t="s">
        <v>147</v>
      </c>
      <c r="O139">
        <v>176110.77660000001</v>
      </c>
      <c r="P139">
        <v>73971.884260000006</v>
      </c>
      <c r="Q139">
        <v>2128983.9180000001</v>
      </c>
      <c r="R139">
        <v>247836.6452</v>
      </c>
      <c r="S139">
        <v>15381.673769999999</v>
      </c>
      <c r="T139">
        <v>11798.87335</v>
      </c>
      <c r="U139">
        <v>67222.094589999993</v>
      </c>
      <c r="V139">
        <v>27915.202959999999</v>
      </c>
      <c r="W139">
        <v>41788.003400000001</v>
      </c>
      <c r="X139">
        <v>94128.266820000004</v>
      </c>
      <c r="Y139">
        <v>8895.1660370000009</v>
      </c>
      <c r="Z139">
        <v>282061.89939999999</v>
      </c>
      <c r="AA139">
        <v>55097.081469999997</v>
      </c>
      <c r="AB139">
        <v>71733.091820000001</v>
      </c>
      <c r="AC139">
        <v>1271444.098</v>
      </c>
    </row>
    <row r="140" spans="1:29" x14ac:dyDescent="0.2">
      <c r="A140" s="1" t="s">
        <v>666</v>
      </c>
      <c r="B140" s="1" t="s">
        <v>241</v>
      </c>
      <c r="C140" s="1" t="s">
        <v>659</v>
      </c>
      <c r="D140" s="1" t="s">
        <v>459</v>
      </c>
      <c r="E140" s="1" t="s">
        <v>450</v>
      </c>
      <c r="F140" s="3">
        <v>21616</v>
      </c>
      <c r="G140" s="3">
        <v>43237</v>
      </c>
      <c r="H140" s="1">
        <v>59</v>
      </c>
      <c r="I140" s="1">
        <v>1</v>
      </c>
      <c r="J140" s="1" t="s">
        <v>451</v>
      </c>
      <c r="K140" s="1">
        <v>206</v>
      </c>
      <c r="L140" s="1" t="s">
        <v>450</v>
      </c>
      <c r="M140" t="str">
        <f t="shared" si="2"/>
        <v>TRUE</v>
      </c>
      <c r="N140" t="s">
        <v>241</v>
      </c>
      <c r="O140">
        <v>41331.650529999999</v>
      </c>
      <c r="P140">
        <v>153617.88269999999</v>
      </c>
      <c r="Q140">
        <v>412744.58669999999</v>
      </c>
      <c r="R140">
        <v>107381.4664</v>
      </c>
      <c r="S140">
        <v>264230.87609999999</v>
      </c>
      <c r="T140">
        <v>77226.608930000002</v>
      </c>
      <c r="U140">
        <v>4950.8895389999998</v>
      </c>
      <c r="V140">
        <v>71830.106029999995</v>
      </c>
      <c r="W140">
        <v>33186.466769999999</v>
      </c>
      <c r="X140">
        <v>188863.00529999999</v>
      </c>
      <c r="Y140">
        <v>2402.9086710000001</v>
      </c>
      <c r="Z140">
        <v>6968921.7659999998</v>
      </c>
      <c r="AA140">
        <v>98761.117700000003</v>
      </c>
      <c r="AB140">
        <v>70391.478470000002</v>
      </c>
      <c r="AC140">
        <v>118528.9967</v>
      </c>
    </row>
    <row r="141" spans="1:29" x14ac:dyDescent="0.2">
      <c r="A141" s="1" t="s">
        <v>606</v>
      </c>
      <c r="B141" s="1" t="s">
        <v>429</v>
      </c>
      <c r="C141" s="1" t="s">
        <v>453</v>
      </c>
      <c r="D141" s="1" t="s">
        <v>461</v>
      </c>
      <c r="E141" s="1" t="s">
        <v>462</v>
      </c>
      <c r="F141" s="3">
        <v>28094</v>
      </c>
      <c r="G141" s="3">
        <v>44251</v>
      </c>
      <c r="H141" s="1">
        <v>44</v>
      </c>
      <c r="I141" s="1">
        <v>2</v>
      </c>
      <c r="J141" s="1" t="s">
        <v>451</v>
      </c>
      <c r="K141" s="1">
        <v>20</v>
      </c>
      <c r="L141" s="1">
        <v>0</v>
      </c>
      <c r="M141" t="str">
        <f t="shared" si="2"/>
        <v>TRUE</v>
      </c>
      <c r="N141" t="s">
        <v>429</v>
      </c>
      <c r="O141">
        <v>65674.750419999997</v>
      </c>
      <c r="P141">
        <v>421264.04969999997</v>
      </c>
      <c r="Q141">
        <v>512138.255</v>
      </c>
      <c r="R141">
        <v>102018.9002</v>
      </c>
      <c r="S141">
        <v>102317.2473</v>
      </c>
      <c r="T141">
        <v>37543.736980000001</v>
      </c>
      <c r="U141">
        <v>2545.7276729999999</v>
      </c>
      <c r="V141">
        <v>66221.425220000005</v>
      </c>
      <c r="W141">
        <v>129129.7084</v>
      </c>
      <c r="X141">
        <v>195744.16</v>
      </c>
      <c r="Y141">
        <v>2455.9504010000001</v>
      </c>
      <c r="Z141">
        <v>1394936.692</v>
      </c>
      <c r="AA141">
        <v>13709.900180000001</v>
      </c>
      <c r="AB141">
        <v>0</v>
      </c>
      <c r="AC141">
        <v>336979.2316</v>
      </c>
    </row>
    <row r="142" spans="1:29" x14ac:dyDescent="0.2">
      <c r="A142" s="1" t="s">
        <v>607</v>
      </c>
      <c r="B142" s="1" t="s">
        <v>67</v>
      </c>
      <c r="C142" s="1" t="s">
        <v>453</v>
      </c>
      <c r="D142" s="1" t="s">
        <v>461</v>
      </c>
      <c r="E142" s="1" t="s">
        <v>455</v>
      </c>
      <c r="F142" s="3">
        <v>34311</v>
      </c>
      <c r="G142" s="3">
        <v>44259</v>
      </c>
      <c r="H142" s="1">
        <v>27</v>
      </c>
      <c r="I142" s="1">
        <v>2</v>
      </c>
      <c r="J142" s="1" t="s">
        <v>451</v>
      </c>
      <c r="K142" s="1">
        <v>1826</v>
      </c>
      <c r="L142" s="1">
        <v>6</v>
      </c>
      <c r="M142" t="str">
        <f t="shared" si="2"/>
        <v>TRUE</v>
      </c>
      <c r="N142" t="s">
        <v>67</v>
      </c>
      <c r="O142">
        <v>442640.02850000001</v>
      </c>
      <c r="P142">
        <v>203810.55600000001</v>
      </c>
      <c r="Q142">
        <v>1274551.429</v>
      </c>
      <c r="R142">
        <v>217491.9149</v>
      </c>
      <c r="S142">
        <v>12168.884309999999</v>
      </c>
      <c r="T142">
        <v>3927.2685689999998</v>
      </c>
      <c r="U142">
        <v>14134.968779999999</v>
      </c>
      <c r="V142">
        <v>75064.183640000003</v>
      </c>
      <c r="W142">
        <v>58897.431530000002</v>
      </c>
      <c r="X142">
        <v>321749.24910000002</v>
      </c>
      <c r="Y142">
        <v>26419.729380000001</v>
      </c>
      <c r="Z142">
        <v>222690.41680000001</v>
      </c>
      <c r="AA142">
        <v>150418.3529</v>
      </c>
      <c r="AB142">
        <v>214433.43969999999</v>
      </c>
      <c r="AC142">
        <v>1217104.7509999999</v>
      </c>
    </row>
    <row r="143" spans="1:29" x14ac:dyDescent="0.2">
      <c r="A143" s="1" t="s">
        <v>608</v>
      </c>
      <c r="B143" s="1" t="s">
        <v>82</v>
      </c>
      <c r="C143" s="1" t="s">
        <v>453</v>
      </c>
      <c r="D143" s="1" t="s">
        <v>461</v>
      </c>
      <c r="E143" s="1" t="s">
        <v>462</v>
      </c>
      <c r="F143" s="3">
        <v>23988</v>
      </c>
      <c r="G143" s="3">
        <v>44264</v>
      </c>
      <c r="H143" s="1">
        <v>55</v>
      </c>
      <c r="I143" s="1">
        <v>2</v>
      </c>
      <c r="J143" s="1" t="s">
        <v>456</v>
      </c>
      <c r="K143" s="1">
        <v>57</v>
      </c>
      <c r="L143" s="1">
        <v>1</v>
      </c>
      <c r="M143" t="str">
        <f t="shared" si="2"/>
        <v>TRUE</v>
      </c>
      <c r="N143" t="s">
        <v>82</v>
      </c>
      <c r="O143">
        <v>569210.8003</v>
      </c>
      <c r="P143">
        <v>316270.37890000001</v>
      </c>
      <c r="Q143">
        <v>897344.90260000003</v>
      </c>
      <c r="R143">
        <v>372972.14649999997</v>
      </c>
      <c r="S143">
        <v>298675.8346</v>
      </c>
      <c r="T143">
        <v>80810.678700000004</v>
      </c>
      <c r="U143">
        <v>16948.251110000001</v>
      </c>
      <c r="V143">
        <v>10708.265520000001</v>
      </c>
      <c r="W143">
        <v>34379.138619999998</v>
      </c>
      <c r="X143">
        <v>50702.954709999998</v>
      </c>
      <c r="Y143">
        <v>2817.010303</v>
      </c>
      <c r="Z143">
        <v>210048.14129999999</v>
      </c>
      <c r="AA143">
        <v>223571.61960000001</v>
      </c>
      <c r="AB143">
        <v>77293.336869999999</v>
      </c>
      <c r="AC143">
        <v>485128.72840000002</v>
      </c>
    </row>
    <row r="144" spans="1:29" x14ac:dyDescent="0.2">
      <c r="A144" s="1" t="s">
        <v>609</v>
      </c>
      <c r="B144" s="1" t="s">
        <v>116</v>
      </c>
      <c r="C144" s="1" t="s">
        <v>467</v>
      </c>
      <c r="D144" s="1" t="s">
        <v>450</v>
      </c>
      <c r="E144" s="1" t="s">
        <v>450</v>
      </c>
      <c r="F144" s="3">
        <v>26667</v>
      </c>
      <c r="G144" s="3">
        <v>44231</v>
      </c>
      <c r="H144" s="1">
        <v>48</v>
      </c>
      <c r="I144" s="1">
        <v>1</v>
      </c>
      <c r="J144" s="1" t="s">
        <v>451</v>
      </c>
      <c r="K144" s="1" t="s">
        <v>450</v>
      </c>
      <c r="L144" s="1" t="s">
        <v>450</v>
      </c>
      <c r="M144" t="str">
        <f t="shared" si="2"/>
        <v>TRUE</v>
      </c>
      <c r="N144" t="s">
        <v>116</v>
      </c>
      <c r="O144">
        <v>502046.43589999998</v>
      </c>
      <c r="P144">
        <v>188354.0569</v>
      </c>
      <c r="Q144">
        <v>385048.4571</v>
      </c>
      <c r="R144">
        <v>364542.2721</v>
      </c>
      <c r="S144">
        <v>102376.4871</v>
      </c>
      <c r="T144">
        <v>22080.375499999998</v>
      </c>
      <c r="U144">
        <v>96174.552649999998</v>
      </c>
      <c r="V144">
        <v>24810.295470000001</v>
      </c>
      <c r="W144">
        <v>27705.08092</v>
      </c>
      <c r="X144">
        <v>66675.379879999993</v>
      </c>
      <c r="Y144">
        <v>2609.227973</v>
      </c>
      <c r="Z144">
        <v>545058.23179999995</v>
      </c>
      <c r="AA144">
        <v>61331.607620000002</v>
      </c>
      <c r="AB144">
        <v>21407.166389999999</v>
      </c>
      <c r="AC144">
        <v>230424.144</v>
      </c>
    </row>
    <row r="145" spans="1:29" x14ac:dyDescent="0.2">
      <c r="A145" s="1" t="s">
        <v>610</v>
      </c>
      <c r="B145" s="1" t="s">
        <v>319</v>
      </c>
      <c r="C145" s="1" t="s">
        <v>467</v>
      </c>
      <c r="D145" s="1" t="s">
        <v>450</v>
      </c>
      <c r="E145" s="1" t="s">
        <v>450</v>
      </c>
      <c r="F145" s="3">
        <v>24872</v>
      </c>
      <c r="G145" s="3">
        <v>44231</v>
      </c>
      <c r="H145" s="1">
        <v>53</v>
      </c>
      <c r="I145" s="1">
        <v>1</v>
      </c>
      <c r="J145" s="1" t="s">
        <v>451</v>
      </c>
      <c r="K145" s="1" t="s">
        <v>450</v>
      </c>
      <c r="L145" s="1" t="s">
        <v>450</v>
      </c>
      <c r="M145" t="str">
        <f t="shared" si="2"/>
        <v>TRUE</v>
      </c>
      <c r="N145" t="s">
        <v>319</v>
      </c>
      <c r="O145">
        <v>326829.65139999997</v>
      </c>
      <c r="P145">
        <v>298750.07390000002</v>
      </c>
      <c r="Q145">
        <v>335881.62180000002</v>
      </c>
      <c r="R145">
        <v>169336.97719999999</v>
      </c>
      <c r="S145">
        <v>153958.36679999999</v>
      </c>
      <c r="T145">
        <v>116004.4074</v>
      </c>
      <c r="U145">
        <v>91131.278430000006</v>
      </c>
      <c r="V145">
        <v>44779.202969999998</v>
      </c>
      <c r="W145">
        <v>78835.967919999996</v>
      </c>
      <c r="X145">
        <v>60665.088589999999</v>
      </c>
      <c r="Y145">
        <v>3439.8133710000002</v>
      </c>
      <c r="Z145">
        <v>645138.70990000002</v>
      </c>
      <c r="AA145">
        <v>194180.64309999999</v>
      </c>
      <c r="AB145">
        <v>12471.972460000001</v>
      </c>
      <c r="AC145">
        <v>101689.5812</v>
      </c>
    </row>
    <row r="146" spans="1:29" x14ac:dyDescent="0.2">
      <c r="A146" s="1" t="s">
        <v>611</v>
      </c>
      <c r="B146" s="1" t="s">
        <v>235</v>
      </c>
      <c r="C146" s="1" t="s">
        <v>467</v>
      </c>
      <c r="D146" s="1" t="s">
        <v>450</v>
      </c>
      <c r="E146" s="1" t="s">
        <v>450</v>
      </c>
      <c r="F146" s="3">
        <v>24477</v>
      </c>
      <c r="G146" s="3">
        <v>44233</v>
      </c>
      <c r="H146" s="1">
        <v>54</v>
      </c>
      <c r="I146" s="1">
        <v>1</v>
      </c>
      <c r="J146" s="1" t="s">
        <v>456</v>
      </c>
      <c r="K146" s="1" t="s">
        <v>450</v>
      </c>
      <c r="L146" s="1" t="s">
        <v>450</v>
      </c>
      <c r="M146" t="str">
        <f t="shared" si="2"/>
        <v>TRUE</v>
      </c>
      <c r="N146" t="s">
        <v>235</v>
      </c>
      <c r="O146">
        <v>42482.615890000001</v>
      </c>
      <c r="P146">
        <v>72212.253620000003</v>
      </c>
      <c r="Q146">
        <v>483928.73790000001</v>
      </c>
      <c r="R146">
        <v>111079.5392</v>
      </c>
      <c r="S146">
        <v>172814.2194</v>
      </c>
      <c r="T146">
        <v>85368.297919999997</v>
      </c>
      <c r="U146">
        <v>4312.1194660000001</v>
      </c>
      <c r="V146">
        <v>33911.311970000002</v>
      </c>
      <c r="W146">
        <v>76667.672850000003</v>
      </c>
      <c r="X146">
        <v>218401.4074</v>
      </c>
      <c r="Y146">
        <v>8838.5027570000002</v>
      </c>
      <c r="Z146">
        <v>484922.74239999999</v>
      </c>
      <c r="AA146">
        <v>224435.88620000001</v>
      </c>
      <c r="AB146">
        <v>86307.953150000001</v>
      </c>
      <c r="AC146">
        <v>134310.19080000001</v>
      </c>
    </row>
    <row r="147" spans="1:29" x14ac:dyDescent="0.2">
      <c r="A147" s="1" t="s">
        <v>612</v>
      </c>
      <c r="B147" s="1" t="s">
        <v>327</v>
      </c>
      <c r="C147" s="1" t="s">
        <v>467</v>
      </c>
      <c r="D147" s="1" t="s">
        <v>450</v>
      </c>
      <c r="E147" s="1" t="s">
        <v>450</v>
      </c>
      <c r="F147" s="3">
        <v>32884</v>
      </c>
      <c r="G147" s="3">
        <v>44233</v>
      </c>
      <c r="H147" s="1">
        <v>31</v>
      </c>
      <c r="I147" s="1">
        <v>1</v>
      </c>
      <c r="J147" s="1" t="s">
        <v>451</v>
      </c>
      <c r="K147" s="1" t="s">
        <v>450</v>
      </c>
      <c r="L147" s="1" t="s">
        <v>450</v>
      </c>
      <c r="M147" t="str">
        <f t="shared" si="2"/>
        <v>TRUE</v>
      </c>
      <c r="N147" t="s">
        <v>327</v>
      </c>
      <c r="O147">
        <v>36160.993569999999</v>
      </c>
      <c r="P147">
        <v>251344.77989999999</v>
      </c>
      <c r="Q147">
        <v>1069583.0560000001</v>
      </c>
      <c r="R147">
        <v>66808.458150000006</v>
      </c>
      <c r="S147">
        <v>250279.90969999999</v>
      </c>
      <c r="T147">
        <v>101253.4142</v>
      </c>
      <c r="U147">
        <v>4701.4435059999996</v>
      </c>
      <c r="V147">
        <v>16468.970539999998</v>
      </c>
      <c r="W147">
        <v>32461.305690000001</v>
      </c>
      <c r="X147">
        <v>48488.433969999998</v>
      </c>
      <c r="Y147">
        <v>3202.7287369999999</v>
      </c>
      <c r="Z147">
        <v>938109.25069999998</v>
      </c>
      <c r="AA147">
        <v>16340.456039999999</v>
      </c>
      <c r="AB147">
        <v>7996.3921179999998</v>
      </c>
      <c r="AC147">
        <v>125223.7699</v>
      </c>
    </row>
    <row r="148" spans="1:29" x14ac:dyDescent="0.2">
      <c r="A148" s="1" t="s">
        <v>553</v>
      </c>
      <c r="B148" s="1" t="s">
        <v>168</v>
      </c>
      <c r="C148" s="1" t="s">
        <v>467</v>
      </c>
      <c r="D148" s="1" t="s">
        <v>450</v>
      </c>
      <c r="E148" s="1" t="s">
        <v>450</v>
      </c>
      <c r="F148" s="3">
        <v>33635</v>
      </c>
      <c r="G148" s="3">
        <v>44236</v>
      </c>
      <c r="H148" s="1">
        <v>29</v>
      </c>
      <c r="I148" s="1">
        <v>1</v>
      </c>
      <c r="J148" s="1" t="s">
        <v>451</v>
      </c>
      <c r="K148" s="1" t="s">
        <v>450</v>
      </c>
      <c r="L148" s="1" t="s">
        <v>450</v>
      </c>
      <c r="M148" t="str">
        <f t="shared" si="2"/>
        <v>TRUE</v>
      </c>
      <c r="N148" t="s">
        <v>168</v>
      </c>
      <c r="O148">
        <v>107973.3082</v>
      </c>
      <c r="P148">
        <v>88621.937479999993</v>
      </c>
      <c r="Q148">
        <v>262058.46720000001</v>
      </c>
      <c r="R148">
        <v>133795.75140000001</v>
      </c>
      <c r="S148">
        <v>49536.680679999998</v>
      </c>
      <c r="T148">
        <v>116800.4182</v>
      </c>
      <c r="U148">
        <v>2601.9947619999998</v>
      </c>
      <c r="V148">
        <v>13265.479439999999</v>
      </c>
      <c r="W148">
        <v>31178.420989999999</v>
      </c>
      <c r="X148">
        <v>39330.573790000002</v>
      </c>
      <c r="Y148">
        <v>2671.5006549999998</v>
      </c>
      <c r="Z148">
        <v>601937.04909999995</v>
      </c>
      <c r="AA148">
        <v>27300.441910000001</v>
      </c>
      <c r="AB148">
        <v>11010.87012</v>
      </c>
      <c r="AC148">
        <v>76603.639339999994</v>
      </c>
    </row>
    <row r="149" spans="1:29" x14ac:dyDescent="0.2">
      <c r="A149" s="1" t="s">
        <v>614</v>
      </c>
      <c r="B149" s="1" t="s">
        <v>184</v>
      </c>
      <c r="C149" s="1" t="s">
        <v>467</v>
      </c>
      <c r="D149" s="1" t="s">
        <v>450</v>
      </c>
      <c r="E149" s="1" t="s">
        <v>450</v>
      </c>
      <c r="F149" s="3">
        <v>33608</v>
      </c>
      <c r="G149" s="3">
        <v>44237</v>
      </c>
      <c r="H149" s="1">
        <v>29</v>
      </c>
      <c r="I149" s="1">
        <v>1</v>
      </c>
      <c r="J149" s="1" t="s">
        <v>451</v>
      </c>
      <c r="K149" s="1" t="s">
        <v>450</v>
      </c>
      <c r="L149" s="1" t="s">
        <v>450</v>
      </c>
      <c r="M149" t="str">
        <f t="shared" si="2"/>
        <v>TRUE</v>
      </c>
      <c r="N149" t="s">
        <v>184</v>
      </c>
      <c r="O149">
        <v>78851.534740000003</v>
      </c>
      <c r="P149">
        <v>1796969.8430000001</v>
      </c>
      <c r="Q149">
        <v>348608.44040000002</v>
      </c>
      <c r="R149">
        <v>147192.503</v>
      </c>
      <c r="S149">
        <v>563651.47</v>
      </c>
      <c r="T149">
        <v>44028.97653</v>
      </c>
      <c r="U149">
        <v>6931.037601</v>
      </c>
      <c r="V149">
        <v>14571.178819999999</v>
      </c>
      <c r="W149">
        <v>76486.532349999994</v>
      </c>
      <c r="X149">
        <v>273964.04300000001</v>
      </c>
      <c r="Y149">
        <v>4943.6589819999999</v>
      </c>
      <c r="Z149">
        <v>1208885.57</v>
      </c>
      <c r="AA149">
        <v>78325.219010000001</v>
      </c>
      <c r="AB149">
        <v>207877.0681</v>
      </c>
      <c r="AC149">
        <v>82035.065990000003</v>
      </c>
    </row>
    <row r="150" spans="1:29" x14ac:dyDescent="0.2">
      <c r="A150" s="1" t="s">
        <v>615</v>
      </c>
      <c r="B150" s="1" t="s">
        <v>192</v>
      </c>
      <c r="C150" s="1" t="s">
        <v>467</v>
      </c>
      <c r="D150" s="1" t="s">
        <v>450</v>
      </c>
      <c r="E150" s="1" t="s">
        <v>450</v>
      </c>
      <c r="F150" s="3">
        <v>34726</v>
      </c>
      <c r="G150" s="3">
        <v>44237</v>
      </c>
      <c r="H150" s="1">
        <v>26</v>
      </c>
      <c r="I150" s="1">
        <v>1</v>
      </c>
      <c r="J150" s="1" t="s">
        <v>451</v>
      </c>
      <c r="K150" s="1" t="s">
        <v>450</v>
      </c>
      <c r="L150" s="1" t="s">
        <v>450</v>
      </c>
      <c r="M150" t="str">
        <f t="shared" si="2"/>
        <v>TRUE</v>
      </c>
      <c r="N150" t="s">
        <v>192</v>
      </c>
      <c r="O150">
        <v>52679.139869999999</v>
      </c>
      <c r="P150">
        <v>542491.56709999999</v>
      </c>
      <c r="Q150">
        <v>80566.927549999993</v>
      </c>
      <c r="R150">
        <v>104261.6234</v>
      </c>
      <c r="S150">
        <v>184364.9485</v>
      </c>
      <c r="T150">
        <v>31332.249759999999</v>
      </c>
      <c r="U150">
        <v>16613.00275</v>
      </c>
      <c r="V150">
        <v>44236.908219999998</v>
      </c>
      <c r="W150">
        <v>32605.371599999999</v>
      </c>
      <c r="X150">
        <v>45659.347900000001</v>
      </c>
      <c r="Y150">
        <v>2364.5826050000001</v>
      </c>
      <c r="Z150">
        <v>530723.55610000005</v>
      </c>
      <c r="AA150">
        <v>108128.04489999999</v>
      </c>
      <c r="AB150">
        <v>9563.9508370000003</v>
      </c>
      <c r="AC150">
        <v>18642.98432</v>
      </c>
    </row>
    <row r="151" spans="1:29" x14ac:dyDescent="0.2">
      <c r="A151" s="1" t="s">
        <v>616</v>
      </c>
      <c r="B151" s="1" t="s">
        <v>45</v>
      </c>
      <c r="C151" s="1" t="s">
        <v>467</v>
      </c>
      <c r="D151" s="1" t="s">
        <v>450</v>
      </c>
      <c r="E151" s="1" t="s">
        <v>450</v>
      </c>
      <c r="F151" s="3">
        <v>31660</v>
      </c>
      <c r="G151" s="3">
        <v>44237</v>
      </c>
      <c r="H151" s="1">
        <v>34</v>
      </c>
      <c r="I151" s="1">
        <v>1</v>
      </c>
      <c r="J151" s="1" t="s">
        <v>456</v>
      </c>
      <c r="K151" s="1" t="s">
        <v>450</v>
      </c>
      <c r="L151" s="1" t="s">
        <v>450</v>
      </c>
      <c r="M151" t="str">
        <f t="shared" si="2"/>
        <v>TRUE</v>
      </c>
      <c r="N151" t="s">
        <v>45</v>
      </c>
      <c r="O151">
        <v>21884.856940000001</v>
      </c>
      <c r="P151">
        <v>274557.87329999998</v>
      </c>
      <c r="Q151">
        <v>211854.46410000001</v>
      </c>
      <c r="R151">
        <v>35991.727959999997</v>
      </c>
      <c r="S151">
        <v>123501.32460000001</v>
      </c>
      <c r="T151">
        <v>49326.91635</v>
      </c>
      <c r="U151">
        <v>1937.155812</v>
      </c>
      <c r="V151">
        <v>19127.068599999999</v>
      </c>
      <c r="W151">
        <v>26350.221229999999</v>
      </c>
      <c r="X151">
        <v>30218.312569999998</v>
      </c>
      <c r="Y151">
        <v>3333.053359</v>
      </c>
      <c r="Z151">
        <v>823033.75529999996</v>
      </c>
      <c r="AA151">
        <v>51297.511169999998</v>
      </c>
      <c r="AB151">
        <v>5664.3924749999996</v>
      </c>
      <c r="AC151">
        <v>55840.785400000001</v>
      </c>
    </row>
    <row r="152" spans="1:29" x14ac:dyDescent="0.2">
      <c r="A152" s="1" t="s">
        <v>617</v>
      </c>
      <c r="B152" s="1" t="s">
        <v>362</v>
      </c>
      <c r="C152" s="1" t="s">
        <v>467</v>
      </c>
      <c r="D152" s="1" t="s">
        <v>450</v>
      </c>
      <c r="E152" s="1" t="s">
        <v>450</v>
      </c>
      <c r="F152" s="3">
        <v>33457</v>
      </c>
      <c r="G152" s="3">
        <v>44238</v>
      </c>
      <c r="H152" s="1">
        <v>29</v>
      </c>
      <c r="I152" s="1">
        <v>1</v>
      </c>
      <c r="J152" s="1" t="s">
        <v>451</v>
      </c>
      <c r="K152" s="1" t="s">
        <v>450</v>
      </c>
      <c r="L152" s="1" t="s">
        <v>450</v>
      </c>
      <c r="M152" t="str">
        <f t="shared" si="2"/>
        <v>TRUE</v>
      </c>
      <c r="N152" t="s">
        <v>362</v>
      </c>
      <c r="O152">
        <v>44587.020929999999</v>
      </c>
      <c r="P152">
        <v>534823.92599999998</v>
      </c>
      <c r="Q152">
        <v>492643.80859999999</v>
      </c>
      <c r="R152">
        <v>75772.934710000001</v>
      </c>
      <c r="S152">
        <v>36818.576059999999</v>
      </c>
      <c r="T152">
        <v>76042.048819999996</v>
      </c>
      <c r="U152">
        <v>5602.7762329999996</v>
      </c>
      <c r="V152">
        <v>30354.087070000001</v>
      </c>
      <c r="W152">
        <v>33574.928979999997</v>
      </c>
      <c r="X152">
        <v>138173.89230000001</v>
      </c>
      <c r="Y152">
        <v>22277.704679999999</v>
      </c>
      <c r="Z152">
        <v>757712.94070000004</v>
      </c>
      <c r="AA152">
        <v>12795.353639999999</v>
      </c>
      <c r="AB152">
        <v>4357.1613209999996</v>
      </c>
      <c r="AC152">
        <v>87924.700729999997</v>
      </c>
    </row>
    <row r="153" spans="1:29" x14ac:dyDescent="0.2">
      <c r="A153" s="1" t="s">
        <v>466</v>
      </c>
      <c r="B153" s="1" t="s">
        <v>160</v>
      </c>
      <c r="C153" s="1" t="s">
        <v>467</v>
      </c>
      <c r="D153" s="1" t="s">
        <v>450</v>
      </c>
      <c r="E153" s="1" t="s">
        <v>450</v>
      </c>
      <c r="F153" s="3">
        <v>31079</v>
      </c>
      <c r="G153" s="3">
        <v>44238</v>
      </c>
      <c r="H153" s="1">
        <v>36</v>
      </c>
      <c r="I153" s="1">
        <v>1</v>
      </c>
      <c r="J153" s="1" t="s">
        <v>456</v>
      </c>
      <c r="K153" s="1" t="s">
        <v>450</v>
      </c>
      <c r="L153" s="1" t="s">
        <v>450</v>
      </c>
      <c r="M153" t="str">
        <f t="shared" si="2"/>
        <v>TRUE</v>
      </c>
      <c r="N153" t="s">
        <v>160</v>
      </c>
      <c r="O153">
        <v>169286.58840000001</v>
      </c>
      <c r="P153">
        <v>466462.76380000002</v>
      </c>
      <c r="Q153">
        <v>995466.4534</v>
      </c>
      <c r="R153">
        <v>157357.02770000001</v>
      </c>
      <c r="S153">
        <v>240816.6416</v>
      </c>
      <c r="T153">
        <v>59011.526389999999</v>
      </c>
      <c r="U153">
        <v>3278.6466639999999</v>
      </c>
      <c r="V153">
        <v>23893.95909</v>
      </c>
      <c r="W153">
        <v>44128.164290000001</v>
      </c>
      <c r="X153">
        <v>52757.267419999996</v>
      </c>
      <c r="Y153">
        <v>4820.1298470000002</v>
      </c>
      <c r="Z153">
        <v>1077911.6370000001</v>
      </c>
      <c r="AA153">
        <v>18698.615419999998</v>
      </c>
      <c r="AB153">
        <v>91192.102620000005</v>
      </c>
      <c r="AC153">
        <v>269503.13909999997</v>
      </c>
    </row>
    <row r="154" spans="1:29" x14ac:dyDescent="0.2">
      <c r="A154" s="1" t="s">
        <v>619</v>
      </c>
      <c r="B154" s="1" t="s">
        <v>186</v>
      </c>
      <c r="C154" s="1" t="s">
        <v>467</v>
      </c>
      <c r="D154" s="1" t="s">
        <v>450</v>
      </c>
      <c r="E154" s="1" t="s">
        <v>450</v>
      </c>
      <c r="F154" s="3">
        <v>31751</v>
      </c>
      <c r="G154" s="3">
        <v>44244</v>
      </c>
      <c r="H154" s="1">
        <v>34</v>
      </c>
      <c r="I154" s="1">
        <v>1</v>
      </c>
      <c r="J154" s="1" t="s">
        <v>456</v>
      </c>
      <c r="K154" s="1" t="s">
        <v>450</v>
      </c>
      <c r="L154" s="1" t="s">
        <v>450</v>
      </c>
      <c r="M154" t="str">
        <f t="shared" si="2"/>
        <v>TRUE</v>
      </c>
      <c r="N154" t="s">
        <v>186</v>
      </c>
      <c r="O154">
        <v>224659.58319999999</v>
      </c>
      <c r="P154">
        <v>133090.96299999999</v>
      </c>
      <c r="Q154">
        <v>985620.14469999995</v>
      </c>
      <c r="R154">
        <v>136172.99650000001</v>
      </c>
      <c r="S154">
        <v>93455.620970000004</v>
      </c>
      <c r="T154">
        <v>62529.598250000003</v>
      </c>
      <c r="U154">
        <v>3455.3386919999998</v>
      </c>
      <c r="V154">
        <v>33980.584540000003</v>
      </c>
      <c r="W154">
        <v>36342.045149999998</v>
      </c>
      <c r="X154">
        <v>120784.69289999999</v>
      </c>
      <c r="Y154">
        <v>12502.51369</v>
      </c>
      <c r="Z154">
        <v>769037.46019999997</v>
      </c>
      <c r="AA154">
        <v>14687.30775</v>
      </c>
      <c r="AB154">
        <v>8824.8976340000008</v>
      </c>
      <c r="AC154">
        <v>177550.26949999999</v>
      </c>
    </row>
    <row r="155" spans="1:29" x14ac:dyDescent="0.2">
      <c r="A155" s="1" t="s">
        <v>620</v>
      </c>
      <c r="B155" s="1" t="s">
        <v>86</v>
      </c>
      <c r="C155" s="1" t="s">
        <v>467</v>
      </c>
      <c r="D155" s="1" t="s">
        <v>450</v>
      </c>
      <c r="E155" s="1" t="s">
        <v>450</v>
      </c>
      <c r="F155" s="3">
        <v>31873</v>
      </c>
      <c r="G155" s="3">
        <v>44244</v>
      </c>
      <c r="H155" s="1">
        <v>33</v>
      </c>
      <c r="I155" s="1">
        <v>1</v>
      </c>
      <c r="J155" s="1" t="s">
        <v>451</v>
      </c>
      <c r="K155" s="1" t="s">
        <v>450</v>
      </c>
      <c r="L155" s="1" t="s">
        <v>450</v>
      </c>
      <c r="M155" t="str">
        <f t="shared" si="2"/>
        <v>TRUE</v>
      </c>
      <c r="N155" t="s">
        <v>86</v>
      </c>
      <c r="O155">
        <v>192872.97219999999</v>
      </c>
      <c r="P155">
        <v>331692.58240000001</v>
      </c>
      <c r="Q155">
        <v>202903.12239999999</v>
      </c>
      <c r="R155">
        <v>164310.52549999999</v>
      </c>
      <c r="S155">
        <v>89283.432060000006</v>
      </c>
      <c r="T155">
        <v>51872.833319999998</v>
      </c>
      <c r="U155">
        <v>5664.6778109999996</v>
      </c>
      <c r="V155">
        <v>14264.963890000001</v>
      </c>
      <c r="W155">
        <v>21874.44109</v>
      </c>
      <c r="X155">
        <v>33456.406719999999</v>
      </c>
      <c r="Y155">
        <v>3082.9201979999998</v>
      </c>
      <c r="Z155">
        <v>2437547.8659999999</v>
      </c>
      <c r="AA155">
        <v>59212.761010000002</v>
      </c>
      <c r="AB155">
        <v>12401.363799999999</v>
      </c>
      <c r="AC155">
        <v>77463.044200000004</v>
      </c>
    </row>
    <row r="156" spans="1:29" x14ac:dyDescent="0.2">
      <c r="A156" s="1" t="s">
        <v>621</v>
      </c>
      <c r="B156" s="1" t="s">
        <v>172</v>
      </c>
      <c r="C156" s="1" t="s">
        <v>467</v>
      </c>
      <c r="D156" s="1" t="s">
        <v>450</v>
      </c>
      <c r="E156" s="1" t="s">
        <v>450</v>
      </c>
      <c r="F156" s="3">
        <v>34733</v>
      </c>
      <c r="G156" s="3">
        <v>44244</v>
      </c>
      <c r="H156" s="1">
        <v>26</v>
      </c>
      <c r="I156" s="1">
        <v>1</v>
      </c>
      <c r="J156" s="1" t="s">
        <v>451</v>
      </c>
      <c r="K156" s="1" t="s">
        <v>450</v>
      </c>
      <c r="L156" s="1" t="s">
        <v>450</v>
      </c>
      <c r="M156" t="str">
        <f t="shared" si="2"/>
        <v>TRUE</v>
      </c>
      <c r="N156" t="s">
        <v>172</v>
      </c>
      <c r="O156">
        <v>147276.49600000001</v>
      </c>
      <c r="P156">
        <v>1084962.3589999999</v>
      </c>
      <c r="Q156">
        <v>693361.03850000002</v>
      </c>
      <c r="R156">
        <v>523004.77490000002</v>
      </c>
      <c r="S156">
        <v>32739.746940000001</v>
      </c>
      <c r="T156">
        <v>34393.627139999997</v>
      </c>
      <c r="U156">
        <v>5671.6084419999997</v>
      </c>
      <c r="V156">
        <v>62969.886570000002</v>
      </c>
      <c r="W156">
        <v>76223.367670000007</v>
      </c>
      <c r="X156">
        <v>223716.33</v>
      </c>
      <c r="Y156">
        <v>6029.9776350000002</v>
      </c>
      <c r="Z156">
        <v>718163.15350000001</v>
      </c>
      <c r="AA156">
        <v>29946.257239999999</v>
      </c>
      <c r="AB156">
        <v>23742.939399999999</v>
      </c>
      <c r="AC156">
        <v>198781.15659999999</v>
      </c>
    </row>
    <row r="157" spans="1:29" x14ac:dyDescent="0.2">
      <c r="A157" s="1" t="s">
        <v>530</v>
      </c>
      <c r="B157" s="1" t="s">
        <v>268</v>
      </c>
      <c r="C157" s="1" t="s">
        <v>531</v>
      </c>
      <c r="D157" s="1" t="s">
        <v>450</v>
      </c>
      <c r="E157" s="1" t="s">
        <v>450</v>
      </c>
      <c r="F157" s="3">
        <v>24855</v>
      </c>
      <c r="G157" s="3">
        <v>44245</v>
      </c>
      <c r="H157" s="1">
        <v>53</v>
      </c>
      <c r="I157" s="1">
        <v>1</v>
      </c>
      <c r="J157" s="1" t="s">
        <v>451</v>
      </c>
      <c r="K157" s="1" t="s">
        <v>450</v>
      </c>
      <c r="L157" s="1" t="s">
        <v>450</v>
      </c>
      <c r="M157" t="str">
        <f t="shared" si="2"/>
        <v>TRUE</v>
      </c>
      <c r="N157" t="s">
        <v>268</v>
      </c>
      <c r="O157">
        <v>66003.102419999996</v>
      </c>
      <c r="P157">
        <v>977666.11809999996</v>
      </c>
      <c r="Q157">
        <v>324690.1041</v>
      </c>
      <c r="R157">
        <v>101602.2583</v>
      </c>
      <c r="S157">
        <v>11544.94966</v>
      </c>
      <c r="T157">
        <v>4906.3546740000002</v>
      </c>
      <c r="U157">
        <v>3733.2187720000002</v>
      </c>
      <c r="V157">
        <v>20367.61249</v>
      </c>
      <c r="W157">
        <v>23059.749919999998</v>
      </c>
      <c r="X157">
        <v>90139.479099999997</v>
      </c>
      <c r="Y157">
        <v>3599.024332</v>
      </c>
      <c r="Z157">
        <v>1191748.1310000001</v>
      </c>
      <c r="AA157">
        <v>21250.31091</v>
      </c>
      <c r="AB157">
        <v>19638.0694</v>
      </c>
      <c r="AC157">
        <v>99706.626069999998</v>
      </c>
    </row>
    <row r="158" spans="1:29" x14ac:dyDescent="0.2">
      <c r="A158" s="1" t="s">
        <v>623</v>
      </c>
      <c r="B158" s="1" t="s">
        <v>101</v>
      </c>
      <c r="C158" s="1" t="s">
        <v>467</v>
      </c>
      <c r="D158" s="1" t="s">
        <v>450</v>
      </c>
      <c r="E158" s="1" t="s">
        <v>450</v>
      </c>
      <c r="F158" s="3">
        <v>32239</v>
      </c>
      <c r="G158" s="3">
        <v>44245</v>
      </c>
      <c r="H158" s="1">
        <v>32</v>
      </c>
      <c r="I158" s="1">
        <v>1</v>
      </c>
      <c r="J158" s="1" t="s">
        <v>451</v>
      </c>
      <c r="K158" s="1" t="s">
        <v>450</v>
      </c>
      <c r="L158" s="1" t="s">
        <v>450</v>
      </c>
      <c r="M158" t="str">
        <f t="shared" si="2"/>
        <v>TRUE</v>
      </c>
      <c r="N158" t="s">
        <v>101</v>
      </c>
      <c r="O158">
        <v>174417.1635</v>
      </c>
      <c r="P158">
        <v>194480.55420000001</v>
      </c>
      <c r="Q158">
        <v>268746.82130000001</v>
      </c>
      <c r="R158">
        <v>224173.87729999999</v>
      </c>
      <c r="S158">
        <v>81544.846309999994</v>
      </c>
      <c r="T158">
        <v>61459.261460000002</v>
      </c>
      <c r="U158">
        <v>6415.4503089999998</v>
      </c>
      <c r="V158">
        <v>24256.791000000001</v>
      </c>
      <c r="W158">
        <v>22337.28225</v>
      </c>
      <c r="X158">
        <v>116789.7307</v>
      </c>
      <c r="Y158">
        <v>3223.5140449999999</v>
      </c>
      <c r="Z158">
        <v>1082064.946</v>
      </c>
      <c r="AA158">
        <v>34510.025079999999</v>
      </c>
      <c r="AB158">
        <v>8632.4453549999998</v>
      </c>
      <c r="AC158">
        <v>57948.488340000004</v>
      </c>
    </row>
    <row r="159" spans="1:29" x14ac:dyDescent="0.2">
      <c r="A159" s="1" t="s">
        <v>624</v>
      </c>
      <c r="B159" s="1" t="s">
        <v>378</v>
      </c>
      <c r="C159" s="1" t="s">
        <v>467</v>
      </c>
      <c r="D159" s="1" t="s">
        <v>450</v>
      </c>
      <c r="E159" s="1" t="s">
        <v>450</v>
      </c>
      <c r="F159" s="3">
        <v>30318</v>
      </c>
      <c r="G159" s="3">
        <v>44250</v>
      </c>
      <c r="H159" s="1">
        <v>38</v>
      </c>
      <c r="I159" s="1">
        <v>1</v>
      </c>
      <c r="J159" s="1" t="s">
        <v>456</v>
      </c>
      <c r="K159" s="1" t="s">
        <v>450</v>
      </c>
      <c r="L159" s="1" t="s">
        <v>450</v>
      </c>
      <c r="M159" t="str">
        <f t="shared" si="2"/>
        <v>TRUE</v>
      </c>
      <c r="N159" t="s">
        <v>378</v>
      </c>
      <c r="O159">
        <v>35959.64688</v>
      </c>
      <c r="P159">
        <v>413116.35729999997</v>
      </c>
      <c r="Q159">
        <v>1868170.7520000001</v>
      </c>
      <c r="R159">
        <v>96764.663060000006</v>
      </c>
      <c r="S159">
        <v>38125.861129999998</v>
      </c>
      <c r="T159">
        <v>40256.950490000003</v>
      </c>
      <c r="U159">
        <v>2684.4950739999999</v>
      </c>
      <c r="V159">
        <v>29517.141589999999</v>
      </c>
      <c r="W159">
        <v>41684.801500000001</v>
      </c>
      <c r="X159">
        <v>80495.995200000005</v>
      </c>
      <c r="Y159">
        <v>32246.00431</v>
      </c>
      <c r="Z159">
        <v>478227.18449999997</v>
      </c>
      <c r="AA159">
        <v>9396.2933109999994</v>
      </c>
      <c r="AB159">
        <v>3800.6988860000001</v>
      </c>
      <c r="AC159">
        <v>135106.10920000001</v>
      </c>
    </row>
    <row r="160" spans="1:29" x14ac:dyDescent="0.2">
      <c r="A160" s="1" t="s">
        <v>625</v>
      </c>
      <c r="B160" s="1" t="s">
        <v>208</v>
      </c>
      <c r="C160" s="1" t="s">
        <v>467</v>
      </c>
      <c r="D160" s="1" t="s">
        <v>450</v>
      </c>
      <c r="E160" s="1" t="s">
        <v>450</v>
      </c>
      <c r="F160" s="3">
        <v>29625</v>
      </c>
      <c r="G160" s="3">
        <v>44251</v>
      </c>
      <c r="H160" s="1">
        <v>40</v>
      </c>
      <c r="I160" s="1">
        <v>1</v>
      </c>
      <c r="J160" s="1" t="s">
        <v>451</v>
      </c>
      <c r="K160" s="1" t="s">
        <v>450</v>
      </c>
      <c r="L160" s="1" t="s">
        <v>450</v>
      </c>
      <c r="M160" t="str">
        <f t="shared" si="2"/>
        <v>TRUE</v>
      </c>
      <c r="N160" t="s">
        <v>208</v>
      </c>
      <c r="O160">
        <v>45848.021119999998</v>
      </c>
      <c r="P160">
        <v>242346.57329999999</v>
      </c>
      <c r="Q160">
        <v>490239.05859999999</v>
      </c>
      <c r="R160">
        <v>110179.9112</v>
      </c>
      <c r="S160">
        <v>453591.91090000002</v>
      </c>
      <c r="T160">
        <v>32864.544690000002</v>
      </c>
      <c r="U160">
        <v>4718.0720289999999</v>
      </c>
      <c r="V160">
        <v>27672.232319999999</v>
      </c>
      <c r="W160">
        <v>34467.762110000003</v>
      </c>
      <c r="X160">
        <v>131411.31469999999</v>
      </c>
      <c r="Y160">
        <v>4258.4471400000002</v>
      </c>
      <c r="Z160">
        <v>978597.66119999997</v>
      </c>
      <c r="AA160">
        <v>14071.123009999999</v>
      </c>
      <c r="AB160">
        <v>89820.617150000005</v>
      </c>
      <c r="AC160">
        <v>179176.83720000001</v>
      </c>
    </row>
    <row r="161" spans="1:29" x14ac:dyDescent="0.2">
      <c r="A161" s="1" t="s">
        <v>503</v>
      </c>
      <c r="B161" s="1" t="s">
        <v>260</v>
      </c>
      <c r="C161" s="1" t="s">
        <v>467</v>
      </c>
      <c r="D161" s="1" t="s">
        <v>450</v>
      </c>
      <c r="E161" s="1" t="s">
        <v>450</v>
      </c>
      <c r="F161" s="3">
        <v>30742</v>
      </c>
      <c r="G161" s="3">
        <v>44256</v>
      </c>
      <c r="H161" s="1">
        <v>37</v>
      </c>
      <c r="I161" s="1">
        <v>1</v>
      </c>
      <c r="J161" s="1" t="s">
        <v>456</v>
      </c>
      <c r="K161" s="1" t="s">
        <v>450</v>
      </c>
      <c r="L161" s="1" t="s">
        <v>450</v>
      </c>
      <c r="M161" t="str">
        <f t="shared" si="2"/>
        <v>TRUE</v>
      </c>
      <c r="N161" t="s">
        <v>260</v>
      </c>
      <c r="O161">
        <v>29520.174749999998</v>
      </c>
      <c r="P161">
        <v>233174.99619999999</v>
      </c>
      <c r="Q161">
        <v>521180.75339999999</v>
      </c>
      <c r="R161">
        <v>298650.13099999999</v>
      </c>
      <c r="S161">
        <v>114399.45510000001</v>
      </c>
      <c r="T161">
        <v>28443.938320000001</v>
      </c>
      <c r="U161">
        <v>4004.8402449999999</v>
      </c>
      <c r="V161">
        <v>57304.25488</v>
      </c>
      <c r="W161">
        <v>39298.485390000002</v>
      </c>
      <c r="X161">
        <v>116272.3407</v>
      </c>
      <c r="Y161">
        <v>5440.5364730000001</v>
      </c>
      <c r="Z161">
        <v>715752.46770000004</v>
      </c>
      <c r="AA161">
        <v>26874.310700000002</v>
      </c>
      <c r="AB161">
        <v>10478.002699999999</v>
      </c>
      <c r="AC161">
        <v>356946.43479999999</v>
      </c>
    </row>
    <row r="162" spans="1:29" x14ac:dyDescent="0.2">
      <c r="A162" s="1" t="s">
        <v>627</v>
      </c>
      <c r="B162" s="1" t="s">
        <v>325</v>
      </c>
      <c r="C162" s="1" t="s">
        <v>467</v>
      </c>
      <c r="D162" s="1" t="s">
        <v>450</v>
      </c>
      <c r="E162" s="1" t="s">
        <v>450</v>
      </c>
      <c r="F162" s="3">
        <v>31628</v>
      </c>
      <c r="G162" s="3">
        <v>44258</v>
      </c>
      <c r="H162" s="1">
        <v>34</v>
      </c>
      <c r="I162" s="1">
        <v>1</v>
      </c>
      <c r="J162" s="1" t="s">
        <v>456</v>
      </c>
      <c r="K162" s="1" t="s">
        <v>450</v>
      </c>
      <c r="L162" s="1" t="s">
        <v>450</v>
      </c>
      <c r="M162" t="str">
        <f t="shared" si="2"/>
        <v>TRUE</v>
      </c>
      <c r="N162" t="s">
        <v>325</v>
      </c>
      <c r="O162">
        <v>46751.300770000002</v>
      </c>
      <c r="P162">
        <v>212292.41940000001</v>
      </c>
      <c r="Q162">
        <v>807325.09259999997</v>
      </c>
      <c r="R162">
        <v>79164.147530000002</v>
      </c>
      <c r="S162">
        <v>117228.9485</v>
      </c>
      <c r="T162">
        <v>48288.736259999998</v>
      </c>
      <c r="U162">
        <v>5339.0893820000001</v>
      </c>
      <c r="V162">
        <v>22534.8302</v>
      </c>
      <c r="W162">
        <v>75135.310970000006</v>
      </c>
      <c r="X162">
        <v>122306.73609999999</v>
      </c>
      <c r="Y162">
        <v>4059.3669690000002</v>
      </c>
      <c r="Z162">
        <v>1758055.3829999999</v>
      </c>
      <c r="AA162">
        <v>20587.399669999999</v>
      </c>
      <c r="AB162">
        <v>9198.2300660000001</v>
      </c>
      <c r="AC162">
        <v>134988.9301</v>
      </c>
    </row>
    <row r="163" spans="1:29" x14ac:dyDescent="0.2">
      <c r="A163" s="1" t="s">
        <v>628</v>
      </c>
      <c r="B163" s="1" t="s">
        <v>364</v>
      </c>
      <c r="C163" s="1" t="s">
        <v>467</v>
      </c>
      <c r="D163" s="1" t="s">
        <v>450</v>
      </c>
      <c r="E163" s="1" t="s">
        <v>450</v>
      </c>
      <c r="F163" s="3">
        <v>31809</v>
      </c>
      <c r="G163" s="3">
        <v>44258</v>
      </c>
      <c r="H163" s="1">
        <v>34</v>
      </c>
      <c r="I163" s="1">
        <v>1</v>
      </c>
      <c r="J163" s="1" t="s">
        <v>456</v>
      </c>
      <c r="K163" s="1" t="s">
        <v>450</v>
      </c>
      <c r="L163" s="1" t="s">
        <v>450</v>
      </c>
      <c r="M163" t="str">
        <f t="shared" si="2"/>
        <v>TRUE</v>
      </c>
      <c r="N163" t="s">
        <v>364</v>
      </c>
      <c r="O163">
        <v>142102.75599999999</v>
      </c>
      <c r="P163">
        <v>94047.023820000002</v>
      </c>
      <c r="Q163">
        <v>1012368.032</v>
      </c>
      <c r="R163">
        <v>140204.0969</v>
      </c>
      <c r="S163">
        <v>212647.15460000001</v>
      </c>
      <c r="T163">
        <v>22923.7991</v>
      </c>
      <c r="U163">
        <v>3324.2014770000001</v>
      </c>
      <c r="V163">
        <v>33688.624069999998</v>
      </c>
      <c r="W163">
        <v>44645.528180000001</v>
      </c>
      <c r="X163">
        <v>70551.884009999994</v>
      </c>
      <c r="Y163">
        <v>1859.4829110000001</v>
      </c>
      <c r="Z163">
        <v>267732.67570000002</v>
      </c>
      <c r="AA163">
        <v>52247.191229999997</v>
      </c>
      <c r="AB163">
        <v>111810.16959999999</v>
      </c>
      <c r="AC163">
        <v>1226916.6669999999</v>
      </c>
    </row>
    <row r="164" spans="1:29" x14ac:dyDescent="0.2">
      <c r="A164" s="1" t="s">
        <v>629</v>
      </c>
      <c r="B164" s="1" t="s">
        <v>216</v>
      </c>
      <c r="C164" s="1" t="s">
        <v>464</v>
      </c>
      <c r="D164" s="1" t="s">
        <v>482</v>
      </c>
      <c r="E164" s="1" t="s">
        <v>462</v>
      </c>
      <c r="F164" s="3">
        <v>19925</v>
      </c>
      <c r="G164" s="3">
        <v>43677</v>
      </c>
      <c r="H164" s="1">
        <v>65</v>
      </c>
      <c r="I164" s="1">
        <v>1</v>
      </c>
      <c r="J164" s="1" t="s">
        <v>456</v>
      </c>
      <c r="K164" s="1">
        <v>329</v>
      </c>
      <c r="L164" s="1">
        <v>2</v>
      </c>
      <c r="M164" t="str">
        <f t="shared" si="2"/>
        <v>TRUE</v>
      </c>
      <c r="N164" t="s">
        <v>216</v>
      </c>
      <c r="O164">
        <v>146158.3725</v>
      </c>
      <c r="P164">
        <v>350509.74849999999</v>
      </c>
      <c r="Q164">
        <v>88945.615609999993</v>
      </c>
      <c r="R164">
        <v>47464.550790000001</v>
      </c>
      <c r="S164">
        <v>75661.126459999999</v>
      </c>
      <c r="T164">
        <v>13322.68146</v>
      </c>
      <c r="U164">
        <v>1014.208176</v>
      </c>
      <c r="V164">
        <v>58359.857190000002</v>
      </c>
      <c r="W164">
        <v>36159.011859999999</v>
      </c>
      <c r="X164">
        <v>111551.2141</v>
      </c>
      <c r="Y164">
        <v>4013.0536350000002</v>
      </c>
      <c r="Z164">
        <v>834575.40619999997</v>
      </c>
      <c r="AA164">
        <v>65817.208840000007</v>
      </c>
      <c r="AB164">
        <v>642.63789659999998</v>
      </c>
      <c r="AC164">
        <v>26716.72712</v>
      </c>
    </row>
    <row r="165" spans="1:29" x14ac:dyDescent="0.2">
      <c r="A165" s="1" t="s">
        <v>630</v>
      </c>
      <c r="B165" s="1" t="s">
        <v>198</v>
      </c>
      <c r="C165" s="1" t="s">
        <v>453</v>
      </c>
      <c r="D165" s="1" t="s">
        <v>454</v>
      </c>
      <c r="E165" s="1" t="s">
        <v>462</v>
      </c>
      <c r="F165" s="3">
        <v>34948</v>
      </c>
      <c r="G165" s="3">
        <v>43690</v>
      </c>
      <c r="H165" s="1">
        <v>23</v>
      </c>
      <c r="I165" s="1">
        <v>1</v>
      </c>
      <c r="J165" s="1" t="s">
        <v>456</v>
      </c>
      <c r="K165" s="1">
        <v>7699</v>
      </c>
      <c r="L165" s="1">
        <v>6</v>
      </c>
      <c r="M165" t="str">
        <f t="shared" si="2"/>
        <v>TRUE</v>
      </c>
      <c r="N165" t="s">
        <v>198</v>
      </c>
      <c r="O165">
        <v>375030.0183</v>
      </c>
      <c r="P165">
        <v>49449.128850000001</v>
      </c>
      <c r="Q165">
        <v>982509.25360000005</v>
      </c>
      <c r="R165">
        <v>596323.74010000005</v>
      </c>
      <c r="S165">
        <v>112348.92449999999</v>
      </c>
      <c r="T165">
        <v>78421.169930000004</v>
      </c>
      <c r="U165">
        <v>2778.018838</v>
      </c>
      <c r="V165">
        <v>134297.89550000001</v>
      </c>
      <c r="W165">
        <v>62249.7768</v>
      </c>
      <c r="X165">
        <v>52508.378190000003</v>
      </c>
      <c r="Y165">
        <v>2966.6230860000001</v>
      </c>
      <c r="Z165">
        <v>30864.607189999999</v>
      </c>
      <c r="AA165">
        <v>69047.404699999999</v>
      </c>
      <c r="AB165">
        <v>139504.34710000001</v>
      </c>
      <c r="AC165">
        <v>5399306.2529999996</v>
      </c>
    </row>
    <row r="166" spans="1:29" x14ac:dyDescent="0.2">
      <c r="A166" s="1" t="s">
        <v>631</v>
      </c>
      <c r="B166" s="1" t="s">
        <v>337</v>
      </c>
      <c r="C166" s="1" t="s">
        <v>453</v>
      </c>
      <c r="D166" s="1" t="s">
        <v>454</v>
      </c>
      <c r="E166" s="1" t="s">
        <v>455</v>
      </c>
      <c r="F166" s="3">
        <v>34403</v>
      </c>
      <c r="G166" s="3">
        <v>43690</v>
      </c>
      <c r="H166" s="1">
        <v>25</v>
      </c>
      <c r="I166" s="1">
        <v>6</v>
      </c>
      <c r="J166" s="1" t="s">
        <v>456</v>
      </c>
      <c r="K166" s="1">
        <v>3772</v>
      </c>
      <c r="L166" s="1">
        <v>7</v>
      </c>
      <c r="M166" t="str">
        <f t="shared" si="2"/>
        <v>TRUE</v>
      </c>
      <c r="N166" t="s">
        <v>337</v>
      </c>
      <c r="O166">
        <v>812479.81409999996</v>
      </c>
      <c r="P166">
        <v>16081.03851</v>
      </c>
      <c r="Q166">
        <v>1321750.925</v>
      </c>
      <c r="R166">
        <v>1680006.7339999999</v>
      </c>
      <c r="S166">
        <v>13177.03095</v>
      </c>
      <c r="T166">
        <v>15976.14057</v>
      </c>
      <c r="U166">
        <v>3378.9155799999999</v>
      </c>
      <c r="V166">
        <v>46153.494939999997</v>
      </c>
      <c r="W166">
        <v>33091.879710000001</v>
      </c>
      <c r="X166">
        <v>28577.147420000001</v>
      </c>
      <c r="Y166">
        <v>13427.946749999999</v>
      </c>
      <c r="Z166">
        <v>37212.505700000002</v>
      </c>
      <c r="AA166">
        <v>24619.55487</v>
      </c>
      <c r="AB166">
        <v>93374.099130000002</v>
      </c>
      <c r="AC166">
        <v>1299413.5549999999</v>
      </c>
    </row>
    <row r="167" spans="1:29" x14ac:dyDescent="0.2">
      <c r="A167" s="1" t="s">
        <v>518</v>
      </c>
      <c r="B167" s="1" t="s">
        <v>385</v>
      </c>
      <c r="C167" s="1" t="s">
        <v>453</v>
      </c>
      <c r="D167" s="1" t="s">
        <v>454</v>
      </c>
      <c r="E167" s="1" t="s">
        <v>462</v>
      </c>
      <c r="F167" s="3">
        <v>23568</v>
      </c>
      <c r="G167" s="3">
        <v>43699</v>
      </c>
      <c r="H167" s="1">
        <v>55</v>
      </c>
      <c r="I167" s="1">
        <v>2</v>
      </c>
      <c r="J167" s="1" t="s">
        <v>451</v>
      </c>
      <c r="K167" s="1">
        <v>57</v>
      </c>
      <c r="L167" s="1">
        <v>4</v>
      </c>
      <c r="M167" t="str">
        <f t="shared" si="2"/>
        <v>TRUE</v>
      </c>
      <c r="N167" t="s">
        <v>385</v>
      </c>
      <c r="O167">
        <v>191848.71049999999</v>
      </c>
      <c r="P167">
        <v>71449.922850000003</v>
      </c>
      <c r="Q167">
        <v>868223.84299999999</v>
      </c>
      <c r="R167">
        <v>84322.839940000005</v>
      </c>
      <c r="S167">
        <v>288100.89649999997</v>
      </c>
      <c r="T167">
        <v>17642.245940000001</v>
      </c>
      <c r="U167">
        <v>6147.6499249999997</v>
      </c>
      <c r="V167">
        <v>75031.791809999995</v>
      </c>
      <c r="W167">
        <v>87530.663239999994</v>
      </c>
      <c r="X167">
        <v>205097.02910000001</v>
      </c>
      <c r="Y167">
        <v>10115.81682</v>
      </c>
      <c r="Z167">
        <v>797982.48100000003</v>
      </c>
      <c r="AA167">
        <v>39814.146220000002</v>
      </c>
      <c r="AB167">
        <v>29096.16361</v>
      </c>
      <c r="AC167">
        <v>476169.96600000001</v>
      </c>
    </row>
    <row r="168" spans="1:29" x14ac:dyDescent="0.2">
      <c r="A168" s="1" t="s">
        <v>633</v>
      </c>
      <c r="B168" s="1" t="s">
        <v>368</v>
      </c>
      <c r="C168" s="1" t="s">
        <v>464</v>
      </c>
      <c r="D168" s="1" t="s">
        <v>499</v>
      </c>
      <c r="E168" s="1" t="s">
        <v>455</v>
      </c>
      <c r="F168" s="3">
        <v>18937</v>
      </c>
      <c r="G168" s="3">
        <v>43711</v>
      </c>
      <c r="H168" s="1">
        <v>67</v>
      </c>
      <c r="I168" s="1">
        <v>1</v>
      </c>
      <c r="J168" s="1" t="s">
        <v>451</v>
      </c>
      <c r="K168" s="1">
        <v>715</v>
      </c>
      <c r="L168" s="1">
        <v>5</v>
      </c>
      <c r="M168" t="str">
        <f t="shared" si="2"/>
        <v>TRUE</v>
      </c>
      <c r="N168" t="s">
        <v>368</v>
      </c>
      <c r="O168">
        <v>90451.094939999995</v>
      </c>
      <c r="P168">
        <v>100164.6246</v>
      </c>
      <c r="Q168">
        <v>332338.86009999999</v>
      </c>
      <c r="R168">
        <v>78262.646970000002</v>
      </c>
      <c r="S168">
        <v>65048.492209999997</v>
      </c>
      <c r="T168">
        <v>13339.00138</v>
      </c>
      <c r="U168">
        <v>2267.481162</v>
      </c>
      <c r="V168">
        <v>27584.046740000002</v>
      </c>
      <c r="W168">
        <v>25227.33712</v>
      </c>
      <c r="X168">
        <v>62014.210160000002</v>
      </c>
      <c r="Y168">
        <v>2117.008495</v>
      </c>
      <c r="Z168">
        <v>313221.3198</v>
      </c>
      <c r="AA168">
        <v>40189.191509999997</v>
      </c>
      <c r="AB168">
        <v>1595.7118640000001</v>
      </c>
      <c r="AC168">
        <v>57679.881970000002</v>
      </c>
    </row>
    <row r="169" spans="1:29" x14ac:dyDescent="0.2">
      <c r="A169" s="1" t="s">
        <v>634</v>
      </c>
      <c r="B169" s="1" t="s">
        <v>346</v>
      </c>
      <c r="C169" s="1" t="s">
        <v>453</v>
      </c>
      <c r="D169" s="1" t="s">
        <v>454</v>
      </c>
      <c r="E169" s="1" t="s">
        <v>455</v>
      </c>
      <c r="F169" s="3">
        <v>34403</v>
      </c>
      <c r="G169" s="3">
        <v>43718</v>
      </c>
      <c r="H169" s="1">
        <v>25</v>
      </c>
      <c r="I169" s="1">
        <v>7</v>
      </c>
      <c r="J169" s="1" t="s">
        <v>456</v>
      </c>
      <c r="K169" s="1">
        <v>904</v>
      </c>
      <c r="L169" s="1">
        <v>5</v>
      </c>
      <c r="M169" t="str">
        <f t="shared" si="2"/>
        <v>TRUE</v>
      </c>
      <c r="N169" t="s">
        <v>346</v>
      </c>
      <c r="O169">
        <v>151690.90429999999</v>
      </c>
      <c r="P169">
        <v>61680.697979999997</v>
      </c>
      <c r="Q169">
        <v>326239.17239999998</v>
      </c>
      <c r="R169">
        <v>503535.65909999999</v>
      </c>
      <c r="S169">
        <v>44820.787300000004</v>
      </c>
      <c r="T169">
        <v>13110.935740000001</v>
      </c>
      <c r="U169">
        <v>2678.8638430000001</v>
      </c>
      <c r="V169">
        <v>13831.78607</v>
      </c>
      <c r="W169">
        <v>26011.286329999999</v>
      </c>
      <c r="X169">
        <v>88397.105859999996</v>
      </c>
      <c r="Y169">
        <v>2515.593914</v>
      </c>
      <c r="Z169">
        <v>31034.855029999999</v>
      </c>
      <c r="AA169">
        <v>9634.7556989999994</v>
      </c>
      <c r="AB169">
        <v>43390.146580000001</v>
      </c>
      <c r="AC169">
        <v>270870.95760000002</v>
      </c>
    </row>
    <row r="170" spans="1:29" x14ac:dyDescent="0.2">
      <c r="A170" s="1" t="s">
        <v>635</v>
      </c>
      <c r="B170" s="1" t="s">
        <v>194</v>
      </c>
      <c r="C170" s="1" t="s">
        <v>453</v>
      </c>
      <c r="D170" s="1" t="s">
        <v>454</v>
      </c>
      <c r="E170" s="1" t="s">
        <v>462</v>
      </c>
      <c r="F170" s="3">
        <v>34948</v>
      </c>
      <c r="G170" s="3">
        <v>43719</v>
      </c>
      <c r="H170" s="1">
        <v>24</v>
      </c>
      <c r="I170" s="1">
        <v>2</v>
      </c>
      <c r="J170" s="1" t="s">
        <v>456</v>
      </c>
      <c r="K170" s="1">
        <v>251</v>
      </c>
      <c r="L170" s="1">
        <v>4</v>
      </c>
      <c r="M170" t="str">
        <f t="shared" si="2"/>
        <v>TRUE</v>
      </c>
      <c r="N170" t="s">
        <v>194</v>
      </c>
      <c r="O170">
        <v>66350.176909999995</v>
      </c>
      <c r="P170">
        <v>4679190.5779999997</v>
      </c>
      <c r="Q170">
        <v>203271.92170000001</v>
      </c>
      <c r="R170">
        <v>314236.93079999997</v>
      </c>
      <c r="S170">
        <v>292622.4057</v>
      </c>
      <c r="T170">
        <v>14425.489380000001</v>
      </c>
      <c r="U170">
        <v>2463.6577539999998</v>
      </c>
      <c r="V170">
        <v>5498.9955010000003</v>
      </c>
      <c r="W170">
        <v>75212.407649999994</v>
      </c>
      <c r="X170">
        <v>132303.97469999999</v>
      </c>
      <c r="Y170">
        <v>1618.4997659999999</v>
      </c>
      <c r="Z170">
        <v>1057754.2830000001</v>
      </c>
      <c r="AA170">
        <v>74545.54204</v>
      </c>
      <c r="AB170">
        <v>26381.710630000001</v>
      </c>
      <c r="AC170">
        <v>69306.956860000006</v>
      </c>
    </row>
    <row r="171" spans="1:29" x14ac:dyDescent="0.2">
      <c r="A171" s="1" t="s">
        <v>481</v>
      </c>
      <c r="B171" s="1" t="s">
        <v>210</v>
      </c>
      <c r="C171" s="1" t="s">
        <v>464</v>
      </c>
      <c r="D171" s="1" t="s">
        <v>482</v>
      </c>
      <c r="E171" s="1" t="s">
        <v>462</v>
      </c>
      <c r="F171" s="3">
        <v>19925</v>
      </c>
      <c r="G171" s="3">
        <v>43705</v>
      </c>
      <c r="H171" s="1">
        <v>65</v>
      </c>
      <c r="I171" s="1">
        <v>2</v>
      </c>
      <c r="J171" s="1" t="s">
        <v>456</v>
      </c>
      <c r="K171" s="1">
        <v>122</v>
      </c>
      <c r="L171" s="1">
        <v>2</v>
      </c>
      <c r="M171" t="str">
        <f t="shared" si="2"/>
        <v>TRUE</v>
      </c>
      <c r="N171" t="s">
        <v>210</v>
      </c>
      <c r="O171">
        <v>65457.359479999999</v>
      </c>
      <c r="P171">
        <v>1440046.203</v>
      </c>
      <c r="Q171">
        <v>109115.22380000001</v>
      </c>
      <c r="R171">
        <v>28649.570830000001</v>
      </c>
      <c r="S171">
        <v>106386.4004</v>
      </c>
      <c r="T171">
        <v>14283.869559999999</v>
      </c>
      <c r="U171">
        <v>2974.2846509999999</v>
      </c>
      <c r="V171">
        <v>62951.840980000001</v>
      </c>
      <c r="W171">
        <v>37153.152690000003</v>
      </c>
      <c r="X171">
        <v>120499.0097</v>
      </c>
      <c r="Y171">
        <v>1954.8767789999999</v>
      </c>
      <c r="Z171">
        <v>816302.26260000002</v>
      </c>
      <c r="AA171">
        <v>39032.665309999997</v>
      </c>
      <c r="AB171">
        <v>5259.5397560000001</v>
      </c>
      <c r="AC171">
        <v>24470.704150000001</v>
      </c>
    </row>
    <row r="172" spans="1:29" x14ac:dyDescent="0.2">
      <c r="A172" s="1" t="s">
        <v>637</v>
      </c>
      <c r="B172" s="1" t="s">
        <v>212</v>
      </c>
      <c r="C172" s="1" t="s">
        <v>464</v>
      </c>
      <c r="D172" s="1" t="s">
        <v>482</v>
      </c>
      <c r="E172" s="1" t="s">
        <v>462</v>
      </c>
      <c r="F172" s="3">
        <v>19925</v>
      </c>
      <c r="G172" s="3">
        <v>43733</v>
      </c>
      <c r="H172" s="1">
        <v>65</v>
      </c>
      <c r="I172" s="1">
        <v>3</v>
      </c>
      <c r="J172" s="1" t="s">
        <v>456</v>
      </c>
      <c r="K172" s="1">
        <v>220</v>
      </c>
      <c r="L172" s="1">
        <v>2</v>
      </c>
      <c r="M172" t="str">
        <f t="shared" si="2"/>
        <v>TRUE</v>
      </c>
      <c r="N172" t="s">
        <v>212</v>
      </c>
      <c r="O172">
        <v>81848.922409999999</v>
      </c>
      <c r="P172">
        <v>206656.77470000001</v>
      </c>
      <c r="Q172">
        <v>58983.990660000003</v>
      </c>
      <c r="R172">
        <v>35918.339930000002</v>
      </c>
      <c r="S172">
        <v>89043.244930000001</v>
      </c>
      <c r="T172">
        <v>11986.34071</v>
      </c>
      <c r="U172">
        <v>2934.5374360000001</v>
      </c>
      <c r="V172">
        <v>129244.80250000001</v>
      </c>
      <c r="W172">
        <v>27578.229879999999</v>
      </c>
      <c r="X172">
        <v>158189.49619999999</v>
      </c>
      <c r="Y172">
        <v>1560.427056</v>
      </c>
      <c r="Z172">
        <v>465378.435</v>
      </c>
      <c r="AA172">
        <v>50952.285960000001</v>
      </c>
      <c r="AB172">
        <v>4486.2296379999998</v>
      </c>
      <c r="AC172">
        <v>15380.62851</v>
      </c>
    </row>
    <row r="173" spans="1:29" x14ac:dyDescent="0.2">
      <c r="A173" s="1" t="s">
        <v>638</v>
      </c>
      <c r="B173" s="1" t="s">
        <v>437</v>
      </c>
      <c r="C173" s="1" t="s">
        <v>464</v>
      </c>
      <c r="D173" s="1" t="s">
        <v>491</v>
      </c>
      <c r="E173" s="1" t="s">
        <v>455</v>
      </c>
      <c r="F173" s="3">
        <v>31009</v>
      </c>
      <c r="G173" s="3">
        <v>43763</v>
      </c>
      <c r="H173" s="1">
        <v>34</v>
      </c>
      <c r="I173" s="1">
        <v>2</v>
      </c>
      <c r="J173" s="1" t="s">
        <v>451</v>
      </c>
      <c r="K173" s="1">
        <v>445</v>
      </c>
      <c r="L173" s="1">
        <v>2</v>
      </c>
      <c r="M173" t="str">
        <f t="shared" si="2"/>
        <v>TRUE</v>
      </c>
      <c r="N173" t="s">
        <v>437</v>
      </c>
      <c r="O173">
        <v>183583.1207</v>
      </c>
      <c r="P173">
        <v>667419.30480000004</v>
      </c>
      <c r="Q173">
        <v>3298969.642</v>
      </c>
      <c r="R173">
        <v>235016.1629</v>
      </c>
      <c r="S173">
        <v>282406.12819999998</v>
      </c>
      <c r="T173">
        <v>71787.573659999995</v>
      </c>
      <c r="U173">
        <v>92480.947039999999</v>
      </c>
      <c r="V173">
        <v>233556.2095</v>
      </c>
      <c r="W173">
        <v>69267.647689999998</v>
      </c>
      <c r="X173">
        <v>93018.400070000003</v>
      </c>
      <c r="Y173">
        <v>5321.6436530000001</v>
      </c>
      <c r="Z173">
        <v>1090822.9169999999</v>
      </c>
      <c r="AA173">
        <v>25357.164959999998</v>
      </c>
      <c r="AB173">
        <v>57875.044119999999</v>
      </c>
      <c r="AC173">
        <v>1773271.638</v>
      </c>
    </row>
    <row r="174" spans="1:29" x14ac:dyDescent="0.2">
      <c r="A174" s="1" t="s">
        <v>639</v>
      </c>
      <c r="B174" s="1" t="s">
        <v>383</v>
      </c>
      <c r="C174" s="1" t="s">
        <v>453</v>
      </c>
      <c r="D174" s="1" t="s">
        <v>454</v>
      </c>
      <c r="E174" s="1" t="s">
        <v>462</v>
      </c>
      <c r="F174" s="3">
        <v>23568</v>
      </c>
      <c r="G174" s="3">
        <v>43728</v>
      </c>
      <c r="H174" s="1">
        <v>55</v>
      </c>
      <c r="I174" s="1">
        <v>3</v>
      </c>
      <c r="J174" s="1" t="s">
        <v>451</v>
      </c>
      <c r="K174" s="1">
        <v>15</v>
      </c>
      <c r="L174" s="1">
        <v>3</v>
      </c>
      <c r="M174" t="str">
        <f t="shared" si="2"/>
        <v>TRUE</v>
      </c>
      <c r="N174" t="s">
        <v>383</v>
      </c>
      <c r="O174">
        <v>203037.1955</v>
      </c>
      <c r="P174">
        <v>82445.79969</v>
      </c>
      <c r="Q174">
        <v>1463036.017</v>
      </c>
      <c r="R174">
        <v>63726.139719999999</v>
      </c>
      <c r="S174">
        <v>59749.088309999999</v>
      </c>
      <c r="T174">
        <v>10212.36429</v>
      </c>
      <c r="U174">
        <v>6124.3813579999996</v>
      </c>
      <c r="V174">
        <v>37366.801679999997</v>
      </c>
      <c r="W174">
        <v>75213.617629999993</v>
      </c>
      <c r="X174">
        <v>79171.866529999999</v>
      </c>
      <c r="Y174">
        <v>2088.7077640000002</v>
      </c>
      <c r="Z174">
        <v>325678.43410000001</v>
      </c>
      <c r="AA174">
        <v>49937.759169999998</v>
      </c>
      <c r="AB174">
        <v>80740.30442</v>
      </c>
      <c r="AC174">
        <v>481195.53110000002</v>
      </c>
    </row>
    <row r="175" spans="1:29" x14ac:dyDescent="0.2">
      <c r="A175" s="1" t="s">
        <v>580</v>
      </c>
      <c r="B175" s="1" t="s">
        <v>65</v>
      </c>
      <c r="C175" s="1" t="s">
        <v>464</v>
      </c>
      <c r="D175" s="1" t="s">
        <v>465</v>
      </c>
      <c r="E175" s="1" t="s">
        <v>462</v>
      </c>
      <c r="F175" s="3">
        <v>22293</v>
      </c>
      <c r="G175" s="3">
        <v>43754</v>
      </c>
      <c r="H175" s="1">
        <v>58</v>
      </c>
      <c r="I175" s="1">
        <v>2</v>
      </c>
      <c r="J175" s="1" t="s">
        <v>456</v>
      </c>
      <c r="K175" s="1">
        <v>254</v>
      </c>
      <c r="L175" s="1">
        <v>2</v>
      </c>
      <c r="M175" t="str">
        <f t="shared" si="2"/>
        <v>TRUE</v>
      </c>
      <c r="N175" t="s">
        <v>65</v>
      </c>
      <c r="O175">
        <v>237950.04670000001</v>
      </c>
      <c r="P175">
        <v>200968.45050000001</v>
      </c>
      <c r="Q175">
        <v>390997.10950000002</v>
      </c>
      <c r="R175">
        <v>272774.1973</v>
      </c>
      <c r="S175">
        <v>343419.89799999999</v>
      </c>
      <c r="T175">
        <v>31881.724839999999</v>
      </c>
      <c r="U175">
        <v>27288.726119999999</v>
      </c>
      <c r="V175">
        <v>24609.687180000001</v>
      </c>
      <c r="W175">
        <v>25521.182680000002</v>
      </c>
      <c r="X175">
        <v>44209.2644</v>
      </c>
      <c r="Y175">
        <v>3360.4645609999998</v>
      </c>
      <c r="Z175">
        <v>244229.98850000001</v>
      </c>
      <c r="AA175">
        <v>228245.2261</v>
      </c>
      <c r="AB175">
        <v>43114.0461</v>
      </c>
      <c r="AC175">
        <v>93639.250400000004</v>
      </c>
    </row>
    <row r="176" spans="1:29" x14ac:dyDescent="0.2">
      <c r="A176" s="1" t="s">
        <v>641</v>
      </c>
      <c r="B176" s="1" t="s">
        <v>196</v>
      </c>
      <c r="C176" s="1" t="s">
        <v>453</v>
      </c>
      <c r="D176" s="1" t="s">
        <v>454</v>
      </c>
      <c r="E176" s="1" t="s">
        <v>462</v>
      </c>
      <c r="F176" s="3">
        <v>34948</v>
      </c>
      <c r="G176" s="3">
        <v>43755</v>
      </c>
      <c r="H176" s="1">
        <v>24</v>
      </c>
      <c r="I176" s="1">
        <v>3</v>
      </c>
      <c r="J176" s="1" t="s">
        <v>456</v>
      </c>
      <c r="K176" s="1">
        <v>15</v>
      </c>
      <c r="L176" s="1">
        <v>1</v>
      </c>
      <c r="M176" t="str">
        <f t="shared" si="2"/>
        <v>TRUE</v>
      </c>
      <c r="N176" t="s">
        <v>196</v>
      </c>
      <c r="O176">
        <v>63023.778660000004</v>
      </c>
      <c r="P176">
        <v>1365416.77</v>
      </c>
      <c r="Q176">
        <v>293883.49410000001</v>
      </c>
      <c r="R176">
        <v>77648.324540000001</v>
      </c>
      <c r="S176">
        <v>89210.013999999996</v>
      </c>
      <c r="T176">
        <v>14359.588320000001</v>
      </c>
      <c r="U176">
        <v>2585.40735</v>
      </c>
      <c r="V176">
        <v>45487.87455</v>
      </c>
      <c r="W176">
        <v>263194.30949999997</v>
      </c>
      <c r="X176">
        <v>81628.116930000004</v>
      </c>
      <c r="Y176">
        <v>1869.1160150000001</v>
      </c>
      <c r="Z176">
        <v>438241.3051</v>
      </c>
      <c r="AA176">
        <v>63834.052649999998</v>
      </c>
      <c r="AB176">
        <v>20659.20724</v>
      </c>
      <c r="AC176">
        <v>41419.031710000003</v>
      </c>
    </row>
    <row r="177" spans="1:29" x14ac:dyDescent="0.2">
      <c r="A177" s="1" t="s">
        <v>570</v>
      </c>
      <c r="B177" s="1" t="s">
        <v>389</v>
      </c>
      <c r="C177" s="1" t="s">
        <v>453</v>
      </c>
      <c r="D177" s="1" t="s">
        <v>454</v>
      </c>
      <c r="E177" s="1" t="s">
        <v>462</v>
      </c>
      <c r="F177" s="3">
        <v>23568</v>
      </c>
      <c r="G177" s="3">
        <v>43756</v>
      </c>
      <c r="H177" s="1">
        <v>55</v>
      </c>
      <c r="I177" s="1">
        <v>4</v>
      </c>
      <c r="J177" s="1" t="s">
        <v>451</v>
      </c>
      <c r="K177" s="1">
        <v>51</v>
      </c>
      <c r="L177" s="1">
        <v>2</v>
      </c>
      <c r="M177" t="str">
        <f t="shared" si="2"/>
        <v>TRUE</v>
      </c>
      <c r="N177" t="s">
        <v>389</v>
      </c>
      <c r="O177">
        <v>88035.357669999998</v>
      </c>
      <c r="P177">
        <v>162834.6844</v>
      </c>
      <c r="Q177">
        <v>144455.32079999999</v>
      </c>
      <c r="R177">
        <v>90723.801770000005</v>
      </c>
      <c r="S177">
        <v>24320.013190000001</v>
      </c>
      <c r="T177">
        <v>13861.529909999999</v>
      </c>
      <c r="U177">
        <v>6869.868031</v>
      </c>
      <c r="V177">
        <v>87438.157170000006</v>
      </c>
      <c r="W177">
        <v>28770.510340000001</v>
      </c>
      <c r="X177">
        <v>138765.20689999999</v>
      </c>
      <c r="Y177">
        <v>3158.0923170000001</v>
      </c>
      <c r="Z177">
        <v>765102.38450000004</v>
      </c>
      <c r="AA177">
        <v>22785.61332</v>
      </c>
      <c r="AB177">
        <v>58500.499969999997</v>
      </c>
      <c r="AC177">
        <v>57547.276279999998</v>
      </c>
    </row>
    <row r="178" spans="1:29" x14ac:dyDescent="0.2">
      <c r="A178" s="1" t="s">
        <v>643</v>
      </c>
      <c r="B178" s="1" t="s">
        <v>214</v>
      </c>
      <c r="C178" s="1" t="s">
        <v>464</v>
      </c>
      <c r="D178" s="1" t="s">
        <v>482</v>
      </c>
      <c r="E178" s="1" t="s">
        <v>462</v>
      </c>
      <c r="F178" s="3">
        <v>19925</v>
      </c>
      <c r="G178" s="3">
        <v>43768</v>
      </c>
      <c r="H178" s="1">
        <v>65</v>
      </c>
      <c r="I178" s="1">
        <v>4</v>
      </c>
      <c r="J178" s="1" t="s">
        <v>456</v>
      </c>
      <c r="K178" s="1">
        <v>157</v>
      </c>
      <c r="L178" s="1">
        <v>3</v>
      </c>
      <c r="M178" t="str">
        <f t="shared" si="2"/>
        <v>TRUE</v>
      </c>
      <c r="N178" t="s">
        <v>214</v>
      </c>
      <c r="O178">
        <v>11570.748680000001</v>
      </c>
      <c r="P178">
        <v>3817217.4219999998</v>
      </c>
      <c r="Q178">
        <v>74001.326289999997</v>
      </c>
      <c r="R178">
        <v>63251.5239</v>
      </c>
      <c r="S178">
        <v>70236.844819999998</v>
      </c>
      <c r="T178">
        <v>16974.142629999998</v>
      </c>
      <c r="U178">
        <v>4840.8308180000004</v>
      </c>
      <c r="V178">
        <v>136151.43400000001</v>
      </c>
      <c r="W178">
        <v>29237.058809999999</v>
      </c>
      <c r="X178">
        <v>200546.40289999999</v>
      </c>
      <c r="Y178">
        <v>3318.8088630000002</v>
      </c>
      <c r="Z178">
        <v>1012969.358</v>
      </c>
      <c r="AA178">
        <v>11331.9941</v>
      </c>
      <c r="AB178">
        <v>9659.9766540000001</v>
      </c>
      <c r="AC178">
        <v>28889.63308</v>
      </c>
    </row>
    <row r="179" spans="1:29" x14ac:dyDescent="0.2">
      <c r="A179" s="1" t="s">
        <v>644</v>
      </c>
      <c r="B179" s="1" t="s">
        <v>247</v>
      </c>
      <c r="C179" s="1" t="s">
        <v>464</v>
      </c>
      <c r="D179" s="1" t="s">
        <v>548</v>
      </c>
      <c r="E179" s="1" t="s">
        <v>455</v>
      </c>
      <c r="F179" s="3">
        <v>21300</v>
      </c>
      <c r="G179" s="3">
        <v>43770</v>
      </c>
      <c r="H179" s="1">
        <v>61</v>
      </c>
      <c r="I179" s="1">
        <v>2</v>
      </c>
      <c r="J179" s="1" t="s">
        <v>456</v>
      </c>
      <c r="K179" s="1">
        <v>921</v>
      </c>
      <c r="L179" s="1">
        <v>12</v>
      </c>
      <c r="M179" t="str">
        <f t="shared" si="2"/>
        <v>TRUE</v>
      </c>
      <c r="N179" t="s">
        <v>247</v>
      </c>
      <c r="O179">
        <v>377961.26630000002</v>
      </c>
      <c r="P179">
        <v>98197.966520000002</v>
      </c>
      <c r="Q179">
        <v>672973.26919999998</v>
      </c>
      <c r="R179">
        <v>878195.06909999996</v>
      </c>
      <c r="S179">
        <v>172684.92809999999</v>
      </c>
      <c r="T179">
        <v>9438.8898119999994</v>
      </c>
      <c r="U179">
        <v>2393.390124</v>
      </c>
      <c r="V179">
        <v>67862.801699999996</v>
      </c>
      <c r="W179">
        <v>94686.822509999998</v>
      </c>
      <c r="X179">
        <v>205898.56049999999</v>
      </c>
      <c r="Y179">
        <v>2777.4875590000001</v>
      </c>
      <c r="Z179">
        <v>175795.87390000001</v>
      </c>
      <c r="AA179">
        <v>47384.773020000001</v>
      </c>
      <c r="AB179">
        <v>14756.53184</v>
      </c>
      <c r="AC179">
        <v>243443.89920000001</v>
      </c>
    </row>
    <row r="180" spans="1:29" x14ac:dyDescent="0.2">
      <c r="A180" s="1" t="s">
        <v>645</v>
      </c>
      <c r="B180" s="1" t="s">
        <v>200</v>
      </c>
      <c r="C180" s="1" t="s">
        <v>453</v>
      </c>
      <c r="D180" s="1" t="s">
        <v>454</v>
      </c>
      <c r="E180" s="1" t="s">
        <v>462</v>
      </c>
      <c r="F180" s="3">
        <v>34948</v>
      </c>
      <c r="G180" s="3">
        <v>43788</v>
      </c>
      <c r="H180" s="1">
        <v>24</v>
      </c>
      <c r="I180" s="1">
        <v>4</v>
      </c>
      <c r="J180" s="1" t="s">
        <v>456</v>
      </c>
      <c r="K180" s="1">
        <v>61</v>
      </c>
      <c r="L180" s="1">
        <v>1</v>
      </c>
      <c r="M180" t="str">
        <f t="shared" si="2"/>
        <v>TRUE</v>
      </c>
      <c r="N180" t="s">
        <v>200</v>
      </c>
      <c r="O180">
        <v>60561.744630000001</v>
      </c>
      <c r="P180">
        <v>128978.3431</v>
      </c>
      <c r="Q180">
        <v>538482.12580000004</v>
      </c>
      <c r="R180">
        <v>90353.926240000001</v>
      </c>
      <c r="S180">
        <v>11167.636619999999</v>
      </c>
      <c r="T180">
        <v>2321.444551</v>
      </c>
      <c r="U180">
        <v>1971.480313</v>
      </c>
      <c r="V180">
        <v>58386.777309999998</v>
      </c>
      <c r="W180">
        <v>438937.7304</v>
      </c>
      <c r="X180">
        <v>139290.6354</v>
      </c>
      <c r="Y180">
        <v>2052.4340649999999</v>
      </c>
      <c r="Z180">
        <v>696440.8504</v>
      </c>
      <c r="AA180">
        <v>48167.745940000001</v>
      </c>
      <c r="AB180">
        <v>64888.77173</v>
      </c>
      <c r="AC180">
        <v>166795.48689999999</v>
      </c>
    </row>
    <row r="181" spans="1:29" x14ac:dyDescent="0.2">
      <c r="A181" s="1" t="s">
        <v>646</v>
      </c>
      <c r="B181" s="1" t="s">
        <v>59</v>
      </c>
      <c r="C181" s="1" t="s">
        <v>464</v>
      </c>
      <c r="D181" s="1" t="s">
        <v>465</v>
      </c>
      <c r="E181" s="1" t="s">
        <v>462</v>
      </c>
      <c r="F181" s="3">
        <v>22293</v>
      </c>
      <c r="G181" s="3">
        <v>43816</v>
      </c>
      <c r="H181" s="1">
        <v>58</v>
      </c>
      <c r="I181" s="1">
        <v>4</v>
      </c>
      <c r="J181" s="1" t="s">
        <v>456</v>
      </c>
      <c r="K181" s="1">
        <v>653</v>
      </c>
      <c r="L181" s="1">
        <v>0</v>
      </c>
      <c r="M181" t="str">
        <f t="shared" si="2"/>
        <v>TRUE</v>
      </c>
      <c r="N181" t="s">
        <v>59</v>
      </c>
      <c r="O181">
        <v>81930.386100000003</v>
      </c>
      <c r="P181">
        <v>74580.825549999994</v>
      </c>
      <c r="Q181">
        <v>906800.77890000003</v>
      </c>
      <c r="R181">
        <v>188188.09789999999</v>
      </c>
      <c r="S181">
        <v>55479.098460000001</v>
      </c>
      <c r="T181">
        <v>17124.050190000002</v>
      </c>
      <c r="U181">
        <v>3210.3961060000001</v>
      </c>
      <c r="V181">
        <v>22948.482489999999</v>
      </c>
      <c r="W181">
        <v>23965.737450000001</v>
      </c>
      <c r="X181">
        <v>43255.600109999999</v>
      </c>
      <c r="Y181">
        <v>4627.6285440000001</v>
      </c>
      <c r="Z181">
        <v>454586.3333</v>
      </c>
      <c r="AA181">
        <v>40419.6754</v>
      </c>
      <c r="AB181">
        <v>15004.71882</v>
      </c>
      <c r="AC181">
        <v>320020.766</v>
      </c>
    </row>
    <row r="182" spans="1:29" x14ac:dyDescent="0.2">
      <c r="A182" s="1" t="s">
        <v>647</v>
      </c>
      <c r="B182" s="1" t="s">
        <v>39</v>
      </c>
      <c r="C182" s="1" t="s">
        <v>464</v>
      </c>
      <c r="D182" s="1" t="s">
        <v>465</v>
      </c>
      <c r="E182" s="1" t="s">
        <v>462</v>
      </c>
      <c r="F182" s="3">
        <v>33023</v>
      </c>
      <c r="G182" s="3">
        <v>43817</v>
      </c>
      <c r="H182" s="1">
        <v>29</v>
      </c>
      <c r="I182" s="1">
        <v>2</v>
      </c>
      <c r="J182" s="1" t="s">
        <v>451</v>
      </c>
      <c r="K182" s="1">
        <v>368</v>
      </c>
      <c r="L182" s="1">
        <v>7</v>
      </c>
      <c r="M182" t="str">
        <f t="shared" si="2"/>
        <v>TRUE</v>
      </c>
      <c r="N182" t="s">
        <v>39</v>
      </c>
      <c r="O182">
        <v>312494.77909999999</v>
      </c>
      <c r="P182">
        <v>123570.2959</v>
      </c>
      <c r="Q182">
        <v>1332374.6410000001</v>
      </c>
      <c r="R182">
        <v>243522.9173</v>
      </c>
      <c r="S182">
        <v>92258.85888</v>
      </c>
      <c r="T182">
        <v>18697.140790000001</v>
      </c>
      <c r="U182">
        <v>3099.563521</v>
      </c>
      <c r="V182">
        <v>138627.7763</v>
      </c>
      <c r="W182">
        <v>198875.90090000001</v>
      </c>
      <c r="X182">
        <v>71947.353810000001</v>
      </c>
      <c r="Y182">
        <v>3939.8742400000001</v>
      </c>
      <c r="Z182">
        <v>257082.89430000001</v>
      </c>
      <c r="AA182">
        <v>284131.68030000001</v>
      </c>
      <c r="AB182">
        <v>68671.4234</v>
      </c>
      <c r="AC182">
        <v>384462.09840000002</v>
      </c>
    </row>
    <row r="183" spans="1:29" x14ac:dyDescent="0.2">
      <c r="A183" s="1" t="s">
        <v>648</v>
      </c>
      <c r="B183" s="1" t="s">
        <v>376</v>
      </c>
      <c r="C183" s="1" t="s">
        <v>464</v>
      </c>
      <c r="D183" s="1" t="s">
        <v>491</v>
      </c>
      <c r="E183" s="1" t="s">
        <v>462</v>
      </c>
      <c r="F183" s="3">
        <v>29371</v>
      </c>
      <c r="G183" s="3">
        <v>43840</v>
      </c>
      <c r="H183" s="1">
        <v>39</v>
      </c>
      <c r="I183" s="1">
        <v>3</v>
      </c>
      <c r="J183" s="1" t="s">
        <v>456</v>
      </c>
      <c r="K183" s="1">
        <v>29</v>
      </c>
      <c r="L183" s="1">
        <v>2</v>
      </c>
      <c r="M183" t="str">
        <f t="shared" si="2"/>
        <v>TRUE</v>
      </c>
      <c r="N183" t="s">
        <v>376</v>
      </c>
      <c r="O183">
        <v>185978.13089999999</v>
      </c>
      <c r="P183">
        <v>55541.225149999998</v>
      </c>
      <c r="Q183">
        <v>1049860.1359999999</v>
      </c>
      <c r="R183">
        <v>1501936.5090000001</v>
      </c>
      <c r="S183">
        <v>55403.21024</v>
      </c>
      <c r="T183">
        <v>15417.828649999999</v>
      </c>
      <c r="U183">
        <v>1784.681106</v>
      </c>
      <c r="V183">
        <v>54228.420599999998</v>
      </c>
      <c r="W183">
        <v>270539.37359999999</v>
      </c>
      <c r="X183">
        <v>135862.1067</v>
      </c>
      <c r="Y183">
        <v>2532.6441850000001</v>
      </c>
      <c r="Z183">
        <v>297184.67009999999</v>
      </c>
      <c r="AA183">
        <v>51162.968760000003</v>
      </c>
      <c r="AB183">
        <v>150135.26319999999</v>
      </c>
      <c r="AC183">
        <v>276625.55180000002</v>
      </c>
    </row>
    <row r="184" spans="1:29" x14ac:dyDescent="0.2">
      <c r="A184" s="1" t="s">
        <v>472</v>
      </c>
      <c r="B184" s="1" t="s">
        <v>37</v>
      </c>
      <c r="C184" s="1" t="s">
        <v>464</v>
      </c>
      <c r="D184" s="1" t="s">
        <v>465</v>
      </c>
      <c r="E184" s="1" t="s">
        <v>462</v>
      </c>
      <c r="F184" s="3">
        <v>33023</v>
      </c>
      <c r="G184" s="3">
        <v>43847</v>
      </c>
      <c r="H184" s="1">
        <v>29</v>
      </c>
      <c r="I184" s="1">
        <v>3</v>
      </c>
      <c r="J184" s="1" t="s">
        <v>451</v>
      </c>
      <c r="K184" s="1">
        <v>426</v>
      </c>
      <c r="L184" s="1">
        <v>3</v>
      </c>
      <c r="M184" t="str">
        <f t="shared" si="2"/>
        <v>TRUE</v>
      </c>
      <c r="N184" t="s">
        <v>37</v>
      </c>
      <c r="O184">
        <v>42722.184150000001</v>
      </c>
      <c r="P184">
        <v>359314.17660000001</v>
      </c>
      <c r="Q184">
        <v>605710.27289999998</v>
      </c>
      <c r="R184">
        <v>208026.97659999999</v>
      </c>
      <c r="S184">
        <v>12307.20585</v>
      </c>
      <c r="T184">
        <v>2809.1134750000001</v>
      </c>
      <c r="U184">
        <v>5397.5445250000002</v>
      </c>
      <c r="V184">
        <v>95523.241729999994</v>
      </c>
      <c r="W184">
        <v>93081.804550000001</v>
      </c>
      <c r="X184">
        <v>120835.9123</v>
      </c>
      <c r="Y184">
        <v>4100.5177599999997</v>
      </c>
      <c r="Z184">
        <v>627832.85270000005</v>
      </c>
      <c r="AA184">
        <v>113992.9997</v>
      </c>
      <c r="AB184">
        <v>81588.364069999996</v>
      </c>
      <c r="AC184">
        <v>230878.26190000001</v>
      </c>
    </row>
    <row r="185" spans="1:29" x14ac:dyDescent="0.2">
      <c r="A185" s="1" t="s">
        <v>650</v>
      </c>
      <c r="B185" s="1" t="s">
        <v>122</v>
      </c>
      <c r="C185" s="1" t="s">
        <v>453</v>
      </c>
      <c r="D185" s="1" t="s">
        <v>461</v>
      </c>
      <c r="E185" s="1" t="s">
        <v>462</v>
      </c>
      <c r="F185" s="3">
        <v>29354</v>
      </c>
      <c r="G185" s="3">
        <v>43868</v>
      </c>
      <c r="H185" s="1">
        <v>39</v>
      </c>
      <c r="I185" s="1">
        <v>1</v>
      </c>
      <c r="J185" s="1" t="s">
        <v>451</v>
      </c>
      <c r="K185" s="1">
        <v>11611</v>
      </c>
      <c r="L185" s="1">
        <v>10</v>
      </c>
      <c r="M185" t="str">
        <f t="shared" si="2"/>
        <v>TRUE</v>
      </c>
      <c r="N185" t="s">
        <v>122</v>
      </c>
      <c r="O185">
        <v>156169.26920000001</v>
      </c>
      <c r="P185">
        <v>54674.349009999998</v>
      </c>
      <c r="Q185">
        <v>375181.462</v>
      </c>
      <c r="R185">
        <v>248233.6018</v>
      </c>
      <c r="S185">
        <v>629306.24730000005</v>
      </c>
      <c r="T185">
        <v>15298.14371</v>
      </c>
      <c r="U185">
        <v>4047.9648790000001</v>
      </c>
      <c r="V185">
        <v>205795.7494</v>
      </c>
      <c r="W185">
        <v>94806.337880000006</v>
      </c>
      <c r="X185">
        <v>331138.98540000001</v>
      </c>
      <c r="Y185">
        <v>57724.95996</v>
      </c>
      <c r="Z185">
        <v>729364.91729999997</v>
      </c>
      <c r="AA185">
        <v>125289.5472</v>
      </c>
      <c r="AB185">
        <v>0</v>
      </c>
      <c r="AC185">
        <v>196779.53810000001</v>
      </c>
    </row>
    <row r="186" spans="1:29" x14ac:dyDescent="0.2">
      <c r="A186" s="1" t="s">
        <v>651</v>
      </c>
      <c r="B186" s="1" t="s">
        <v>41</v>
      </c>
      <c r="C186" s="1" t="s">
        <v>464</v>
      </c>
      <c r="D186" s="1" t="s">
        <v>465</v>
      </c>
      <c r="E186" s="1" t="s">
        <v>462</v>
      </c>
      <c r="F186" s="3">
        <v>33023</v>
      </c>
      <c r="G186" s="3">
        <v>43510</v>
      </c>
      <c r="H186" s="1">
        <v>28</v>
      </c>
      <c r="I186" s="1">
        <v>4</v>
      </c>
      <c r="J186" s="1" t="s">
        <v>451</v>
      </c>
      <c r="K186" s="1">
        <v>391</v>
      </c>
      <c r="L186" s="1">
        <v>2</v>
      </c>
      <c r="M186" t="str">
        <f t="shared" si="2"/>
        <v>TRUE</v>
      </c>
      <c r="N186" t="s">
        <v>41</v>
      </c>
      <c r="O186">
        <v>161152.56030000001</v>
      </c>
      <c r="P186">
        <v>898547.29180000001</v>
      </c>
      <c r="Q186">
        <v>289219.3492</v>
      </c>
      <c r="R186">
        <v>235890.8046</v>
      </c>
      <c r="S186">
        <v>46556.156040000002</v>
      </c>
      <c r="T186">
        <v>12163.788850000001</v>
      </c>
      <c r="U186">
        <v>1655.5377490000001</v>
      </c>
      <c r="V186">
        <v>116535.2917</v>
      </c>
      <c r="W186">
        <v>991839.05740000005</v>
      </c>
      <c r="X186">
        <v>258144.35709999999</v>
      </c>
      <c r="Y186">
        <v>2582.3961479999998</v>
      </c>
      <c r="Z186">
        <v>822178.62159999995</v>
      </c>
      <c r="AA186">
        <v>256511.55989999999</v>
      </c>
      <c r="AB186">
        <v>131040.6462</v>
      </c>
      <c r="AC186">
        <v>311885.44459999999</v>
      </c>
    </row>
    <row r="187" spans="1:29" x14ac:dyDescent="0.2">
      <c r="A187" s="1" t="s">
        <v>652</v>
      </c>
      <c r="B187" s="1" t="s">
        <v>427</v>
      </c>
      <c r="C187" s="1" t="s">
        <v>464</v>
      </c>
      <c r="D187" s="1" t="s">
        <v>482</v>
      </c>
      <c r="E187" s="1" t="s">
        <v>455</v>
      </c>
      <c r="F187" s="3">
        <v>26203</v>
      </c>
      <c r="G187" s="3">
        <v>43885</v>
      </c>
      <c r="H187" s="1">
        <v>48</v>
      </c>
      <c r="I187" s="1">
        <v>1</v>
      </c>
      <c r="J187" s="1" t="s">
        <v>456</v>
      </c>
      <c r="K187" s="1">
        <v>247</v>
      </c>
      <c r="L187" s="1">
        <v>6</v>
      </c>
      <c r="M187" t="str">
        <f t="shared" si="2"/>
        <v>TRUE</v>
      </c>
      <c r="N187" t="s">
        <v>427</v>
      </c>
      <c r="O187">
        <v>85996.935630000007</v>
      </c>
      <c r="P187">
        <v>608403.97640000004</v>
      </c>
      <c r="Q187">
        <v>648951.99360000005</v>
      </c>
      <c r="R187">
        <v>127783.5395</v>
      </c>
      <c r="S187">
        <v>645631.2365</v>
      </c>
      <c r="T187">
        <v>22591.122960000001</v>
      </c>
      <c r="U187">
        <v>1010993.703</v>
      </c>
      <c r="V187">
        <v>82477.705860000002</v>
      </c>
      <c r="W187">
        <v>41974.26223</v>
      </c>
      <c r="X187">
        <v>100851.5763</v>
      </c>
      <c r="Y187">
        <v>11495.68657</v>
      </c>
      <c r="Z187">
        <v>848078.03350000002</v>
      </c>
      <c r="AA187">
        <v>208042.43150000001</v>
      </c>
      <c r="AB187">
        <v>169295.8646</v>
      </c>
      <c r="AC187">
        <v>1473141.4410000001</v>
      </c>
    </row>
    <row r="188" spans="1:29" x14ac:dyDescent="0.2">
      <c r="A188" s="1" t="s">
        <v>589</v>
      </c>
      <c r="B188" s="1" t="s">
        <v>126</v>
      </c>
      <c r="C188" s="1" t="s">
        <v>453</v>
      </c>
      <c r="D188" s="1" t="s">
        <v>461</v>
      </c>
      <c r="E188" s="1" t="s">
        <v>462</v>
      </c>
      <c r="F188" s="3">
        <v>29354</v>
      </c>
      <c r="G188" s="3">
        <v>43894</v>
      </c>
      <c r="H188" s="1">
        <v>39</v>
      </c>
      <c r="I188" s="1">
        <v>2</v>
      </c>
      <c r="J188" s="1" t="s">
        <v>451</v>
      </c>
      <c r="K188" s="1">
        <v>4033</v>
      </c>
      <c r="L188" s="1">
        <v>8</v>
      </c>
      <c r="M188" t="str">
        <f t="shared" si="2"/>
        <v>TRUE</v>
      </c>
      <c r="N188" t="s">
        <v>126</v>
      </c>
      <c r="O188">
        <v>225152.9106</v>
      </c>
      <c r="P188">
        <v>115104.5494</v>
      </c>
      <c r="Q188">
        <v>319613.96389999997</v>
      </c>
      <c r="R188">
        <v>425207.50160000002</v>
      </c>
      <c r="S188">
        <v>497552.95789999998</v>
      </c>
      <c r="T188">
        <v>28452.329180000001</v>
      </c>
      <c r="U188">
        <v>4789.5485339999996</v>
      </c>
      <c r="V188">
        <v>107993.7577</v>
      </c>
      <c r="W188">
        <v>33751.869509999997</v>
      </c>
      <c r="X188">
        <v>114695.7403</v>
      </c>
      <c r="Y188">
        <v>201264.37359999999</v>
      </c>
      <c r="Z188">
        <v>616140.37419999996</v>
      </c>
      <c r="AA188">
        <v>103778.82640000001</v>
      </c>
      <c r="AB188">
        <v>0</v>
      </c>
      <c r="AC188">
        <v>208586.54680000001</v>
      </c>
    </row>
    <row r="189" spans="1:29" x14ac:dyDescent="0.2">
      <c r="A189" s="1" t="s">
        <v>654</v>
      </c>
      <c r="B189" s="1" t="s">
        <v>404</v>
      </c>
      <c r="C189" s="1" t="s">
        <v>453</v>
      </c>
      <c r="D189" s="1" t="s">
        <v>461</v>
      </c>
      <c r="E189" s="1" t="s">
        <v>455</v>
      </c>
      <c r="F189" s="3">
        <v>29943</v>
      </c>
      <c r="G189" s="3">
        <v>43896</v>
      </c>
      <c r="H189" s="1">
        <v>38</v>
      </c>
      <c r="I189" s="1">
        <v>4</v>
      </c>
      <c r="J189" s="1" t="s">
        <v>451</v>
      </c>
      <c r="K189" s="1">
        <v>1144</v>
      </c>
      <c r="L189" s="1">
        <v>5</v>
      </c>
      <c r="M189" t="str">
        <f t="shared" si="2"/>
        <v>TRUE</v>
      </c>
      <c r="N189" t="s">
        <v>404</v>
      </c>
      <c r="O189">
        <v>151754.75599999999</v>
      </c>
      <c r="P189">
        <v>143619.94620000001</v>
      </c>
      <c r="Q189">
        <v>1909732.5830000001</v>
      </c>
      <c r="R189">
        <v>97794.671279999995</v>
      </c>
      <c r="S189">
        <v>161982.3719</v>
      </c>
      <c r="T189">
        <v>13579.76484</v>
      </c>
      <c r="U189">
        <v>2315.01782</v>
      </c>
      <c r="V189">
        <v>42783.136760000001</v>
      </c>
      <c r="W189">
        <v>69886.266570000007</v>
      </c>
      <c r="X189">
        <v>115191.83040000001</v>
      </c>
      <c r="Y189">
        <v>2118.231546</v>
      </c>
      <c r="Z189">
        <v>89829.923280000003</v>
      </c>
      <c r="AA189">
        <v>71358.367589999994</v>
      </c>
      <c r="AB189">
        <v>198583.01819999999</v>
      </c>
      <c r="AC189">
        <v>1256139.101</v>
      </c>
    </row>
    <row r="190" spans="1:29" x14ac:dyDescent="0.2">
      <c r="A190" s="1" t="s">
        <v>655</v>
      </c>
      <c r="B190" s="1" t="s">
        <v>372</v>
      </c>
      <c r="C190" s="1" t="s">
        <v>464</v>
      </c>
      <c r="D190" s="1" t="s">
        <v>491</v>
      </c>
      <c r="E190" s="1" t="s">
        <v>462</v>
      </c>
      <c r="F190" s="3">
        <v>29371</v>
      </c>
      <c r="G190" s="3">
        <v>43896</v>
      </c>
      <c r="H190" s="1">
        <v>39</v>
      </c>
      <c r="I190" s="1">
        <v>4</v>
      </c>
      <c r="J190" s="1" t="s">
        <v>456</v>
      </c>
      <c r="K190" s="1">
        <v>1822</v>
      </c>
      <c r="L190" s="1">
        <v>3</v>
      </c>
      <c r="M190" t="str">
        <f t="shared" si="2"/>
        <v>TRUE</v>
      </c>
      <c r="N190" t="s">
        <v>372</v>
      </c>
      <c r="O190">
        <v>375941.46029999998</v>
      </c>
      <c r="P190">
        <v>39284.295019999998</v>
      </c>
      <c r="Q190">
        <v>653963.03740000003</v>
      </c>
      <c r="R190">
        <v>417953.35029999999</v>
      </c>
      <c r="S190">
        <v>93648.097989999995</v>
      </c>
      <c r="T190">
        <v>6880.4281769999998</v>
      </c>
      <c r="U190">
        <v>3926.0106230000001</v>
      </c>
      <c r="V190">
        <v>34887.763160000002</v>
      </c>
      <c r="W190">
        <v>126122.59269999999</v>
      </c>
      <c r="X190">
        <v>73694.991569999998</v>
      </c>
      <c r="Y190">
        <v>1042.706907</v>
      </c>
      <c r="Z190">
        <v>55397.345220000003</v>
      </c>
      <c r="AA190">
        <v>52599.825700000001</v>
      </c>
      <c r="AB190">
        <v>125815.16379999999</v>
      </c>
      <c r="AC190">
        <v>241669.78599999999</v>
      </c>
    </row>
    <row r="191" spans="1:29" x14ac:dyDescent="0.2">
      <c r="A191" s="1" t="s">
        <v>564</v>
      </c>
      <c r="B191" s="1" t="s">
        <v>124</v>
      </c>
      <c r="C191" s="1" t="s">
        <v>453</v>
      </c>
      <c r="D191" s="1" t="s">
        <v>461</v>
      </c>
      <c r="E191" s="1" t="s">
        <v>462</v>
      </c>
      <c r="F191" s="3">
        <v>29354</v>
      </c>
      <c r="G191" s="3">
        <v>44007</v>
      </c>
      <c r="H191" s="1">
        <v>40</v>
      </c>
      <c r="I191" s="1">
        <v>3</v>
      </c>
      <c r="J191" s="1" t="s">
        <v>451</v>
      </c>
      <c r="K191" s="1">
        <v>43</v>
      </c>
      <c r="L191" s="1">
        <v>2</v>
      </c>
      <c r="M191" t="str">
        <f t="shared" si="2"/>
        <v>TRUE</v>
      </c>
      <c r="N191" t="s">
        <v>124</v>
      </c>
      <c r="O191">
        <v>353451.30670000002</v>
      </c>
      <c r="P191">
        <v>335778.67460000003</v>
      </c>
      <c r="Q191">
        <v>1010909.7709999999</v>
      </c>
      <c r="R191">
        <v>627837.72710000002</v>
      </c>
      <c r="S191">
        <v>360417.59220000001</v>
      </c>
      <c r="T191">
        <v>15320.659250000001</v>
      </c>
      <c r="U191">
        <v>3741.8580360000001</v>
      </c>
      <c r="V191">
        <v>136805.9307</v>
      </c>
      <c r="W191">
        <v>89921.586569999999</v>
      </c>
      <c r="X191">
        <v>202225.40429999999</v>
      </c>
      <c r="Y191">
        <v>897852.59609999997</v>
      </c>
      <c r="Z191">
        <v>512202.0062</v>
      </c>
      <c r="AA191">
        <v>99364.991569999998</v>
      </c>
      <c r="AB191">
        <v>14974.731089999999</v>
      </c>
      <c r="AC191">
        <v>476264.37180000002</v>
      </c>
    </row>
    <row r="192" spans="1:29" x14ac:dyDescent="0.2">
      <c r="A192" s="1" t="s">
        <v>657</v>
      </c>
      <c r="B192" s="1" t="s">
        <v>395</v>
      </c>
      <c r="C192" s="1" t="s">
        <v>453</v>
      </c>
      <c r="D192" s="1" t="s">
        <v>461</v>
      </c>
      <c r="E192" s="1" t="s">
        <v>455</v>
      </c>
      <c r="F192" s="3">
        <v>29943</v>
      </c>
      <c r="G192" s="3">
        <v>44011</v>
      </c>
      <c r="H192" s="1">
        <v>38</v>
      </c>
      <c r="I192" s="1">
        <v>5</v>
      </c>
      <c r="J192" s="1" t="s">
        <v>451</v>
      </c>
      <c r="K192" s="1">
        <v>20</v>
      </c>
      <c r="L192" s="1">
        <v>0</v>
      </c>
      <c r="M192" t="str">
        <f t="shared" si="2"/>
        <v>TRUE</v>
      </c>
      <c r="N192" t="s">
        <v>395</v>
      </c>
      <c r="O192">
        <v>381191.076</v>
      </c>
      <c r="P192">
        <v>104570.2804</v>
      </c>
      <c r="Q192">
        <v>2833999.5430000001</v>
      </c>
      <c r="R192">
        <v>317337.09980000003</v>
      </c>
      <c r="S192">
        <v>74422.331229999996</v>
      </c>
      <c r="T192">
        <v>12758.23918</v>
      </c>
      <c r="U192">
        <v>2797.3572359999998</v>
      </c>
      <c r="V192">
        <v>37711.277750000001</v>
      </c>
      <c r="W192">
        <v>140156.84169999999</v>
      </c>
      <c r="X192">
        <v>141733.10750000001</v>
      </c>
      <c r="Y192">
        <v>217045.91029999999</v>
      </c>
      <c r="Z192">
        <v>280662.76049999997</v>
      </c>
      <c r="AA192">
        <v>72530.089080000005</v>
      </c>
      <c r="AB192">
        <v>182000.17720000001</v>
      </c>
      <c r="AC192">
        <v>3801144.6030000001</v>
      </c>
    </row>
    <row r="193" spans="1:29" x14ac:dyDescent="0.2">
      <c r="A193" s="1" t="s">
        <v>490</v>
      </c>
      <c r="B193" s="1" t="s">
        <v>439</v>
      </c>
      <c r="C193" s="1" t="s">
        <v>464</v>
      </c>
      <c r="D193" s="1" t="s">
        <v>491</v>
      </c>
      <c r="E193" s="1" t="s">
        <v>455</v>
      </c>
      <c r="F193" s="3">
        <v>31009</v>
      </c>
      <c r="G193" s="3">
        <v>43775</v>
      </c>
      <c r="H193" s="1">
        <v>34</v>
      </c>
      <c r="I193" s="1">
        <v>3</v>
      </c>
      <c r="J193" s="1" t="s">
        <v>451</v>
      </c>
      <c r="K193" s="1">
        <v>843</v>
      </c>
      <c r="L193" s="1">
        <v>5</v>
      </c>
      <c r="M193" t="str">
        <f t="shared" si="2"/>
        <v>TRUE</v>
      </c>
      <c r="N193" t="s">
        <v>439</v>
      </c>
      <c r="O193">
        <v>127183.1627</v>
      </c>
      <c r="P193">
        <v>143516.3487</v>
      </c>
      <c r="Q193">
        <v>3085910.4730000002</v>
      </c>
      <c r="R193">
        <v>189466.492</v>
      </c>
      <c r="S193">
        <v>142533.334</v>
      </c>
      <c r="T193">
        <v>27891.350620000001</v>
      </c>
      <c r="U193">
        <v>21674.424449999999</v>
      </c>
      <c r="V193">
        <v>107938.2044</v>
      </c>
      <c r="W193">
        <v>100889.32610000001</v>
      </c>
      <c r="X193">
        <v>146651.80720000001</v>
      </c>
      <c r="Y193">
        <v>30509.973139999998</v>
      </c>
      <c r="Z193">
        <v>634180.75950000004</v>
      </c>
      <c r="AA193">
        <v>23030.49093</v>
      </c>
      <c r="AB193">
        <v>128908.3986</v>
      </c>
      <c r="AC193">
        <v>2713730.8339999998</v>
      </c>
    </row>
    <row r="194" spans="1:29" x14ac:dyDescent="0.2">
      <c r="A194" s="1" t="s">
        <v>660</v>
      </c>
      <c r="B194" s="1" t="s">
        <v>374</v>
      </c>
      <c r="C194" s="1" t="s">
        <v>464</v>
      </c>
      <c r="D194" s="1" t="s">
        <v>491</v>
      </c>
      <c r="E194" s="1" t="s">
        <v>462</v>
      </c>
      <c r="F194" s="3">
        <v>29371</v>
      </c>
      <c r="G194" s="3">
        <v>43784</v>
      </c>
      <c r="H194" s="1">
        <v>39</v>
      </c>
      <c r="I194" s="1"/>
      <c r="J194" s="1" t="s">
        <v>456</v>
      </c>
      <c r="K194" s="1">
        <v>3792</v>
      </c>
      <c r="L194" s="1">
        <v>8</v>
      </c>
      <c r="M194" t="str">
        <f t="shared" si="2"/>
        <v>TRUE</v>
      </c>
      <c r="N194" t="s">
        <v>374</v>
      </c>
      <c r="O194">
        <v>491509.82829999999</v>
      </c>
      <c r="P194">
        <v>141293.86120000001</v>
      </c>
      <c r="Q194">
        <v>2227267.2439999999</v>
      </c>
      <c r="R194">
        <v>4365481.51</v>
      </c>
      <c r="S194">
        <v>70895.574240000002</v>
      </c>
      <c r="T194">
        <v>18472.129529999998</v>
      </c>
      <c r="U194">
        <v>4837.5453649999999</v>
      </c>
      <c r="V194">
        <v>111493.2966</v>
      </c>
      <c r="W194">
        <v>126622.17290000001</v>
      </c>
      <c r="X194">
        <v>193776.5569</v>
      </c>
      <c r="Y194">
        <v>11240.879849999999</v>
      </c>
      <c r="Z194">
        <v>672228.77549999999</v>
      </c>
      <c r="AA194">
        <v>142483.63159999999</v>
      </c>
      <c r="AB194">
        <v>225979.7463</v>
      </c>
      <c r="AC194">
        <v>1113610.308</v>
      </c>
    </row>
    <row r="195" spans="1:29" x14ac:dyDescent="0.2">
      <c r="A195" s="1" t="s">
        <v>601</v>
      </c>
      <c r="B195" s="1" t="s">
        <v>61</v>
      </c>
      <c r="C195" s="1" t="s">
        <v>464</v>
      </c>
      <c r="D195" s="1" t="s">
        <v>465</v>
      </c>
      <c r="E195" s="1" t="s">
        <v>462</v>
      </c>
      <c r="F195" s="3">
        <v>22293</v>
      </c>
      <c r="G195" s="3">
        <v>43788</v>
      </c>
      <c r="H195" s="1">
        <v>58</v>
      </c>
      <c r="I195" s="1">
        <v>3</v>
      </c>
      <c r="J195" s="1" t="s">
        <v>456</v>
      </c>
      <c r="K195" s="1">
        <v>467</v>
      </c>
      <c r="L195" s="1">
        <v>1</v>
      </c>
      <c r="M195" t="str">
        <f t="shared" ref="M195:M198" si="3">IF(B195=N195,"TRUE","FALSE")</f>
        <v>TRUE</v>
      </c>
      <c r="N195" t="s">
        <v>61</v>
      </c>
      <c r="O195">
        <v>74491.980179999999</v>
      </c>
      <c r="P195">
        <v>239847.31330000001</v>
      </c>
      <c r="Q195">
        <v>1081800.7779999999</v>
      </c>
      <c r="R195">
        <v>108145.9648</v>
      </c>
      <c r="S195">
        <v>78684.954639999996</v>
      </c>
      <c r="T195">
        <v>15685.063889999999</v>
      </c>
      <c r="U195">
        <v>3862.5519079999999</v>
      </c>
      <c r="V195">
        <v>30695.416280000001</v>
      </c>
      <c r="W195">
        <v>24426.092929999999</v>
      </c>
      <c r="X195">
        <v>54657.73502</v>
      </c>
      <c r="Y195">
        <v>4345.9903340000001</v>
      </c>
      <c r="Z195">
        <v>415605.80930000002</v>
      </c>
      <c r="AA195">
        <v>37466.440190000001</v>
      </c>
      <c r="AB195">
        <v>31621.239989999998</v>
      </c>
      <c r="AC195">
        <v>202612.0576</v>
      </c>
    </row>
    <row r="196" spans="1:29" x14ac:dyDescent="0.2">
      <c r="A196" s="1" t="s">
        <v>662</v>
      </c>
      <c r="B196" s="1" t="s">
        <v>43</v>
      </c>
      <c r="C196" s="1" t="s">
        <v>464</v>
      </c>
      <c r="D196" s="1" t="s">
        <v>465</v>
      </c>
      <c r="E196" s="1" t="s">
        <v>462</v>
      </c>
      <c r="F196" s="3">
        <v>33023</v>
      </c>
      <c r="G196" s="3">
        <v>43788</v>
      </c>
      <c r="H196" s="1">
        <v>29</v>
      </c>
      <c r="I196" s="1">
        <v>1</v>
      </c>
      <c r="J196" s="1" t="s">
        <v>451</v>
      </c>
      <c r="K196" s="1">
        <v>1213</v>
      </c>
      <c r="L196" s="1">
        <v>7</v>
      </c>
      <c r="M196" t="str">
        <f t="shared" si="3"/>
        <v>TRUE</v>
      </c>
      <c r="N196" t="s">
        <v>43</v>
      </c>
      <c r="O196">
        <v>399120.43650000001</v>
      </c>
      <c r="P196">
        <v>334705.12420000002</v>
      </c>
      <c r="Q196">
        <v>1532200.152</v>
      </c>
      <c r="R196">
        <v>268844.1201</v>
      </c>
      <c r="S196">
        <v>23658.52605</v>
      </c>
      <c r="T196">
        <v>11511.31769</v>
      </c>
      <c r="U196">
        <v>4716.2708359999997</v>
      </c>
      <c r="V196">
        <v>66749.737540000002</v>
      </c>
      <c r="W196">
        <v>84822.378169999996</v>
      </c>
      <c r="X196">
        <v>42101.196649999998</v>
      </c>
      <c r="Y196">
        <v>75089.266099999993</v>
      </c>
      <c r="Z196">
        <v>321867.16460000002</v>
      </c>
      <c r="AA196">
        <v>180010.06450000001</v>
      </c>
      <c r="AB196">
        <v>78765.045679999996</v>
      </c>
      <c r="AC196">
        <v>669371.87809999997</v>
      </c>
    </row>
    <row r="197" spans="1:29" x14ac:dyDescent="0.2">
      <c r="A197" s="1" t="s">
        <v>663</v>
      </c>
      <c r="B197" s="1" t="s">
        <v>243</v>
      </c>
      <c r="C197" s="1" t="s">
        <v>464</v>
      </c>
      <c r="D197" s="1" t="s">
        <v>548</v>
      </c>
      <c r="E197" s="1" t="s">
        <v>455</v>
      </c>
      <c r="F197" s="3">
        <v>21300</v>
      </c>
      <c r="G197" s="3">
        <v>43791</v>
      </c>
      <c r="H197" s="1">
        <v>61</v>
      </c>
      <c r="I197" s="1">
        <v>3</v>
      </c>
      <c r="J197" s="1" t="s">
        <v>456</v>
      </c>
      <c r="K197" s="1">
        <v>784</v>
      </c>
      <c r="L197" s="1">
        <v>6</v>
      </c>
      <c r="M197" t="str">
        <f t="shared" si="3"/>
        <v>TRUE</v>
      </c>
      <c r="N197" t="s">
        <v>243</v>
      </c>
      <c r="O197">
        <v>365539.86700000003</v>
      </c>
      <c r="P197">
        <v>63382.933770000003</v>
      </c>
      <c r="Q197">
        <v>388026.63760000002</v>
      </c>
      <c r="R197">
        <v>274359.25319999998</v>
      </c>
      <c r="S197">
        <v>26570.462100000001</v>
      </c>
      <c r="T197">
        <v>5269.194845</v>
      </c>
      <c r="U197">
        <v>2125.1011319999998</v>
      </c>
      <c r="V197">
        <v>46061.081570000002</v>
      </c>
      <c r="W197">
        <v>24231.629649999999</v>
      </c>
      <c r="X197">
        <v>22862.561440000001</v>
      </c>
      <c r="Y197">
        <v>8785.0939760000001</v>
      </c>
      <c r="Z197">
        <v>90530.090920000002</v>
      </c>
      <c r="AA197">
        <v>24311.758870000001</v>
      </c>
      <c r="AB197">
        <v>63952.977989999999</v>
      </c>
      <c r="AC197">
        <v>465256.91489999997</v>
      </c>
    </row>
    <row r="198" spans="1:29" x14ac:dyDescent="0.2">
      <c r="A198" s="1" t="s">
        <v>543</v>
      </c>
      <c r="B198" s="1" t="s">
        <v>366</v>
      </c>
      <c r="C198" s="1" t="s">
        <v>464</v>
      </c>
      <c r="D198" s="1" t="s">
        <v>499</v>
      </c>
      <c r="E198" s="1" t="s">
        <v>455</v>
      </c>
      <c r="F198" s="3">
        <v>18937</v>
      </c>
      <c r="G198" s="3">
        <v>43802</v>
      </c>
      <c r="H198" s="1">
        <v>68</v>
      </c>
      <c r="I198" s="1">
        <v>2</v>
      </c>
      <c r="J198" s="1" t="s">
        <v>451</v>
      </c>
      <c r="K198" s="1">
        <v>2388</v>
      </c>
      <c r="L198" s="1">
        <v>6</v>
      </c>
      <c r="M198" t="str">
        <f t="shared" si="3"/>
        <v>TRUE</v>
      </c>
      <c r="N198" t="s">
        <v>366</v>
      </c>
      <c r="O198">
        <v>240765.38440000001</v>
      </c>
      <c r="P198">
        <v>159286.33670000001</v>
      </c>
      <c r="Q198">
        <v>308399.16810000001</v>
      </c>
      <c r="R198">
        <v>199100.35699999999</v>
      </c>
      <c r="S198">
        <v>146292.6825</v>
      </c>
      <c r="T198">
        <v>20266.546320000001</v>
      </c>
      <c r="U198">
        <v>3365.6994119999999</v>
      </c>
      <c r="V198">
        <v>116030.1596</v>
      </c>
      <c r="W198">
        <v>97173.279020000002</v>
      </c>
      <c r="X198">
        <v>188106.47709999999</v>
      </c>
      <c r="Y198">
        <v>4480.4017389999999</v>
      </c>
      <c r="Z198">
        <v>740995.80859999999</v>
      </c>
      <c r="AA198">
        <v>73597.548429999995</v>
      </c>
      <c r="AB198">
        <v>14762.630349999999</v>
      </c>
      <c r="AC198">
        <v>164710.4179</v>
      </c>
    </row>
  </sheetData>
  <sortState xmlns:xlrd2="http://schemas.microsoft.com/office/spreadsheetml/2017/richdata2" ref="A2:L198">
    <sortCondition ref="B2:B198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H95"/>
  <sheetViews>
    <sheetView workbookViewId="0">
      <pane ySplit="1" topLeftCell="A27" activePane="bottomLeft" state="frozen"/>
      <selection pane="bottomLeft" activeCell="Q31" sqref="Q31"/>
    </sheetView>
  </sheetViews>
  <sheetFormatPr baseColWidth="10" defaultRowHeight="16" x14ac:dyDescent="0.2"/>
  <sheetData>
    <row r="1" spans="1:34" s="7" customFormat="1" x14ac:dyDescent="0.2">
      <c r="A1" s="7" t="s">
        <v>667</v>
      </c>
      <c r="B1" s="7" t="s">
        <v>668</v>
      </c>
      <c r="C1" s="7" t="s">
        <v>669</v>
      </c>
      <c r="D1" s="7" t="s">
        <v>670</v>
      </c>
      <c r="E1" s="7" t="s">
        <v>670</v>
      </c>
      <c r="F1" s="7" t="s">
        <v>671</v>
      </c>
      <c r="G1" s="7" t="s">
        <v>672</v>
      </c>
      <c r="H1" s="7" t="s">
        <v>673</v>
      </c>
      <c r="I1" s="7" t="s">
        <v>674</v>
      </c>
      <c r="J1" s="7" t="s">
        <v>675</v>
      </c>
      <c r="K1" s="7" t="s">
        <v>676</v>
      </c>
      <c r="L1" s="7" t="s">
        <v>677</v>
      </c>
      <c r="M1" s="7" t="s">
        <v>678</v>
      </c>
      <c r="N1" s="7" t="s">
        <v>689</v>
      </c>
      <c r="O1" s="7" t="s">
        <v>686</v>
      </c>
      <c r="P1" s="7" t="s">
        <v>687</v>
      </c>
      <c r="Q1" s="7" t="s">
        <v>688</v>
      </c>
      <c r="R1" s="7" t="s">
        <v>683</v>
      </c>
      <c r="S1" s="7" t="s">
        <v>682</v>
      </c>
      <c r="T1" s="7" t="s">
        <v>3</v>
      </c>
      <c r="U1" s="7" t="s">
        <v>4</v>
      </c>
      <c r="V1" s="7" t="s">
        <v>5</v>
      </c>
      <c r="W1" s="7" t="s">
        <v>6</v>
      </c>
      <c r="X1" s="7" t="s">
        <v>7</v>
      </c>
      <c r="Y1" s="7" t="s">
        <v>8</v>
      </c>
      <c r="Z1" s="7" t="s">
        <v>9</v>
      </c>
      <c r="AA1" s="7" t="s">
        <v>10</v>
      </c>
      <c r="AB1" s="7" t="s">
        <v>11</v>
      </c>
      <c r="AC1" s="7" t="s">
        <v>12</v>
      </c>
      <c r="AD1" s="7" t="s">
        <v>13</v>
      </c>
      <c r="AE1" s="7" t="s">
        <v>14</v>
      </c>
      <c r="AF1" s="7" t="s">
        <v>15</v>
      </c>
      <c r="AG1" s="7" t="s">
        <v>16</v>
      </c>
      <c r="AH1" s="7" t="s">
        <v>17</v>
      </c>
    </row>
    <row r="2" spans="1:34" x14ac:dyDescent="0.2">
      <c r="A2" t="s">
        <v>447</v>
      </c>
      <c r="B2" t="s">
        <v>133</v>
      </c>
      <c r="C2" t="s">
        <v>448</v>
      </c>
      <c r="D2" t="s">
        <v>680</v>
      </c>
      <c r="E2" t="s">
        <v>449</v>
      </c>
      <c r="F2" t="s">
        <v>450</v>
      </c>
      <c r="G2" s="2">
        <v>36363</v>
      </c>
      <c r="H2" s="2">
        <v>43210</v>
      </c>
      <c r="I2">
        <f t="shared" ref="I2:I34" si="0">DATEDIF(G2,H2,"Y")</f>
        <v>18</v>
      </c>
      <c r="J2">
        <v>1</v>
      </c>
      <c r="K2" t="s">
        <v>451</v>
      </c>
      <c r="L2">
        <v>200</v>
      </c>
      <c r="M2" t="s">
        <v>450</v>
      </c>
      <c r="N2">
        <v>1</v>
      </c>
      <c r="O2">
        <v>3</v>
      </c>
      <c r="P2">
        <v>1</v>
      </c>
      <c r="Q2">
        <v>0</v>
      </c>
      <c r="R2" t="str">
        <f>IF(B2=S2,"TRUE","FALSE")</f>
        <v>TRUE</v>
      </c>
      <c r="S2" t="s">
        <v>133</v>
      </c>
      <c r="T2">
        <v>210836.62700000001</v>
      </c>
      <c r="U2">
        <v>24161.565549999999</v>
      </c>
      <c r="V2">
        <v>429323.78090000001</v>
      </c>
      <c r="W2">
        <v>166098.82250000001</v>
      </c>
      <c r="X2">
        <v>47694.041190000004</v>
      </c>
      <c r="Y2">
        <v>5962.5990579999998</v>
      </c>
      <c r="Z2">
        <v>1910.045147</v>
      </c>
      <c r="AA2">
        <v>8517.2445389999993</v>
      </c>
      <c r="AB2">
        <v>57626.917520000003</v>
      </c>
      <c r="AC2">
        <v>34916.670859999998</v>
      </c>
      <c r="AD2">
        <v>2684.5903239999998</v>
      </c>
      <c r="AE2">
        <v>246649.10769999999</v>
      </c>
      <c r="AF2">
        <v>42165.291980000002</v>
      </c>
      <c r="AG2">
        <v>30404.01226</v>
      </c>
      <c r="AH2">
        <v>100302.06849999999</v>
      </c>
    </row>
    <row r="3" spans="1:34" x14ac:dyDescent="0.2">
      <c r="A3" t="s">
        <v>452</v>
      </c>
      <c r="B3" t="s">
        <v>99</v>
      </c>
      <c r="C3" t="s">
        <v>453</v>
      </c>
      <c r="D3" t="s">
        <v>681</v>
      </c>
      <c r="E3" t="s">
        <v>454</v>
      </c>
      <c r="F3" t="s">
        <v>455</v>
      </c>
      <c r="G3" s="2">
        <v>21294</v>
      </c>
      <c r="H3" s="2">
        <v>43210</v>
      </c>
      <c r="I3">
        <f t="shared" si="0"/>
        <v>60</v>
      </c>
      <c r="J3">
        <v>1</v>
      </c>
      <c r="K3" t="s">
        <v>456</v>
      </c>
      <c r="L3">
        <v>1269</v>
      </c>
      <c r="M3">
        <v>8</v>
      </c>
      <c r="N3">
        <v>0</v>
      </c>
      <c r="O3">
        <v>3</v>
      </c>
      <c r="P3">
        <v>0</v>
      </c>
      <c r="Q3">
        <v>1</v>
      </c>
      <c r="R3" t="str">
        <f t="shared" ref="R3:R34" si="1">+IF(B3=S3,"TRUE","FALSE")</f>
        <v>TRUE</v>
      </c>
      <c r="S3" t="s">
        <v>99</v>
      </c>
      <c r="T3">
        <v>206061.19820000001</v>
      </c>
      <c r="U3">
        <v>43380.917119999998</v>
      </c>
      <c r="V3">
        <v>222643.26939999999</v>
      </c>
      <c r="W3">
        <v>442669.17570000002</v>
      </c>
      <c r="X3">
        <v>78751.114719999998</v>
      </c>
      <c r="Y3">
        <v>7621.2872040000002</v>
      </c>
      <c r="Z3">
        <v>4643.9089309999999</v>
      </c>
      <c r="AA3">
        <v>24035.492160000002</v>
      </c>
      <c r="AB3">
        <v>9037.9884349999993</v>
      </c>
      <c r="AC3">
        <v>14518.719950000001</v>
      </c>
      <c r="AD3">
        <v>2170.8456729999998</v>
      </c>
      <c r="AE3">
        <v>46535.149700000002</v>
      </c>
      <c r="AF3">
        <v>65097.070650000001</v>
      </c>
      <c r="AG3">
        <v>23557.566760000002</v>
      </c>
      <c r="AH3">
        <v>108104.6315</v>
      </c>
    </row>
    <row r="4" spans="1:34" x14ac:dyDescent="0.2">
      <c r="A4" t="s">
        <v>457</v>
      </c>
      <c r="B4" t="s">
        <v>308</v>
      </c>
      <c r="C4" t="s">
        <v>453</v>
      </c>
      <c r="D4" t="s">
        <v>681</v>
      </c>
      <c r="E4" t="s">
        <v>454</v>
      </c>
      <c r="F4" t="s">
        <v>455</v>
      </c>
      <c r="G4" s="2">
        <v>21589</v>
      </c>
      <c r="H4" s="2">
        <v>43291</v>
      </c>
      <c r="I4">
        <f t="shared" si="0"/>
        <v>59</v>
      </c>
      <c r="J4">
        <v>1</v>
      </c>
      <c r="K4" t="s">
        <v>451</v>
      </c>
      <c r="L4">
        <v>3000</v>
      </c>
      <c r="M4">
        <v>9</v>
      </c>
      <c r="N4">
        <v>1</v>
      </c>
      <c r="O4">
        <v>2</v>
      </c>
      <c r="P4" s="8">
        <v>1</v>
      </c>
      <c r="Q4" s="8">
        <v>0</v>
      </c>
      <c r="R4" t="str">
        <f t="shared" si="1"/>
        <v>TRUE</v>
      </c>
      <c r="S4" t="s">
        <v>308</v>
      </c>
      <c r="T4">
        <v>79982.828039999993</v>
      </c>
      <c r="U4">
        <v>938.31885639999996</v>
      </c>
      <c r="V4">
        <v>222841.0576</v>
      </c>
      <c r="W4">
        <v>57371.503340000003</v>
      </c>
      <c r="X4">
        <v>7352.0578219999998</v>
      </c>
      <c r="Y4">
        <v>29892.222470000001</v>
      </c>
      <c r="Z4">
        <v>551.63103420000004</v>
      </c>
      <c r="AA4">
        <v>35707.650560000002</v>
      </c>
      <c r="AB4">
        <v>128398.59299999999</v>
      </c>
      <c r="AC4">
        <v>62091.508070000003</v>
      </c>
      <c r="AD4">
        <v>1198.380709</v>
      </c>
      <c r="AE4">
        <v>10272.93355</v>
      </c>
      <c r="AF4">
        <v>12665.54385</v>
      </c>
      <c r="AG4">
        <v>13670.62162</v>
      </c>
      <c r="AH4">
        <v>502892.87310000003</v>
      </c>
    </row>
    <row r="5" spans="1:34" x14ac:dyDescent="0.2">
      <c r="A5" t="s">
        <v>458</v>
      </c>
      <c r="B5" t="s">
        <v>97</v>
      </c>
      <c r="C5" t="s">
        <v>448</v>
      </c>
      <c r="D5" t="s">
        <v>680</v>
      </c>
      <c r="E5" t="s">
        <v>459</v>
      </c>
      <c r="F5" t="s">
        <v>450</v>
      </c>
      <c r="G5" s="2">
        <v>21741</v>
      </c>
      <c r="H5" s="2">
        <v>43297</v>
      </c>
      <c r="I5">
        <f t="shared" si="0"/>
        <v>59</v>
      </c>
      <c r="J5">
        <v>1</v>
      </c>
      <c r="K5" t="s">
        <v>456</v>
      </c>
      <c r="L5">
        <v>289</v>
      </c>
      <c r="M5" t="s">
        <v>450</v>
      </c>
      <c r="N5">
        <v>0</v>
      </c>
      <c r="O5">
        <v>2</v>
      </c>
      <c r="P5">
        <v>1</v>
      </c>
      <c r="Q5">
        <v>0</v>
      </c>
      <c r="R5" t="str">
        <f t="shared" si="1"/>
        <v>TRUE</v>
      </c>
      <c r="S5" t="s">
        <v>97</v>
      </c>
      <c r="T5">
        <v>103939.1036</v>
      </c>
      <c r="U5">
        <v>4472.1348479999997</v>
      </c>
      <c r="V5">
        <v>206547.48699999999</v>
      </c>
      <c r="W5">
        <v>167366.10490000001</v>
      </c>
      <c r="X5">
        <v>51668.232989999997</v>
      </c>
      <c r="Y5">
        <v>17275.223559999999</v>
      </c>
      <c r="Z5">
        <v>1149.543363</v>
      </c>
      <c r="AA5">
        <v>7708.5577640000001</v>
      </c>
      <c r="AB5">
        <v>29127.293180000001</v>
      </c>
      <c r="AC5">
        <v>10071.594279999999</v>
      </c>
      <c r="AD5">
        <v>1125.7673050000001</v>
      </c>
      <c r="AE5">
        <v>33767.196300000003</v>
      </c>
      <c r="AF5">
        <v>39385.802609999999</v>
      </c>
      <c r="AG5">
        <v>15505.36579</v>
      </c>
      <c r="AH5">
        <v>145542.41519999999</v>
      </c>
    </row>
    <row r="6" spans="1:34" x14ac:dyDescent="0.2">
      <c r="A6" t="s">
        <v>460</v>
      </c>
      <c r="B6" t="s">
        <v>74</v>
      </c>
      <c r="C6" t="s">
        <v>453</v>
      </c>
      <c r="D6" t="s">
        <v>681</v>
      </c>
      <c r="E6" t="s">
        <v>461</v>
      </c>
      <c r="F6" t="s">
        <v>462</v>
      </c>
      <c r="G6" s="2">
        <v>30401</v>
      </c>
      <c r="H6" s="2">
        <v>43300</v>
      </c>
      <c r="I6">
        <f t="shared" si="0"/>
        <v>35</v>
      </c>
      <c r="J6">
        <v>1</v>
      </c>
      <c r="K6" t="s">
        <v>451</v>
      </c>
      <c r="L6">
        <v>250</v>
      </c>
      <c r="M6">
        <v>0</v>
      </c>
      <c r="N6">
        <v>0</v>
      </c>
      <c r="O6">
        <v>2</v>
      </c>
      <c r="P6" s="8">
        <v>1</v>
      </c>
      <c r="Q6" s="8">
        <v>0</v>
      </c>
      <c r="R6" t="str">
        <f t="shared" si="1"/>
        <v>TRUE</v>
      </c>
      <c r="S6" t="s">
        <v>74</v>
      </c>
      <c r="T6">
        <v>186325.42319999999</v>
      </c>
      <c r="U6">
        <v>36918.847379999999</v>
      </c>
      <c r="V6">
        <v>131716.08360000001</v>
      </c>
      <c r="W6">
        <v>159657.56469999999</v>
      </c>
      <c r="X6">
        <v>96187.646479999996</v>
      </c>
      <c r="Y6">
        <v>10444.8297</v>
      </c>
      <c r="Z6">
        <v>11058.554700000001</v>
      </c>
      <c r="AA6">
        <v>5361.2462100000002</v>
      </c>
      <c r="AB6">
        <v>22001.877509999998</v>
      </c>
      <c r="AC6">
        <v>17563.395079999998</v>
      </c>
      <c r="AD6">
        <v>1863.2028849999999</v>
      </c>
      <c r="AE6">
        <v>60941.683140000001</v>
      </c>
      <c r="AF6">
        <v>92545.677729999996</v>
      </c>
      <c r="AG6">
        <v>23576.175759999998</v>
      </c>
      <c r="AH6">
        <v>80312.230739999999</v>
      </c>
    </row>
    <row r="7" spans="1:34" x14ac:dyDescent="0.2">
      <c r="A7" t="s">
        <v>463</v>
      </c>
      <c r="B7" t="s">
        <v>266</v>
      </c>
      <c r="C7" t="s">
        <v>464</v>
      </c>
      <c r="D7" t="s">
        <v>681</v>
      </c>
      <c r="E7" t="s">
        <v>465</v>
      </c>
      <c r="F7" t="s">
        <v>455</v>
      </c>
      <c r="G7" s="2">
        <v>29526</v>
      </c>
      <c r="H7" s="2">
        <v>43301</v>
      </c>
      <c r="I7">
        <f t="shared" si="0"/>
        <v>37</v>
      </c>
      <c r="J7">
        <v>1</v>
      </c>
      <c r="K7" t="s">
        <v>456</v>
      </c>
      <c r="L7">
        <v>70</v>
      </c>
      <c r="M7">
        <v>6</v>
      </c>
      <c r="N7">
        <v>0</v>
      </c>
      <c r="O7">
        <v>2</v>
      </c>
      <c r="P7" s="8">
        <v>1</v>
      </c>
      <c r="Q7" s="8">
        <v>0</v>
      </c>
      <c r="R7" t="str">
        <f t="shared" si="1"/>
        <v>TRUE</v>
      </c>
      <c r="S7" t="s">
        <v>266</v>
      </c>
      <c r="T7">
        <v>82109.235000000001</v>
      </c>
      <c r="U7">
        <v>41848.22365</v>
      </c>
      <c r="V7">
        <v>967104.78890000004</v>
      </c>
      <c r="W7">
        <v>69001.329740000001</v>
      </c>
      <c r="X7">
        <v>24791.354790000001</v>
      </c>
      <c r="Y7">
        <v>5654.3052109999999</v>
      </c>
      <c r="Z7">
        <v>2681.414436</v>
      </c>
      <c r="AA7">
        <v>36578.377439999997</v>
      </c>
      <c r="AB7">
        <v>15741.35872</v>
      </c>
      <c r="AC7">
        <v>35991.152179999997</v>
      </c>
      <c r="AD7">
        <v>22443.801729999999</v>
      </c>
      <c r="AE7">
        <v>49271.046730000002</v>
      </c>
      <c r="AF7">
        <v>16323.66553</v>
      </c>
      <c r="AG7">
        <v>66453.764739999999</v>
      </c>
      <c r="AH7">
        <v>403329.34080000001</v>
      </c>
    </row>
    <row r="8" spans="1:34" x14ac:dyDescent="0.2">
      <c r="A8" t="s">
        <v>618</v>
      </c>
      <c r="B8" t="s">
        <v>287</v>
      </c>
      <c r="C8" t="s">
        <v>453</v>
      </c>
      <c r="D8" t="s">
        <v>681</v>
      </c>
      <c r="E8" t="s">
        <v>461</v>
      </c>
      <c r="F8" t="s">
        <v>462</v>
      </c>
      <c r="G8" s="2">
        <v>32618</v>
      </c>
      <c r="H8" s="2">
        <v>43308</v>
      </c>
      <c r="I8">
        <f t="shared" si="0"/>
        <v>29</v>
      </c>
      <c r="J8">
        <v>1</v>
      </c>
      <c r="K8" t="s">
        <v>451</v>
      </c>
      <c r="L8">
        <v>2826</v>
      </c>
      <c r="M8">
        <v>5</v>
      </c>
      <c r="N8">
        <v>0</v>
      </c>
      <c r="O8">
        <v>1</v>
      </c>
      <c r="P8" s="8">
        <v>1</v>
      </c>
      <c r="Q8" s="8">
        <v>0</v>
      </c>
      <c r="R8" t="str">
        <f t="shared" si="1"/>
        <v>TRUE</v>
      </c>
      <c r="S8" t="s">
        <v>287</v>
      </c>
      <c r="T8">
        <v>55763.972130000002</v>
      </c>
      <c r="U8">
        <v>1518900.64</v>
      </c>
      <c r="V8">
        <v>277404.1789</v>
      </c>
      <c r="W8">
        <v>50004.262640000001</v>
      </c>
      <c r="X8">
        <v>58872.798410000003</v>
      </c>
      <c r="Y8">
        <v>8883.4321820000005</v>
      </c>
      <c r="Z8">
        <v>2324.2585389999999</v>
      </c>
      <c r="AA8">
        <v>51695.603710000003</v>
      </c>
      <c r="AB8">
        <v>61849.987609999996</v>
      </c>
      <c r="AC8">
        <v>111568.19319999999</v>
      </c>
      <c r="AD8">
        <v>3130.2666549999999</v>
      </c>
      <c r="AE8">
        <v>511532.9681</v>
      </c>
      <c r="AF8">
        <v>150779.35879999999</v>
      </c>
      <c r="AG8">
        <v>7858.4073580000004</v>
      </c>
      <c r="AH8">
        <v>75594.488329999993</v>
      </c>
    </row>
    <row r="9" spans="1:34" x14ac:dyDescent="0.2">
      <c r="A9" t="s">
        <v>468</v>
      </c>
      <c r="B9" t="s">
        <v>433</v>
      </c>
      <c r="C9" t="s">
        <v>448</v>
      </c>
      <c r="D9" t="s">
        <v>680</v>
      </c>
      <c r="E9" t="s">
        <v>459</v>
      </c>
      <c r="F9" t="s">
        <v>450</v>
      </c>
      <c r="G9" s="2">
        <v>36594</v>
      </c>
      <c r="H9" s="2">
        <v>43320</v>
      </c>
      <c r="I9">
        <f t="shared" si="0"/>
        <v>18</v>
      </c>
      <c r="J9">
        <v>1</v>
      </c>
      <c r="K9" t="s">
        <v>451</v>
      </c>
      <c r="L9">
        <v>133</v>
      </c>
      <c r="M9" t="s">
        <v>450</v>
      </c>
      <c r="N9">
        <v>0</v>
      </c>
      <c r="O9">
        <v>2</v>
      </c>
      <c r="P9">
        <v>1</v>
      </c>
      <c r="Q9">
        <v>0</v>
      </c>
      <c r="R9" t="str">
        <f t="shared" si="1"/>
        <v>TRUE</v>
      </c>
      <c r="S9" t="s">
        <v>433</v>
      </c>
      <c r="T9">
        <v>160012.30489999999</v>
      </c>
      <c r="U9">
        <v>51404.358590000003</v>
      </c>
      <c r="V9">
        <v>1054016.689</v>
      </c>
      <c r="W9">
        <v>64889.824930000002</v>
      </c>
      <c r="X9">
        <v>53300.115570000002</v>
      </c>
      <c r="Y9">
        <v>3141.356217</v>
      </c>
      <c r="Z9">
        <v>2455.883969</v>
      </c>
      <c r="AA9">
        <v>19484.459019999998</v>
      </c>
      <c r="AB9">
        <v>11287.22985</v>
      </c>
      <c r="AC9">
        <v>22201.096020000001</v>
      </c>
      <c r="AD9">
        <v>2239.2410570000002</v>
      </c>
      <c r="AE9">
        <v>159321.0484</v>
      </c>
      <c r="AF9">
        <v>52478.636140000002</v>
      </c>
      <c r="AG9">
        <v>68697.8266</v>
      </c>
      <c r="AH9">
        <v>639904.59860000003</v>
      </c>
    </row>
    <row r="10" spans="1:34" x14ac:dyDescent="0.2">
      <c r="A10" t="s">
        <v>469</v>
      </c>
      <c r="B10" t="s">
        <v>381</v>
      </c>
      <c r="C10" t="s">
        <v>448</v>
      </c>
      <c r="D10" t="s">
        <v>680</v>
      </c>
      <c r="E10" t="s">
        <v>459</v>
      </c>
      <c r="F10" t="s">
        <v>450</v>
      </c>
      <c r="G10" s="2">
        <v>32592</v>
      </c>
      <c r="H10" s="2">
        <v>43321</v>
      </c>
      <c r="I10">
        <f t="shared" si="0"/>
        <v>29</v>
      </c>
      <c r="J10">
        <v>1</v>
      </c>
      <c r="K10" t="s">
        <v>451</v>
      </c>
      <c r="L10">
        <v>125</v>
      </c>
      <c r="M10" t="s">
        <v>450</v>
      </c>
      <c r="N10">
        <v>1</v>
      </c>
      <c r="O10">
        <v>3</v>
      </c>
      <c r="P10" s="8">
        <v>1</v>
      </c>
      <c r="Q10" s="8">
        <v>0</v>
      </c>
      <c r="R10" t="str">
        <f t="shared" si="1"/>
        <v>TRUE</v>
      </c>
      <c r="S10" t="s">
        <v>381</v>
      </c>
      <c r="T10">
        <v>121204.67419999999</v>
      </c>
      <c r="U10">
        <v>76077.230280000003</v>
      </c>
      <c r="V10">
        <v>617115.353</v>
      </c>
      <c r="W10">
        <v>348711.27659999998</v>
      </c>
      <c r="X10">
        <v>152842.32920000001</v>
      </c>
      <c r="Y10">
        <v>5161.0543360000001</v>
      </c>
      <c r="Z10">
        <v>2137.6646559999999</v>
      </c>
      <c r="AA10">
        <v>7120.9796679999999</v>
      </c>
      <c r="AB10">
        <v>14219.527249999999</v>
      </c>
      <c r="AC10">
        <v>60586.305350000002</v>
      </c>
      <c r="AD10">
        <v>17505.69543</v>
      </c>
      <c r="AE10">
        <v>221353.4498</v>
      </c>
      <c r="AF10">
        <v>44643.430200000003</v>
      </c>
      <c r="AG10">
        <v>19310.816060000001</v>
      </c>
      <c r="AH10">
        <v>269413.45079999999</v>
      </c>
    </row>
    <row r="11" spans="1:34" x14ac:dyDescent="0.2">
      <c r="A11" t="s">
        <v>471</v>
      </c>
      <c r="B11" t="s">
        <v>55</v>
      </c>
      <c r="C11" t="s">
        <v>464</v>
      </c>
      <c r="D11" t="s">
        <v>681</v>
      </c>
      <c r="E11" t="s">
        <v>465</v>
      </c>
      <c r="F11" t="s">
        <v>462</v>
      </c>
      <c r="G11" s="2">
        <v>32901</v>
      </c>
      <c r="H11" s="2">
        <v>43296</v>
      </c>
      <c r="I11">
        <f t="shared" si="0"/>
        <v>28</v>
      </c>
      <c r="J11">
        <v>1</v>
      </c>
      <c r="K11" t="s">
        <v>451</v>
      </c>
      <c r="L11">
        <v>796</v>
      </c>
      <c r="M11">
        <v>6</v>
      </c>
      <c r="N11">
        <v>0</v>
      </c>
      <c r="O11">
        <v>2</v>
      </c>
      <c r="P11" s="8">
        <v>1</v>
      </c>
      <c r="Q11" s="8">
        <v>0</v>
      </c>
      <c r="R11" t="str">
        <f t="shared" si="1"/>
        <v>TRUE</v>
      </c>
      <c r="S11" t="s">
        <v>55</v>
      </c>
      <c r="T11">
        <v>59277.854610000002</v>
      </c>
      <c r="U11">
        <v>160912.39290000001</v>
      </c>
      <c r="V11">
        <v>138485.55290000001</v>
      </c>
      <c r="W11">
        <v>50875.789190000003</v>
      </c>
      <c r="X11">
        <v>45254.655680000003</v>
      </c>
      <c r="Y11">
        <v>11405.658600000001</v>
      </c>
      <c r="Z11">
        <v>4284.6046370000004</v>
      </c>
      <c r="AA11">
        <v>9665.3309590000008</v>
      </c>
      <c r="AB11">
        <v>9014.1255000000001</v>
      </c>
      <c r="AC11">
        <v>25665.77765</v>
      </c>
      <c r="AD11">
        <v>1532.8359579999999</v>
      </c>
      <c r="AE11">
        <v>214871.2108</v>
      </c>
      <c r="AF11">
        <v>54070.144500000002</v>
      </c>
      <c r="AG11">
        <v>4857.7283710000002</v>
      </c>
      <c r="AH11">
        <v>37597.558440000001</v>
      </c>
    </row>
    <row r="12" spans="1:34" x14ac:dyDescent="0.2">
      <c r="A12" t="s">
        <v>649</v>
      </c>
      <c r="B12" t="s">
        <v>178</v>
      </c>
      <c r="C12" t="s">
        <v>453</v>
      </c>
      <c r="D12" t="s">
        <v>681</v>
      </c>
      <c r="E12" t="s">
        <v>454</v>
      </c>
      <c r="F12" t="s">
        <v>462</v>
      </c>
      <c r="G12" s="2">
        <v>29445</v>
      </c>
      <c r="H12" s="2">
        <v>43329</v>
      </c>
      <c r="I12">
        <f t="shared" si="0"/>
        <v>38</v>
      </c>
      <c r="J12">
        <v>1</v>
      </c>
      <c r="K12" t="s">
        <v>451</v>
      </c>
      <c r="L12">
        <v>2043</v>
      </c>
      <c r="M12">
        <v>8</v>
      </c>
      <c r="N12">
        <v>1</v>
      </c>
      <c r="O12">
        <v>2</v>
      </c>
      <c r="P12" s="8">
        <v>0</v>
      </c>
      <c r="Q12" s="8">
        <v>0</v>
      </c>
      <c r="R12" t="str">
        <f t="shared" si="1"/>
        <v>TRUE</v>
      </c>
      <c r="S12" t="s">
        <v>178</v>
      </c>
      <c r="T12">
        <v>84782.201960000006</v>
      </c>
      <c r="U12">
        <v>39773.50705</v>
      </c>
      <c r="V12">
        <v>270447.55330000003</v>
      </c>
      <c r="W12">
        <v>78268.701130000001</v>
      </c>
      <c r="X12">
        <v>37720.631009999997</v>
      </c>
      <c r="Y12">
        <v>5242.8999089999998</v>
      </c>
      <c r="Z12">
        <v>3084.359168</v>
      </c>
      <c r="AA12">
        <v>6800.3290999999999</v>
      </c>
      <c r="AB12">
        <v>16083.416149999999</v>
      </c>
      <c r="AC12">
        <v>21760.583500000001</v>
      </c>
      <c r="AD12">
        <v>1813.582541</v>
      </c>
      <c r="AE12">
        <v>49057.940750000002</v>
      </c>
      <c r="AF12">
        <v>19059.174739999999</v>
      </c>
      <c r="AG12">
        <v>37174.558870000001</v>
      </c>
      <c r="AH12">
        <v>88558.926569999996</v>
      </c>
    </row>
    <row r="13" spans="1:34" x14ac:dyDescent="0.2">
      <c r="A13" t="s">
        <v>473</v>
      </c>
      <c r="B13" t="s">
        <v>237</v>
      </c>
      <c r="C13" t="s">
        <v>448</v>
      </c>
      <c r="D13" t="s">
        <v>680</v>
      </c>
      <c r="E13" t="s">
        <v>449</v>
      </c>
      <c r="F13" t="s">
        <v>450</v>
      </c>
      <c r="G13" s="2">
        <v>32770</v>
      </c>
      <c r="H13" s="2">
        <v>43341</v>
      </c>
      <c r="I13">
        <f t="shared" si="0"/>
        <v>28</v>
      </c>
      <c r="J13">
        <v>1</v>
      </c>
      <c r="K13" t="s">
        <v>451</v>
      </c>
      <c r="L13">
        <v>56</v>
      </c>
      <c r="M13" t="s">
        <v>450</v>
      </c>
      <c r="N13">
        <v>1</v>
      </c>
      <c r="O13">
        <v>2</v>
      </c>
      <c r="P13">
        <v>1</v>
      </c>
      <c r="Q13">
        <v>0</v>
      </c>
      <c r="R13" t="str">
        <f t="shared" si="1"/>
        <v>TRUE</v>
      </c>
      <c r="S13" t="s">
        <v>237</v>
      </c>
      <c r="T13">
        <v>34848.438759999997</v>
      </c>
      <c r="U13">
        <v>77790.058220000006</v>
      </c>
      <c r="V13">
        <v>243763.65109999999</v>
      </c>
      <c r="W13">
        <v>44015.851300000002</v>
      </c>
      <c r="X13">
        <v>85675.802179999999</v>
      </c>
      <c r="Y13">
        <v>3847.973035</v>
      </c>
      <c r="Z13">
        <v>2487.6949800000002</v>
      </c>
      <c r="AA13">
        <v>14765.70464</v>
      </c>
      <c r="AB13">
        <v>9728.6784320000006</v>
      </c>
      <c r="AC13">
        <v>41617.421309999998</v>
      </c>
      <c r="AD13">
        <v>2033.119657</v>
      </c>
      <c r="AE13">
        <v>270015.16840000002</v>
      </c>
      <c r="AF13">
        <v>15981.385979999999</v>
      </c>
      <c r="AG13">
        <v>54291.622649999998</v>
      </c>
      <c r="AH13">
        <v>117382.73119999999</v>
      </c>
    </row>
    <row r="14" spans="1:34" x14ac:dyDescent="0.2">
      <c r="A14" t="s">
        <v>474</v>
      </c>
      <c r="B14" t="s">
        <v>444</v>
      </c>
      <c r="C14" t="s">
        <v>464</v>
      </c>
      <c r="D14" t="s">
        <v>681</v>
      </c>
      <c r="E14" t="s">
        <v>465</v>
      </c>
      <c r="F14" t="s">
        <v>462</v>
      </c>
      <c r="G14" s="2">
        <v>21233</v>
      </c>
      <c r="H14" s="2">
        <v>43350</v>
      </c>
      <c r="I14">
        <f t="shared" si="0"/>
        <v>60</v>
      </c>
      <c r="J14">
        <v>1</v>
      </c>
      <c r="K14" t="s">
        <v>451</v>
      </c>
      <c r="L14">
        <v>992</v>
      </c>
      <c r="M14">
        <v>1</v>
      </c>
      <c r="N14">
        <v>0</v>
      </c>
      <c r="O14">
        <v>3</v>
      </c>
      <c r="P14" s="8">
        <v>1</v>
      </c>
      <c r="Q14" s="8">
        <v>0</v>
      </c>
      <c r="R14" t="str">
        <f t="shared" si="1"/>
        <v>TRUE</v>
      </c>
      <c r="S14" t="s">
        <v>444</v>
      </c>
      <c r="T14">
        <v>11637.03083</v>
      </c>
      <c r="U14">
        <v>22345.005639999999</v>
      </c>
      <c r="V14">
        <v>400551.68729999999</v>
      </c>
      <c r="W14">
        <v>34588.656799999997</v>
      </c>
      <c r="X14">
        <v>14992.851640000001</v>
      </c>
      <c r="Y14">
        <v>17077.501509999998</v>
      </c>
      <c r="Z14">
        <v>2419.7585690000001</v>
      </c>
      <c r="AA14">
        <v>18695.13925</v>
      </c>
      <c r="AB14">
        <v>17335.169109999999</v>
      </c>
      <c r="AC14">
        <v>26698.37959</v>
      </c>
      <c r="AD14">
        <v>1511.4919970000001</v>
      </c>
      <c r="AE14">
        <v>461345.84980000003</v>
      </c>
      <c r="AF14">
        <v>93753.118199999997</v>
      </c>
      <c r="AG14">
        <v>3689.263551</v>
      </c>
      <c r="AH14">
        <v>135462.52679999999</v>
      </c>
    </row>
    <row r="15" spans="1:34" x14ac:dyDescent="0.2">
      <c r="A15" t="s">
        <v>475</v>
      </c>
      <c r="B15" t="s">
        <v>170</v>
      </c>
      <c r="C15" t="s">
        <v>453</v>
      </c>
      <c r="D15" t="s">
        <v>681</v>
      </c>
      <c r="E15" t="s">
        <v>476</v>
      </c>
      <c r="F15" t="s">
        <v>462</v>
      </c>
      <c r="G15" s="2">
        <v>31343</v>
      </c>
      <c r="H15" s="2">
        <v>43371</v>
      </c>
      <c r="I15">
        <f t="shared" si="0"/>
        <v>32</v>
      </c>
      <c r="J15">
        <v>1</v>
      </c>
      <c r="K15" t="s">
        <v>451</v>
      </c>
      <c r="L15">
        <v>143</v>
      </c>
      <c r="M15">
        <v>5</v>
      </c>
      <c r="N15">
        <v>0</v>
      </c>
      <c r="O15">
        <v>2</v>
      </c>
      <c r="P15" s="8">
        <v>1</v>
      </c>
      <c r="Q15" s="8">
        <v>0</v>
      </c>
      <c r="R15" t="str">
        <f t="shared" si="1"/>
        <v>TRUE</v>
      </c>
      <c r="S15" t="s">
        <v>170</v>
      </c>
      <c r="T15">
        <v>121088.8073</v>
      </c>
      <c r="U15">
        <v>342815.00229999999</v>
      </c>
      <c r="V15">
        <v>331571.09769999998</v>
      </c>
      <c r="W15">
        <v>163856.78599999999</v>
      </c>
      <c r="X15">
        <v>83402.970759999997</v>
      </c>
      <c r="Y15">
        <v>17806.866839999999</v>
      </c>
      <c r="Z15">
        <v>4677.7113529999997</v>
      </c>
      <c r="AA15">
        <v>25803.539769999999</v>
      </c>
      <c r="AB15">
        <v>38320.123500000002</v>
      </c>
      <c r="AC15">
        <v>63462.85082</v>
      </c>
      <c r="AD15">
        <v>5675.6076329999996</v>
      </c>
      <c r="AE15">
        <v>1234775.7649999999</v>
      </c>
      <c r="AF15">
        <v>24002.249510000001</v>
      </c>
      <c r="AG15">
        <v>7460.5707249999996</v>
      </c>
      <c r="AH15">
        <v>72784.852629999994</v>
      </c>
    </row>
    <row r="16" spans="1:34" x14ac:dyDescent="0.2">
      <c r="A16" t="s">
        <v>478</v>
      </c>
      <c r="B16" t="s">
        <v>416</v>
      </c>
      <c r="C16" t="s">
        <v>453</v>
      </c>
      <c r="D16" t="s">
        <v>681</v>
      </c>
      <c r="E16" t="s">
        <v>454</v>
      </c>
      <c r="F16" t="s">
        <v>462</v>
      </c>
      <c r="G16" s="2">
        <v>35211</v>
      </c>
      <c r="H16" s="2">
        <v>43104</v>
      </c>
      <c r="I16">
        <f t="shared" si="0"/>
        <v>21</v>
      </c>
      <c r="J16">
        <v>1</v>
      </c>
      <c r="K16" t="s">
        <v>451</v>
      </c>
      <c r="L16">
        <v>69</v>
      </c>
      <c r="M16">
        <v>4</v>
      </c>
      <c r="N16">
        <v>0</v>
      </c>
      <c r="O16">
        <v>2</v>
      </c>
      <c r="P16" s="8">
        <v>0</v>
      </c>
      <c r="Q16" s="8">
        <v>0</v>
      </c>
      <c r="R16" t="str">
        <f t="shared" si="1"/>
        <v>TRUE</v>
      </c>
      <c r="S16" t="s">
        <v>416</v>
      </c>
      <c r="T16">
        <v>88496.592149999997</v>
      </c>
      <c r="U16">
        <v>1515629.0220000001</v>
      </c>
      <c r="V16">
        <v>1058143.3870000001</v>
      </c>
      <c r="W16">
        <v>57124.13164</v>
      </c>
      <c r="X16">
        <v>90411.04999</v>
      </c>
      <c r="Y16">
        <v>10398.722949999999</v>
      </c>
      <c r="Z16">
        <v>10982.64803</v>
      </c>
      <c r="AA16">
        <v>46402.002520000002</v>
      </c>
      <c r="AB16">
        <v>23291.690890000002</v>
      </c>
      <c r="AC16">
        <v>87599.695049999995</v>
      </c>
      <c r="AD16">
        <v>18643.043109999999</v>
      </c>
      <c r="AE16">
        <v>317814.32919999998</v>
      </c>
      <c r="AF16">
        <v>24753.936470000001</v>
      </c>
      <c r="AG16">
        <v>69254.139389999997</v>
      </c>
      <c r="AH16">
        <v>587127.19030000002</v>
      </c>
    </row>
    <row r="17" spans="1:34" x14ac:dyDescent="0.2">
      <c r="A17" t="s">
        <v>479</v>
      </c>
      <c r="B17" t="s">
        <v>137</v>
      </c>
      <c r="C17" t="s">
        <v>453</v>
      </c>
      <c r="D17" t="s">
        <v>681</v>
      </c>
      <c r="E17" t="s">
        <v>461</v>
      </c>
      <c r="F17" t="s">
        <v>462</v>
      </c>
      <c r="G17" s="2">
        <v>23573</v>
      </c>
      <c r="H17" s="2">
        <v>43392</v>
      </c>
      <c r="I17">
        <f t="shared" si="0"/>
        <v>54</v>
      </c>
      <c r="J17">
        <v>1</v>
      </c>
      <c r="K17" t="s">
        <v>451</v>
      </c>
      <c r="L17">
        <v>6000</v>
      </c>
      <c r="M17">
        <v>7</v>
      </c>
      <c r="N17">
        <v>0</v>
      </c>
      <c r="O17">
        <v>2</v>
      </c>
      <c r="P17" s="8">
        <v>1</v>
      </c>
      <c r="Q17" s="8">
        <v>0</v>
      </c>
      <c r="R17" t="str">
        <f t="shared" si="1"/>
        <v>TRUE</v>
      </c>
      <c r="S17" t="s">
        <v>137</v>
      </c>
      <c r="T17">
        <v>456896.9987</v>
      </c>
      <c r="U17">
        <v>22173.729139999999</v>
      </c>
      <c r="V17">
        <v>289068.68680000002</v>
      </c>
      <c r="W17">
        <v>465433.90529999998</v>
      </c>
      <c r="X17">
        <v>93775.37341</v>
      </c>
      <c r="Y17">
        <v>72401.782579999999</v>
      </c>
      <c r="Z17">
        <v>4919.0395619999999</v>
      </c>
      <c r="AA17">
        <v>28172.414990000001</v>
      </c>
      <c r="AB17">
        <v>19708.065760000001</v>
      </c>
      <c r="AC17">
        <v>66449.053069999994</v>
      </c>
      <c r="AD17">
        <v>1598.902824</v>
      </c>
      <c r="AE17">
        <v>19320.043440000001</v>
      </c>
      <c r="AF17">
        <v>33640.265630000002</v>
      </c>
      <c r="AG17">
        <v>19073.145779999999</v>
      </c>
      <c r="AH17">
        <v>504572.52710000001</v>
      </c>
    </row>
    <row r="18" spans="1:34" x14ac:dyDescent="0.2">
      <c r="A18" t="s">
        <v>480</v>
      </c>
      <c r="B18" t="s">
        <v>423</v>
      </c>
      <c r="C18" t="s">
        <v>448</v>
      </c>
      <c r="D18" t="s">
        <v>680</v>
      </c>
      <c r="E18" t="s">
        <v>459</v>
      </c>
      <c r="F18" t="s">
        <v>450</v>
      </c>
      <c r="G18" s="2">
        <v>26190</v>
      </c>
      <c r="H18" s="2">
        <v>43409</v>
      </c>
      <c r="I18">
        <f t="shared" si="0"/>
        <v>47</v>
      </c>
      <c r="J18">
        <v>1</v>
      </c>
      <c r="K18" t="s">
        <v>451</v>
      </c>
      <c r="L18">
        <v>189</v>
      </c>
      <c r="M18">
        <v>5</v>
      </c>
      <c r="N18">
        <v>0</v>
      </c>
      <c r="O18">
        <v>2</v>
      </c>
      <c r="P18">
        <v>1</v>
      </c>
      <c r="Q18">
        <v>0</v>
      </c>
      <c r="R18" t="str">
        <f t="shared" si="1"/>
        <v>TRUE</v>
      </c>
      <c r="S18" t="s">
        <v>423</v>
      </c>
      <c r="T18">
        <v>48823.177250000001</v>
      </c>
      <c r="U18">
        <v>135318.4584</v>
      </c>
      <c r="V18">
        <v>579878.82810000004</v>
      </c>
      <c r="W18">
        <v>58677.996050000002</v>
      </c>
      <c r="X18">
        <v>39033.455199999997</v>
      </c>
      <c r="Y18">
        <v>8443.4687560000002</v>
      </c>
      <c r="Z18">
        <v>2019.6404620000001</v>
      </c>
      <c r="AA18">
        <v>51097.924859999999</v>
      </c>
      <c r="AB18">
        <v>97547.410820000005</v>
      </c>
      <c r="AC18">
        <v>100582.1479</v>
      </c>
      <c r="AD18">
        <v>932.73137870000005</v>
      </c>
      <c r="AE18">
        <v>575370.49849999999</v>
      </c>
      <c r="AF18">
        <v>7407.766259</v>
      </c>
      <c r="AG18">
        <v>5571.0400410000002</v>
      </c>
      <c r="AH18">
        <v>119329.0895</v>
      </c>
    </row>
    <row r="19" spans="1:34" x14ac:dyDescent="0.2">
      <c r="A19" t="s">
        <v>636</v>
      </c>
      <c r="B19" t="s">
        <v>130</v>
      </c>
      <c r="C19" t="s">
        <v>453</v>
      </c>
      <c r="D19" t="s">
        <v>681</v>
      </c>
      <c r="E19" t="s">
        <v>461</v>
      </c>
      <c r="F19" t="s">
        <v>462</v>
      </c>
      <c r="G19" s="2">
        <v>24908</v>
      </c>
      <c r="H19" s="2">
        <v>43411</v>
      </c>
      <c r="I19">
        <f t="shared" si="0"/>
        <v>50</v>
      </c>
      <c r="J19">
        <v>1</v>
      </c>
      <c r="K19" t="s">
        <v>451</v>
      </c>
      <c r="L19">
        <v>322</v>
      </c>
      <c r="M19">
        <v>4</v>
      </c>
      <c r="N19">
        <v>1</v>
      </c>
      <c r="O19">
        <v>2</v>
      </c>
      <c r="P19" s="8">
        <v>0</v>
      </c>
      <c r="Q19" s="8">
        <v>0</v>
      </c>
      <c r="R19" t="str">
        <f t="shared" si="1"/>
        <v>TRUE</v>
      </c>
      <c r="S19" t="s">
        <v>130</v>
      </c>
      <c r="T19">
        <v>325227.51510000002</v>
      </c>
      <c r="U19">
        <v>233127.20180000001</v>
      </c>
      <c r="V19">
        <v>104151.7387</v>
      </c>
      <c r="W19">
        <v>342729.66379999998</v>
      </c>
      <c r="X19">
        <v>449926.95569999999</v>
      </c>
      <c r="Y19">
        <v>21922.967639999999</v>
      </c>
      <c r="Z19">
        <v>3769.6729719999998</v>
      </c>
      <c r="AA19">
        <v>17440.48976</v>
      </c>
      <c r="AB19">
        <v>16307.41048</v>
      </c>
      <c r="AC19">
        <v>37379.207840000003</v>
      </c>
      <c r="AD19">
        <v>3211.5691660000002</v>
      </c>
      <c r="AE19">
        <v>268270.7219</v>
      </c>
      <c r="AF19">
        <v>38786.884590000001</v>
      </c>
      <c r="AG19">
        <v>11914.311830000001</v>
      </c>
      <c r="AH19">
        <v>27639.13349</v>
      </c>
    </row>
    <row r="20" spans="1:34" x14ac:dyDescent="0.2">
      <c r="A20" t="s">
        <v>483</v>
      </c>
      <c r="B20" t="s">
        <v>300</v>
      </c>
      <c r="C20" t="s">
        <v>453</v>
      </c>
      <c r="D20" t="s">
        <v>681</v>
      </c>
      <c r="E20" t="s">
        <v>461</v>
      </c>
      <c r="F20" t="s">
        <v>462</v>
      </c>
      <c r="G20" s="2">
        <v>29437</v>
      </c>
      <c r="H20" s="2">
        <v>43417</v>
      </c>
      <c r="I20">
        <f t="shared" si="0"/>
        <v>38</v>
      </c>
      <c r="J20">
        <v>1</v>
      </c>
      <c r="K20" t="s">
        <v>451</v>
      </c>
      <c r="L20">
        <v>1073</v>
      </c>
      <c r="M20">
        <v>10</v>
      </c>
      <c r="N20">
        <v>1</v>
      </c>
      <c r="O20">
        <v>3</v>
      </c>
      <c r="P20" s="8">
        <v>1</v>
      </c>
      <c r="Q20" s="8">
        <v>0</v>
      </c>
      <c r="R20" t="str">
        <f t="shared" si="1"/>
        <v>TRUE</v>
      </c>
      <c r="S20" t="s">
        <v>300</v>
      </c>
      <c r="T20">
        <v>278909.66259999998</v>
      </c>
      <c r="U20">
        <v>20401.27966</v>
      </c>
      <c r="V20">
        <v>303675.1005</v>
      </c>
      <c r="W20">
        <v>261250.4344</v>
      </c>
      <c r="X20">
        <v>112452.31660000001</v>
      </c>
      <c r="Y20">
        <v>27002.278160000002</v>
      </c>
      <c r="Z20">
        <v>15256.187760000001</v>
      </c>
      <c r="AA20">
        <v>67807.088969999997</v>
      </c>
      <c r="AB20">
        <v>622862.81940000004</v>
      </c>
      <c r="AC20">
        <v>284190.50030000001</v>
      </c>
      <c r="AD20">
        <v>1605.449077</v>
      </c>
      <c r="AE20">
        <v>12080.01209</v>
      </c>
      <c r="AF20">
        <v>26041.892909999999</v>
      </c>
      <c r="AG20">
        <v>31442.263630000001</v>
      </c>
      <c r="AH20">
        <v>428750.2672</v>
      </c>
    </row>
    <row r="21" spans="1:34" x14ac:dyDescent="0.2">
      <c r="A21" t="s">
        <v>484</v>
      </c>
      <c r="B21" t="s">
        <v>151</v>
      </c>
      <c r="C21" t="s">
        <v>453</v>
      </c>
      <c r="D21" t="s">
        <v>681</v>
      </c>
      <c r="E21" t="s">
        <v>476</v>
      </c>
      <c r="F21" t="s">
        <v>462</v>
      </c>
      <c r="G21" s="2">
        <v>25575</v>
      </c>
      <c r="H21" s="2">
        <v>43426</v>
      </c>
      <c r="I21">
        <f t="shared" si="0"/>
        <v>48</v>
      </c>
      <c r="J21">
        <v>1</v>
      </c>
      <c r="K21" t="s">
        <v>451</v>
      </c>
      <c r="L21">
        <v>98</v>
      </c>
      <c r="M21">
        <v>4</v>
      </c>
      <c r="N21">
        <v>0</v>
      </c>
      <c r="O21">
        <v>3</v>
      </c>
      <c r="P21" s="8">
        <v>1</v>
      </c>
      <c r="Q21" s="8">
        <v>0</v>
      </c>
      <c r="R21" t="str">
        <f t="shared" si="1"/>
        <v>TRUE</v>
      </c>
      <c r="S21" t="s">
        <v>151</v>
      </c>
      <c r="T21">
        <v>125775.61040000001</v>
      </c>
      <c r="U21">
        <v>612626.98860000004</v>
      </c>
      <c r="V21">
        <v>371740.55229999998</v>
      </c>
      <c r="W21">
        <v>154428.67389999999</v>
      </c>
      <c r="X21">
        <v>428069.16739999998</v>
      </c>
      <c r="Y21">
        <v>49885.802589999999</v>
      </c>
      <c r="Z21">
        <v>225064.23939999999</v>
      </c>
      <c r="AA21">
        <v>38814.854469999998</v>
      </c>
      <c r="AB21">
        <v>29555.34546</v>
      </c>
      <c r="AC21">
        <v>65561.727849999996</v>
      </c>
      <c r="AD21">
        <v>1916.0545910000001</v>
      </c>
      <c r="AE21">
        <v>970749.19400000002</v>
      </c>
      <c r="AF21">
        <v>40108.329769999997</v>
      </c>
      <c r="AG21">
        <v>8026.7359669999996</v>
      </c>
      <c r="AH21">
        <v>87279.036630000002</v>
      </c>
    </row>
    <row r="22" spans="1:34" x14ac:dyDescent="0.2">
      <c r="A22" t="s">
        <v>487</v>
      </c>
      <c r="B22" t="s">
        <v>222</v>
      </c>
      <c r="C22" t="s">
        <v>453</v>
      </c>
      <c r="D22" t="s">
        <v>681</v>
      </c>
      <c r="E22" t="s">
        <v>454</v>
      </c>
      <c r="F22" t="s">
        <v>462</v>
      </c>
      <c r="G22" s="2">
        <v>17139</v>
      </c>
      <c r="H22" s="2">
        <v>43427</v>
      </c>
      <c r="I22">
        <f t="shared" si="0"/>
        <v>71</v>
      </c>
      <c r="J22">
        <v>1</v>
      </c>
      <c r="K22" t="s">
        <v>451</v>
      </c>
      <c r="L22">
        <v>164</v>
      </c>
      <c r="M22">
        <v>4</v>
      </c>
      <c r="N22">
        <v>0</v>
      </c>
      <c r="O22">
        <v>1</v>
      </c>
      <c r="P22" s="8">
        <v>1</v>
      </c>
      <c r="Q22" s="8">
        <v>0</v>
      </c>
      <c r="R22" t="str">
        <f t="shared" si="1"/>
        <v>TRUE</v>
      </c>
      <c r="S22" t="s">
        <v>222</v>
      </c>
      <c r="T22">
        <v>27590.935990000002</v>
      </c>
      <c r="U22">
        <v>44420.662969999998</v>
      </c>
      <c r="V22">
        <v>212562.39170000001</v>
      </c>
      <c r="W22">
        <v>70291.528649999993</v>
      </c>
      <c r="X22">
        <v>44792.840519999998</v>
      </c>
      <c r="Y22">
        <v>59466.887150000002</v>
      </c>
      <c r="Z22">
        <v>12023.878350000001</v>
      </c>
      <c r="AA22">
        <v>93679.907980000004</v>
      </c>
      <c r="AB22">
        <v>49634.384989999999</v>
      </c>
      <c r="AC22">
        <v>183308.66880000001</v>
      </c>
      <c r="AD22">
        <v>477.79092259999999</v>
      </c>
      <c r="AE22">
        <v>2790279.0720000002</v>
      </c>
      <c r="AF22">
        <v>35181.766580000003</v>
      </c>
      <c r="AG22">
        <v>7954.467533</v>
      </c>
      <c r="AH22">
        <v>28292.820400000001</v>
      </c>
    </row>
    <row r="23" spans="1:34" x14ac:dyDescent="0.2">
      <c r="A23" t="s">
        <v>489</v>
      </c>
      <c r="B23" t="s">
        <v>164</v>
      </c>
      <c r="C23" t="s">
        <v>453</v>
      </c>
      <c r="D23" t="s">
        <v>681</v>
      </c>
      <c r="E23" t="s">
        <v>454</v>
      </c>
      <c r="F23" t="s">
        <v>462</v>
      </c>
      <c r="G23" s="2">
        <v>36196</v>
      </c>
      <c r="H23" s="2">
        <v>43462</v>
      </c>
      <c r="I23">
        <f t="shared" si="0"/>
        <v>19</v>
      </c>
      <c r="J23">
        <v>1</v>
      </c>
      <c r="K23" t="s">
        <v>451</v>
      </c>
      <c r="L23">
        <v>108</v>
      </c>
      <c r="M23">
        <v>3</v>
      </c>
      <c r="N23">
        <v>1</v>
      </c>
      <c r="O23">
        <v>1</v>
      </c>
      <c r="P23" s="8">
        <v>1</v>
      </c>
      <c r="Q23" s="8">
        <v>0</v>
      </c>
      <c r="R23" t="str">
        <f t="shared" si="1"/>
        <v>TRUE</v>
      </c>
      <c r="S23" t="s">
        <v>164</v>
      </c>
      <c r="T23">
        <v>150037.16260000001</v>
      </c>
      <c r="U23">
        <v>24501.095890000001</v>
      </c>
      <c r="V23">
        <v>668847.47950000002</v>
      </c>
      <c r="W23">
        <v>579737.97490000003</v>
      </c>
      <c r="X23">
        <v>209027.91589999999</v>
      </c>
      <c r="Y23">
        <v>8969.1992219999993</v>
      </c>
      <c r="Z23">
        <v>2356.9018529999998</v>
      </c>
      <c r="AA23">
        <v>13771.96056</v>
      </c>
      <c r="AB23">
        <v>88254.420270000002</v>
      </c>
      <c r="AC23">
        <v>64973.470549999998</v>
      </c>
      <c r="AD23">
        <v>2009.877571</v>
      </c>
      <c r="AE23">
        <v>35260.038330000003</v>
      </c>
      <c r="AF23">
        <v>45349.287170000003</v>
      </c>
      <c r="AG23">
        <v>53050.550790000001</v>
      </c>
      <c r="AH23">
        <v>1041099.939</v>
      </c>
    </row>
    <row r="24" spans="1:34" x14ac:dyDescent="0.2">
      <c r="A24" t="s">
        <v>658</v>
      </c>
      <c r="B24" t="s">
        <v>57</v>
      </c>
      <c r="C24" t="s">
        <v>448</v>
      </c>
      <c r="D24" t="s">
        <v>680</v>
      </c>
      <c r="E24" t="s">
        <v>558</v>
      </c>
      <c r="F24" t="s">
        <v>450</v>
      </c>
      <c r="G24" s="2">
        <v>32551</v>
      </c>
      <c r="H24" s="2">
        <v>43469</v>
      </c>
      <c r="I24">
        <f t="shared" si="0"/>
        <v>29</v>
      </c>
      <c r="J24">
        <v>1</v>
      </c>
      <c r="K24" t="s">
        <v>451</v>
      </c>
      <c r="L24">
        <v>510</v>
      </c>
      <c r="M24" t="s">
        <v>450</v>
      </c>
      <c r="N24">
        <v>1</v>
      </c>
      <c r="O24">
        <v>1</v>
      </c>
      <c r="P24">
        <v>1</v>
      </c>
      <c r="Q24">
        <v>0</v>
      </c>
      <c r="R24" t="str">
        <f t="shared" si="1"/>
        <v>TRUE</v>
      </c>
      <c r="S24" t="s">
        <v>57</v>
      </c>
      <c r="T24">
        <v>227217.18229999999</v>
      </c>
      <c r="U24">
        <v>485127.08799999999</v>
      </c>
      <c r="V24">
        <v>1307720.8940000001</v>
      </c>
      <c r="W24">
        <v>612047.95719999995</v>
      </c>
      <c r="X24">
        <v>58299.45433</v>
      </c>
      <c r="Y24">
        <v>13339.623680000001</v>
      </c>
      <c r="Z24">
        <v>8832.5971370000007</v>
      </c>
      <c r="AA24">
        <v>64098.991329999997</v>
      </c>
      <c r="AB24">
        <v>73128.261350000001</v>
      </c>
      <c r="AC24">
        <v>197005.46249999999</v>
      </c>
      <c r="AD24">
        <v>4129.8235009999999</v>
      </c>
      <c r="AE24">
        <v>581070.70929999999</v>
      </c>
      <c r="AF24">
        <v>140320.4466</v>
      </c>
      <c r="AG24">
        <v>117847.8509</v>
      </c>
      <c r="AH24">
        <v>634204.10809999995</v>
      </c>
    </row>
    <row r="25" spans="1:34" x14ac:dyDescent="0.2">
      <c r="A25" s="1" t="s">
        <v>492</v>
      </c>
      <c r="B25" s="1" t="s">
        <v>335</v>
      </c>
      <c r="C25" s="1" t="s">
        <v>464</v>
      </c>
      <c r="D25" s="1" t="s">
        <v>681</v>
      </c>
      <c r="E25" s="1" t="s">
        <v>465</v>
      </c>
      <c r="F25" s="1" t="s">
        <v>462</v>
      </c>
      <c r="G25" s="3">
        <v>33939</v>
      </c>
      <c r="H25" s="3">
        <v>43465</v>
      </c>
      <c r="I25" s="1">
        <v>26</v>
      </c>
      <c r="J25" s="1">
        <v>1</v>
      </c>
      <c r="K25" s="1" t="s">
        <v>451</v>
      </c>
      <c r="L25" s="1">
        <v>2103</v>
      </c>
      <c r="M25" s="1">
        <v>10</v>
      </c>
      <c r="N25" s="1">
        <v>1</v>
      </c>
      <c r="O25" s="1">
        <v>3</v>
      </c>
      <c r="P25" s="1">
        <v>1</v>
      </c>
      <c r="Q25" s="1">
        <v>0</v>
      </c>
      <c r="R25" t="str">
        <f t="shared" si="1"/>
        <v>TRUE</v>
      </c>
      <c r="S25" t="s">
        <v>335</v>
      </c>
      <c r="T25">
        <v>112340.62390000001</v>
      </c>
      <c r="U25">
        <v>39580.060409999998</v>
      </c>
      <c r="V25">
        <v>368658.4852</v>
      </c>
      <c r="W25">
        <v>69079.27721</v>
      </c>
      <c r="X25">
        <v>104237.9801</v>
      </c>
      <c r="Y25">
        <v>6266.3751089999996</v>
      </c>
      <c r="Z25">
        <v>11467.740449999999</v>
      </c>
      <c r="AA25">
        <v>99772.896429999993</v>
      </c>
      <c r="AB25">
        <v>17005.178919999998</v>
      </c>
      <c r="AC25">
        <v>176371.3193</v>
      </c>
      <c r="AD25">
        <v>2087.9578769999998</v>
      </c>
      <c r="AE25">
        <v>574631.95790000004</v>
      </c>
      <c r="AF25">
        <v>123068.0001</v>
      </c>
      <c r="AG25">
        <v>46228.592089999998</v>
      </c>
      <c r="AH25">
        <v>411414.61739999999</v>
      </c>
    </row>
    <row r="26" spans="1:34" x14ac:dyDescent="0.2">
      <c r="A26" t="s">
        <v>497</v>
      </c>
      <c r="B26" t="s">
        <v>105</v>
      </c>
      <c r="C26" t="s">
        <v>464</v>
      </c>
      <c r="D26" t="s">
        <v>681</v>
      </c>
      <c r="E26" t="s">
        <v>465</v>
      </c>
      <c r="F26" t="s">
        <v>462</v>
      </c>
      <c r="G26" s="2">
        <v>33786</v>
      </c>
      <c r="H26" s="2">
        <v>43491</v>
      </c>
      <c r="I26">
        <f t="shared" si="0"/>
        <v>26</v>
      </c>
      <c r="J26">
        <v>1</v>
      </c>
      <c r="K26" t="s">
        <v>456</v>
      </c>
      <c r="L26">
        <v>15</v>
      </c>
      <c r="M26">
        <v>1</v>
      </c>
      <c r="N26">
        <v>0</v>
      </c>
      <c r="O26">
        <v>3</v>
      </c>
      <c r="P26" s="8">
        <v>1</v>
      </c>
      <c r="Q26" s="8">
        <v>0</v>
      </c>
      <c r="R26" t="str">
        <f t="shared" si="1"/>
        <v>TRUE</v>
      </c>
      <c r="S26" t="s">
        <v>105</v>
      </c>
      <c r="T26">
        <v>583666.27029999997</v>
      </c>
      <c r="U26">
        <v>189135.54800000001</v>
      </c>
      <c r="V26">
        <v>1323760.0959999999</v>
      </c>
      <c r="W26">
        <v>542241.78170000005</v>
      </c>
      <c r="X26">
        <v>203705.22990000001</v>
      </c>
      <c r="Y26">
        <v>20466.22207</v>
      </c>
      <c r="Z26">
        <v>8340.8120369999997</v>
      </c>
      <c r="AA26">
        <v>37475.774219999999</v>
      </c>
      <c r="AB26">
        <v>93310.915609999996</v>
      </c>
      <c r="AC26">
        <v>132961.2058</v>
      </c>
      <c r="AD26">
        <v>5949.8756549999998</v>
      </c>
      <c r="AE26">
        <v>945882.79449999996</v>
      </c>
      <c r="AF26">
        <v>118881.15330000001</v>
      </c>
      <c r="AG26">
        <v>16149.93115</v>
      </c>
      <c r="AH26">
        <v>1197602.152</v>
      </c>
    </row>
    <row r="27" spans="1:34" x14ac:dyDescent="0.2">
      <c r="A27" t="s">
        <v>498</v>
      </c>
      <c r="B27" t="s">
        <v>354</v>
      </c>
      <c r="C27" t="s">
        <v>464</v>
      </c>
      <c r="D27" t="s">
        <v>681</v>
      </c>
      <c r="E27" t="s">
        <v>499</v>
      </c>
      <c r="F27" t="s">
        <v>462</v>
      </c>
      <c r="G27" s="2">
        <v>33519</v>
      </c>
      <c r="H27" s="2">
        <v>43487</v>
      </c>
      <c r="I27">
        <f t="shared" si="0"/>
        <v>27</v>
      </c>
      <c r="J27">
        <v>1</v>
      </c>
      <c r="K27" t="s">
        <v>451</v>
      </c>
      <c r="L27">
        <v>448</v>
      </c>
      <c r="M27">
        <v>2</v>
      </c>
      <c r="N27">
        <v>1</v>
      </c>
      <c r="O27">
        <v>1</v>
      </c>
      <c r="P27" s="8">
        <v>0</v>
      </c>
      <c r="Q27" s="8">
        <v>0</v>
      </c>
      <c r="R27" t="str">
        <f t="shared" si="1"/>
        <v>TRUE</v>
      </c>
      <c r="S27" t="s">
        <v>354</v>
      </c>
      <c r="T27">
        <v>32757.750309999999</v>
      </c>
      <c r="U27">
        <v>115421.2187</v>
      </c>
      <c r="V27">
        <v>182606.50099999999</v>
      </c>
      <c r="W27">
        <v>69686.474889999998</v>
      </c>
      <c r="X27">
        <v>14007.107819999999</v>
      </c>
      <c r="Y27">
        <v>22271.171149999998</v>
      </c>
      <c r="Z27">
        <v>2153.729969</v>
      </c>
      <c r="AA27">
        <v>22469.049459999998</v>
      </c>
      <c r="AB27">
        <v>29066.914540000002</v>
      </c>
      <c r="AC27">
        <v>115790.0579</v>
      </c>
      <c r="AD27">
        <v>3118.186463</v>
      </c>
      <c r="AE27">
        <v>652525.27670000005</v>
      </c>
      <c r="AF27">
        <v>6987.5327230000003</v>
      </c>
      <c r="AG27">
        <v>2403.0339730000001</v>
      </c>
      <c r="AH27">
        <v>46860.386319999998</v>
      </c>
    </row>
    <row r="28" spans="1:34" x14ac:dyDescent="0.2">
      <c r="A28" t="s">
        <v>626</v>
      </c>
      <c r="B28" t="s">
        <v>103</v>
      </c>
      <c r="C28" t="s">
        <v>453</v>
      </c>
      <c r="D28" t="s">
        <v>681</v>
      </c>
      <c r="E28" t="s">
        <v>454</v>
      </c>
      <c r="F28" t="s">
        <v>455</v>
      </c>
      <c r="G28" s="2">
        <v>36595</v>
      </c>
      <c r="H28" s="2">
        <v>43490</v>
      </c>
      <c r="I28">
        <f t="shared" si="0"/>
        <v>18</v>
      </c>
      <c r="J28">
        <v>1</v>
      </c>
      <c r="K28" t="s">
        <v>456</v>
      </c>
      <c r="L28">
        <v>1276</v>
      </c>
      <c r="M28">
        <v>11</v>
      </c>
      <c r="N28">
        <v>1</v>
      </c>
      <c r="O28">
        <v>2</v>
      </c>
      <c r="P28" s="8">
        <v>1</v>
      </c>
      <c r="Q28" s="8">
        <v>0</v>
      </c>
      <c r="R28" t="str">
        <f t="shared" si="1"/>
        <v>TRUE</v>
      </c>
      <c r="S28" t="s">
        <v>103</v>
      </c>
      <c r="T28">
        <v>163173.85999999999</v>
      </c>
      <c r="U28">
        <v>56394.030579999999</v>
      </c>
      <c r="V28">
        <v>1996747.9210000001</v>
      </c>
      <c r="W28">
        <v>397748.76779999997</v>
      </c>
      <c r="X28">
        <v>105305.4737</v>
      </c>
      <c r="Y28">
        <v>11427.959720000001</v>
      </c>
      <c r="Z28">
        <v>2047.7586590000001</v>
      </c>
      <c r="AA28">
        <v>59996.603089999997</v>
      </c>
      <c r="AB28">
        <v>622684.94279999996</v>
      </c>
      <c r="AC28">
        <v>70224.665410000001</v>
      </c>
      <c r="AD28">
        <v>7894.2976349999999</v>
      </c>
      <c r="AE28">
        <v>263814.9374</v>
      </c>
      <c r="AF28">
        <v>113042.49830000001</v>
      </c>
      <c r="AG28">
        <v>88799.948210000002</v>
      </c>
      <c r="AH28">
        <v>1328470.077</v>
      </c>
    </row>
    <row r="29" spans="1:34" x14ac:dyDescent="0.2">
      <c r="A29" t="s">
        <v>504</v>
      </c>
      <c r="B29" t="s">
        <v>112</v>
      </c>
      <c r="C29" t="s">
        <v>464</v>
      </c>
      <c r="D29" t="s">
        <v>681</v>
      </c>
      <c r="E29" t="s">
        <v>482</v>
      </c>
      <c r="F29" t="s">
        <v>462</v>
      </c>
      <c r="G29" s="2">
        <v>35185</v>
      </c>
      <c r="H29" s="2">
        <v>43501</v>
      </c>
      <c r="I29">
        <f t="shared" si="0"/>
        <v>22</v>
      </c>
      <c r="J29">
        <v>1</v>
      </c>
      <c r="K29" t="s">
        <v>456</v>
      </c>
      <c r="L29">
        <v>307</v>
      </c>
      <c r="M29">
        <v>4</v>
      </c>
      <c r="N29">
        <v>1</v>
      </c>
      <c r="O29">
        <v>2</v>
      </c>
      <c r="P29" s="8">
        <v>1</v>
      </c>
      <c r="Q29" s="8">
        <v>0</v>
      </c>
      <c r="R29" t="str">
        <f t="shared" si="1"/>
        <v>TRUE</v>
      </c>
      <c r="S29" t="s">
        <v>112</v>
      </c>
      <c r="T29">
        <v>596633.95979999995</v>
      </c>
      <c r="U29">
        <v>174319.55119999999</v>
      </c>
      <c r="V29">
        <v>1807495.334</v>
      </c>
      <c r="W29">
        <v>823092.39729999995</v>
      </c>
      <c r="X29">
        <v>140008.91949999999</v>
      </c>
      <c r="Y29">
        <v>5651.654802</v>
      </c>
      <c r="Z29">
        <v>178850.49350000001</v>
      </c>
      <c r="AA29">
        <v>38744.69255</v>
      </c>
      <c r="AB29">
        <v>167337.76120000001</v>
      </c>
      <c r="AC29">
        <v>56287.261530000003</v>
      </c>
      <c r="AD29">
        <v>4713.2779430000001</v>
      </c>
      <c r="AE29">
        <v>583988.33629999997</v>
      </c>
      <c r="AF29">
        <v>114036.5474</v>
      </c>
      <c r="AG29">
        <v>128111.1361</v>
      </c>
      <c r="AH29">
        <v>1618396.007</v>
      </c>
    </row>
    <row r="30" spans="1:34" x14ac:dyDescent="0.2">
      <c r="A30" t="s">
        <v>506</v>
      </c>
      <c r="B30" t="s">
        <v>226</v>
      </c>
      <c r="C30" t="s">
        <v>453</v>
      </c>
      <c r="D30" t="s">
        <v>681</v>
      </c>
      <c r="E30" t="s">
        <v>476</v>
      </c>
      <c r="F30" t="s">
        <v>462</v>
      </c>
      <c r="G30" s="2">
        <v>30482</v>
      </c>
      <c r="H30" s="2">
        <v>43518</v>
      </c>
      <c r="I30">
        <f t="shared" si="0"/>
        <v>35</v>
      </c>
      <c r="J30" s="5">
        <v>1</v>
      </c>
      <c r="K30" t="s">
        <v>451</v>
      </c>
      <c r="L30">
        <v>42</v>
      </c>
      <c r="M30">
        <v>3</v>
      </c>
      <c r="N30">
        <v>0</v>
      </c>
      <c r="O30">
        <v>2</v>
      </c>
      <c r="P30" s="8">
        <v>1</v>
      </c>
      <c r="Q30" s="8">
        <v>0</v>
      </c>
      <c r="R30" t="str">
        <f t="shared" si="1"/>
        <v>TRUE</v>
      </c>
      <c r="S30" t="s">
        <v>226</v>
      </c>
      <c r="T30">
        <v>57289.161460000003</v>
      </c>
      <c r="U30">
        <v>44001.21458</v>
      </c>
      <c r="V30">
        <v>1319002.18</v>
      </c>
      <c r="W30">
        <v>211456.00200000001</v>
      </c>
      <c r="X30">
        <v>62858.520600000003</v>
      </c>
      <c r="Y30">
        <v>10390.670829999999</v>
      </c>
      <c r="Z30">
        <v>375.09430900000001</v>
      </c>
      <c r="AA30">
        <v>23759.757389999999</v>
      </c>
      <c r="AB30">
        <v>40520.035430000004</v>
      </c>
      <c r="AC30">
        <v>41969.941700000003</v>
      </c>
      <c r="AD30">
        <v>31767.29492</v>
      </c>
      <c r="AE30">
        <v>788737.38959999999</v>
      </c>
      <c r="AF30">
        <v>88412.254700000005</v>
      </c>
      <c r="AG30">
        <v>20023.321840000001</v>
      </c>
      <c r="AH30">
        <v>1105985.821</v>
      </c>
    </row>
    <row r="31" spans="1:34" x14ac:dyDescent="0.2">
      <c r="A31" t="s">
        <v>508</v>
      </c>
      <c r="B31" t="s">
        <v>285</v>
      </c>
      <c r="C31" t="s">
        <v>453</v>
      </c>
      <c r="D31" t="s">
        <v>681</v>
      </c>
      <c r="E31" t="s">
        <v>454</v>
      </c>
      <c r="F31" t="s">
        <v>462</v>
      </c>
      <c r="G31" s="2">
        <v>25311</v>
      </c>
      <c r="H31" s="2">
        <v>43511</v>
      </c>
      <c r="I31">
        <f t="shared" si="0"/>
        <v>49</v>
      </c>
      <c r="J31">
        <v>1</v>
      </c>
      <c r="K31" t="s">
        <v>451</v>
      </c>
      <c r="L31">
        <v>2216</v>
      </c>
      <c r="M31">
        <v>7</v>
      </c>
      <c r="N31">
        <v>1</v>
      </c>
      <c r="O31">
        <v>3</v>
      </c>
      <c r="P31" s="8">
        <v>1</v>
      </c>
      <c r="Q31" s="8">
        <v>0</v>
      </c>
      <c r="R31" t="str">
        <f t="shared" si="1"/>
        <v>TRUE</v>
      </c>
      <c r="S31" t="s">
        <v>285</v>
      </c>
      <c r="T31">
        <v>135960.85490000001</v>
      </c>
      <c r="U31">
        <v>145254.02929999999</v>
      </c>
      <c r="V31">
        <v>1010181.5060000001</v>
      </c>
      <c r="W31">
        <v>886608.36600000004</v>
      </c>
      <c r="X31">
        <v>53404.561549999999</v>
      </c>
      <c r="Y31">
        <v>3929.0086679999999</v>
      </c>
      <c r="Z31">
        <v>17744.2124</v>
      </c>
      <c r="AA31">
        <v>38247.787850000001</v>
      </c>
      <c r="AB31">
        <v>47289.991459999997</v>
      </c>
      <c r="AC31">
        <v>106427.7988</v>
      </c>
      <c r="AD31">
        <v>1488.4060999999999</v>
      </c>
      <c r="AE31">
        <v>103636.66650000001</v>
      </c>
      <c r="AF31">
        <v>76049.643800000005</v>
      </c>
      <c r="AG31">
        <v>67239.766839999997</v>
      </c>
      <c r="AH31">
        <v>760252.07620000001</v>
      </c>
    </row>
    <row r="32" spans="1:34" x14ac:dyDescent="0.2">
      <c r="A32" t="s">
        <v>512</v>
      </c>
      <c r="B32" t="s">
        <v>342</v>
      </c>
      <c r="C32" t="s">
        <v>453</v>
      </c>
      <c r="D32" t="s">
        <v>681</v>
      </c>
      <c r="E32" t="s">
        <v>454</v>
      </c>
      <c r="F32" t="s">
        <v>455</v>
      </c>
      <c r="G32" s="2">
        <v>34403</v>
      </c>
      <c r="H32" s="2">
        <v>43529</v>
      </c>
      <c r="I32">
        <f t="shared" si="0"/>
        <v>24</v>
      </c>
      <c r="J32" s="5">
        <v>1</v>
      </c>
      <c r="K32" t="s">
        <v>456</v>
      </c>
      <c r="L32">
        <v>2021</v>
      </c>
      <c r="M32">
        <v>5</v>
      </c>
      <c r="N32">
        <v>0</v>
      </c>
      <c r="O32">
        <v>1</v>
      </c>
      <c r="P32" s="8">
        <v>0</v>
      </c>
      <c r="Q32" s="8">
        <v>1</v>
      </c>
      <c r="R32" t="str">
        <f t="shared" si="1"/>
        <v>TRUE</v>
      </c>
      <c r="S32" t="s">
        <v>342</v>
      </c>
      <c r="T32">
        <v>632313.3382</v>
      </c>
      <c r="U32">
        <v>51306.499329999999</v>
      </c>
      <c r="V32">
        <v>1229803.247</v>
      </c>
      <c r="W32">
        <v>431637.4129</v>
      </c>
      <c r="X32">
        <v>112011.6985</v>
      </c>
      <c r="Y32">
        <v>14718.59331</v>
      </c>
      <c r="Z32">
        <v>4538.4337660000001</v>
      </c>
      <c r="AA32">
        <v>74579.00722</v>
      </c>
      <c r="AB32">
        <v>48177.128620000003</v>
      </c>
      <c r="AC32">
        <v>74175.521670000002</v>
      </c>
      <c r="AD32">
        <v>3667.1851539999998</v>
      </c>
      <c r="AE32">
        <v>553856.93519999995</v>
      </c>
      <c r="AF32">
        <v>266129.1948</v>
      </c>
      <c r="AG32">
        <v>34584.266450000003</v>
      </c>
      <c r="AH32">
        <v>1061774.375</v>
      </c>
    </row>
    <row r="33" spans="1:34" x14ac:dyDescent="0.2">
      <c r="A33" t="s">
        <v>514</v>
      </c>
      <c r="B33" t="s">
        <v>399</v>
      </c>
      <c r="C33" t="s">
        <v>453</v>
      </c>
      <c r="D33" t="s">
        <v>681</v>
      </c>
      <c r="E33" t="s">
        <v>461</v>
      </c>
      <c r="F33" t="s">
        <v>455</v>
      </c>
      <c r="G33" s="2">
        <v>29943</v>
      </c>
      <c r="H33" s="2">
        <v>43525</v>
      </c>
      <c r="I33">
        <f t="shared" si="0"/>
        <v>37</v>
      </c>
      <c r="J33">
        <v>1</v>
      </c>
      <c r="K33" t="s">
        <v>451</v>
      </c>
      <c r="L33">
        <v>922</v>
      </c>
      <c r="M33">
        <v>8</v>
      </c>
      <c r="N33">
        <v>0</v>
      </c>
      <c r="O33">
        <v>3</v>
      </c>
      <c r="P33" s="8">
        <v>1</v>
      </c>
      <c r="Q33" s="8">
        <v>0</v>
      </c>
      <c r="R33" t="str">
        <f t="shared" si="1"/>
        <v>TRUE</v>
      </c>
      <c r="S33" t="s">
        <v>399</v>
      </c>
      <c r="T33">
        <v>203653.68030000001</v>
      </c>
      <c r="U33">
        <v>320699.89199999999</v>
      </c>
      <c r="V33">
        <v>3481608.4509999999</v>
      </c>
      <c r="W33">
        <v>132466.92850000001</v>
      </c>
      <c r="X33">
        <v>161942.04029999999</v>
      </c>
      <c r="Y33">
        <v>30714.92006</v>
      </c>
      <c r="Z33">
        <v>20985.111069999999</v>
      </c>
      <c r="AA33">
        <v>54084.79507</v>
      </c>
      <c r="AB33">
        <v>56956.257810000003</v>
      </c>
      <c r="AC33">
        <v>121563.42969999999</v>
      </c>
      <c r="AD33">
        <v>4059.5511139999999</v>
      </c>
      <c r="AE33">
        <v>1951331.906</v>
      </c>
      <c r="AF33">
        <v>244027.25810000001</v>
      </c>
      <c r="AG33">
        <v>131927.5778</v>
      </c>
      <c r="AH33">
        <v>2633553.7990000001</v>
      </c>
    </row>
    <row r="34" spans="1:34" x14ac:dyDescent="0.2">
      <c r="A34" t="s">
        <v>516</v>
      </c>
      <c r="B34" t="s">
        <v>312</v>
      </c>
      <c r="C34" t="s">
        <v>453</v>
      </c>
      <c r="D34" t="s">
        <v>681</v>
      </c>
      <c r="E34" t="s">
        <v>461</v>
      </c>
      <c r="F34" t="s">
        <v>462</v>
      </c>
      <c r="G34" s="2">
        <v>35129</v>
      </c>
      <c r="H34" s="2">
        <v>43532</v>
      </c>
      <c r="I34">
        <f t="shared" si="0"/>
        <v>23</v>
      </c>
      <c r="J34">
        <v>2</v>
      </c>
      <c r="K34" t="s">
        <v>451</v>
      </c>
      <c r="L34">
        <v>80</v>
      </c>
      <c r="M34">
        <v>2</v>
      </c>
      <c r="N34">
        <v>0</v>
      </c>
      <c r="O34">
        <v>2</v>
      </c>
      <c r="P34" s="8">
        <v>1</v>
      </c>
      <c r="Q34" s="8">
        <v>0</v>
      </c>
      <c r="R34" t="str">
        <f t="shared" si="1"/>
        <v>TRUE</v>
      </c>
      <c r="S34" t="s">
        <v>312</v>
      </c>
      <c r="T34">
        <v>176751.56959999999</v>
      </c>
      <c r="U34">
        <v>38850.994469999998</v>
      </c>
      <c r="V34">
        <v>285865.59330000001</v>
      </c>
      <c r="W34">
        <v>38585.363129999998</v>
      </c>
      <c r="X34">
        <v>83789.150110000002</v>
      </c>
      <c r="Y34">
        <v>18838.327529999999</v>
      </c>
      <c r="Z34">
        <v>2725.9271739999999</v>
      </c>
      <c r="AA34">
        <v>54128.307970000002</v>
      </c>
      <c r="AB34">
        <v>67030.803820000001</v>
      </c>
      <c r="AC34">
        <v>39416.98661</v>
      </c>
      <c r="AD34">
        <v>1893.4265270000001</v>
      </c>
      <c r="AE34">
        <v>16543.799200000001</v>
      </c>
      <c r="AF34">
        <v>12903.113090000001</v>
      </c>
      <c r="AG34">
        <v>6304.4548000000004</v>
      </c>
      <c r="AH34">
        <v>269852.83630000002</v>
      </c>
    </row>
    <row r="35" spans="1:34" x14ac:dyDescent="0.2">
      <c r="A35" t="s">
        <v>632</v>
      </c>
      <c r="B35" t="s">
        <v>204</v>
      </c>
      <c r="C35" t="s">
        <v>453</v>
      </c>
      <c r="D35" t="s">
        <v>681</v>
      </c>
      <c r="E35" t="s">
        <v>454</v>
      </c>
      <c r="F35" t="s">
        <v>462</v>
      </c>
      <c r="G35" s="2">
        <v>31823</v>
      </c>
      <c r="H35" s="2">
        <v>43546</v>
      </c>
      <c r="I35">
        <f t="shared" ref="I35:I66" si="2">DATEDIF(G35,H35,"Y")</f>
        <v>32</v>
      </c>
      <c r="J35">
        <v>1</v>
      </c>
      <c r="K35" t="s">
        <v>456</v>
      </c>
      <c r="L35">
        <v>306</v>
      </c>
      <c r="M35">
        <v>4</v>
      </c>
      <c r="N35">
        <v>0</v>
      </c>
      <c r="O35">
        <v>2</v>
      </c>
      <c r="P35" s="8">
        <v>0</v>
      </c>
      <c r="Q35" s="8">
        <v>0</v>
      </c>
      <c r="R35" t="str">
        <f t="shared" ref="R35:R66" si="3">+IF(B35=S35,"TRUE","FALSE")</f>
        <v>TRUE</v>
      </c>
      <c r="S35" t="s">
        <v>204</v>
      </c>
      <c r="T35">
        <v>381859.37180000002</v>
      </c>
      <c r="U35">
        <v>73695.733099999998</v>
      </c>
      <c r="V35">
        <v>1158896.4920000001</v>
      </c>
      <c r="W35">
        <v>141278.2077</v>
      </c>
      <c r="X35">
        <v>196148.66959999999</v>
      </c>
      <c r="Y35">
        <v>15375.586520000001</v>
      </c>
      <c r="Z35">
        <v>2557.8425400000001</v>
      </c>
      <c r="AA35">
        <v>63631.140599999999</v>
      </c>
      <c r="AB35">
        <v>47804.4712</v>
      </c>
      <c r="AC35">
        <v>109913.9589</v>
      </c>
      <c r="AD35">
        <v>119820.3995</v>
      </c>
      <c r="AE35">
        <v>325380.42139999999</v>
      </c>
      <c r="AF35">
        <v>15256.0604</v>
      </c>
      <c r="AG35">
        <v>127601.9911</v>
      </c>
      <c r="AH35">
        <v>812113.54960000003</v>
      </c>
    </row>
    <row r="36" spans="1:34" x14ac:dyDescent="0.2">
      <c r="A36" t="s">
        <v>532</v>
      </c>
      <c r="B36" t="s">
        <v>256</v>
      </c>
      <c r="C36" t="s">
        <v>448</v>
      </c>
      <c r="D36" t="s">
        <v>680</v>
      </c>
      <c r="E36" t="s">
        <v>459</v>
      </c>
      <c r="F36" t="s">
        <v>450</v>
      </c>
      <c r="G36" s="2">
        <v>34502</v>
      </c>
      <c r="H36" s="2">
        <v>43677</v>
      </c>
      <c r="I36">
        <f t="shared" si="2"/>
        <v>25</v>
      </c>
      <c r="J36">
        <v>1</v>
      </c>
      <c r="K36" t="s">
        <v>456</v>
      </c>
      <c r="L36">
        <v>769</v>
      </c>
      <c r="M36" t="s">
        <v>450</v>
      </c>
      <c r="N36">
        <v>0</v>
      </c>
      <c r="O36">
        <v>2</v>
      </c>
      <c r="P36">
        <v>1</v>
      </c>
      <c r="Q36">
        <v>0</v>
      </c>
      <c r="R36" t="str">
        <f t="shared" si="3"/>
        <v>TRUE</v>
      </c>
      <c r="S36" t="s">
        <v>256</v>
      </c>
      <c r="T36">
        <v>111539.49649999999</v>
      </c>
      <c r="U36">
        <v>368954.12609999999</v>
      </c>
      <c r="V36">
        <v>1768317.452</v>
      </c>
      <c r="W36">
        <v>130775.4656</v>
      </c>
      <c r="X36">
        <v>114299.4932</v>
      </c>
      <c r="Y36">
        <v>18238.546859999999</v>
      </c>
      <c r="Z36">
        <v>2795.7671359999999</v>
      </c>
      <c r="AA36">
        <v>110400.14629999999</v>
      </c>
      <c r="AB36">
        <v>93719.663159999996</v>
      </c>
      <c r="AC36">
        <v>226630.70180000001</v>
      </c>
      <c r="AD36">
        <v>25228.154060000001</v>
      </c>
      <c r="AE36">
        <v>562737.41890000005</v>
      </c>
      <c r="AF36">
        <v>92165.674840000007</v>
      </c>
      <c r="AG36">
        <v>107882.1971</v>
      </c>
      <c r="AH36">
        <v>1910607.1769999999</v>
      </c>
    </row>
    <row r="37" spans="1:34" x14ac:dyDescent="0.2">
      <c r="A37" t="s">
        <v>534</v>
      </c>
      <c r="B37" t="s">
        <v>63</v>
      </c>
      <c r="C37" t="s">
        <v>464</v>
      </c>
      <c r="D37" t="s">
        <v>681</v>
      </c>
      <c r="E37" t="s">
        <v>465</v>
      </c>
      <c r="F37" t="s">
        <v>462</v>
      </c>
      <c r="G37" s="2">
        <v>22293</v>
      </c>
      <c r="H37" s="2">
        <v>43657</v>
      </c>
      <c r="I37">
        <f t="shared" si="2"/>
        <v>58</v>
      </c>
      <c r="J37">
        <v>1</v>
      </c>
      <c r="K37" t="s">
        <v>456</v>
      </c>
      <c r="L37">
        <v>1013</v>
      </c>
      <c r="M37">
        <v>8</v>
      </c>
      <c r="N37">
        <v>1</v>
      </c>
      <c r="O37">
        <v>2</v>
      </c>
      <c r="P37">
        <v>1</v>
      </c>
      <c r="Q37">
        <v>0</v>
      </c>
      <c r="R37" t="str">
        <f t="shared" si="3"/>
        <v>TRUE</v>
      </c>
      <c r="S37" t="s">
        <v>63</v>
      </c>
      <c r="T37">
        <v>66439.568849999996</v>
      </c>
      <c r="U37">
        <v>1841823.8910000001</v>
      </c>
      <c r="V37">
        <v>510892.79869999998</v>
      </c>
      <c r="W37">
        <v>171947.1574</v>
      </c>
      <c r="X37">
        <v>143183.13800000001</v>
      </c>
      <c r="Y37">
        <v>30900.341179999999</v>
      </c>
      <c r="Z37">
        <v>105153.32279999999</v>
      </c>
      <c r="AA37">
        <v>69008.479609999995</v>
      </c>
      <c r="AB37">
        <v>31462.779170000002</v>
      </c>
      <c r="AC37">
        <v>51894.700290000001</v>
      </c>
      <c r="AD37">
        <v>3994.054427</v>
      </c>
      <c r="AE37">
        <v>690567.56920000003</v>
      </c>
      <c r="AF37">
        <v>44358.568930000001</v>
      </c>
      <c r="AG37">
        <v>6271.6364460000004</v>
      </c>
      <c r="AH37">
        <v>93372.258449999994</v>
      </c>
    </row>
    <row r="38" spans="1:34" x14ac:dyDescent="0.2">
      <c r="A38" t="s">
        <v>537</v>
      </c>
      <c r="B38" t="s">
        <v>435</v>
      </c>
      <c r="C38" t="s">
        <v>464</v>
      </c>
      <c r="D38" t="s">
        <v>681</v>
      </c>
      <c r="E38" t="s">
        <v>491</v>
      </c>
      <c r="F38" t="s">
        <v>455</v>
      </c>
      <c r="G38" s="2">
        <v>31009</v>
      </c>
      <c r="H38" s="2">
        <v>43699</v>
      </c>
      <c r="I38">
        <f t="shared" si="2"/>
        <v>34</v>
      </c>
      <c r="J38">
        <v>1</v>
      </c>
      <c r="K38" t="s">
        <v>451</v>
      </c>
      <c r="L38">
        <v>2000</v>
      </c>
      <c r="M38">
        <v>10</v>
      </c>
      <c r="N38">
        <v>1</v>
      </c>
      <c r="O38">
        <v>2</v>
      </c>
      <c r="P38" s="1">
        <v>1</v>
      </c>
      <c r="Q38" s="1">
        <v>0</v>
      </c>
      <c r="R38" t="str">
        <f t="shared" si="3"/>
        <v>TRUE</v>
      </c>
      <c r="S38" t="s">
        <v>435</v>
      </c>
      <c r="T38">
        <v>195084.34210000001</v>
      </c>
      <c r="U38">
        <v>182363.5724</v>
      </c>
      <c r="V38">
        <v>1219938.6599999999</v>
      </c>
      <c r="W38">
        <v>1159550.6089999999</v>
      </c>
      <c r="X38">
        <v>257817.34700000001</v>
      </c>
      <c r="Y38">
        <v>71743.119980000003</v>
      </c>
      <c r="Z38">
        <v>263231.60720000003</v>
      </c>
      <c r="AA38">
        <v>75391.739400000006</v>
      </c>
      <c r="AB38">
        <v>63296.742440000002</v>
      </c>
      <c r="AC38">
        <v>43121.414169999996</v>
      </c>
      <c r="AD38">
        <v>2092.3324440000001</v>
      </c>
      <c r="AE38">
        <v>180026.2543</v>
      </c>
      <c r="AF38">
        <v>36854.135430000002</v>
      </c>
      <c r="AG38">
        <v>377342.05450000003</v>
      </c>
      <c r="AH38">
        <v>1164341.389</v>
      </c>
    </row>
    <row r="39" spans="1:34" x14ac:dyDescent="0.2">
      <c r="A39" t="s">
        <v>542</v>
      </c>
      <c r="B39" t="s">
        <v>109</v>
      </c>
      <c r="C39" t="s">
        <v>464</v>
      </c>
      <c r="D39" t="s">
        <v>681</v>
      </c>
      <c r="E39" t="s">
        <v>482</v>
      </c>
      <c r="F39" t="s">
        <v>462</v>
      </c>
      <c r="G39" s="2">
        <v>25311</v>
      </c>
      <c r="H39" s="2">
        <v>43731</v>
      </c>
      <c r="I39">
        <f t="shared" si="2"/>
        <v>50</v>
      </c>
      <c r="J39">
        <v>1</v>
      </c>
      <c r="K39" t="s">
        <v>451</v>
      </c>
      <c r="L39">
        <v>1112</v>
      </c>
      <c r="M39">
        <v>8</v>
      </c>
      <c r="N39">
        <v>0</v>
      </c>
      <c r="O39">
        <v>2</v>
      </c>
      <c r="P39" s="8">
        <v>1</v>
      </c>
      <c r="Q39" s="8">
        <v>0</v>
      </c>
      <c r="R39" t="str">
        <f t="shared" si="3"/>
        <v>TRUE</v>
      </c>
      <c r="S39" t="s">
        <v>109</v>
      </c>
      <c r="T39">
        <v>173756.53049999999</v>
      </c>
      <c r="U39">
        <v>204420.72150000001</v>
      </c>
      <c r="V39">
        <v>813928.06290000002</v>
      </c>
      <c r="W39">
        <v>236039.96830000001</v>
      </c>
      <c r="X39">
        <v>72098.21961</v>
      </c>
      <c r="Y39">
        <v>36788.019820000001</v>
      </c>
      <c r="Z39">
        <v>2723.1468129999998</v>
      </c>
      <c r="AA39">
        <v>73464.475510000004</v>
      </c>
      <c r="AB39">
        <v>129025.37820000001</v>
      </c>
      <c r="AC39">
        <v>223577.07209999999</v>
      </c>
      <c r="AD39">
        <v>2110.6214260000002</v>
      </c>
      <c r="AE39">
        <v>794901.89980000001</v>
      </c>
      <c r="AF39">
        <v>51625.272929999999</v>
      </c>
      <c r="AG39">
        <v>4006.7235139999998</v>
      </c>
      <c r="AH39">
        <v>252998.83489999999</v>
      </c>
    </row>
    <row r="40" spans="1:34" x14ac:dyDescent="0.2">
      <c r="A40" t="s">
        <v>547</v>
      </c>
      <c r="B40" t="s">
        <v>245</v>
      </c>
      <c r="C40" t="s">
        <v>464</v>
      </c>
      <c r="D40" t="s">
        <v>681</v>
      </c>
      <c r="E40" t="s">
        <v>548</v>
      </c>
      <c r="F40" t="s">
        <v>455</v>
      </c>
      <c r="G40" s="2">
        <v>21300</v>
      </c>
      <c r="H40" s="2">
        <v>43741</v>
      </c>
      <c r="I40">
        <f t="shared" si="2"/>
        <v>61</v>
      </c>
      <c r="J40">
        <v>1</v>
      </c>
      <c r="K40" t="s">
        <v>456</v>
      </c>
      <c r="L40">
        <v>1217</v>
      </c>
      <c r="M40">
        <v>8</v>
      </c>
      <c r="N40">
        <v>0</v>
      </c>
      <c r="O40">
        <v>1</v>
      </c>
      <c r="P40">
        <v>0</v>
      </c>
      <c r="Q40">
        <v>1</v>
      </c>
      <c r="R40" t="str">
        <f t="shared" si="3"/>
        <v>TRUE</v>
      </c>
      <c r="S40" t="s">
        <v>245</v>
      </c>
      <c r="T40">
        <v>285983.55550000002</v>
      </c>
      <c r="U40">
        <v>56322.786930000002</v>
      </c>
      <c r="V40">
        <v>1059041.4480000001</v>
      </c>
      <c r="W40">
        <v>189468.0906</v>
      </c>
      <c r="X40">
        <v>49265.947780000002</v>
      </c>
      <c r="Y40">
        <v>18148.593489999999</v>
      </c>
      <c r="Z40">
        <v>1281.385931</v>
      </c>
      <c r="AA40">
        <v>44371.370779999997</v>
      </c>
      <c r="AB40">
        <v>183487.66070000001</v>
      </c>
      <c r="AC40">
        <v>84282.046610000005</v>
      </c>
      <c r="AD40">
        <v>3068.4904470000001</v>
      </c>
      <c r="AE40">
        <v>149071.17199999999</v>
      </c>
      <c r="AF40">
        <v>65901.573019999996</v>
      </c>
      <c r="AG40">
        <v>48732.241029999997</v>
      </c>
      <c r="AH40">
        <v>566980.31240000005</v>
      </c>
    </row>
    <row r="41" spans="1:34" x14ac:dyDescent="0.2">
      <c r="A41" t="s">
        <v>613</v>
      </c>
      <c r="B41" t="s">
        <v>391</v>
      </c>
      <c r="C41" t="s">
        <v>453</v>
      </c>
      <c r="D41" t="s">
        <v>681</v>
      </c>
      <c r="E41" t="s">
        <v>476</v>
      </c>
      <c r="F41" t="s">
        <v>462</v>
      </c>
      <c r="G41" s="2">
        <v>34720</v>
      </c>
      <c r="H41" s="2">
        <v>43812</v>
      </c>
      <c r="I41">
        <f t="shared" si="2"/>
        <v>24</v>
      </c>
      <c r="J41">
        <v>1</v>
      </c>
      <c r="K41" t="s">
        <v>451</v>
      </c>
      <c r="L41">
        <v>375</v>
      </c>
      <c r="M41">
        <v>9</v>
      </c>
      <c r="N41">
        <v>0</v>
      </c>
      <c r="O41">
        <v>1</v>
      </c>
      <c r="P41" s="9">
        <v>0</v>
      </c>
      <c r="Q41" s="9">
        <v>1</v>
      </c>
      <c r="R41" t="str">
        <f t="shared" si="3"/>
        <v>TRUE</v>
      </c>
      <c r="S41" t="s">
        <v>391</v>
      </c>
      <c r="T41">
        <v>184465.38639999999</v>
      </c>
      <c r="U41">
        <v>1251954.898</v>
      </c>
      <c r="V41">
        <v>1658208.1</v>
      </c>
      <c r="W41">
        <v>45467.873910000002</v>
      </c>
      <c r="X41">
        <v>183405.2126</v>
      </c>
      <c r="Y41">
        <v>158005.3236</v>
      </c>
      <c r="Z41">
        <v>138196.12210000001</v>
      </c>
      <c r="AA41">
        <v>18911.605060000002</v>
      </c>
      <c r="AB41">
        <v>22764.474419999999</v>
      </c>
      <c r="AC41">
        <v>45525.082029999998</v>
      </c>
      <c r="AD41">
        <v>2066.8570420000001</v>
      </c>
      <c r="AE41">
        <v>632850.87549999997</v>
      </c>
      <c r="AF41">
        <v>94670.563039999994</v>
      </c>
      <c r="AG41">
        <v>5507.1976029999996</v>
      </c>
      <c r="AH41">
        <v>418247.89730000001</v>
      </c>
    </row>
    <row r="42" spans="1:34" x14ac:dyDescent="0.2">
      <c r="A42" t="s">
        <v>554</v>
      </c>
      <c r="B42" t="s">
        <v>182</v>
      </c>
      <c r="C42" t="s">
        <v>453</v>
      </c>
      <c r="D42" t="s">
        <v>681</v>
      </c>
      <c r="E42" t="s">
        <v>461</v>
      </c>
      <c r="F42" t="s">
        <v>462</v>
      </c>
      <c r="G42" s="2">
        <v>33760</v>
      </c>
      <c r="H42" s="2">
        <v>43815</v>
      </c>
      <c r="I42">
        <f t="shared" si="2"/>
        <v>27</v>
      </c>
      <c r="J42">
        <v>1</v>
      </c>
      <c r="K42" t="s">
        <v>451</v>
      </c>
      <c r="L42">
        <v>704</v>
      </c>
      <c r="M42">
        <v>10</v>
      </c>
      <c r="N42">
        <v>1</v>
      </c>
      <c r="O42">
        <v>2</v>
      </c>
      <c r="P42" s="8">
        <v>1</v>
      </c>
      <c r="Q42" s="8">
        <v>0</v>
      </c>
      <c r="R42" t="str">
        <f t="shared" si="3"/>
        <v>TRUE</v>
      </c>
      <c r="S42" t="s">
        <v>182</v>
      </c>
      <c r="T42">
        <v>73105.13566</v>
      </c>
      <c r="U42">
        <v>109196.17110000001</v>
      </c>
      <c r="V42">
        <v>136514.11809999999</v>
      </c>
      <c r="W42">
        <v>108607.2138</v>
      </c>
      <c r="X42">
        <v>56606.8223</v>
      </c>
      <c r="Y42">
        <v>25134.14488</v>
      </c>
      <c r="Z42">
        <v>2852.9067150000001</v>
      </c>
      <c r="AA42">
        <v>29953.011849999999</v>
      </c>
      <c r="AB42">
        <v>44616.206559999999</v>
      </c>
      <c r="AC42">
        <v>44877.283969999997</v>
      </c>
      <c r="AD42">
        <v>2802.7452349999999</v>
      </c>
      <c r="AE42">
        <v>345333.5563</v>
      </c>
      <c r="AF42">
        <v>12033.54715</v>
      </c>
      <c r="AG42">
        <v>7250.1805189999995</v>
      </c>
      <c r="AH42">
        <v>41040.93015</v>
      </c>
    </row>
    <row r="43" spans="1:34" x14ac:dyDescent="0.2">
      <c r="A43" t="s">
        <v>555</v>
      </c>
      <c r="B43" t="s">
        <v>120</v>
      </c>
      <c r="C43" t="s">
        <v>448</v>
      </c>
      <c r="D43" t="s">
        <v>680</v>
      </c>
      <c r="E43" t="s">
        <v>459</v>
      </c>
      <c r="F43" t="s">
        <v>450</v>
      </c>
      <c r="G43" s="2">
        <v>29236</v>
      </c>
      <c r="H43" s="2">
        <v>43763</v>
      </c>
      <c r="I43">
        <f t="shared" si="2"/>
        <v>39</v>
      </c>
      <c r="J43">
        <v>1</v>
      </c>
      <c r="K43" t="s">
        <v>451</v>
      </c>
      <c r="L43">
        <v>2317</v>
      </c>
      <c r="M43" t="s">
        <v>450</v>
      </c>
      <c r="N43">
        <v>1</v>
      </c>
      <c r="O43">
        <v>2</v>
      </c>
      <c r="P43">
        <v>1</v>
      </c>
      <c r="Q43">
        <v>0</v>
      </c>
      <c r="R43" t="str">
        <f t="shared" si="3"/>
        <v>TRUE</v>
      </c>
      <c r="S43" t="s">
        <v>120</v>
      </c>
      <c r="T43">
        <v>131287.25270000001</v>
      </c>
      <c r="U43">
        <v>2052089.8740000001</v>
      </c>
      <c r="V43">
        <v>1991080.385</v>
      </c>
      <c r="W43">
        <v>143130.7752</v>
      </c>
      <c r="X43">
        <v>59934.154640000001</v>
      </c>
      <c r="Y43">
        <v>34159.015610000002</v>
      </c>
      <c r="Z43">
        <v>2177.2513269999999</v>
      </c>
      <c r="AA43">
        <v>25397.309850000001</v>
      </c>
      <c r="AB43">
        <v>36719.062669999999</v>
      </c>
      <c r="AC43">
        <v>43671.526709999998</v>
      </c>
      <c r="AD43">
        <v>3294.4465970000001</v>
      </c>
      <c r="AE43">
        <v>342725.60460000002</v>
      </c>
      <c r="AF43">
        <v>125401.0594</v>
      </c>
      <c r="AG43">
        <v>23737.617819999999</v>
      </c>
      <c r="AH43">
        <v>1760493.15</v>
      </c>
    </row>
    <row r="44" spans="1:34" x14ac:dyDescent="0.2">
      <c r="A44" t="s">
        <v>557</v>
      </c>
      <c r="B44" t="s">
        <v>88</v>
      </c>
      <c r="C44" t="s">
        <v>448</v>
      </c>
      <c r="D44" t="s">
        <v>680</v>
      </c>
      <c r="E44" t="s">
        <v>558</v>
      </c>
      <c r="F44" t="s">
        <v>450</v>
      </c>
      <c r="G44" s="2">
        <v>34656</v>
      </c>
      <c r="H44" s="2">
        <v>43756</v>
      </c>
      <c r="I44">
        <f t="shared" si="2"/>
        <v>24</v>
      </c>
      <c r="J44">
        <v>1</v>
      </c>
      <c r="K44" t="s">
        <v>451</v>
      </c>
      <c r="L44">
        <v>2189</v>
      </c>
      <c r="M44" t="s">
        <v>450</v>
      </c>
      <c r="N44">
        <v>0</v>
      </c>
      <c r="O44">
        <v>2</v>
      </c>
      <c r="P44">
        <v>1</v>
      </c>
      <c r="Q44">
        <v>0</v>
      </c>
      <c r="R44" t="str">
        <f t="shared" si="3"/>
        <v>TRUE</v>
      </c>
      <c r="S44" t="s">
        <v>88</v>
      </c>
      <c r="T44">
        <v>189459.7801</v>
      </c>
      <c r="U44">
        <v>20640.988239999999</v>
      </c>
      <c r="V44">
        <v>550444.59979999997</v>
      </c>
      <c r="W44">
        <v>156866.33489999999</v>
      </c>
      <c r="X44">
        <v>87811.140899999999</v>
      </c>
      <c r="Y44">
        <v>24561.20982</v>
      </c>
      <c r="Z44">
        <v>8045.2086099999997</v>
      </c>
      <c r="AA44">
        <v>18310.598740000001</v>
      </c>
      <c r="AB44">
        <v>35226.992489999997</v>
      </c>
      <c r="AC44">
        <v>39985.822849999997</v>
      </c>
      <c r="AD44">
        <v>1525.820976</v>
      </c>
      <c r="AE44">
        <v>276072.81359999999</v>
      </c>
      <c r="AF44">
        <v>53168.169110000003</v>
      </c>
      <c r="AG44">
        <v>10372.1883</v>
      </c>
      <c r="AH44">
        <v>72593.169420000006</v>
      </c>
    </row>
    <row r="45" spans="1:34" x14ac:dyDescent="0.2">
      <c r="A45" t="s">
        <v>560</v>
      </c>
      <c r="B45" t="s">
        <v>293</v>
      </c>
      <c r="C45" t="s">
        <v>453</v>
      </c>
      <c r="D45" t="s">
        <v>681</v>
      </c>
      <c r="E45" t="s">
        <v>454</v>
      </c>
      <c r="F45" t="s">
        <v>455</v>
      </c>
      <c r="G45" s="2">
        <v>23236</v>
      </c>
      <c r="H45" s="2">
        <v>43866</v>
      </c>
      <c r="I45">
        <f t="shared" si="2"/>
        <v>56</v>
      </c>
      <c r="J45">
        <v>1</v>
      </c>
      <c r="K45" t="s">
        <v>451</v>
      </c>
      <c r="L45">
        <v>1854</v>
      </c>
      <c r="M45">
        <v>14</v>
      </c>
      <c r="N45">
        <v>0</v>
      </c>
      <c r="O45">
        <v>3</v>
      </c>
      <c r="P45" s="8">
        <v>0</v>
      </c>
      <c r="Q45" s="8">
        <v>0</v>
      </c>
      <c r="R45" t="str">
        <f t="shared" si="3"/>
        <v>TRUE</v>
      </c>
      <c r="S45" t="s">
        <v>293</v>
      </c>
      <c r="T45">
        <v>418664.75380000001</v>
      </c>
      <c r="U45">
        <v>125676.7629</v>
      </c>
      <c r="V45">
        <v>4529962.9170000004</v>
      </c>
      <c r="W45">
        <v>130158.9519</v>
      </c>
      <c r="X45">
        <v>22867.182369999999</v>
      </c>
      <c r="Y45">
        <v>45253.896269999997</v>
      </c>
      <c r="Z45">
        <v>79571.877680000005</v>
      </c>
      <c r="AA45">
        <v>78180.662370000005</v>
      </c>
      <c r="AB45">
        <v>43939.00131</v>
      </c>
      <c r="AC45">
        <v>73790.0003</v>
      </c>
      <c r="AD45">
        <v>3122.625344</v>
      </c>
      <c r="AE45">
        <v>6586149.3969999999</v>
      </c>
      <c r="AF45">
        <v>260749.57639999999</v>
      </c>
      <c r="AG45">
        <v>278034.86930000002</v>
      </c>
      <c r="AH45">
        <v>1964033.496</v>
      </c>
    </row>
    <row r="46" spans="1:34" x14ac:dyDescent="0.2">
      <c r="A46" t="s">
        <v>561</v>
      </c>
      <c r="B46" t="s">
        <v>316</v>
      </c>
      <c r="C46" t="s">
        <v>464</v>
      </c>
      <c r="D46" t="s">
        <v>681</v>
      </c>
      <c r="E46" t="s">
        <v>465</v>
      </c>
      <c r="F46" t="s">
        <v>462</v>
      </c>
      <c r="G46" s="2">
        <v>33242</v>
      </c>
      <c r="H46" s="2">
        <v>43878</v>
      </c>
      <c r="I46">
        <f t="shared" si="2"/>
        <v>29</v>
      </c>
      <c r="J46">
        <v>1</v>
      </c>
      <c r="K46" t="s">
        <v>451</v>
      </c>
      <c r="L46">
        <v>148</v>
      </c>
      <c r="M46">
        <v>9</v>
      </c>
      <c r="N46">
        <v>1</v>
      </c>
      <c r="O46">
        <v>2</v>
      </c>
      <c r="P46" s="8">
        <v>0</v>
      </c>
      <c r="Q46" s="8">
        <v>1</v>
      </c>
      <c r="R46" t="str">
        <f t="shared" si="3"/>
        <v>TRUE</v>
      </c>
      <c r="S46" t="s">
        <v>316</v>
      </c>
      <c r="T46">
        <v>461037.40889999998</v>
      </c>
      <c r="U46">
        <v>300047.63880000002</v>
      </c>
      <c r="V46">
        <v>1270175.804</v>
      </c>
      <c r="W46">
        <v>97215.136660000004</v>
      </c>
      <c r="X46">
        <v>169863.25880000001</v>
      </c>
      <c r="Y46">
        <v>17553.422930000001</v>
      </c>
      <c r="Z46">
        <v>126761.50810000001</v>
      </c>
      <c r="AA46">
        <v>100554.99800000001</v>
      </c>
      <c r="AB46">
        <v>186768.38070000001</v>
      </c>
      <c r="AC46">
        <v>191797.08069999999</v>
      </c>
      <c r="AD46">
        <v>13263.18757</v>
      </c>
      <c r="AE46">
        <v>420591.08730000001</v>
      </c>
      <c r="AF46">
        <v>90696.735230000006</v>
      </c>
      <c r="AG46">
        <v>6814.9411380000001</v>
      </c>
      <c r="AH46">
        <v>1400301.014</v>
      </c>
    </row>
    <row r="47" spans="1:34" x14ac:dyDescent="0.2">
      <c r="A47" t="s">
        <v>562</v>
      </c>
      <c r="B47" t="s">
        <v>270</v>
      </c>
      <c r="C47" t="s">
        <v>453</v>
      </c>
      <c r="D47" t="s">
        <v>681</v>
      </c>
      <c r="E47" t="s">
        <v>454</v>
      </c>
      <c r="F47" t="s">
        <v>455</v>
      </c>
      <c r="G47" s="2">
        <v>30355</v>
      </c>
      <c r="H47" s="2">
        <v>43854</v>
      </c>
      <c r="I47">
        <f t="shared" si="2"/>
        <v>36</v>
      </c>
      <c r="J47">
        <v>1</v>
      </c>
      <c r="K47" t="s">
        <v>456</v>
      </c>
      <c r="L47">
        <v>2375</v>
      </c>
      <c r="M47">
        <v>14</v>
      </c>
      <c r="N47">
        <v>1</v>
      </c>
      <c r="O47">
        <v>3</v>
      </c>
      <c r="P47" s="8">
        <v>1</v>
      </c>
      <c r="Q47" s="8">
        <v>0</v>
      </c>
      <c r="R47" t="str">
        <f t="shared" si="3"/>
        <v>TRUE</v>
      </c>
      <c r="S47" t="s">
        <v>270</v>
      </c>
      <c r="T47">
        <v>600279.06740000006</v>
      </c>
      <c r="U47">
        <v>40943.692029999998</v>
      </c>
      <c r="V47">
        <v>1051571.727</v>
      </c>
      <c r="W47">
        <v>553691.77890000003</v>
      </c>
      <c r="X47">
        <v>20771.778429999998</v>
      </c>
      <c r="Y47">
        <v>43747.356290000003</v>
      </c>
      <c r="Z47">
        <v>3304.589481</v>
      </c>
      <c r="AA47">
        <v>100823.6351</v>
      </c>
      <c r="AB47">
        <v>78958.037979999994</v>
      </c>
      <c r="AC47">
        <v>89193.971179999993</v>
      </c>
      <c r="AD47">
        <v>2018.345963</v>
      </c>
      <c r="AE47">
        <v>38894.218710000001</v>
      </c>
      <c r="AF47">
        <v>703292.31070000003</v>
      </c>
      <c r="AG47">
        <v>570218.62190000003</v>
      </c>
      <c r="AH47">
        <v>3684660.6510000001</v>
      </c>
    </row>
    <row r="48" spans="1:34" x14ac:dyDescent="0.2">
      <c r="A48" t="s">
        <v>563</v>
      </c>
      <c r="B48" t="s">
        <v>412</v>
      </c>
      <c r="C48" t="s">
        <v>464</v>
      </c>
      <c r="D48" t="s">
        <v>681</v>
      </c>
      <c r="E48" t="s">
        <v>482</v>
      </c>
      <c r="F48" t="s">
        <v>462</v>
      </c>
      <c r="G48" s="2">
        <v>34130</v>
      </c>
      <c r="H48" s="2">
        <v>43854</v>
      </c>
      <c r="I48">
        <f t="shared" si="2"/>
        <v>26</v>
      </c>
      <c r="J48">
        <v>1</v>
      </c>
      <c r="K48" t="s">
        <v>456</v>
      </c>
      <c r="L48">
        <v>647</v>
      </c>
      <c r="M48">
        <v>4</v>
      </c>
      <c r="N48">
        <v>0</v>
      </c>
      <c r="O48">
        <v>2</v>
      </c>
      <c r="P48" s="8">
        <v>0</v>
      </c>
      <c r="Q48" s="8">
        <v>0</v>
      </c>
      <c r="R48" t="str">
        <f t="shared" si="3"/>
        <v>TRUE</v>
      </c>
      <c r="S48" t="s">
        <v>412</v>
      </c>
      <c r="T48">
        <v>198622.5632</v>
      </c>
      <c r="U48">
        <v>277385.65639999998</v>
      </c>
      <c r="V48">
        <v>2355202.9389999998</v>
      </c>
      <c r="W48">
        <v>779831.47129999998</v>
      </c>
      <c r="X48">
        <v>26613.72423</v>
      </c>
      <c r="Y48">
        <v>27077.61793</v>
      </c>
      <c r="Z48">
        <v>3423.3317520000001</v>
      </c>
      <c r="AA48">
        <v>27378.17182</v>
      </c>
      <c r="AB48">
        <v>340358.16009999998</v>
      </c>
      <c r="AC48">
        <v>157245.6734</v>
      </c>
      <c r="AD48">
        <v>3337.8398390000002</v>
      </c>
      <c r="AE48">
        <v>512971.49420000002</v>
      </c>
      <c r="AF48">
        <v>16764.256710000001</v>
      </c>
      <c r="AG48">
        <v>165669.41279999999</v>
      </c>
      <c r="AH48">
        <v>2550961.406</v>
      </c>
    </row>
    <row r="49" spans="1:34" x14ac:dyDescent="0.2">
      <c r="A49" t="s">
        <v>656</v>
      </c>
      <c r="B49" t="s">
        <v>228</v>
      </c>
      <c r="C49" t="s">
        <v>453</v>
      </c>
      <c r="D49" t="s">
        <v>681</v>
      </c>
      <c r="E49" t="s">
        <v>461</v>
      </c>
      <c r="F49" t="s">
        <v>462</v>
      </c>
      <c r="G49" s="2">
        <v>25518</v>
      </c>
      <c r="H49" s="2">
        <v>43864</v>
      </c>
      <c r="I49">
        <f t="shared" si="2"/>
        <v>50</v>
      </c>
      <c r="J49">
        <v>1</v>
      </c>
      <c r="K49" t="s">
        <v>456</v>
      </c>
      <c r="L49">
        <v>1982</v>
      </c>
      <c r="M49">
        <v>10</v>
      </c>
      <c r="N49">
        <v>0</v>
      </c>
      <c r="O49">
        <v>3</v>
      </c>
      <c r="P49" s="8">
        <v>1</v>
      </c>
      <c r="Q49" s="8">
        <v>0</v>
      </c>
      <c r="R49" t="str">
        <f t="shared" si="3"/>
        <v>TRUE</v>
      </c>
      <c r="S49" t="s">
        <v>228</v>
      </c>
      <c r="T49">
        <v>359914.8137</v>
      </c>
      <c r="U49">
        <v>219030.43700000001</v>
      </c>
      <c r="V49">
        <v>1142978.915</v>
      </c>
      <c r="W49">
        <v>463398.473</v>
      </c>
      <c r="X49">
        <v>59865.93907</v>
      </c>
      <c r="Y49">
        <v>30588.158780000002</v>
      </c>
      <c r="Z49">
        <v>2420.6363270000002</v>
      </c>
      <c r="AA49">
        <v>99285.472840000002</v>
      </c>
      <c r="AB49">
        <v>71809.721590000001</v>
      </c>
      <c r="AC49">
        <v>97358.289699999994</v>
      </c>
      <c r="AD49">
        <v>714.56339809999997</v>
      </c>
      <c r="AE49">
        <v>191583.7328</v>
      </c>
      <c r="AF49">
        <v>104858.6171</v>
      </c>
      <c r="AG49">
        <v>78213.407720000003</v>
      </c>
      <c r="AH49">
        <v>850655.41890000005</v>
      </c>
    </row>
    <row r="50" spans="1:34" x14ac:dyDescent="0.2">
      <c r="A50" t="s">
        <v>569</v>
      </c>
      <c r="B50" t="s">
        <v>80</v>
      </c>
      <c r="C50" t="s">
        <v>453</v>
      </c>
      <c r="D50" t="s">
        <v>681</v>
      </c>
      <c r="E50" t="s">
        <v>476</v>
      </c>
      <c r="F50" t="s">
        <v>462</v>
      </c>
      <c r="G50" s="2">
        <v>21477</v>
      </c>
      <c r="H50" s="2">
        <v>44042</v>
      </c>
      <c r="I50">
        <f t="shared" si="2"/>
        <v>61</v>
      </c>
      <c r="J50">
        <v>1</v>
      </c>
      <c r="K50" t="s">
        <v>451</v>
      </c>
      <c r="L50">
        <v>394</v>
      </c>
      <c r="M50">
        <v>6</v>
      </c>
      <c r="N50">
        <v>0</v>
      </c>
      <c r="O50">
        <v>2</v>
      </c>
      <c r="P50" s="8">
        <v>0</v>
      </c>
      <c r="Q50" s="8">
        <v>1</v>
      </c>
      <c r="R50" t="str">
        <f t="shared" si="3"/>
        <v>TRUE</v>
      </c>
      <c r="S50" t="s">
        <v>80</v>
      </c>
      <c r="T50">
        <v>62665.259709999998</v>
      </c>
      <c r="U50">
        <v>83140.719129999998</v>
      </c>
      <c r="V50">
        <v>88903.431750000003</v>
      </c>
      <c r="W50">
        <v>150773.0202</v>
      </c>
      <c r="X50">
        <v>20069.32473</v>
      </c>
      <c r="Y50">
        <v>4600.266294</v>
      </c>
      <c r="Z50">
        <v>7315.030968</v>
      </c>
      <c r="AA50">
        <v>84124.677989999996</v>
      </c>
      <c r="AB50">
        <v>24970.758160000001</v>
      </c>
      <c r="AC50">
        <v>110925.04790000001</v>
      </c>
      <c r="AD50">
        <v>2293.0988619999998</v>
      </c>
      <c r="AE50">
        <v>460730.85070000001</v>
      </c>
      <c r="AF50">
        <v>73541.873579999999</v>
      </c>
      <c r="AG50">
        <v>12716.622789999999</v>
      </c>
      <c r="AH50">
        <v>35835.092989999997</v>
      </c>
    </row>
    <row r="51" spans="1:34" x14ac:dyDescent="0.2">
      <c r="A51" t="s">
        <v>642</v>
      </c>
      <c r="B51" t="s">
        <v>253</v>
      </c>
      <c r="C51" t="s">
        <v>453</v>
      </c>
      <c r="D51" t="s">
        <v>681</v>
      </c>
      <c r="E51" t="s">
        <v>461</v>
      </c>
      <c r="F51" t="s">
        <v>462</v>
      </c>
      <c r="G51" s="2">
        <v>36030</v>
      </c>
      <c r="H51" s="2">
        <v>44054</v>
      </c>
      <c r="I51">
        <f t="shared" si="2"/>
        <v>21</v>
      </c>
      <c r="J51">
        <v>1</v>
      </c>
      <c r="K51" t="s">
        <v>451</v>
      </c>
      <c r="L51">
        <v>2208</v>
      </c>
      <c r="M51">
        <v>5</v>
      </c>
      <c r="N51">
        <v>1</v>
      </c>
      <c r="O51">
        <v>2</v>
      </c>
      <c r="P51" s="8">
        <v>1</v>
      </c>
      <c r="Q51" s="8">
        <v>0</v>
      </c>
      <c r="R51" t="str">
        <f t="shared" si="3"/>
        <v>TRUE</v>
      </c>
      <c r="S51" t="s">
        <v>253</v>
      </c>
      <c r="T51">
        <v>369427.93459999998</v>
      </c>
      <c r="U51">
        <v>122574.1737</v>
      </c>
      <c r="V51">
        <v>305675.0943</v>
      </c>
      <c r="W51">
        <v>395544.99449999997</v>
      </c>
      <c r="X51">
        <v>11043.952579999999</v>
      </c>
      <c r="Y51">
        <v>29759.466090000002</v>
      </c>
      <c r="Z51">
        <v>4993.7481610000004</v>
      </c>
      <c r="AA51">
        <v>11597.5142</v>
      </c>
      <c r="AB51">
        <v>37568.268349999998</v>
      </c>
      <c r="AC51">
        <v>107851.5436</v>
      </c>
      <c r="AD51">
        <v>2388.0853400000001</v>
      </c>
      <c r="AE51">
        <v>250052.47339999999</v>
      </c>
      <c r="AF51">
        <v>79210.819619999995</v>
      </c>
      <c r="AG51">
        <v>11662.61543</v>
      </c>
      <c r="AH51">
        <v>296556.22259999998</v>
      </c>
    </row>
    <row r="52" spans="1:34" x14ac:dyDescent="0.2">
      <c r="A52" t="s">
        <v>572</v>
      </c>
      <c r="B52" t="s">
        <v>232</v>
      </c>
      <c r="C52" t="s">
        <v>464</v>
      </c>
      <c r="D52" t="s">
        <v>681</v>
      </c>
      <c r="E52" t="s">
        <v>491</v>
      </c>
      <c r="F52" t="s">
        <v>455</v>
      </c>
      <c r="G52" s="2">
        <v>32221</v>
      </c>
      <c r="H52" s="2">
        <v>44063</v>
      </c>
      <c r="I52">
        <f t="shared" si="2"/>
        <v>32</v>
      </c>
      <c r="J52">
        <v>1</v>
      </c>
      <c r="K52" t="s">
        <v>451</v>
      </c>
      <c r="L52">
        <v>700</v>
      </c>
      <c r="M52">
        <v>4</v>
      </c>
      <c r="N52">
        <v>1</v>
      </c>
      <c r="O52">
        <v>2</v>
      </c>
      <c r="P52" s="8">
        <v>1</v>
      </c>
      <c r="Q52" s="8">
        <v>0</v>
      </c>
      <c r="R52" t="str">
        <f t="shared" si="3"/>
        <v>TRUE</v>
      </c>
      <c r="S52" t="s">
        <v>232</v>
      </c>
      <c r="T52">
        <v>352120.74300000002</v>
      </c>
      <c r="U52">
        <v>190106.89720000001</v>
      </c>
      <c r="V52">
        <v>320572.70169999998</v>
      </c>
      <c r="W52">
        <v>89254.523109999995</v>
      </c>
      <c r="X52">
        <v>349034.85930000001</v>
      </c>
      <c r="Y52">
        <v>29080.37558</v>
      </c>
      <c r="Z52">
        <v>844.51895460000003</v>
      </c>
      <c r="AA52">
        <v>238812.75709999999</v>
      </c>
      <c r="AB52">
        <v>853317.09019999998</v>
      </c>
      <c r="AC52">
        <v>358878.4498</v>
      </c>
      <c r="AD52">
        <v>2892.0556940000001</v>
      </c>
      <c r="AE52">
        <v>579667.20409999997</v>
      </c>
      <c r="AF52">
        <v>89663.602209999997</v>
      </c>
      <c r="AG52">
        <v>133937.78700000001</v>
      </c>
      <c r="AH52">
        <v>209850.77609999999</v>
      </c>
    </row>
    <row r="53" spans="1:34" x14ac:dyDescent="0.2">
      <c r="A53" t="s">
        <v>573</v>
      </c>
      <c r="B53" t="s">
        <v>274</v>
      </c>
      <c r="C53" t="s">
        <v>448</v>
      </c>
      <c r="D53" t="s">
        <v>680</v>
      </c>
      <c r="E53" t="s">
        <v>459</v>
      </c>
      <c r="F53" t="s">
        <v>450</v>
      </c>
      <c r="G53" s="2">
        <v>23988</v>
      </c>
      <c r="H53" s="2">
        <v>44084</v>
      </c>
      <c r="I53">
        <f t="shared" si="2"/>
        <v>55</v>
      </c>
      <c r="J53">
        <v>1</v>
      </c>
      <c r="K53" t="s">
        <v>451</v>
      </c>
      <c r="L53">
        <v>264</v>
      </c>
      <c r="M53" t="s">
        <v>450</v>
      </c>
      <c r="N53">
        <v>1</v>
      </c>
      <c r="O53">
        <v>2</v>
      </c>
      <c r="P53" s="1">
        <v>1</v>
      </c>
      <c r="Q53" s="1">
        <v>0</v>
      </c>
      <c r="R53" t="str">
        <f t="shared" si="3"/>
        <v>TRUE</v>
      </c>
      <c r="S53" t="s">
        <v>274</v>
      </c>
      <c r="T53">
        <v>62813.679210000002</v>
      </c>
      <c r="U53">
        <v>105473.47100000001</v>
      </c>
      <c r="V53">
        <v>1025892.416</v>
      </c>
      <c r="W53">
        <v>87008.661630000002</v>
      </c>
      <c r="X53">
        <v>10694.60183</v>
      </c>
      <c r="Y53">
        <v>3319.4942219999998</v>
      </c>
      <c r="Z53">
        <v>3769.4399699999999</v>
      </c>
      <c r="AA53">
        <v>38303.810389999999</v>
      </c>
      <c r="AB53">
        <v>24468.641199999998</v>
      </c>
      <c r="AC53">
        <v>66050.94872</v>
      </c>
      <c r="AD53">
        <v>4107.0854280000003</v>
      </c>
      <c r="AE53">
        <v>7101431.8710000003</v>
      </c>
      <c r="AF53">
        <v>15192.427110000001</v>
      </c>
      <c r="AG53">
        <v>7353.6178909999999</v>
      </c>
      <c r="AH53">
        <v>323108.679</v>
      </c>
    </row>
    <row r="54" spans="1:34" x14ac:dyDescent="0.2">
      <c r="A54" t="s">
        <v>574</v>
      </c>
      <c r="B54" t="s">
        <v>420</v>
      </c>
      <c r="C54" t="s">
        <v>448</v>
      </c>
      <c r="D54" t="s">
        <v>680</v>
      </c>
      <c r="E54" t="s">
        <v>459</v>
      </c>
      <c r="F54" t="s">
        <v>450</v>
      </c>
      <c r="G54" s="2">
        <v>34492</v>
      </c>
      <c r="H54" s="2">
        <v>44084</v>
      </c>
      <c r="I54">
        <f t="shared" si="2"/>
        <v>26</v>
      </c>
      <c r="J54">
        <v>1</v>
      </c>
      <c r="K54" t="s">
        <v>451</v>
      </c>
      <c r="L54">
        <v>1928</v>
      </c>
      <c r="M54" t="s">
        <v>450</v>
      </c>
      <c r="N54">
        <v>0</v>
      </c>
      <c r="O54">
        <v>2</v>
      </c>
      <c r="P54" s="1">
        <v>0</v>
      </c>
      <c r="Q54" s="1">
        <v>1</v>
      </c>
      <c r="R54" t="str">
        <f t="shared" si="3"/>
        <v>TRUE</v>
      </c>
      <c r="S54" t="s">
        <v>420</v>
      </c>
      <c r="T54">
        <v>10969.57257</v>
      </c>
      <c r="U54">
        <v>30637.605869999999</v>
      </c>
      <c r="V54">
        <v>88408.726909999998</v>
      </c>
      <c r="W54">
        <v>29921.41851</v>
      </c>
      <c r="X54">
        <v>88393.764509999994</v>
      </c>
      <c r="Y54">
        <v>12913.284100000001</v>
      </c>
      <c r="Z54">
        <v>2015.0727670000001</v>
      </c>
      <c r="AA54">
        <v>75285.442179999998</v>
      </c>
      <c r="AB54">
        <v>27287.974979999999</v>
      </c>
      <c r="AC54">
        <v>139210.48209999999</v>
      </c>
      <c r="AD54">
        <v>15093.482040000001</v>
      </c>
      <c r="AE54">
        <v>759599.38029999996</v>
      </c>
      <c r="AF54">
        <v>69969.149890000001</v>
      </c>
      <c r="AG54">
        <v>93715.637969999996</v>
      </c>
      <c r="AH54">
        <v>51880.48403</v>
      </c>
    </row>
    <row r="55" spans="1:34" x14ac:dyDescent="0.2">
      <c r="A55" t="s">
        <v>665</v>
      </c>
      <c r="B55" t="s">
        <v>249</v>
      </c>
      <c r="C55" t="s">
        <v>453</v>
      </c>
      <c r="D55" t="s">
        <v>681</v>
      </c>
      <c r="E55" t="s">
        <v>476</v>
      </c>
      <c r="F55" t="s">
        <v>462</v>
      </c>
      <c r="G55" s="2">
        <v>33194</v>
      </c>
      <c r="H55" s="2">
        <v>44084</v>
      </c>
      <c r="I55">
        <f t="shared" si="2"/>
        <v>29</v>
      </c>
      <c r="J55">
        <v>1</v>
      </c>
      <c r="K55" t="s">
        <v>456</v>
      </c>
      <c r="L55">
        <v>6689</v>
      </c>
      <c r="M55">
        <v>4</v>
      </c>
      <c r="N55">
        <v>1</v>
      </c>
      <c r="O55">
        <v>2</v>
      </c>
      <c r="P55" s="9">
        <v>1</v>
      </c>
      <c r="Q55" s="9">
        <v>0</v>
      </c>
      <c r="R55" t="str">
        <f t="shared" si="3"/>
        <v>TRUE</v>
      </c>
      <c r="S55" t="s">
        <v>249</v>
      </c>
      <c r="T55">
        <v>559446.59369999997</v>
      </c>
      <c r="U55">
        <v>183506.3235</v>
      </c>
      <c r="V55">
        <v>397653.60009999998</v>
      </c>
      <c r="W55">
        <v>531084.13840000005</v>
      </c>
      <c r="X55">
        <v>75510.586720000007</v>
      </c>
      <c r="Y55">
        <v>57535.01513</v>
      </c>
      <c r="Z55">
        <v>2637.429678</v>
      </c>
      <c r="AA55">
        <v>168571.8186</v>
      </c>
      <c r="AB55">
        <v>180039.5759</v>
      </c>
      <c r="AC55">
        <v>463251.212</v>
      </c>
      <c r="AD55">
        <v>6777.0129109999998</v>
      </c>
      <c r="AE55">
        <v>96599.806060000003</v>
      </c>
      <c r="AF55">
        <v>26318.781630000001</v>
      </c>
      <c r="AG55">
        <v>32883.475160000002</v>
      </c>
      <c r="AH55">
        <v>91468.419550000006</v>
      </c>
    </row>
    <row r="56" spans="1:34" x14ac:dyDescent="0.2">
      <c r="A56" t="s">
        <v>575</v>
      </c>
      <c r="B56" t="s">
        <v>190</v>
      </c>
      <c r="C56" t="s">
        <v>464</v>
      </c>
      <c r="D56" t="s">
        <v>681</v>
      </c>
      <c r="E56" t="s">
        <v>499</v>
      </c>
      <c r="F56" t="s">
        <v>455</v>
      </c>
      <c r="G56" s="2">
        <v>34219</v>
      </c>
      <c r="H56" s="2">
        <v>44092</v>
      </c>
      <c r="I56">
        <f t="shared" si="2"/>
        <v>27</v>
      </c>
      <c r="J56">
        <v>1</v>
      </c>
      <c r="K56" t="s">
        <v>456</v>
      </c>
      <c r="L56">
        <v>2255</v>
      </c>
      <c r="M56">
        <v>11</v>
      </c>
      <c r="N56">
        <v>1</v>
      </c>
      <c r="O56">
        <v>2</v>
      </c>
      <c r="P56" s="9">
        <v>1</v>
      </c>
      <c r="Q56" s="9">
        <v>0</v>
      </c>
      <c r="R56" t="str">
        <f t="shared" si="3"/>
        <v>TRUE</v>
      </c>
      <c r="S56" t="s">
        <v>190</v>
      </c>
      <c r="T56">
        <v>231638.226</v>
      </c>
      <c r="U56">
        <v>83841.992060000004</v>
      </c>
      <c r="V56">
        <v>1439535.253</v>
      </c>
      <c r="W56">
        <v>590520.49340000004</v>
      </c>
      <c r="X56">
        <v>56091.545469999997</v>
      </c>
      <c r="Y56">
        <v>22760.027910000001</v>
      </c>
      <c r="Z56">
        <v>3381.1323179999999</v>
      </c>
      <c r="AA56">
        <v>302050.99219999998</v>
      </c>
      <c r="AB56">
        <v>37585.617810000003</v>
      </c>
      <c r="AC56">
        <v>264818.54269999999</v>
      </c>
      <c r="AD56">
        <v>23103.201990000001</v>
      </c>
      <c r="AE56">
        <v>339943.86420000001</v>
      </c>
      <c r="AF56">
        <v>129480.1681</v>
      </c>
      <c r="AG56">
        <v>154165.39559999999</v>
      </c>
      <c r="AH56">
        <v>999666.86399999994</v>
      </c>
    </row>
    <row r="57" spans="1:34" x14ac:dyDescent="0.2">
      <c r="A57" t="s">
        <v>576</v>
      </c>
      <c r="B57" t="s">
        <v>91</v>
      </c>
      <c r="C57" t="s">
        <v>448</v>
      </c>
      <c r="D57" t="s">
        <v>680</v>
      </c>
      <c r="E57" t="s">
        <v>449</v>
      </c>
      <c r="F57" t="s">
        <v>450</v>
      </c>
      <c r="G57" s="2">
        <v>30903</v>
      </c>
      <c r="H57" s="2">
        <v>44095</v>
      </c>
      <c r="I57">
        <f t="shared" si="2"/>
        <v>36</v>
      </c>
      <c r="J57">
        <v>1</v>
      </c>
      <c r="K57" t="s">
        <v>451</v>
      </c>
      <c r="L57">
        <v>1036</v>
      </c>
      <c r="M57" t="s">
        <v>450</v>
      </c>
      <c r="N57">
        <v>1</v>
      </c>
      <c r="O57">
        <v>2</v>
      </c>
      <c r="P57">
        <v>0</v>
      </c>
      <c r="Q57">
        <v>1</v>
      </c>
      <c r="R57" t="str">
        <f t="shared" si="3"/>
        <v>TRUE</v>
      </c>
      <c r="S57" t="s">
        <v>91</v>
      </c>
      <c r="T57">
        <v>135564.10810000001</v>
      </c>
      <c r="U57">
        <v>248845.10709999999</v>
      </c>
      <c r="V57">
        <v>503185.21750000003</v>
      </c>
      <c r="W57">
        <v>250326.11120000001</v>
      </c>
      <c r="X57">
        <v>134026.3806</v>
      </c>
      <c r="Y57">
        <v>64006.519950000002</v>
      </c>
      <c r="Z57">
        <v>10846.211810000001</v>
      </c>
      <c r="AA57">
        <v>64499.658360000001</v>
      </c>
      <c r="AB57">
        <v>31674.608530000001</v>
      </c>
      <c r="AC57">
        <v>131983.37270000001</v>
      </c>
      <c r="AD57">
        <v>4999.2714690000003</v>
      </c>
      <c r="AE57">
        <v>1256751.416</v>
      </c>
      <c r="AF57">
        <v>97314.637690000003</v>
      </c>
      <c r="AG57">
        <v>25314.43419</v>
      </c>
      <c r="AH57">
        <v>66057.15453</v>
      </c>
    </row>
    <row r="58" spans="1:34" x14ac:dyDescent="0.2">
      <c r="A58" t="s">
        <v>578</v>
      </c>
      <c r="B58" t="s">
        <v>408</v>
      </c>
      <c r="C58" t="s">
        <v>453</v>
      </c>
      <c r="D58" t="s">
        <v>681</v>
      </c>
      <c r="E58" t="s">
        <v>476</v>
      </c>
      <c r="F58" t="s">
        <v>462</v>
      </c>
      <c r="G58" s="2">
        <v>29096</v>
      </c>
      <c r="H58" s="2">
        <v>44099</v>
      </c>
      <c r="I58">
        <f t="shared" si="2"/>
        <v>41</v>
      </c>
      <c r="J58">
        <v>1</v>
      </c>
      <c r="K58" t="s">
        <v>451</v>
      </c>
      <c r="L58">
        <v>1897</v>
      </c>
      <c r="M58">
        <v>13</v>
      </c>
      <c r="N58">
        <v>0</v>
      </c>
      <c r="O58">
        <v>1</v>
      </c>
      <c r="P58" s="9">
        <v>1</v>
      </c>
      <c r="Q58" s="9">
        <v>0</v>
      </c>
      <c r="R58" t="str">
        <f t="shared" si="3"/>
        <v>TRUE</v>
      </c>
      <c r="S58" t="s">
        <v>408</v>
      </c>
      <c r="T58">
        <v>53387.422980000003</v>
      </c>
      <c r="U58">
        <v>150102.20019999999</v>
      </c>
      <c r="V58">
        <v>210961.2322</v>
      </c>
      <c r="W58">
        <v>126044.1281</v>
      </c>
      <c r="X58">
        <v>246872.2789</v>
      </c>
      <c r="Y58">
        <v>28264.263800000001</v>
      </c>
      <c r="Z58">
        <v>3762.8584890000002</v>
      </c>
      <c r="AA58">
        <v>21390.484079999998</v>
      </c>
      <c r="AB58">
        <v>33811.697</v>
      </c>
      <c r="AC58">
        <v>134535.43239999999</v>
      </c>
      <c r="AD58">
        <v>3219.6964659999999</v>
      </c>
      <c r="AE58">
        <v>1110704.236</v>
      </c>
      <c r="AF58">
        <v>47071.736389999998</v>
      </c>
      <c r="AG58">
        <v>4236.3660220000002</v>
      </c>
      <c r="AH58">
        <v>48482.01165</v>
      </c>
    </row>
    <row r="59" spans="1:34" x14ac:dyDescent="0.2">
      <c r="A59" t="s">
        <v>579</v>
      </c>
      <c r="B59" t="s">
        <v>358</v>
      </c>
      <c r="C59" t="s">
        <v>453</v>
      </c>
      <c r="D59" t="s">
        <v>681</v>
      </c>
      <c r="E59" t="s">
        <v>461</v>
      </c>
      <c r="F59" t="s">
        <v>455</v>
      </c>
      <c r="G59" s="2">
        <v>24431</v>
      </c>
      <c r="H59" s="2">
        <v>44099</v>
      </c>
      <c r="I59">
        <f t="shared" si="2"/>
        <v>53</v>
      </c>
      <c r="J59">
        <v>1</v>
      </c>
      <c r="K59" t="s">
        <v>456</v>
      </c>
      <c r="L59">
        <v>1126</v>
      </c>
      <c r="M59">
        <v>15</v>
      </c>
      <c r="N59">
        <v>1</v>
      </c>
      <c r="O59">
        <v>3</v>
      </c>
      <c r="P59" s="9">
        <v>0</v>
      </c>
      <c r="Q59" s="9">
        <v>0</v>
      </c>
      <c r="R59" t="str">
        <f t="shared" si="3"/>
        <v>TRUE</v>
      </c>
      <c r="S59" t="s">
        <v>358</v>
      </c>
      <c r="T59">
        <v>59538.945010000003</v>
      </c>
      <c r="U59">
        <v>216422.32709999999</v>
      </c>
      <c r="V59">
        <v>213026.93549999999</v>
      </c>
      <c r="W59">
        <v>75640.76874</v>
      </c>
      <c r="X59">
        <v>93382.402770000001</v>
      </c>
      <c r="Y59">
        <v>22546.182379999998</v>
      </c>
      <c r="Z59">
        <v>3618.3672110000002</v>
      </c>
      <c r="AA59">
        <v>69161.474289999998</v>
      </c>
      <c r="AB59">
        <v>32576.87343</v>
      </c>
      <c r="AC59">
        <v>282998.272</v>
      </c>
      <c r="AD59">
        <v>3640.0545390000002</v>
      </c>
      <c r="AE59">
        <v>88723.948399999994</v>
      </c>
      <c r="AF59">
        <v>101149.6211</v>
      </c>
      <c r="AG59">
        <v>152183.58170000001</v>
      </c>
      <c r="AH59">
        <v>78569.594029999993</v>
      </c>
    </row>
    <row r="60" spans="1:34" x14ac:dyDescent="0.2">
      <c r="A60" t="s">
        <v>640</v>
      </c>
      <c r="B60" t="s">
        <v>158</v>
      </c>
      <c r="C60" t="s">
        <v>464</v>
      </c>
      <c r="D60" t="s">
        <v>681</v>
      </c>
      <c r="E60" t="s">
        <v>499</v>
      </c>
      <c r="F60" t="s">
        <v>462</v>
      </c>
      <c r="G60" s="2">
        <v>35213</v>
      </c>
      <c r="H60" s="2">
        <v>44104</v>
      </c>
      <c r="I60">
        <f t="shared" si="2"/>
        <v>24</v>
      </c>
      <c r="J60">
        <v>1</v>
      </c>
      <c r="K60" t="s">
        <v>451</v>
      </c>
      <c r="L60">
        <v>1123</v>
      </c>
      <c r="M60">
        <v>6</v>
      </c>
      <c r="N60">
        <v>1</v>
      </c>
      <c r="O60">
        <v>2</v>
      </c>
      <c r="P60" s="9">
        <v>1</v>
      </c>
      <c r="Q60" s="9">
        <v>0</v>
      </c>
      <c r="R60" t="str">
        <f t="shared" si="3"/>
        <v>TRUE</v>
      </c>
      <c r="S60" t="s">
        <v>158</v>
      </c>
      <c r="T60">
        <v>35623.446470000003</v>
      </c>
      <c r="U60">
        <v>62608.291169999997</v>
      </c>
      <c r="V60">
        <v>112731.68730000001</v>
      </c>
      <c r="W60">
        <v>82149.246939999997</v>
      </c>
      <c r="X60">
        <v>42808.262439999999</v>
      </c>
      <c r="Y60">
        <v>30704.260859999999</v>
      </c>
      <c r="Z60">
        <v>4606.5542400000004</v>
      </c>
      <c r="AA60">
        <v>10657.94254</v>
      </c>
      <c r="AB60">
        <v>17805.821250000001</v>
      </c>
      <c r="AC60">
        <v>51107.249819999997</v>
      </c>
      <c r="AD60">
        <v>1885.8512330000001</v>
      </c>
      <c r="AE60">
        <v>284041.48109999998</v>
      </c>
      <c r="AF60">
        <v>71507.21544</v>
      </c>
      <c r="AG60">
        <v>7830.3929200000002</v>
      </c>
      <c r="AH60">
        <v>20754.660810000001</v>
      </c>
    </row>
    <row r="61" spans="1:34" x14ac:dyDescent="0.2">
      <c r="A61" t="s">
        <v>581</v>
      </c>
      <c r="B61" t="s">
        <v>84</v>
      </c>
      <c r="C61" t="s">
        <v>453</v>
      </c>
      <c r="D61" t="s">
        <v>681</v>
      </c>
      <c r="E61" t="s">
        <v>461</v>
      </c>
      <c r="F61" t="s">
        <v>462</v>
      </c>
      <c r="G61" s="2">
        <v>23988</v>
      </c>
      <c r="H61" s="2">
        <v>44104</v>
      </c>
      <c r="I61">
        <f t="shared" si="2"/>
        <v>55</v>
      </c>
      <c r="J61">
        <v>1</v>
      </c>
      <c r="K61" t="s">
        <v>456</v>
      </c>
      <c r="L61">
        <v>4713</v>
      </c>
      <c r="M61">
        <v>6</v>
      </c>
      <c r="N61">
        <v>1</v>
      </c>
      <c r="O61">
        <v>2</v>
      </c>
      <c r="P61" s="8">
        <v>0</v>
      </c>
      <c r="Q61" s="8">
        <v>0</v>
      </c>
      <c r="R61" t="str">
        <f t="shared" si="3"/>
        <v>TRUE</v>
      </c>
      <c r="S61" t="s">
        <v>84</v>
      </c>
      <c r="T61">
        <v>281310.70110000001</v>
      </c>
      <c r="U61">
        <v>912588.64080000005</v>
      </c>
      <c r="V61">
        <v>247144.06349999999</v>
      </c>
      <c r="W61">
        <v>141032.33780000001</v>
      </c>
      <c r="X61">
        <v>9404.5635010000005</v>
      </c>
      <c r="Y61">
        <v>49958.866099999999</v>
      </c>
      <c r="Z61">
        <v>1638.7600640000001</v>
      </c>
      <c r="AA61">
        <v>11940.33409</v>
      </c>
      <c r="AB61">
        <v>48993.286220000002</v>
      </c>
      <c r="AC61">
        <v>80478.903990000006</v>
      </c>
      <c r="AD61">
        <v>1532.3894789999999</v>
      </c>
      <c r="AE61">
        <v>165037.41450000001</v>
      </c>
      <c r="AF61">
        <v>42892.996700000003</v>
      </c>
      <c r="AG61">
        <v>8147.8482739999999</v>
      </c>
      <c r="AH61">
        <v>199870.5074</v>
      </c>
    </row>
    <row r="62" spans="1:34" x14ac:dyDescent="0.2">
      <c r="A62" t="s">
        <v>582</v>
      </c>
      <c r="B62" t="s">
        <v>279</v>
      </c>
      <c r="C62" t="s">
        <v>453</v>
      </c>
      <c r="D62" t="s">
        <v>681</v>
      </c>
      <c r="E62" t="s">
        <v>454</v>
      </c>
      <c r="F62" t="s">
        <v>462</v>
      </c>
      <c r="G62" s="2">
        <v>16624</v>
      </c>
      <c r="H62" s="2">
        <v>44106</v>
      </c>
      <c r="I62">
        <f t="shared" si="2"/>
        <v>75</v>
      </c>
      <c r="J62">
        <v>1</v>
      </c>
      <c r="K62" t="s">
        <v>456</v>
      </c>
      <c r="L62">
        <v>4146</v>
      </c>
      <c r="M62">
        <v>6</v>
      </c>
      <c r="N62">
        <v>1</v>
      </c>
      <c r="O62">
        <v>2</v>
      </c>
      <c r="P62" s="8">
        <v>1</v>
      </c>
      <c r="Q62" s="8">
        <v>0</v>
      </c>
      <c r="R62" t="str">
        <f t="shared" si="3"/>
        <v>TRUE</v>
      </c>
      <c r="S62" t="s">
        <v>279</v>
      </c>
      <c r="T62">
        <v>17405.364519999999</v>
      </c>
      <c r="U62">
        <v>206912.0007</v>
      </c>
      <c r="V62">
        <v>671033.2622</v>
      </c>
      <c r="W62">
        <v>81628.872310000006</v>
      </c>
      <c r="X62">
        <v>126660.7225</v>
      </c>
      <c r="Y62">
        <v>27224.652839999999</v>
      </c>
      <c r="Z62">
        <v>3317.4186890000001</v>
      </c>
      <c r="AA62">
        <v>9749.9362189999993</v>
      </c>
      <c r="AB62">
        <v>11836.119989999999</v>
      </c>
      <c r="AC62">
        <v>15407.44974</v>
      </c>
      <c r="AD62">
        <v>2816.7086439999998</v>
      </c>
      <c r="AE62">
        <v>444241.33990000002</v>
      </c>
      <c r="AF62">
        <v>90349.613159999994</v>
      </c>
      <c r="AG62">
        <v>217333.08410000001</v>
      </c>
      <c r="AH62">
        <v>162938.3996</v>
      </c>
    </row>
    <row r="63" spans="1:34" x14ac:dyDescent="0.2">
      <c r="A63" t="s">
        <v>583</v>
      </c>
      <c r="B63" t="s">
        <v>95</v>
      </c>
      <c r="C63" t="s">
        <v>453</v>
      </c>
      <c r="D63" t="s">
        <v>681</v>
      </c>
      <c r="E63" t="s">
        <v>454</v>
      </c>
      <c r="F63" t="s">
        <v>455</v>
      </c>
      <c r="G63" s="2">
        <v>33801</v>
      </c>
      <c r="H63" s="2">
        <v>44110</v>
      </c>
      <c r="I63">
        <f t="shared" si="2"/>
        <v>28</v>
      </c>
      <c r="J63">
        <v>1</v>
      </c>
      <c r="K63" t="s">
        <v>451</v>
      </c>
      <c r="L63">
        <v>2363</v>
      </c>
      <c r="M63">
        <v>9</v>
      </c>
      <c r="N63">
        <v>0</v>
      </c>
      <c r="O63">
        <v>2</v>
      </c>
      <c r="P63" s="8">
        <v>1</v>
      </c>
      <c r="Q63" s="8">
        <v>0</v>
      </c>
      <c r="R63" t="str">
        <f t="shared" si="3"/>
        <v>TRUE</v>
      </c>
      <c r="S63" t="s">
        <v>95</v>
      </c>
      <c r="T63">
        <v>138394.0545</v>
      </c>
      <c r="U63">
        <v>75043.568549999996</v>
      </c>
      <c r="V63">
        <v>1348749.7949999999</v>
      </c>
      <c r="W63">
        <v>125936.0174</v>
      </c>
      <c r="X63">
        <v>112832.99890000001</v>
      </c>
      <c r="Y63">
        <v>41088.393709999997</v>
      </c>
      <c r="Z63">
        <v>4414.6658660000003</v>
      </c>
      <c r="AA63">
        <v>26100.108749999999</v>
      </c>
      <c r="AB63">
        <v>28756.269189999999</v>
      </c>
      <c r="AC63">
        <v>78652.982980000001</v>
      </c>
      <c r="AD63">
        <v>2462.8921460000001</v>
      </c>
      <c r="AE63">
        <v>493241.49180000002</v>
      </c>
      <c r="AF63">
        <v>35007.273739999997</v>
      </c>
      <c r="AG63">
        <v>20354.07764</v>
      </c>
      <c r="AH63">
        <v>3130002.054</v>
      </c>
    </row>
    <row r="64" spans="1:34" x14ac:dyDescent="0.2">
      <c r="A64" t="s">
        <v>585</v>
      </c>
      <c r="B64" t="s">
        <v>410</v>
      </c>
      <c r="C64" t="s">
        <v>448</v>
      </c>
      <c r="D64" t="s">
        <v>680</v>
      </c>
      <c r="E64" t="s">
        <v>449</v>
      </c>
      <c r="F64" t="s">
        <v>450</v>
      </c>
      <c r="G64" s="2">
        <v>24811</v>
      </c>
      <c r="H64" s="2">
        <v>44118</v>
      </c>
      <c r="I64">
        <f t="shared" si="2"/>
        <v>52</v>
      </c>
      <c r="J64">
        <v>1</v>
      </c>
      <c r="K64" t="s">
        <v>456</v>
      </c>
      <c r="L64">
        <v>236</v>
      </c>
      <c r="M64" t="s">
        <v>450</v>
      </c>
      <c r="N64">
        <v>1</v>
      </c>
      <c r="O64">
        <v>2</v>
      </c>
      <c r="P64" s="9">
        <v>1</v>
      </c>
      <c r="Q64" s="9">
        <v>0</v>
      </c>
      <c r="R64" t="str">
        <f t="shared" si="3"/>
        <v>TRUE</v>
      </c>
      <c r="S64" t="s">
        <v>410</v>
      </c>
      <c r="T64">
        <v>253736.04860000001</v>
      </c>
      <c r="U64">
        <v>112472.23050000001</v>
      </c>
      <c r="V64">
        <v>1964657.4269999999</v>
      </c>
      <c r="W64">
        <v>1613606.5660000001</v>
      </c>
      <c r="X64">
        <v>31360.44168</v>
      </c>
      <c r="Y64">
        <v>9989.9247510000005</v>
      </c>
      <c r="Z64">
        <v>20908.634239999999</v>
      </c>
      <c r="AA64">
        <v>70415.33855</v>
      </c>
      <c r="AB64">
        <v>39670.694259999997</v>
      </c>
      <c r="AC64">
        <v>150936.55960000001</v>
      </c>
      <c r="AD64">
        <v>35220.138570000003</v>
      </c>
      <c r="AE64">
        <v>2059074.3370000001</v>
      </c>
      <c r="AF64">
        <v>105995.0742</v>
      </c>
      <c r="AG64">
        <v>112280.9184</v>
      </c>
      <c r="AH64">
        <v>2726358.9309999999</v>
      </c>
    </row>
    <row r="65" spans="1:34" x14ac:dyDescent="0.2">
      <c r="A65" t="s">
        <v>586</v>
      </c>
      <c r="B65" t="s">
        <v>446</v>
      </c>
      <c r="C65" t="s">
        <v>464</v>
      </c>
      <c r="D65" t="s">
        <v>681</v>
      </c>
      <c r="E65" t="s">
        <v>499</v>
      </c>
      <c r="F65" t="s">
        <v>455</v>
      </c>
      <c r="G65" s="2">
        <v>19739</v>
      </c>
      <c r="H65" s="2">
        <v>44119</v>
      </c>
      <c r="I65">
        <f t="shared" si="2"/>
        <v>66</v>
      </c>
      <c r="J65">
        <v>1</v>
      </c>
      <c r="K65" t="s">
        <v>451</v>
      </c>
      <c r="L65">
        <v>900</v>
      </c>
      <c r="M65">
        <v>10</v>
      </c>
      <c r="N65">
        <v>1</v>
      </c>
      <c r="O65">
        <v>3</v>
      </c>
      <c r="P65" s="8">
        <v>1</v>
      </c>
      <c r="Q65" s="8">
        <v>0</v>
      </c>
      <c r="R65" t="str">
        <f t="shared" si="3"/>
        <v>TRUE</v>
      </c>
      <c r="S65" t="s">
        <v>446</v>
      </c>
      <c r="T65">
        <v>108822.4917</v>
      </c>
      <c r="U65">
        <v>253804.7996</v>
      </c>
      <c r="V65">
        <v>1067545.2720000001</v>
      </c>
      <c r="W65">
        <v>189591.28460000001</v>
      </c>
      <c r="X65">
        <v>238445.49729999999</v>
      </c>
      <c r="Y65">
        <v>210168.75169999999</v>
      </c>
      <c r="Z65">
        <v>4962.5189959999998</v>
      </c>
      <c r="AA65">
        <v>140013.84299999999</v>
      </c>
      <c r="AB65">
        <v>72108.107910000006</v>
      </c>
      <c r="AC65">
        <v>124747.5258</v>
      </c>
      <c r="AD65">
        <v>2992.3954189999999</v>
      </c>
      <c r="AE65">
        <v>720718.85800000001</v>
      </c>
      <c r="AF65">
        <v>21237.666249999998</v>
      </c>
      <c r="AG65">
        <v>7286.790739</v>
      </c>
      <c r="AH65">
        <v>159976.0894</v>
      </c>
    </row>
    <row r="66" spans="1:34" x14ac:dyDescent="0.2">
      <c r="A66" t="s">
        <v>587</v>
      </c>
      <c r="B66" t="s">
        <v>321</v>
      </c>
      <c r="C66" t="s">
        <v>464</v>
      </c>
      <c r="D66" t="s">
        <v>681</v>
      </c>
      <c r="E66" t="s">
        <v>499</v>
      </c>
      <c r="F66" t="s">
        <v>462</v>
      </c>
      <c r="G66" s="2">
        <v>34804</v>
      </c>
      <c r="H66" s="2">
        <v>44127</v>
      </c>
      <c r="I66">
        <f t="shared" si="2"/>
        <v>25</v>
      </c>
      <c r="J66">
        <v>1</v>
      </c>
      <c r="K66" t="s">
        <v>451</v>
      </c>
      <c r="L66">
        <v>904</v>
      </c>
      <c r="M66">
        <v>6</v>
      </c>
      <c r="N66">
        <v>0</v>
      </c>
      <c r="O66">
        <v>1</v>
      </c>
      <c r="P66" s="8">
        <v>0</v>
      </c>
      <c r="Q66" s="8">
        <v>1</v>
      </c>
      <c r="R66" t="str">
        <f t="shared" si="3"/>
        <v>TRUE</v>
      </c>
      <c r="S66" t="s">
        <v>321</v>
      </c>
      <c r="T66">
        <v>167641.79310000001</v>
      </c>
      <c r="U66">
        <v>171982.51610000001</v>
      </c>
      <c r="V66">
        <v>949222.73499999999</v>
      </c>
      <c r="W66">
        <v>34701.062830000003</v>
      </c>
      <c r="X66">
        <v>247479.35819999999</v>
      </c>
      <c r="Y66">
        <v>83636.557390000002</v>
      </c>
      <c r="Z66">
        <v>2829.780452</v>
      </c>
      <c r="AA66">
        <v>16152.1448</v>
      </c>
      <c r="AB66">
        <v>49980.177000000003</v>
      </c>
      <c r="AC66">
        <v>49070.646000000001</v>
      </c>
      <c r="AD66">
        <v>3249.6866580000001</v>
      </c>
      <c r="AE66">
        <v>126399.4221</v>
      </c>
      <c r="AF66">
        <v>197337.4425</v>
      </c>
      <c r="AG66">
        <v>76745.126669999998</v>
      </c>
      <c r="AH66">
        <v>742406.83649999998</v>
      </c>
    </row>
    <row r="67" spans="1:34" x14ac:dyDescent="0.2">
      <c r="A67" t="s">
        <v>588</v>
      </c>
      <c r="B67" t="s">
        <v>360</v>
      </c>
      <c r="C67" t="s">
        <v>464</v>
      </c>
      <c r="D67" t="s">
        <v>681</v>
      </c>
      <c r="E67" t="s">
        <v>465</v>
      </c>
      <c r="F67" t="s">
        <v>462</v>
      </c>
      <c r="G67" s="2">
        <v>23778</v>
      </c>
      <c r="H67" s="2">
        <v>44130</v>
      </c>
      <c r="I67">
        <f t="shared" ref="I67:I95" si="4">DATEDIF(G67,H67,"Y")</f>
        <v>55</v>
      </c>
      <c r="J67">
        <v>1</v>
      </c>
      <c r="K67" t="s">
        <v>451</v>
      </c>
      <c r="L67">
        <v>319</v>
      </c>
      <c r="M67">
        <v>11</v>
      </c>
      <c r="N67">
        <v>1</v>
      </c>
      <c r="O67">
        <v>2</v>
      </c>
      <c r="P67" s="9">
        <v>1</v>
      </c>
      <c r="Q67" s="9">
        <v>0</v>
      </c>
      <c r="R67" t="str">
        <f t="shared" ref="R67:R98" si="5">+IF(B67=S67,"TRUE","FALSE")</f>
        <v>TRUE</v>
      </c>
      <c r="S67" t="s">
        <v>360</v>
      </c>
      <c r="T67">
        <v>225564.75409999999</v>
      </c>
      <c r="U67">
        <v>100876.6165</v>
      </c>
      <c r="V67">
        <v>716941.13119999995</v>
      </c>
      <c r="W67">
        <v>160847.83720000001</v>
      </c>
      <c r="X67">
        <v>442142.35560000001</v>
      </c>
      <c r="Y67">
        <v>36165.514600000002</v>
      </c>
      <c r="Z67">
        <v>6510.5765469999997</v>
      </c>
      <c r="AA67">
        <v>72167.514899999995</v>
      </c>
      <c r="AB67">
        <v>48809.98027</v>
      </c>
      <c r="AC67">
        <v>198339.09090000001</v>
      </c>
      <c r="AD67">
        <v>2593.5382180000001</v>
      </c>
      <c r="AE67">
        <v>633251.82779999997</v>
      </c>
      <c r="AF67">
        <v>119763.6189</v>
      </c>
      <c r="AG67">
        <v>18731.58382</v>
      </c>
      <c r="AH67">
        <v>227950.70569999999</v>
      </c>
    </row>
    <row r="68" spans="1:34" x14ac:dyDescent="0.2">
      <c r="A68" t="s">
        <v>590</v>
      </c>
      <c r="B68" t="s">
        <v>49</v>
      </c>
      <c r="C68" t="s">
        <v>448</v>
      </c>
      <c r="D68" t="s">
        <v>680</v>
      </c>
      <c r="E68" t="s">
        <v>558</v>
      </c>
      <c r="F68" t="s">
        <v>450</v>
      </c>
      <c r="G68" s="2">
        <v>37328</v>
      </c>
      <c r="H68" s="2">
        <v>44146</v>
      </c>
      <c r="I68">
        <f t="shared" si="4"/>
        <v>18</v>
      </c>
      <c r="J68">
        <v>1</v>
      </c>
      <c r="K68" t="s">
        <v>451</v>
      </c>
      <c r="L68">
        <v>472</v>
      </c>
      <c r="M68" t="s">
        <v>450</v>
      </c>
      <c r="N68">
        <v>1</v>
      </c>
      <c r="O68">
        <v>2</v>
      </c>
      <c r="P68" s="9">
        <v>1</v>
      </c>
      <c r="Q68" s="9">
        <v>0</v>
      </c>
      <c r="R68" t="str">
        <f t="shared" si="5"/>
        <v>TRUE</v>
      </c>
      <c r="S68" t="s">
        <v>49</v>
      </c>
      <c r="T68">
        <v>606981.68550000002</v>
      </c>
      <c r="U68">
        <v>395984.46470000001</v>
      </c>
      <c r="V68">
        <v>1285766.8999999999</v>
      </c>
      <c r="W68">
        <v>698233.73160000006</v>
      </c>
      <c r="X68">
        <v>10073.60211</v>
      </c>
      <c r="Y68">
        <v>36788.20321</v>
      </c>
      <c r="Z68">
        <v>2573.1040849999999</v>
      </c>
      <c r="AA68">
        <v>65642.288820000002</v>
      </c>
      <c r="AB68">
        <v>711638.51020000002</v>
      </c>
      <c r="AC68">
        <v>544735.57889999996</v>
      </c>
      <c r="AD68">
        <v>2364.1104049999999</v>
      </c>
      <c r="AE68">
        <v>502962.29330000002</v>
      </c>
      <c r="AF68">
        <v>175360.34520000001</v>
      </c>
      <c r="AG68">
        <v>82223.745250000007</v>
      </c>
      <c r="AH68">
        <v>2394236.5410000002</v>
      </c>
    </row>
    <row r="69" spans="1:34" x14ac:dyDescent="0.2">
      <c r="A69" t="s">
        <v>593</v>
      </c>
      <c r="B69" t="s">
        <v>70</v>
      </c>
      <c r="C69" t="s">
        <v>453</v>
      </c>
      <c r="D69" t="s">
        <v>681</v>
      </c>
      <c r="E69" t="s">
        <v>461</v>
      </c>
      <c r="F69" t="s">
        <v>455</v>
      </c>
      <c r="G69" s="2">
        <v>34311</v>
      </c>
      <c r="H69" s="2">
        <v>44148</v>
      </c>
      <c r="I69">
        <f t="shared" si="4"/>
        <v>26</v>
      </c>
      <c r="J69">
        <v>1</v>
      </c>
      <c r="K69" t="s">
        <v>451</v>
      </c>
      <c r="L69">
        <v>1823</v>
      </c>
      <c r="M69">
        <v>9</v>
      </c>
      <c r="N69">
        <v>0</v>
      </c>
      <c r="O69">
        <v>2</v>
      </c>
      <c r="P69" s="9">
        <v>1</v>
      </c>
      <c r="Q69" s="9">
        <v>0</v>
      </c>
      <c r="R69" t="str">
        <f t="shared" si="5"/>
        <v>TRUE</v>
      </c>
      <c r="S69" t="s">
        <v>70</v>
      </c>
      <c r="T69">
        <v>191103.48120000001</v>
      </c>
      <c r="U69">
        <v>411178.1948</v>
      </c>
      <c r="V69">
        <v>294419.92660000001</v>
      </c>
      <c r="W69">
        <v>180197.25769999999</v>
      </c>
      <c r="X69">
        <v>112583.11380000001</v>
      </c>
      <c r="Y69">
        <v>18102.980510000001</v>
      </c>
      <c r="Z69">
        <v>8110.7345130000003</v>
      </c>
      <c r="AA69">
        <v>24115.734390000001</v>
      </c>
      <c r="AB69">
        <v>21200.512890000002</v>
      </c>
      <c r="AC69">
        <v>84786.583469999998</v>
      </c>
      <c r="AD69">
        <v>2178.1685790000001</v>
      </c>
      <c r="AE69">
        <v>796489.6176</v>
      </c>
      <c r="AF69">
        <v>70860.738710000005</v>
      </c>
      <c r="AG69">
        <v>14163.978510000001</v>
      </c>
      <c r="AH69">
        <v>81089.106390000001</v>
      </c>
    </row>
    <row r="70" spans="1:34" x14ac:dyDescent="0.2">
      <c r="A70" t="s">
        <v>595</v>
      </c>
      <c r="B70" t="s">
        <v>329</v>
      </c>
      <c r="C70" t="s">
        <v>453</v>
      </c>
      <c r="D70" t="s">
        <v>681</v>
      </c>
      <c r="E70" t="s">
        <v>461</v>
      </c>
      <c r="F70" t="s">
        <v>462</v>
      </c>
      <c r="G70" s="2">
        <v>33826</v>
      </c>
      <c r="H70" s="2">
        <v>44152</v>
      </c>
      <c r="I70">
        <f t="shared" si="4"/>
        <v>28</v>
      </c>
      <c r="J70">
        <v>1</v>
      </c>
      <c r="K70" t="s">
        <v>451</v>
      </c>
      <c r="L70">
        <v>221</v>
      </c>
      <c r="M70">
        <v>10</v>
      </c>
      <c r="N70">
        <v>0</v>
      </c>
      <c r="O70">
        <v>2</v>
      </c>
      <c r="P70" s="8">
        <v>1</v>
      </c>
      <c r="Q70" s="8">
        <v>0</v>
      </c>
      <c r="R70" t="str">
        <f t="shared" si="5"/>
        <v>TRUE</v>
      </c>
      <c r="S70" t="s">
        <v>329</v>
      </c>
      <c r="T70">
        <v>1151068.3959999999</v>
      </c>
      <c r="U70">
        <v>66108.020250000001</v>
      </c>
      <c r="V70">
        <v>383233.64549999998</v>
      </c>
      <c r="W70">
        <v>836942.68420000002</v>
      </c>
      <c r="X70">
        <v>358258.0673</v>
      </c>
      <c r="Y70">
        <v>66049.172040000005</v>
      </c>
      <c r="Z70">
        <v>5294.3746359999996</v>
      </c>
      <c r="AA70">
        <v>29509.644489999999</v>
      </c>
      <c r="AB70">
        <v>168143.4246</v>
      </c>
      <c r="AC70">
        <v>106876.53569999999</v>
      </c>
      <c r="AD70">
        <v>2669.712661</v>
      </c>
      <c r="AE70">
        <v>317872.9449</v>
      </c>
      <c r="AF70">
        <v>589513.37139999995</v>
      </c>
      <c r="AG70">
        <v>471195.3039</v>
      </c>
      <c r="AH70">
        <v>265220.88439999998</v>
      </c>
    </row>
    <row r="71" spans="1:34" x14ac:dyDescent="0.2">
      <c r="A71" t="s">
        <v>597</v>
      </c>
      <c r="B71" t="s">
        <v>145</v>
      </c>
      <c r="C71" t="s">
        <v>453</v>
      </c>
      <c r="D71" t="s">
        <v>681</v>
      </c>
      <c r="E71" t="s">
        <v>461</v>
      </c>
      <c r="F71" t="s">
        <v>462</v>
      </c>
      <c r="G71" s="2">
        <v>35769</v>
      </c>
      <c r="H71" s="2">
        <v>44162</v>
      </c>
      <c r="I71">
        <f t="shared" si="4"/>
        <v>22</v>
      </c>
      <c r="J71">
        <v>1</v>
      </c>
      <c r="K71" t="s">
        <v>456</v>
      </c>
      <c r="L71">
        <v>7900</v>
      </c>
      <c r="M71">
        <v>13</v>
      </c>
      <c r="N71">
        <v>1</v>
      </c>
      <c r="O71">
        <v>2</v>
      </c>
      <c r="P71" s="9">
        <v>1</v>
      </c>
      <c r="Q71" s="9">
        <v>0</v>
      </c>
      <c r="R71" t="str">
        <f t="shared" si="5"/>
        <v>TRUE</v>
      </c>
      <c r="S71" t="s">
        <v>145</v>
      </c>
      <c r="T71">
        <v>430905.83679999999</v>
      </c>
      <c r="U71">
        <v>65493.35241</v>
      </c>
      <c r="V71">
        <v>297798.0417</v>
      </c>
      <c r="W71">
        <v>355858.25660000002</v>
      </c>
      <c r="X71">
        <v>122716.98330000001</v>
      </c>
      <c r="Y71">
        <v>49804.299480000001</v>
      </c>
      <c r="Z71">
        <v>177594.99040000001</v>
      </c>
      <c r="AA71">
        <v>396517.63949999999</v>
      </c>
      <c r="AB71">
        <v>118947.9648</v>
      </c>
      <c r="AC71">
        <v>615301.33400000003</v>
      </c>
      <c r="AD71">
        <v>1812.722792</v>
      </c>
      <c r="AE71">
        <v>107134.6596</v>
      </c>
      <c r="AF71">
        <v>191473.63589999999</v>
      </c>
      <c r="AG71">
        <v>83356.860820000002</v>
      </c>
      <c r="AH71">
        <v>2081797.683</v>
      </c>
    </row>
    <row r="72" spans="1:34" x14ac:dyDescent="0.2">
      <c r="A72" t="s">
        <v>598</v>
      </c>
      <c r="B72" t="s">
        <v>431</v>
      </c>
      <c r="C72" t="s">
        <v>453</v>
      </c>
      <c r="D72" t="s">
        <v>681</v>
      </c>
      <c r="E72" t="s">
        <v>461</v>
      </c>
      <c r="F72" t="s">
        <v>462</v>
      </c>
      <c r="G72" s="2">
        <v>28094</v>
      </c>
      <c r="H72" s="2">
        <v>44169</v>
      </c>
      <c r="I72">
        <f t="shared" si="4"/>
        <v>44</v>
      </c>
      <c r="J72">
        <v>1</v>
      </c>
      <c r="K72" t="s">
        <v>451</v>
      </c>
      <c r="L72">
        <v>659</v>
      </c>
      <c r="M72">
        <v>6</v>
      </c>
      <c r="N72">
        <v>1</v>
      </c>
      <c r="O72">
        <v>2</v>
      </c>
      <c r="P72" s="9">
        <v>1</v>
      </c>
      <c r="Q72" s="9">
        <v>0</v>
      </c>
      <c r="R72" t="str">
        <f t="shared" si="5"/>
        <v>TRUE</v>
      </c>
      <c r="S72" t="s">
        <v>431</v>
      </c>
      <c r="T72">
        <v>98573.356539999993</v>
      </c>
      <c r="U72">
        <v>1131254.375</v>
      </c>
      <c r="V72">
        <v>1223079.4210000001</v>
      </c>
      <c r="W72">
        <v>195906.1611</v>
      </c>
      <c r="X72">
        <v>50294.880969999998</v>
      </c>
      <c r="Y72">
        <v>106380.3253</v>
      </c>
      <c r="Z72">
        <v>2215.7926219999999</v>
      </c>
      <c r="AA72">
        <v>137206.30739999999</v>
      </c>
      <c r="AB72">
        <v>213769.24410000001</v>
      </c>
      <c r="AC72">
        <v>369544.31219999999</v>
      </c>
      <c r="AD72">
        <v>5260.0982649999996</v>
      </c>
      <c r="AE72">
        <v>1264484.811</v>
      </c>
      <c r="AF72">
        <v>21002.00001</v>
      </c>
      <c r="AG72">
        <v>11398.30947</v>
      </c>
      <c r="AH72">
        <v>85290.628320000003</v>
      </c>
    </row>
    <row r="73" spans="1:34" x14ac:dyDescent="0.2">
      <c r="A73" t="s">
        <v>661</v>
      </c>
      <c r="B73" t="s">
        <v>143</v>
      </c>
      <c r="C73" t="s">
        <v>464</v>
      </c>
      <c r="D73" t="s">
        <v>681</v>
      </c>
      <c r="E73" t="s">
        <v>499</v>
      </c>
      <c r="F73" t="s">
        <v>462</v>
      </c>
      <c r="G73" s="2">
        <v>25846</v>
      </c>
      <c r="H73" s="2">
        <v>44172</v>
      </c>
      <c r="I73">
        <f t="shared" si="4"/>
        <v>50</v>
      </c>
      <c r="J73">
        <v>1</v>
      </c>
      <c r="K73" t="s">
        <v>456</v>
      </c>
      <c r="L73">
        <v>549</v>
      </c>
      <c r="M73">
        <v>9</v>
      </c>
      <c r="N73">
        <v>0</v>
      </c>
      <c r="O73">
        <v>3</v>
      </c>
      <c r="P73" s="9">
        <v>1</v>
      </c>
      <c r="Q73" s="9">
        <v>0</v>
      </c>
      <c r="R73" t="str">
        <f t="shared" si="5"/>
        <v>TRUE</v>
      </c>
      <c r="S73" t="s">
        <v>143</v>
      </c>
      <c r="T73">
        <v>99642.411380000005</v>
      </c>
      <c r="U73">
        <v>24152.938119999999</v>
      </c>
      <c r="V73">
        <v>264142.18030000001</v>
      </c>
      <c r="W73">
        <v>155637.87299999999</v>
      </c>
      <c r="X73">
        <v>57566.154869999998</v>
      </c>
      <c r="Y73">
        <v>16423.420030000001</v>
      </c>
      <c r="Z73">
        <v>8521.1058489999996</v>
      </c>
      <c r="AA73">
        <v>58927.252489999999</v>
      </c>
      <c r="AB73">
        <v>34120.68273</v>
      </c>
      <c r="AC73">
        <v>96945.552819999997</v>
      </c>
      <c r="AD73">
        <v>3620.8927699999999</v>
      </c>
      <c r="AE73">
        <v>981407.38749999995</v>
      </c>
      <c r="AF73">
        <v>47077.183409999998</v>
      </c>
      <c r="AG73">
        <v>10723.09899</v>
      </c>
      <c r="AH73">
        <v>151670.201</v>
      </c>
    </row>
    <row r="74" spans="1:34" x14ac:dyDescent="0.2">
      <c r="A74" t="s">
        <v>604</v>
      </c>
      <c r="B74" t="s">
        <v>218</v>
      </c>
      <c r="C74" t="s">
        <v>464</v>
      </c>
      <c r="D74" t="s">
        <v>681</v>
      </c>
      <c r="E74" t="s">
        <v>465</v>
      </c>
      <c r="F74" t="s">
        <v>462</v>
      </c>
      <c r="G74" s="2">
        <v>35547</v>
      </c>
      <c r="H74" s="2">
        <v>44181</v>
      </c>
      <c r="I74">
        <f t="shared" si="4"/>
        <v>23</v>
      </c>
      <c r="J74">
        <v>1</v>
      </c>
      <c r="K74" t="s">
        <v>456</v>
      </c>
      <c r="L74">
        <v>338</v>
      </c>
      <c r="M74">
        <v>7</v>
      </c>
      <c r="N74">
        <v>0</v>
      </c>
      <c r="O74">
        <v>1</v>
      </c>
      <c r="P74" s="9">
        <v>0</v>
      </c>
      <c r="Q74" s="9">
        <v>0</v>
      </c>
      <c r="R74" t="str">
        <f t="shared" si="5"/>
        <v>TRUE</v>
      </c>
      <c r="S74" t="s">
        <v>218</v>
      </c>
      <c r="T74">
        <v>52142.328780000003</v>
      </c>
      <c r="U74">
        <v>138891.10550000001</v>
      </c>
      <c r="V74">
        <v>783795.87639999995</v>
      </c>
      <c r="W74">
        <v>74022.24828</v>
      </c>
      <c r="X74">
        <v>63355.958749999998</v>
      </c>
      <c r="Y74">
        <v>115987.4708</v>
      </c>
      <c r="Z74">
        <v>2963.5625540000001</v>
      </c>
      <c r="AA74">
        <v>19428.57229</v>
      </c>
      <c r="AB74">
        <v>56229.513740000002</v>
      </c>
      <c r="AC74">
        <v>73683.255040000004</v>
      </c>
      <c r="AD74">
        <v>9790.845319</v>
      </c>
      <c r="AE74">
        <v>78229.898809999999</v>
      </c>
      <c r="AF74">
        <v>36497.527699999999</v>
      </c>
      <c r="AG74">
        <v>9674.5826849999994</v>
      </c>
      <c r="AH74">
        <v>779599.3689</v>
      </c>
    </row>
    <row r="75" spans="1:34" x14ac:dyDescent="0.2">
      <c r="A75" t="s">
        <v>666</v>
      </c>
      <c r="B75" t="s">
        <v>241</v>
      </c>
      <c r="C75" t="s">
        <v>448</v>
      </c>
      <c r="D75" t="s">
        <v>680</v>
      </c>
      <c r="E75" t="s">
        <v>459</v>
      </c>
      <c r="F75" t="s">
        <v>450</v>
      </c>
      <c r="G75" s="2">
        <v>21616</v>
      </c>
      <c r="H75" s="2">
        <v>43237</v>
      </c>
      <c r="I75">
        <f t="shared" si="4"/>
        <v>59</v>
      </c>
      <c r="J75">
        <v>1</v>
      </c>
      <c r="K75" t="s">
        <v>451</v>
      </c>
      <c r="L75">
        <v>206</v>
      </c>
      <c r="M75" t="s">
        <v>450</v>
      </c>
      <c r="N75">
        <v>0</v>
      </c>
      <c r="O75">
        <v>3</v>
      </c>
      <c r="P75">
        <v>1</v>
      </c>
      <c r="Q75">
        <v>0</v>
      </c>
      <c r="R75" t="str">
        <f t="shared" si="5"/>
        <v>TRUE</v>
      </c>
      <c r="S75" t="s">
        <v>241</v>
      </c>
      <c r="T75">
        <v>41331.650529999999</v>
      </c>
      <c r="U75">
        <v>153617.88269999999</v>
      </c>
      <c r="V75">
        <v>412744.58669999999</v>
      </c>
      <c r="W75">
        <v>107381.4664</v>
      </c>
      <c r="X75">
        <v>264230.87609999999</v>
      </c>
      <c r="Y75">
        <v>77226.608930000002</v>
      </c>
      <c r="Z75">
        <v>4950.8895389999998</v>
      </c>
      <c r="AA75">
        <v>71830.106029999995</v>
      </c>
      <c r="AB75">
        <v>33186.466769999999</v>
      </c>
      <c r="AC75">
        <v>188863.00529999999</v>
      </c>
      <c r="AD75">
        <v>2402.9086710000001</v>
      </c>
      <c r="AE75">
        <v>6968921.7659999998</v>
      </c>
      <c r="AF75">
        <v>98761.117700000003</v>
      </c>
      <c r="AG75">
        <v>70391.478470000002</v>
      </c>
      <c r="AH75">
        <v>118528.9967</v>
      </c>
    </row>
    <row r="76" spans="1:34" x14ac:dyDescent="0.2">
      <c r="A76" t="s">
        <v>609</v>
      </c>
      <c r="B76" t="s">
        <v>116</v>
      </c>
      <c r="C76" t="s">
        <v>467</v>
      </c>
      <c r="D76" t="s">
        <v>680</v>
      </c>
      <c r="E76" t="s">
        <v>450</v>
      </c>
      <c r="F76" t="s">
        <v>450</v>
      </c>
      <c r="G76" s="2">
        <v>26667</v>
      </c>
      <c r="H76" s="2">
        <v>44231</v>
      </c>
      <c r="I76">
        <f t="shared" si="4"/>
        <v>48</v>
      </c>
      <c r="J76">
        <v>1</v>
      </c>
      <c r="K76" t="s">
        <v>451</v>
      </c>
      <c r="L76" t="s">
        <v>450</v>
      </c>
      <c r="M76" t="s">
        <v>450</v>
      </c>
      <c r="N76">
        <v>0</v>
      </c>
      <c r="O76">
        <v>2</v>
      </c>
      <c r="P76" s="10">
        <v>1</v>
      </c>
      <c r="Q76" s="10">
        <v>0</v>
      </c>
      <c r="R76" t="str">
        <f t="shared" si="5"/>
        <v>TRUE</v>
      </c>
      <c r="S76" t="s">
        <v>116</v>
      </c>
      <c r="T76">
        <v>502046.43589999998</v>
      </c>
      <c r="U76">
        <v>188354.0569</v>
      </c>
      <c r="V76">
        <v>385048.4571</v>
      </c>
      <c r="W76">
        <v>364542.2721</v>
      </c>
      <c r="X76">
        <v>102376.4871</v>
      </c>
      <c r="Y76">
        <v>22080.375499999998</v>
      </c>
      <c r="Z76">
        <v>96174.552649999998</v>
      </c>
      <c r="AA76">
        <v>24810.295470000001</v>
      </c>
      <c r="AB76">
        <v>27705.08092</v>
      </c>
      <c r="AC76">
        <v>66675.379879999993</v>
      </c>
      <c r="AD76">
        <v>2609.227973</v>
      </c>
      <c r="AE76">
        <v>545058.23179999995</v>
      </c>
      <c r="AF76">
        <v>61331.607620000002</v>
      </c>
      <c r="AG76">
        <v>21407.166389999999</v>
      </c>
      <c r="AH76">
        <v>230424.144</v>
      </c>
    </row>
    <row r="77" spans="1:34" x14ac:dyDescent="0.2">
      <c r="A77" t="s">
        <v>610</v>
      </c>
      <c r="B77" t="s">
        <v>319</v>
      </c>
      <c r="C77" t="s">
        <v>467</v>
      </c>
      <c r="D77" t="s">
        <v>680</v>
      </c>
      <c r="E77" t="s">
        <v>450</v>
      </c>
      <c r="F77" t="s">
        <v>450</v>
      </c>
      <c r="G77" s="2">
        <v>24872</v>
      </c>
      <c r="H77" s="2">
        <v>44231</v>
      </c>
      <c r="I77">
        <f t="shared" si="4"/>
        <v>53</v>
      </c>
      <c r="J77">
        <v>1</v>
      </c>
      <c r="K77" t="s">
        <v>451</v>
      </c>
      <c r="L77" t="s">
        <v>450</v>
      </c>
      <c r="M77" t="s">
        <v>450</v>
      </c>
      <c r="N77">
        <v>0</v>
      </c>
      <c r="O77">
        <v>2</v>
      </c>
      <c r="P77" s="10">
        <v>1</v>
      </c>
      <c r="Q77" s="10">
        <v>0</v>
      </c>
      <c r="R77" t="str">
        <f t="shared" si="5"/>
        <v>TRUE</v>
      </c>
      <c r="S77" t="s">
        <v>319</v>
      </c>
      <c r="T77">
        <v>326829.65139999997</v>
      </c>
      <c r="U77">
        <v>298750.07390000002</v>
      </c>
      <c r="V77">
        <v>335881.62180000002</v>
      </c>
      <c r="W77">
        <v>169336.97719999999</v>
      </c>
      <c r="X77">
        <v>153958.36679999999</v>
      </c>
      <c r="Y77">
        <v>116004.4074</v>
      </c>
      <c r="Z77">
        <v>91131.278430000006</v>
      </c>
      <c r="AA77">
        <v>44779.202969999998</v>
      </c>
      <c r="AB77">
        <v>78835.967919999996</v>
      </c>
      <c r="AC77">
        <v>60665.088589999999</v>
      </c>
      <c r="AD77">
        <v>3439.8133710000002</v>
      </c>
      <c r="AE77">
        <v>645138.70990000002</v>
      </c>
      <c r="AF77">
        <v>194180.64309999999</v>
      </c>
      <c r="AG77">
        <v>12471.972460000001</v>
      </c>
      <c r="AH77">
        <v>101689.5812</v>
      </c>
    </row>
    <row r="78" spans="1:34" x14ac:dyDescent="0.2">
      <c r="A78" t="s">
        <v>611</v>
      </c>
      <c r="B78" t="s">
        <v>235</v>
      </c>
      <c r="C78" t="s">
        <v>467</v>
      </c>
      <c r="D78" t="s">
        <v>680</v>
      </c>
      <c r="E78" t="s">
        <v>450</v>
      </c>
      <c r="F78" t="s">
        <v>450</v>
      </c>
      <c r="G78" s="2">
        <v>24477</v>
      </c>
      <c r="H78" s="2">
        <v>44233</v>
      </c>
      <c r="I78">
        <f t="shared" si="4"/>
        <v>54</v>
      </c>
      <c r="J78">
        <v>1</v>
      </c>
      <c r="K78" t="s">
        <v>456</v>
      </c>
      <c r="L78" t="s">
        <v>450</v>
      </c>
      <c r="M78" t="s">
        <v>450</v>
      </c>
      <c r="N78">
        <v>0</v>
      </c>
      <c r="O78">
        <v>3</v>
      </c>
      <c r="P78" s="11">
        <v>0</v>
      </c>
      <c r="Q78" s="11">
        <v>0</v>
      </c>
      <c r="R78" t="str">
        <f t="shared" si="5"/>
        <v>TRUE</v>
      </c>
      <c r="S78" t="s">
        <v>235</v>
      </c>
      <c r="T78">
        <v>42482.615890000001</v>
      </c>
      <c r="U78">
        <v>72212.253620000003</v>
      </c>
      <c r="V78">
        <v>483928.73790000001</v>
      </c>
      <c r="W78">
        <v>111079.5392</v>
      </c>
      <c r="X78">
        <v>172814.2194</v>
      </c>
      <c r="Y78">
        <v>85368.297919999997</v>
      </c>
      <c r="Z78">
        <v>4312.1194660000001</v>
      </c>
      <c r="AA78">
        <v>33911.311970000002</v>
      </c>
      <c r="AB78">
        <v>76667.672850000003</v>
      </c>
      <c r="AC78">
        <v>218401.4074</v>
      </c>
      <c r="AD78">
        <v>8838.5027570000002</v>
      </c>
      <c r="AE78">
        <v>484922.74239999999</v>
      </c>
      <c r="AF78">
        <v>224435.88620000001</v>
      </c>
      <c r="AG78">
        <v>86307.953150000001</v>
      </c>
      <c r="AH78">
        <v>134310.19080000001</v>
      </c>
    </row>
    <row r="79" spans="1:34" x14ac:dyDescent="0.2">
      <c r="A79" t="s">
        <v>612</v>
      </c>
      <c r="B79" t="s">
        <v>327</v>
      </c>
      <c r="C79" t="s">
        <v>467</v>
      </c>
      <c r="D79" t="s">
        <v>680</v>
      </c>
      <c r="E79" t="s">
        <v>450</v>
      </c>
      <c r="F79" t="s">
        <v>450</v>
      </c>
      <c r="G79" s="2">
        <v>32884</v>
      </c>
      <c r="H79" s="2">
        <v>44233</v>
      </c>
      <c r="I79">
        <f t="shared" si="4"/>
        <v>31</v>
      </c>
      <c r="J79">
        <v>1</v>
      </c>
      <c r="K79" t="s">
        <v>451</v>
      </c>
      <c r="L79" t="s">
        <v>450</v>
      </c>
      <c r="M79" t="s">
        <v>450</v>
      </c>
      <c r="N79">
        <v>1</v>
      </c>
      <c r="O79">
        <v>2</v>
      </c>
      <c r="P79" s="10">
        <v>0</v>
      </c>
      <c r="Q79" s="10">
        <v>0</v>
      </c>
      <c r="R79" t="str">
        <f t="shared" si="5"/>
        <v>TRUE</v>
      </c>
      <c r="S79" t="s">
        <v>327</v>
      </c>
      <c r="T79">
        <v>36160.993569999999</v>
      </c>
      <c r="U79">
        <v>251344.77989999999</v>
      </c>
      <c r="V79">
        <v>1069583.0560000001</v>
      </c>
      <c r="W79">
        <v>66808.458150000006</v>
      </c>
      <c r="X79">
        <v>250279.90969999999</v>
      </c>
      <c r="Y79">
        <v>101253.4142</v>
      </c>
      <c r="Z79">
        <v>4701.4435059999996</v>
      </c>
      <c r="AA79">
        <v>16468.970539999998</v>
      </c>
      <c r="AB79">
        <v>32461.305690000001</v>
      </c>
      <c r="AC79">
        <v>48488.433969999998</v>
      </c>
      <c r="AD79">
        <v>3202.7287369999999</v>
      </c>
      <c r="AE79">
        <v>938109.25069999998</v>
      </c>
      <c r="AF79">
        <v>16340.456039999999</v>
      </c>
      <c r="AG79">
        <v>7996.3921179999998</v>
      </c>
      <c r="AH79">
        <v>125223.7699</v>
      </c>
    </row>
    <row r="80" spans="1:34" x14ac:dyDescent="0.2">
      <c r="A80" t="s">
        <v>553</v>
      </c>
      <c r="B80" t="s">
        <v>168</v>
      </c>
      <c r="C80" t="s">
        <v>467</v>
      </c>
      <c r="D80" t="s">
        <v>680</v>
      </c>
      <c r="E80" t="s">
        <v>450</v>
      </c>
      <c r="F80" t="s">
        <v>450</v>
      </c>
      <c r="G80" s="2">
        <v>33635</v>
      </c>
      <c r="H80" s="2">
        <v>44236</v>
      </c>
      <c r="I80">
        <f t="shared" si="4"/>
        <v>29</v>
      </c>
      <c r="J80">
        <v>1</v>
      </c>
      <c r="K80" t="s">
        <v>451</v>
      </c>
      <c r="L80" t="s">
        <v>450</v>
      </c>
      <c r="M80" t="s">
        <v>450</v>
      </c>
      <c r="N80">
        <v>1</v>
      </c>
      <c r="O80">
        <v>2</v>
      </c>
      <c r="P80" s="11">
        <v>1</v>
      </c>
      <c r="Q80" s="11">
        <v>0</v>
      </c>
      <c r="R80" t="str">
        <f t="shared" si="5"/>
        <v>TRUE</v>
      </c>
      <c r="S80" t="s">
        <v>168</v>
      </c>
      <c r="T80">
        <v>107973.3082</v>
      </c>
      <c r="U80">
        <v>88621.937479999993</v>
      </c>
      <c r="V80">
        <v>262058.46720000001</v>
      </c>
      <c r="W80">
        <v>133795.75140000001</v>
      </c>
      <c r="X80">
        <v>49536.680679999998</v>
      </c>
      <c r="Y80">
        <v>116800.4182</v>
      </c>
      <c r="Z80">
        <v>2601.9947619999998</v>
      </c>
      <c r="AA80">
        <v>13265.479439999999</v>
      </c>
      <c r="AB80">
        <v>31178.420989999999</v>
      </c>
      <c r="AC80">
        <v>39330.573790000002</v>
      </c>
      <c r="AD80">
        <v>2671.5006549999998</v>
      </c>
      <c r="AE80">
        <v>601937.04909999995</v>
      </c>
      <c r="AF80">
        <v>27300.441910000001</v>
      </c>
      <c r="AG80">
        <v>11010.87012</v>
      </c>
      <c r="AH80">
        <v>76603.639339999994</v>
      </c>
    </row>
    <row r="81" spans="1:34" x14ac:dyDescent="0.2">
      <c r="A81" t="s">
        <v>614</v>
      </c>
      <c r="B81" t="s">
        <v>184</v>
      </c>
      <c r="C81" t="s">
        <v>467</v>
      </c>
      <c r="D81" t="s">
        <v>680</v>
      </c>
      <c r="E81" t="s">
        <v>450</v>
      </c>
      <c r="F81" t="s">
        <v>450</v>
      </c>
      <c r="G81" s="2">
        <v>33608</v>
      </c>
      <c r="H81" s="2">
        <v>44237</v>
      </c>
      <c r="I81">
        <f t="shared" si="4"/>
        <v>29</v>
      </c>
      <c r="J81">
        <v>1</v>
      </c>
      <c r="K81" t="s">
        <v>451</v>
      </c>
      <c r="L81" t="s">
        <v>450</v>
      </c>
      <c r="M81" t="s">
        <v>450</v>
      </c>
      <c r="N81">
        <v>0</v>
      </c>
      <c r="O81">
        <v>2</v>
      </c>
      <c r="P81" s="11">
        <v>0</v>
      </c>
      <c r="Q81" s="11">
        <v>0</v>
      </c>
      <c r="R81" t="str">
        <f t="shared" si="5"/>
        <v>TRUE</v>
      </c>
      <c r="S81" t="s">
        <v>184</v>
      </c>
      <c r="T81">
        <v>78851.534740000003</v>
      </c>
      <c r="U81">
        <v>1796969.8430000001</v>
      </c>
      <c r="V81">
        <v>348608.44040000002</v>
      </c>
      <c r="W81">
        <v>147192.503</v>
      </c>
      <c r="X81">
        <v>563651.47</v>
      </c>
      <c r="Y81">
        <v>44028.97653</v>
      </c>
      <c r="Z81">
        <v>6931.037601</v>
      </c>
      <c r="AA81">
        <v>14571.178819999999</v>
      </c>
      <c r="AB81">
        <v>76486.532349999994</v>
      </c>
      <c r="AC81">
        <v>273964.04300000001</v>
      </c>
      <c r="AD81">
        <v>4943.6589819999999</v>
      </c>
      <c r="AE81">
        <v>1208885.57</v>
      </c>
      <c r="AF81">
        <v>78325.219010000001</v>
      </c>
      <c r="AG81">
        <v>207877.0681</v>
      </c>
      <c r="AH81">
        <v>82035.065990000003</v>
      </c>
    </row>
    <row r="82" spans="1:34" x14ac:dyDescent="0.2">
      <c r="A82" t="s">
        <v>615</v>
      </c>
      <c r="B82" t="s">
        <v>192</v>
      </c>
      <c r="C82" t="s">
        <v>467</v>
      </c>
      <c r="D82" t="s">
        <v>680</v>
      </c>
      <c r="E82" t="s">
        <v>450</v>
      </c>
      <c r="F82" t="s">
        <v>450</v>
      </c>
      <c r="G82" s="2">
        <v>34726</v>
      </c>
      <c r="H82" s="2">
        <v>44237</v>
      </c>
      <c r="I82">
        <f t="shared" si="4"/>
        <v>26</v>
      </c>
      <c r="J82">
        <v>1</v>
      </c>
      <c r="K82" t="s">
        <v>451</v>
      </c>
      <c r="L82" t="s">
        <v>450</v>
      </c>
      <c r="M82" t="s">
        <v>450</v>
      </c>
      <c r="N82">
        <v>0</v>
      </c>
      <c r="O82">
        <v>2</v>
      </c>
      <c r="P82" s="11">
        <v>1</v>
      </c>
      <c r="Q82" s="11">
        <v>0</v>
      </c>
      <c r="R82" t="str">
        <f t="shared" si="5"/>
        <v>TRUE</v>
      </c>
      <c r="S82" t="s">
        <v>192</v>
      </c>
      <c r="T82">
        <v>52679.139869999999</v>
      </c>
      <c r="U82">
        <v>542491.56709999999</v>
      </c>
      <c r="V82">
        <v>80566.927549999993</v>
      </c>
      <c r="W82">
        <v>104261.6234</v>
      </c>
      <c r="X82">
        <v>184364.9485</v>
      </c>
      <c r="Y82">
        <v>31332.249759999999</v>
      </c>
      <c r="Z82">
        <v>16613.00275</v>
      </c>
      <c r="AA82">
        <v>44236.908219999998</v>
      </c>
      <c r="AB82">
        <v>32605.371599999999</v>
      </c>
      <c r="AC82">
        <v>45659.347900000001</v>
      </c>
      <c r="AD82">
        <v>2364.5826050000001</v>
      </c>
      <c r="AE82">
        <v>530723.55610000005</v>
      </c>
      <c r="AF82">
        <v>108128.04489999999</v>
      </c>
      <c r="AG82">
        <v>9563.9508370000003</v>
      </c>
      <c r="AH82">
        <v>18642.98432</v>
      </c>
    </row>
    <row r="83" spans="1:34" x14ac:dyDescent="0.2">
      <c r="A83" t="s">
        <v>616</v>
      </c>
      <c r="B83" t="s">
        <v>45</v>
      </c>
      <c r="C83" t="s">
        <v>467</v>
      </c>
      <c r="D83" t="s">
        <v>680</v>
      </c>
      <c r="E83" t="s">
        <v>450</v>
      </c>
      <c r="F83" t="s">
        <v>450</v>
      </c>
      <c r="G83" s="2">
        <v>31660</v>
      </c>
      <c r="H83" s="2">
        <v>44237</v>
      </c>
      <c r="I83">
        <f t="shared" si="4"/>
        <v>34</v>
      </c>
      <c r="J83">
        <v>1</v>
      </c>
      <c r="K83" t="s">
        <v>456</v>
      </c>
      <c r="L83" t="s">
        <v>450</v>
      </c>
      <c r="M83" t="s">
        <v>450</v>
      </c>
      <c r="N83">
        <v>1</v>
      </c>
      <c r="O83">
        <v>2</v>
      </c>
      <c r="P83" s="11">
        <v>1</v>
      </c>
      <c r="Q83" s="11">
        <v>0</v>
      </c>
      <c r="R83" t="str">
        <f t="shared" si="5"/>
        <v>TRUE</v>
      </c>
      <c r="S83" t="s">
        <v>45</v>
      </c>
      <c r="T83">
        <v>21884.856940000001</v>
      </c>
      <c r="U83">
        <v>274557.87329999998</v>
      </c>
      <c r="V83">
        <v>211854.46410000001</v>
      </c>
      <c r="W83">
        <v>35991.727959999997</v>
      </c>
      <c r="X83">
        <v>123501.32460000001</v>
      </c>
      <c r="Y83">
        <v>49326.91635</v>
      </c>
      <c r="Z83">
        <v>1937.155812</v>
      </c>
      <c r="AA83">
        <v>19127.068599999999</v>
      </c>
      <c r="AB83">
        <v>26350.221229999999</v>
      </c>
      <c r="AC83">
        <v>30218.312569999998</v>
      </c>
      <c r="AD83">
        <v>3333.053359</v>
      </c>
      <c r="AE83">
        <v>823033.75529999996</v>
      </c>
      <c r="AF83">
        <v>51297.511169999998</v>
      </c>
      <c r="AG83">
        <v>5664.3924749999996</v>
      </c>
      <c r="AH83">
        <v>55840.785400000001</v>
      </c>
    </row>
    <row r="84" spans="1:34" x14ac:dyDescent="0.2">
      <c r="A84" t="s">
        <v>617</v>
      </c>
      <c r="B84" t="s">
        <v>362</v>
      </c>
      <c r="C84" t="s">
        <v>467</v>
      </c>
      <c r="D84" t="s">
        <v>680</v>
      </c>
      <c r="E84" t="s">
        <v>450</v>
      </c>
      <c r="F84" t="s">
        <v>450</v>
      </c>
      <c r="G84" s="2">
        <v>33457</v>
      </c>
      <c r="H84" s="2">
        <v>44238</v>
      </c>
      <c r="I84">
        <f t="shared" si="4"/>
        <v>29</v>
      </c>
      <c r="J84">
        <v>1</v>
      </c>
      <c r="K84" t="s">
        <v>451</v>
      </c>
      <c r="L84" t="s">
        <v>450</v>
      </c>
      <c r="M84" t="s">
        <v>450</v>
      </c>
      <c r="N84">
        <v>1</v>
      </c>
      <c r="O84">
        <v>2</v>
      </c>
      <c r="P84" s="11">
        <v>1</v>
      </c>
      <c r="Q84" s="11">
        <v>0</v>
      </c>
      <c r="R84" t="str">
        <f t="shared" si="5"/>
        <v>TRUE</v>
      </c>
      <c r="S84" t="s">
        <v>362</v>
      </c>
      <c r="T84">
        <v>44587.020929999999</v>
      </c>
      <c r="U84">
        <v>534823.92599999998</v>
      </c>
      <c r="V84">
        <v>492643.80859999999</v>
      </c>
      <c r="W84">
        <v>75772.934710000001</v>
      </c>
      <c r="X84">
        <v>36818.576059999999</v>
      </c>
      <c r="Y84">
        <v>76042.048819999996</v>
      </c>
      <c r="Z84">
        <v>5602.7762329999996</v>
      </c>
      <c r="AA84">
        <v>30354.087070000001</v>
      </c>
      <c r="AB84">
        <v>33574.928979999997</v>
      </c>
      <c r="AC84">
        <v>138173.89230000001</v>
      </c>
      <c r="AD84">
        <v>22277.704679999999</v>
      </c>
      <c r="AE84">
        <v>757712.94070000004</v>
      </c>
      <c r="AF84">
        <v>12795.353639999999</v>
      </c>
      <c r="AG84">
        <v>4357.1613209999996</v>
      </c>
      <c r="AH84">
        <v>87924.700729999997</v>
      </c>
    </row>
    <row r="85" spans="1:34" x14ac:dyDescent="0.2">
      <c r="A85" t="s">
        <v>466</v>
      </c>
      <c r="B85" t="s">
        <v>160</v>
      </c>
      <c r="C85" t="s">
        <v>467</v>
      </c>
      <c r="D85" t="s">
        <v>680</v>
      </c>
      <c r="E85" t="s">
        <v>450</v>
      </c>
      <c r="F85" t="s">
        <v>450</v>
      </c>
      <c r="G85" s="2">
        <v>31079</v>
      </c>
      <c r="H85" s="2">
        <v>44238</v>
      </c>
      <c r="I85">
        <f t="shared" si="4"/>
        <v>36</v>
      </c>
      <c r="J85">
        <v>1</v>
      </c>
      <c r="K85" t="s">
        <v>456</v>
      </c>
      <c r="L85" t="s">
        <v>450</v>
      </c>
      <c r="M85" t="s">
        <v>450</v>
      </c>
      <c r="N85">
        <v>1</v>
      </c>
      <c r="O85">
        <v>2</v>
      </c>
      <c r="P85" s="11">
        <v>1</v>
      </c>
      <c r="Q85" s="11">
        <v>0</v>
      </c>
      <c r="R85" t="str">
        <f t="shared" si="5"/>
        <v>TRUE</v>
      </c>
      <c r="S85" t="s">
        <v>160</v>
      </c>
      <c r="T85">
        <v>169286.58840000001</v>
      </c>
      <c r="U85">
        <v>466462.76380000002</v>
      </c>
      <c r="V85">
        <v>995466.4534</v>
      </c>
      <c r="W85">
        <v>157357.02770000001</v>
      </c>
      <c r="X85">
        <v>240816.6416</v>
      </c>
      <c r="Y85">
        <v>59011.526389999999</v>
      </c>
      <c r="Z85">
        <v>3278.6466639999999</v>
      </c>
      <c r="AA85">
        <v>23893.95909</v>
      </c>
      <c r="AB85">
        <v>44128.164290000001</v>
      </c>
      <c r="AC85">
        <v>52757.267419999996</v>
      </c>
      <c r="AD85">
        <v>4820.1298470000002</v>
      </c>
      <c r="AE85">
        <v>1077911.6370000001</v>
      </c>
      <c r="AF85">
        <v>18698.615419999998</v>
      </c>
      <c r="AG85">
        <v>91192.102620000005</v>
      </c>
      <c r="AH85">
        <v>269503.13909999997</v>
      </c>
    </row>
    <row r="86" spans="1:34" x14ac:dyDescent="0.2">
      <c r="A86" t="s">
        <v>619</v>
      </c>
      <c r="B86" t="s">
        <v>186</v>
      </c>
      <c r="C86" t="s">
        <v>467</v>
      </c>
      <c r="D86" t="s">
        <v>680</v>
      </c>
      <c r="E86" t="s">
        <v>450</v>
      </c>
      <c r="F86" t="s">
        <v>450</v>
      </c>
      <c r="G86" s="2">
        <v>31751</v>
      </c>
      <c r="H86" s="2">
        <v>44244</v>
      </c>
      <c r="I86">
        <f t="shared" si="4"/>
        <v>34</v>
      </c>
      <c r="J86">
        <v>1</v>
      </c>
      <c r="K86" t="s">
        <v>456</v>
      </c>
      <c r="L86" t="s">
        <v>450</v>
      </c>
      <c r="M86" t="s">
        <v>450</v>
      </c>
      <c r="N86">
        <v>1</v>
      </c>
      <c r="O86">
        <v>2</v>
      </c>
      <c r="P86" s="11">
        <v>1</v>
      </c>
      <c r="Q86" s="11">
        <v>0</v>
      </c>
      <c r="R86" t="str">
        <f t="shared" si="5"/>
        <v>TRUE</v>
      </c>
      <c r="S86" t="s">
        <v>186</v>
      </c>
      <c r="T86">
        <v>224659.58319999999</v>
      </c>
      <c r="U86">
        <v>133090.96299999999</v>
      </c>
      <c r="V86">
        <v>985620.14469999995</v>
      </c>
      <c r="W86">
        <v>136172.99650000001</v>
      </c>
      <c r="X86">
        <v>93455.620970000004</v>
      </c>
      <c r="Y86">
        <v>62529.598250000003</v>
      </c>
      <c r="Z86">
        <v>3455.3386919999998</v>
      </c>
      <c r="AA86">
        <v>33980.584540000003</v>
      </c>
      <c r="AB86">
        <v>36342.045149999998</v>
      </c>
      <c r="AC86">
        <v>120784.69289999999</v>
      </c>
      <c r="AD86">
        <v>12502.51369</v>
      </c>
      <c r="AE86">
        <v>769037.46019999997</v>
      </c>
      <c r="AF86">
        <v>14687.30775</v>
      </c>
      <c r="AG86">
        <v>8824.8976340000008</v>
      </c>
      <c r="AH86">
        <v>177550.26949999999</v>
      </c>
    </row>
    <row r="87" spans="1:34" x14ac:dyDescent="0.2">
      <c r="A87" t="s">
        <v>620</v>
      </c>
      <c r="B87" t="s">
        <v>86</v>
      </c>
      <c r="C87" t="s">
        <v>467</v>
      </c>
      <c r="D87" t="s">
        <v>680</v>
      </c>
      <c r="E87" t="s">
        <v>450</v>
      </c>
      <c r="F87" t="s">
        <v>450</v>
      </c>
      <c r="G87" s="2">
        <v>31873</v>
      </c>
      <c r="H87" s="2">
        <v>44244</v>
      </c>
      <c r="I87">
        <f t="shared" si="4"/>
        <v>33</v>
      </c>
      <c r="J87">
        <v>1</v>
      </c>
      <c r="K87" t="s">
        <v>451</v>
      </c>
      <c r="L87" t="s">
        <v>450</v>
      </c>
      <c r="M87" t="s">
        <v>450</v>
      </c>
      <c r="N87">
        <v>0</v>
      </c>
      <c r="O87">
        <v>2</v>
      </c>
      <c r="P87" s="11">
        <v>0</v>
      </c>
      <c r="Q87" s="11">
        <v>0</v>
      </c>
      <c r="R87" t="str">
        <f t="shared" si="5"/>
        <v>TRUE</v>
      </c>
      <c r="S87" t="s">
        <v>86</v>
      </c>
      <c r="T87">
        <v>192872.97219999999</v>
      </c>
      <c r="U87">
        <v>331692.58240000001</v>
      </c>
      <c r="V87">
        <v>202903.12239999999</v>
      </c>
      <c r="W87">
        <v>164310.52549999999</v>
      </c>
      <c r="X87">
        <v>89283.432060000006</v>
      </c>
      <c r="Y87">
        <v>51872.833319999998</v>
      </c>
      <c r="Z87">
        <v>5664.6778109999996</v>
      </c>
      <c r="AA87">
        <v>14264.963890000001</v>
      </c>
      <c r="AB87">
        <v>21874.44109</v>
      </c>
      <c r="AC87">
        <v>33456.406719999999</v>
      </c>
      <c r="AD87">
        <v>3082.9201979999998</v>
      </c>
      <c r="AE87">
        <v>2437547.8659999999</v>
      </c>
      <c r="AF87">
        <v>59212.761010000002</v>
      </c>
      <c r="AG87">
        <v>12401.363799999999</v>
      </c>
      <c r="AH87">
        <v>77463.044200000004</v>
      </c>
    </row>
    <row r="88" spans="1:34" x14ac:dyDescent="0.2">
      <c r="A88" t="s">
        <v>621</v>
      </c>
      <c r="B88" t="s">
        <v>172</v>
      </c>
      <c r="C88" t="s">
        <v>467</v>
      </c>
      <c r="D88" t="s">
        <v>680</v>
      </c>
      <c r="E88" t="s">
        <v>450</v>
      </c>
      <c r="F88" t="s">
        <v>450</v>
      </c>
      <c r="G88" s="2">
        <v>34733</v>
      </c>
      <c r="H88" s="2">
        <v>44244</v>
      </c>
      <c r="I88">
        <f t="shared" si="4"/>
        <v>26</v>
      </c>
      <c r="J88">
        <v>1</v>
      </c>
      <c r="K88" t="s">
        <v>451</v>
      </c>
      <c r="L88" t="s">
        <v>450</v>
      </c>
      <c r="M88" t="s">
        <v>450</v>
      </c>
      <c r="N88">
        <v>0</v>
      </c>
      <c r="O88">
        <v>2</v>
      </c>
      <c r="P88" s="11">
        <v>1</v>
      </c>
      <c r="Q88" s="11">
        <v>0</v>
      </c>
      <c r="R88" t="str">
        <f t="shared" si="5"/>
        <v>TRUE</v>
      </c>
      <c r="S88" t="s">
        <v>172</v>
      </c>
      <c r="T88">
        <v>147276.49600000001</v>
      </c>
      <c r="U88">
        <v>1084962.3589999999</v>
      </c>
      <c r="V88">
        <v>693361.03850000002</v>
      </c>
      <c r="W88">
        <v>523004.77490000002</v>
      </c>
      <c r="X88">
        <v>32739.746940000001</v>
      </c>
      <c r="Y88">
        <v>34393.627139999997</v>
      </c>
      <c r="Z88">
        <v>5671.6084419999997</v>
      </c>
      <c r="AA88">
        <v>62969.886570000002</v>
      </c>
      <c r="AB88">
        <v>76223.367670000007</v>
      </c>
      <c r="AC88">
        <v>223716.33</v>
      </c>
      <c r="AD88">
        <v>6029.9776350000002</v>
      </c>
      <c r="AE88">
        <v>718163.15350000001</v>
      </c>
      <c r="AF88">
        <v>29946.257239999999</v>
      </c>
      <c r="AG88">
        <v>23742.939399999999</v>
      </c>
      <c r="AH88">
        <v>198781.15659999999</v>
      </c>
    </row>
    <row r="89" spans="1:34" x14ac:dyDescent="0.2">
      <c r="A89" t="s">
        <v>530</v>
      </c>
      <c r="B89" t="s">
        <v>268</v>
      </c>
      <c r="C89" t="s">
        <v>467</v>
      </c>
      <c r="D89" t="s">
        <v>680</v>
      </c>
      <c r="E89" t="s">
        <v>450</v>
      </c>
      <c r="F89" t="s">
        <v>450</v>
      </c>
      <c r="G89" s="2">
        <v>24855</v>
      </c>
      <c r="H89" s="2">
        <v>44245</v>
      </c>
      <c r="I89">
        <f t="shared" si="4"/>
        <v>53</v>
      </c>
      <c r="J89">
        <v>1</v>
      </c>
      <c r="K89" t="s">
        <v>451</v>
      </c>
      <c r="L89" t="s">
        <v>450</v>
      </c>
      <c r="M89" t="s">
        <v>450</v>
      </c>
      <c r="N89">
        <v>1</v>
      </c>
      <c r="O89">
        <v>2</v>
      </c>
      <c r="P89" s="11">
        <v>1</v>
      </c>
      <c r="Q89" s="11">
        <v>0</v>
      </c>
      <c r="R89" t="str">
        <f t="shared" si="5"/>
        <v>TRUE</v>
      </c>
      <c r="S89" t="s">
        <v>268</v>
      </c>
      <c r="T89">
        <v>66003.102419999996</v>
      </c>
      <c r="U89">
        <v>977666.11809999996</v>
      </c>
      <c r="V89">
        <v>324690.1041</v>
      </c>
      <c r="W89">
        <v>101602.2583</v>
      </c>
      <c r="X89">
        <v>11544.94966</v>
      </c>
      <c r="Y89">
        <v>4906.3546740000002</v>
      </c>
      <c r="Z89">
        <v>3733.2187720000002</v>
      </c>
      <c r="AA89">
        <v>20367.61249</v>
      </c>
      <c r="AB89">
        <v>23059.749919999998</v>
      </c>
      <c r="AC89">
        <v>90139.479099999997</v>
      </c>
      <c r="AD89">
        <v>3599.024332</v>
      </c>
      <c r="AE89">
        <v>1191748.1310000001</v>
      </c>
      <c r="AF89">
        <v>21250.31091</v>
      </c>
      <c r="AG89">
        <v>19638.0694</v>
      </c>
      <c r="AH89">
        <v>99706.626069999998</v>
      </c>
    </row>
    <row r="90" spans="1:34" x14ac:dyDescent="0.2">
      <c r="A90" t="s">
        <v>623</v>
      </c>
      <c r="B90" t="s">
        <v>101</v>
      </c>
      <c r="C90" t="s">
        <v>467</v>
      </c>
      <c r="D90" t="s">
        <v>680</v>
      </c>
      <c r="E90" t="s">
        <v>450</v>
      </c>
      <c r="F90" t="s">
        <v>450</v>
      </c>
      <c r="G90" s="2">
        <v>32239</v>
      </c>
      <c r="H90" s="2">
        <v>44245</v>
      </c>
      <c r="I90">
        <f t="shared" si="4"/>
        <v>32</v>
      </c>
      <c r="J90">
        <v>1</v>
      </c>
      <c r="K90" t="s">
        <v>451</v>
      </c>
      <c r="L90" t="s">
        <v>450</v>
      </c>
      <c r="M90" t="s">
        <v>450</v>
      </c>
      <c r="N90">
        <v>1</v>
      </c>
      <c r="O90">
        <v>2</v>
      </c>
      <c r="P90" s="11">
        <v>1</v>
      </c>
      <c r="Q90" s="11">
        <v>0</v>
      </c>
      <c r="R90" t="str">
        <f t="shared" si="5"/>
        <v>TRUE</v>
      </c>
      <c r="S90" t="s">
        <v>101</v>
      </c>
      <c r="T90">
        <v>174417.1635</v>
      </c>
      <c r="U90">
        <v>194480.55420000001</v>
      </c>
      <c r="V90">
        <v>268746.82130000001</v>
      </c>
      <c r="W90">
        <v>224173.87729999999</v>
      </c>
      <c r="X90">
        <v>81544.846309999994</v>
      </c>
      <c r="Y90">
        <v>61459.261460000002</v>
      </c>
      <c r="Z90">
        <v>6415.4503089999998</v>
      </c>
      <c r="AA90">
        <v>24256.791000000001</v>
      </c>
      <c r="AB90">
        <v>22337.28225</v>
      </c>
      <c r="AC90">
        <v>116789.7307</v>
      </c>
      <c r="AD90">
        <v>3223.5140449999999</v>
      </c>
      <c r="AE90">
        <v>1082064.946</v>
      </c>
      <c r="AF90">
        <v>34510.025079999999</v>
      </c>
      <c r="AG90">
        <v>8632.4453549999998</v>
      </c>
      <c r="AH90">
        <v>57948.488340000004</v>
      </c>
    </row>
    <row r="91" spans="1:34" x14ac:dyDescent="0.2">
      <c r="A91" t="s">
        <v>624</v>
      </c>
      <c r="B91" t="s">
        <v>378</v>
      </c>
      <c r="C91" t="s">
        <v>467</v>
      </c>
      <c r="D91" t="s">
        <v>680</v>
      </c>
      <c r="E91" t="s">
        <v>450</v>
      </c>
      <c r="F91" t="s">
        <v>450</v>
      </c>
      <c r="G91" s="2">
        <v>30318</v>
      </c>
      <c r="H91" s="2">
        <v>44250</v>
      </c>
      <c r="I91">
        <f t="shared" si="4"/>
        <v>38</v>
      </c>
      <c r="J91">
        <v>1</v>
      </c>
      <c r="K91" t="s">
        <v>456</v>
      </c>
      <c r="L91" t="s">
        <v>450</v>
      </c>
      <c r="M91" t="s">
        <v>450</v>
      </c>
      <c r="N91">
        <v>1</v>
      </c>
      <c r="O91">
        <v>2</v>
      </c>
      <c r="P91" s="11">
        <v>1</v>
      </c>
      <c r="Q91" s="11">
        <v>0</v>
      </c>
      <c r="R91" t="str">
        <f t="shared" si="5"/>
        <v>TRUE</v>
      </c>
      <c r="S91" t="s">
        <v>378</v>
      </c>
      <c r="T91">
        <v>35959.64688</v>
      </c>
      <c r="U91">
        <v>413116.35729999997</v>
      </c>
      <c r="V91">
        <v>1868170.7520000001</v>
      </c>
      <c r="W91">
        <v>96764.663060000006</v>
      </c>
      <c r="X91">
        <v>38125.861129999998</v>
      </c>
      <c r="Y91">
        <v>40256.950490000003</v>
      </c>
      <c r="Z91">
        <v>2684.4950739999999</v>
      </c>
      <c r="AA91">
        <v>29517.141589999999</v>
      </c>
      <c r="AB91">
        <v>41684.801500000001</v>
      </c>
      <c r="AC91">
        <v>80495.995200000005</v>
      </c>
      <c r="AD91">
        <v>32246.00431</v>
      </c>
      <c r="AE91">
        <v>478227.18449999997</v>
      </c>
      <c r="AF91">
        <v>9396.2933109999994</v>
      </c>
      <c r="AG91">
        <v>3800.6988860000001</v>
      </c>
      <c r="AH91">
        <v>135106.10920000001</v>
      </c>
    </row>
    <row r="92" spans="1:34" x14ac:dyDescent="0.2">
      <c r="A92" t="s">
        <v>625</v>
      </c>
      <c r="B92" t="s">
        <v>208</v>
      </c>
      <c r="C92" t="s">
        <v>467</v>
      </c>
      <c r="D92" t="s">
        <v>680</v>
      </c>
      <c r="E92" t="s">
        <v>450</v>
      </c>
      <c r="F92" t="s">
        <v>450</v>
      </c>
      <c r="G92" s="2">
        <v>29625</v>
      </c>
      <c r="H92" s="2">
        <v>44251</v>
      </c>
      <c r="I92">
        <f t="shared" si="4"/>
        <v>40</v>
      </c>
      <c r="J92">
        <v>1</v>
      </c>
      <c r="K92" t="s">
        <v>451</v>
      </c>
      <c r="L92" t="s">
        <v>450</v>
      </c>
      <c r="M92" t="s">
        <v>450</v>
      </c>
      <c r="N92">
        <v>0</v>
      </c>
      <c r="O92">
        <v>2</v>
      </c>
      <c r="P92" s="11">
        <v>0</v>
      </c>
      <c r="Q92" s="11">
        <v>0</v>
      </c>
      <c r="R92" t="str">
        <f t="shared" si="5"/>
        <v>TRUE</v>
      </c>
      <c r="S92" t="s">
        <v>208</v>
      </c>
      <c r="T92">
        <v>45848.021119999998</v>
      </c>
      <c r="U92">
        <v>242346.57329999999</v>
      </c>
      <c r="V92">
        <v>490239.05859999999</v>
      </c>
      <c r="W92">
        <v>110179.9112</v>
      </c>
      <c r="X92">
        <v>453591.91090000002</v>
      </c>
      <c r="Y92">
        <v>32864.544690000002</v>
      </c>
      <c r="Z92">
        <v>4718.0720289999999</v>
      </c>
      <c r="AA92">
        <v>27672.232319999999</v>
      </c>
      <c r="AB92">
        <v>34467.762110000003</v>
      </c>
      <c r="AC92">
        <v>131411.31469999999</v>
      </c>
      <c r="AD92">
        <v>4258.4471400000002</v>
      </c>
      <c r="AE92">
        <v>978597.66119999997</v>
      </c>
      <c r="AF92">
        <v>14071.123009999999</v>
      </c>
      <c r="AG92">
        <v>89820.617150000005</v>
      </c>
      <c r="AH92">
        <v>179176.83720000001</v>
      </c>
    </row>
    <row r="93" spans="1:34" x14ac:dyDescent="0.2">
      <c r="A93" t="s">
        <v>503</v>
      </c>
      <c r="B93" t="s">
        <v>260</v>
      </c>
      <c r="C93" t="s">
        <v>467</v>
      </c>
      <c r="D93" t="s">
        <v>680</v>
      </c>
      <c r="E93" t="s">
        <v>450</v>
      </c>
      <c r="F93" t="s">
        <v>450</v>
      </c>
      <c r="G93" s="2">
        <v>30742</v>
      </c>
      <c r="H93" s="2">
        <v>44256</v>
      </c>
      <c r="I93">
        <f t="shared" si="4"/>
        <v>37</v>
      </c>
      <c r="J93">
        <v>1</v>
      </c>
      <c r="K93" t="s">
        <v>456</v>
      </c>
      <c r="L93" t="s">
        <v>450</v>
      </c>
      <c r="M93" t="s">
        <v>450</v>
      </c>
      <c r="N93">
        <v>1</v>
      </c>
      <c r="O93">
        <v>2</v>
      </c>
      <c r="P93" s="11">
        <v>1</v>
      </c>
      <c r="Q93" s="11">
        <v>0</v>
      </c>
      <c r="R93" t="str">
        <f t="shared" si="5"/>
        <v>TRUE</v>
      </c>
      <c r="S93" t="s">
        <v>260</v>
      </c>
      <c r="T93">
        <v>29520.174749999998</v>
      </c>
      <c r="U93">
        <v>233174.99619999999</v>
      </c>
      <c r="V93">
        <v>521180.75339999999</v>
      </c>
      <c r="W93">
        <v>298650.13099999999</v>
      </c>
      <c r="X93">
        <v>114399.45510000001</v>
      </c>
      <c r="Y93">
        <v>28443.938320000001</v>
      </c>
      <c r="Z93">
        <v>4004.8402449999999</v>
      </c>
      <c r="AA93">
        <v>57304.25488</v>
      </c>
      <c r="AB93">
        <v>39298.485390000002</v>
      </c>
      <c r="AC93">
        <v>116272.3407</v>
      </c>
      <c r="AD93">
        <v>5440.5364730000001</v>
      </c>
      <c r="AE93">
        <v>715752.46770000004</v>
      </c>
      <c r="AF93">
        <v>26874.310700000002</v>
      </c>
      <c r="AG93">
        <v>10478.002699999999</v>
      </c>
      <c r="AH93">
        <v>356946.43479999999</v>
      </c>
    </row>
    <row r="94" spans="1:34" x14ac:dyDescent="0.2">
      <c r="A94" t="s">
        <v>627</v>
      </c>
      <c r="B94" t="s">
        <v>325</v>
      </c>
      <c r="C94" t="s">
        <v>467</v>
      </c>
      <c r="D94" t="s">
        <v>680</v>
      </c>
      <c r="E94" t="s">
        <v>450</v>
      </c>
      <c r="F94" t="s">
        <v>450</v>
      </c>
      <c r="G94" s="2">
        <v>31628</v>
      </c>
      <c r="H94" s="2">
        <v>44258</v>
      </c>
      <c r="I94">
        <f t="shared" si="4"/>
        <v>34</v>
      </c>
      <c r="J94">
        <v>1</v>
      </c>
      <c r="K94" t="s">
        <v>456</v>
      </c>
      <c r="L94" t="s">
        <v>450</v>
      </c>
      <c r="M94" t="s">
        <v>450</v>
      </c>
      <c r="N94">
        <v>1</v>
      </c>
      <c r="O94">
        <v>2</v>
      </c>
      <c r="P94" s="11">
        <v>1</v>
      </c>
      <c r="Q94" s="11">
        <v>0</v>
      </c>
      <c r="R94" t="str">
        <f t="shared" si="5"/>
        <v>TRUE</v>
      </c>
      <c r="S94" t="s">
        <v>325</v>
      </c>
      <c r="T94">
        <v>46751.300770000002</v>
      </c>
      <c r="U94">
        <v>212292.41940000001</v>
      </c>
      <c r="V94">
        <v>807325.09259999997</v>
      </c>
      <c r="W94">
        <v>79164.147530000002</v>
      </c>
      <c r="X94">
        <v>117228.9485</v>
      </c>
      <c r="Y94">
        <v>48288.736259999998</v>
      </c>
      <c r="Z94">
        <v>5339.0893820000001</v>
      </c>
      <c r="AA94">
        <v>22534.8302</v>
      </c>
      <c r="AB94">
        <v>75135.310970000006</v>
      </c>
      <c r="AC94">
        <v>122306.73609999999</v>
      </c>
      <c r="AD94">
        <v>4059.3669690000002</v>
      </c>
      <c r="AE94">
        <v>1758055.3829999999</v>
      </c>
      <c r="AF94">
        <v>20587.399669999999</v>
      </c>
      <c r="AG94">
        <v>9198.2300660000001</v>
      </c>
      <c r="AH94">
        <v>134988.9301</v>
      </c>
    </row>
    <row r="95" spans="1:34" x14ac:dyDescent="0.2">
      <c r="A95" t="s">
        <v>628</v>
      </c>
      <c r="B95" t="s">
        <v>364</v>
      </c>
      <c r="C95" t="s">
        <v>467</v>
      </c>
      <c r="D95" t="s">
        <v>680</v>
      </c>
      <c r="E95" t="s">
        <v>450</v>
      </c>
      <c r="F95" t="s">
        <v>450</v>
      </c>
      <c r="G95" s="2">
        <v>31809</v>
      </c>
      <c r="H95" s="2">
        <v>44258</v>
      </c>
      <c r="I95">
        <f t="shared" si="4"/>
        <v>34</v>
      </c>
      <c r="J95">
        <v>1</v>
      </c>
      <c r="K95" t="s">
        <v>456</v>
      </c>
      <c r="L95" t="s">
        <v>450</v>
      </c>
      <c r="M95" t="s">
        <v>450</v>
      </c>
      <c r="N95">
        <v>1</v>
      </c>
      <c r="O95">
        <v>2</v>
      </c>
      <c r="P95" s="10">
        <v>1</v>
      </c>
      <c r="Q95" s="10">
        <v>0</v>
      </c>
      <c r="R95" t="str">
        <f t="shared" si="5"/>
        <v>TRUE</v>
      </c>
      <c r="S95" t="s">
        <v>364</v>
      </c>
      <c r="T95">
        <v>142102.75599999999</v>
      </c>
      <c r="U95">
        <v>94047.023820000002</v>
      </c>
      <c r="V95">
        <v>1012368.032</v>
      </c>
      <c r="W95">
        <v>140204.0969</v>
      </c>
      <c r="X95">
        <v>212647.15460000001</v>
      </c>
      <c r="Y95">
        <v>22923.7991</v>
      </c>
      <c r="Z95">
        <v>3324.2014770000001</v>
      </c>
      <c r="AA95">
        <v>33688.624069999998</v>
      </c>
      <c r="AB95">
        <v>44645.528180000001</v>
      </c>
      <c r="AC95">
        <v>70551.884009999994</v>
      </c>
      <c r="AD95">
        <v>1859.4829110000001</v>
      </c>
      <c r="AE95">
        <v>267732.67570000002</v>
      </c>
      <c r="AF95">
        <v>52247.191229999997</v>
      </c>
      <c r="AG95">
        <v>111810.16959999999</v>
      </c>
      <c r="AH95">
        <v>1226916.6669999999</v>
      </c>
    </row>
  </sheetData>
  <sortState xmlns:xlrd2="http://schemas.microsoft.com/office/spreadsheetml/2017/richdata2" ref="A2:M95">
    <sortCondition ref="B2:B95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J82"/>
  <sheetViews>
    <sheetView tabSelected="1" workbookViewId="0">
      <pane ySplit="1" topLeftCell="A21" activePane="bottomLeft" state="frozen"/>
      <selection pane="bottomLeft" activeCell="A24" sqref="A24"/>
    </sheetView>
  </sheetViews>
  <sheetFormatPr baseColWidth="10" defaultRowHeight="16" x14ac:dyDescent="0.2"/>
  <sheetData>
    <row r="1" spans="1:36" s="7" customFormat="1" x14ac:dyDescent="0.2">
      <c r="A1" s="7" t="s">
        <v>667</v>
      </c>
      <c r="B1" s="7" t="s">
        <v>692</v>
      </c>
      <c r="C1" s="7" t="s">
        <v>668</v>
      </c>
      <c r="D1" s="7" t="s">
        <v>669</v>
      </c>
      <c r="E1" s="7" t="s">
        <v>670</v>
      </c>
      <c r="F1" s="7" t="s">
        <v>671</v>
      </c>
      <c r="G1" s="7" t="s">
        <v>672</v>
      </c>
      <c r="H1" s="7" t="s">
        <v>673</v>
      </c>
      <c r="I1" s="7" t="s">
        <v>690</v>
      </c>
      <c r="J1" s="7" t="s">
        <v>691</v>
      </c>
      <c r="K1" s="7" t="s">
        <v>674</v>
      </c>
      <c r="L1" s="7" t="s">
        <v>675</v>
      </c>
      <c r="M1" s="7" t="s">
        <v>676</v>
      </c>
      <c r="N1" s="7" t="s">
        <v>677</v>
      </c>
      <c r="O1" s="7" t="s">
        <v>678</v>
      </c>
      <c r="P1" s="7" t="s">
        <v>689</v>
      </c>
      <c r="Q1" s="7" t="s">
        <v>686</v>
      </c>
      <c r="R1" s="7" t="s">
        <v>687</v>
      </c>
      <c r="S1" s="7" t="s">
        <v>688</v>
      </c>
      <c r="T1" s="7" t="s">
        <v>679</v>
      </c>
      <c r="U1" s="7" t="s">
        <v>684</v>
      </c>
      <c r="V1" s="7" t="s">
        <v>3</v>
      </c>
      <c r="W1" s="7" t="s">
        <v>4</v>
      </c>
      <c r="X1" s="7" t="s">
        <v>5</v>
      </c>
      <c r="Y1" s="7" t="s">
        <v>6</v>
      </c>
      <c r="Z1" s="7" t="s">
        <v>7</v>
      </c>
      <c r="AA1" s="7" t="s">
        <v>8</v>
      </c>
      <c r="AB1" s="7" t="s">
        <v>9</v>
      </c>
      <c r="AC1" s="7" t="s">
        <v>10</v>
      </c>
      <c r="AD1" s="7" t="s">
        <v>11</v>
      </c>
      <c r="AE1" s="7" t="s">
        <v>12</v>
      </c>
      <c r="AF1" s="7" t="s">
        <v>13</v>
      </c>
      <c r="AG1" s="7" t="s">
        <v>14</v>
      </c>
      <c r="AH1" s="7" t="s">
        <v>15</v>
      </c>
      <c r="AI1" s="7" t="s">
        <v>16</v>
      </c>
      <c r="AJ1" s="7" t="s">
        <v>17</v>
      </c>
    </row>
    <row r="2" spans="1:36" x14ac:dyDescent="0.2">
      <c r="A2" t="s">
        <v>452</v>
      </c>
      <c r="B2" t="s">
        <v>693</v>
      </c>
      <c r="C2" t="s">
        <v>99</v>
      </c>
      <c r="D2" t="s">
        <v>453</v>
      </c>
      <c r="E2" t="s">
        <v>454</v>
      </c>
      <c r="F2" t="s">
        <v>455</v>
      </c>
      <c r="G2" s="2">
        <v>21294</v>
      </c>
      <c r="H2" s="2">
        <v>43210</v>
      </c>
      <c r="I2" s="2" t="str">
        <f>IF(J2=C2, "TRUE", "FALSE")</f>
        <v>TRUE</v>
      </c>
      <c r="J2" s="12" t="s">
        <v>99</v>
      </c>
      <c r="K2">
        <f t="shared" ref="K2:K26" si="0">DATEDIF(G2,H2,"Y")</f>
        <v>60</v>
      </c>
      <c r="L2">
        <v>1</v>
      </c>
      <c r="M2" t="s">
        <v>456</v>
      </c>
      <c r="N2">
        <v>1269</v>
      </c>
      <c r="O2">
        <v>8</v>
      </c>
      <c r="P2">
        <v>0</v>
      </c>
      <c r="Q2">
        <v>3</v>
      </c>
      <c r="R2">
        <v>0</v>
      </c>
      <c r="S2">
        <v>1</v>
      </c>
      <c r="T2" t="str">
        <f>IF(U2=C2, "TRUE", "FALSE")</f>
        <v>TRUE</v>
      </c>
      <c r="U2" t="s">
        <v>99</v>
      </c>
      <c r="V2">
        <v>206061.19820000001</v>
      </c>
      <c r="W2">
        <v>43380.917119999998</v>
      </c>
      <c r="X2">
        <v>222643.26939999999</v>
      </c>
      <c r="Y2">
        <v>442669.17570000002</v>
      </c>
      <c r="Z2">
        <v>78751.114719999998</v>
      </c>
      <c r="AA2">
        <v>7621.2872040000002</v>
      </c>
      <c r="AB2">
        <v>4643.9089309999999</v>
      </c>
      <c r="AC2">
        <v>24035.492160000002</v>
      </c>
      <c r="AD2">
        <v>9037.9884349999993</v>
      </c>
      <c r="AE2">
        <v>14518.719950000001</v>
      </c>
      <c r="AF2">
        <v>2170.8456729999998</v>
      </c>
      <c r="AG2">
        <v>46535.149700000002</v>
      </c>
      <c r="AH2">
        <v>65097.070650000001</v>
      </c>
      <c r="AI2">
        <v>23557.566760000002</v>
      </c>
      <c r="AJ2">
        <v>108104.6315</v>
      </c>
    </row>
    <row r="3" spans="1:36" x14ac:dyDescent="0.2">
      <c r="A3" t="s">
        <v>457</v>
      </c>
      <c r="B3" t="s">
        <v>694</v>
      </c>
      <c r="C3" t="s">
        <v>308</v>
      </c>
      <c r="D3" t="s">
        <v>453</v>
      </c>
      <c r="E3" t="s">
        <v>454</v>
      </c>
      <c r="F3" t="s">
        <v>455</v>
      </c>
      <c r="G3" s="2">
        <v>21589</v>
      </c>
      <c r="H3" s="2">
        <v>43291</v>
      </c>
      <c r="I3" s="2" t="str">
        <f t="shared" ref="I3:I66" si="1">IF(J3=C3, "TRUE", "FALSE")</f>
        <v>TRUE</v>
      </c>
      <c r="J3" s="12" t="s">
        <v>308</v>
      </c>
      <c r="K3">
        <f t="shared" si="0"/>
        <v>59</v>
      </c>
      <c r="L3">
        <v>1</v>
      </c>
      <c r="M3" t="s">
        <v>451</v>
      </c>
      <c r="N3">
        <v>3000</v>
      </c>
      <c r="O3">
        <v>9</v>
      </c>
      <c r="P3">
        <v>1</v>
      </c>
      <c r="Q3">
        <v>2</v>
      </c>
      <c r="R3" s="8">
        <v>1</v>
      </c>
      <c r="S3" s="8">
        <v>0</v>
      </c>
      <c r="T3" t="str">
        <f t="shared" ref="T3:T66" si="2">IF(U3=C3, "TRUE", "FALSE")</f>
        <v>TRUE</v>
      </c>
      <c r="U3" t="s">
        <v>308</v>
      </c>
      <c r="V3">
        <v>79982.828039999993</v>
      </c>
      <c r="W3">
        <v>938.31885639999996</v>
      </c>
      <c r="X3">
        <v>222841.0576</v>
      </c>
      <c r="Y3">
        <v>57371.503340000003</v>
      </c>
      <c r="Z3">
        <v>7352.0578219999998</v>
      </c>
      <c r="AA3">
        <v>29892.222470000001</v>
      </c>
      <c r="AB3">
        <v>551.63103420000004</v>
      </c>
      <c r="AC3">
        <v>35707.650560000002</v>
      </c>
      <c r="AD3">
        <v>128398.59299999999</v>
      </c>
      <c r="AE3">
        <v>62091.508070000003</v>
      </c>
      <c r="AF3">
        <v>1198.380709</v>
      </c>
      <c r="AG3">
        <v>10272.93355</v>
      </c>
      <c r="AH3">
        <v>12665.54385</v>
      </c>
      <c r="AI3">
        <v>13670.62162</v>
      </c>
      <c r="AJ3">
        <v>502892.87310000003</v>
      </c>
    </row>
    <row r="4" spans="1:36" x14ac:dyDescent="0.2">
      <c r="A4" t="s">
        <v>460</v>
      </c>
      <c r="B4" t="s">
        <v>695</v>
      </c>
      <c r="C4" t="s">
        <v>74</v>
      </c>
      <c r="D4" t="s">
        <v>453</v>
      </c>
      <c r="E4" t="s">
        <v>461</v>
      </c>
      <c r="F4" t="s">
        <v>462</v>
      </c>
      <c r="G4" s="2">
        <v>30401</v>
      </c>
      <c r="H4" s="2">
        <v>43300</v>
      </c>
      <c r="I4" s="2" t="str">
        <f t="shared" si="1"/>
        <v>TRUE</v>
      </c>
      <c r="J4" s="12" t="s">
        <v>74</v>
      </c>
      <c r="K4">
        <f t="shared" si="0"/>
        <v>35</v>
      </c>
      <c r="L4">
        <v>1</v>
      </c>
      <c r="M4" t="s">
        <v>451</v>
      </c>
      <c r="N4">
        <v>250</v>
      </c>
      <c r="O4">
        <v>0</v>
      </c>
      <c r="P4">
        <v>0</v>
      </c>
      <c r="Q4">
        <v>2</v>
      </c>
      <c r="R4" s="8">
        <v>1</v>
      </c>
      <c r="S4" s="8">
        <v>0</v>
      </c>
      <c r="T4" t="str">
        <f t="shared" si="2"/>
        <v>TRUE</v>
      </c>
      <c r="U4" t="s">
        <v>74</v>
      </c>
      <c r="V4">
        <v>186325.42319999999</v>
      </c>
      <c r="W4">
        <v>36918.847379999999</v>
      </c>
      <c r="X4">
        <v>131716.08360000001</v>
      </c>
      <c r="Y4">
        <v>159657.56469999999</v>
      </c>
      <c r="Z4">
        <v>96187.646479999996</v>
      </c>
      <c r="AA4">
        <v>10444.8297</v>
      </c>
      <c r="AB4">
        <v>11058.554700000001</v>
      </c>
      <c r="AC4">
        <v>5361.2462100000002</v>
      </c>
      <c r="AD4">
        <v>22001.877509999998</v>
      </c>
      <c r="AE4">
        <v>17563.395079999998</v>
      </c>
      <c r="AF4">
        <v>1863.2028849999999</v>
      </c>
      <c r="AG4">
        <v>60941.683140000001</v>
      </c>
      <c r="AH4">
        <v>92545.677729999996</v>
      </c>
      <c r="AI4">
        <v>23576.175759999998</v>
      </c>
      <c r="AJ4">
        <v>80312.230739999999</v>
      </c>
    </row>
    <row r="5" spans="1:36" x14ac:dyDescent="0.2">
      <c r="A5" t="s">
        <v>618</v>
      </c>
      <c r="B5" t="s">
        <v>696</v>
      </c>
      <c r="C5" t="s">
        <v>287</v>
      </c>
      <c r="D5" t="s">
        <v>453</v>
      </c>
      <c r="E5" t="s">
        <v>461</v>
      </c>
      <c r="F5" t="s">
        <v>462</v>
      </c>
      <c r="G5" s="2">
        <v>32618</v>
      </c>
      <c r="H5" s="2">
        <v>43308</v>
      </c>
      <c r="I5" s="2" t="str">
        <f t="shared" si="1"/>
        <v>TRUE</v>
      </c>
      <c r="J5" s="12" t="s">
        <v>287</v>
      </c>
      <c r="K5">
        <f t="shared" si="0"/>
        <v>29</v>
      </c>
      <c r="L5">
        <v>1</v>
      </c>
      <c r="M5" t="s">
        <v>451</v>
      </c>
      <c r="N5">
        <v>2826</v>
      </c>
      <c r="O5">
        <v>5</v>
      </c>
      <c r="P5">
        <v>0</v>
      </c>
      <c r="Q5">
        <v>2</v>
      </c>
      <c r="R5" s="8">
        <v>1</v>
      </c>
      <c r="S5" s="8">
        <v>0</v>
      </c>
      <c r="T5" t="str">
        <f t="shared" si="2"/>
        <v>TRUE</v>
      </c>
      <c r="U5" t="s">
        <v>287</v>
      </c>
      <c r="V5">
        <v>55763.972130000002</v>
      </c>
      <c r="W5">
        <v>1518900.64</v>
      </c>
      <c r="X5">
        <v>277404.1789</v>
      </c>
      <c r="Y5">
        <v>50004.262640000001</v>
      </c>
      <c r="Z5">
        <v>58872.798410000003</v>
      </c>
      <c r="AA5">
        <v>8883.4321820000005</v>
      </c>
      <c r="AB5">
        <v>2324.2585389999999</v>
      </c>
      <c r="AC5">
        <v>51695.603710000003</v>
      </c>
      <c r="AD5">
        <v>61849.987609999996</v>
      </c>
      <c r="AE5">
        <v>111568.19319999999</v>
      </c>
      <c r="AF5">
        <v>3130.2666549999999</v>
      </c>
      <c r="AG5">
        <v>511532.9681</v>
      </c>
      <c r="AH5">
        <v>150779.35879999999</v>
      </c>
      <c r="AI5">
        <v>7858.4073580000004</v>
      </c>
      <c r="AJ5">
        <v>75594.488329999993</v>
      </c>
    </row>
    <row r="6" spans="1:36" x14ac:dyDescent="0.2">
      <c r="A6" t="s">
        <v>649</v>
      </c>
      <c r="B6" t="s">
        <v>697</v>
      </c>
      <c r="C6" t="s">
        <v>178</v>
      </c>
      <c r="D6" t="s">
        <v>453</v>
      </c>
      <c r="E6" t="s">
        <v>454</v>
      </c>
      <c r="F6" t="s">
        <v>462</v>
      </c>
      <c r="G6" s="2">
        <v>29445</v>
      </c>
      <c r="H6" s="2">
        <v>43329</v>
      </c>
      <c r="I6" s="2" t="str">
        <f t="shared" si="1"/>
        <v>TRUE</v>
      </c>
      <c r="J6" s="12" t="s">
        <v>178</v>
      </c>
      <c r="K6">
        <f t="shared" si="0"/>
        <v>38</v>
      </c>
      <c r="L6">
        <v>1</v>
      </c>
      <c r="M6" t="s">
        <v>451</v>
      </c>
      <c r="N6">
        <v>2043</v>
      </c>
      <c r="O6">
        <v>8</v>
      </c>
      <c r="P6">
        <v>1</v>
      </c>
      <c r="Q6">
        <v>2</v>
      </c>
      <c r="R6" s="8">
        <v>0</v>
      </c>
      <c r="S6" s="8">
        <v>0</v>
      </c>
      <c r="T6" t="str">
        <f t="shared" si="2"/>
        <v>TRUE</v>
      </c>
      <c r="U6" t="s">
        <v>178</v>
      </c>
      <c r="V6">
        <v>84782.201960000006</v>
      </c>
      <c r="W6">
        <v>39773.50705</v>
      </c>
      <c r="X6">
        <v>270447.55330000003</v>
      </c>
      <c r="Y6">
        <v>78268.701130000001</v>
      </c>
      <c r="Z6">
        <v>37720.631009999997</v>
      </c>
      <c r="AA6">
        <v>5242.8999089999998</v>
      </c>
      <c r="AB6">
        <v>3084.359168</v>
      </c>
      <c r="AC6">
        <v>6800.3290999999999</v>
      </c>
      <c r="AD6">
        <v>16083.416149999999</v>
      </c>
      <c r="AE6">
        <v>21760.583500000001</v>
      </c>
      <c r="AF6">
        <v>1813.582541</v>
      </c>
      <c r="AG6">
        <v>49057.940750000002</v>
      </c>
      <c r="AH6">
        <v>19059.174739999999</v>
      </c>
      <c r="AI6">
        <v>37174.558870000001</v>
      </c>
      <c r="AJ6">
        <v>88558.926569999996</v>
      </c>
    </row>
    <row r="7" spans="1:36" x14ac:dyDescent="0.2">
      <c r="A7" t="s">
        <v>475</v>
      </c>
      <c r="B7" t="s">
        <v>698</v>
      </c>
      <c r="C7" t="s">
        <v>170</v>
      </c>
      <c r="D7" t="s">
        <v>453</v>
      </c>
      <c r="E7" t="s">
        <v>476</v>
      </c>
      <c r="F7" t="s">
        <v>462</v>
      </c>
      <c r="G7" s="2">
        <v>31343</v>
      </c>
      <c r="H7" s="2">
        <v>43371</v>
      </c>
      <c r="I7" s="2" t="str">
        <f t="shared" si="1"/>
        <v>TRUE</v>
      </c>
      <c r="J7" s="12" t="s">
        <v>170</v>
      </c>
      <c r="K7">
        <f t="shared" si="0"/>
        <v>32</v>
      </c>
      <c r="L7">
        <v>1</v>
      </c>
      <c r="M7" t="s">
        <v>451</v>
      </c>
      <c r="N7">
        <v>143</v>
      </c>
      <c r="O7">
        <v>5</v>
      </c>
      <c r="P7">
        <v>0</v>
      </c>
      <c r="Q7">
        <v>2</v>
      </c>
      <c r="R7" s="8">
        <v>1</v>
      </c>
      <c r="S7" s="8">
        <v>0</v>
      </c>
      <c r="T7" t="str">
        <f t="shared" si="2"/>
        <v>TRUE</v>
      </c>
      <c r="U7" t="s">
        <v>170</v>
      </c>
      <c r="V7">
        <v>121088.8073</v>
      </c>
      <c r="W7">
        <v>342815.00229999999</v>
      </c>
      <c r="X7">
        <v>331571.09769999998</v>
      </c>
      <c r="Y7">
        <v>163856.78599999999</v>
      </c>
      <c r="Z7">
        <v>83402.970759999997</v>
      </c>
      <c r="AA7">
        <v>17806.866839999999</v>
      </c>
      <c r="AB7">
        <v>4677.7113529999997</v>
      </c>
      <c r="AC7">
        <v>25803.539769999999</v>
      </c>
      <c r="AD7">
        <v>38320.123500000002</v>
      </c>
      <c r="AE7">
        <v>63462.85082</v>
      </c>
      <c r="AF7">
        <v>5675.6076329999996</v>
      </c>
      <c r="AG7">
        <v>1234775.7649999999</v>
      </c>
      <c r="AH7">
        <v>24002.249510000001</v>
      </c>
      <c r="AI7">
        <v>7460.5707249999996</v>
      </c>
      <c r="AJ7">
        <v>72784.852629999994</v>
      </c>
    </row>
    <row r="8" spans="1:36" x14ac:dyDescent="0.2">
      <c r="A8" t="s">
        <v>477</v>
      </c>
      <c r="B8" t="s">
        <v>694</v>
      </c>
      <c r="C8" t="s">
        <v>306</v>
      </c>
      <c r="D8" t="s">
        <v>453</v>
      </c>
      <c r="E8" t="s">
        <v>454</v>
      </c>
      <c r="F8" t="s">
        <v>455</v>
      </c>
      <c r="G8" s="2">
        <v>21589</v>
      </c>
      <c r="H8" s="2">
        <v>43375</v>
      </c>
      <c r="I8" s="2" t="str">
        <f t="shared" si="1"/>
        <v>TRUE</v>
      </c>
      <c r="J8" s="12" t="s">
        <v>306</v>
      </c>
      <c r="K8">
        <f t="shared" si="0"/>
        <v>59</v>
      </c>
      <c r="L8">
        <v>2</v>
      </c>
      <c r="M8" t="s">
        <v>451</v>
      </c>
      <c r="N8">
        <v>17</v>
      </c>
      <c r="O8">
        <v>4</v>
      </c>
      <c r="P8" s="12">
        <v>1</v>
      </c>
      <c r="Q8" s="12">
        <v>2</v>
      </c>
      <c r="R8" s="13">
        <v>1</v>
      </c>
      <c r="S8" s="13">
        <v>0</v>
      </c>
      <c r="T8" t="str">
        <f t="shared" si="2"/>
        <v>TRUE</v>
      </c>
      <c r="U8" t="s">
        <v>306</v>
      </c>
      <c r="V8">
        <v>204712.8285</v>
      </c>
      <c r="W8">
        <v>305329.72169999999</v>
      </c>
      <c r="X8">
        <v>1092144.3419999999</v>
      </c>
      <c r="Y8">
        <v>43802.249349999998</v>
      </c>
      <c r="Z8">
        <v>417000.40889999998</v>
      </c>
      <c r="AA8">
        <v>17136.567739999999</v>
      </c>
      <c r="AB8">
        <v>2714.1195990000001</v>
      </c>
      <c r="AC8">
        <v>59477.544040000001</v>
      </c>
      <c r="AD8">
        <v>46628.736859999997</v>
      </c>
      <c r="AE8">
        <v>99911.088220000005</v>
      </c>
      <c r="AF8">
        <v>13579.07842</v>
      </c>
      <c r="AG8">
        <v>214803.00339999999</v>
      </c>
      <c r="AH8">
        <v>122450.20940000001</v>
      </c>
      <c r="AI8">
        <v>218496.73800000001</v>
      </c>
      <c r="AJ8">
        <v>1069324.254</v>
      </c>
    </row>
    <row r="9" spans="1:36" x14ac:dyDescent="0.2">
      <c r="A9" t="s">
        <v>478</v>
      </c>
      <c r="B9" t="s">
        <v>699</v>
      </c>
      <c r="C9" t="s">
        <v>416</v>
      </c>
      <c r="D9" t="s">
        <v>453</v>
      </c>
      <c r="E9" t="s">
        <v>454</v>
      </c>
      <c r="F9" t="s">
        <v>462</v>
      </c>
      <c r="G9" s="2">
        <v>35211</v>
      </c>
      <c r="H9" s="2">
        <v>43104</v>
      </c>
      <c r="I9" s="2" t="str">
        <f t="shared" si="1"/>
        <v>TRUE</v>
      </c>
      <c r="J9" s="12" t="s">
        <v>416</v>
      </c>
      <c r="K9">
        <f t="shared" si="0"/>
        <v>21</v>
      </c>
      <c r="L9">
        <v>1</v>
      </c>
      <c r="M9" t="s">
        <v>451</v>
      </c>
      <c r="N9">
        <v>69</v>
      </c>
      <c r="O9">
        <v>4</v>
      </c>
      <c r="P9">
        <v>0</v>
      </c>
      <c r="Q9">
        <v>2</v>
      </c>
      <c r="R9" s="8">
        <v>0</v>
      </c>
      <c r="S9" s="8">
        <v>0</v>
      </c>
      <c r="T9" t="str">
        <f t="shared" si="2"/>
        <v>TRUE</v>
      </c>
      <c r="U9" t="s">
        <v>416</v>
      </c>
      <c r="V9">
        <v>88496.592149999997</v>
      </c>
      <c r="W9">
        <v>1515629.0220000001</v>
      </c>
      <c r="X9">
        <v>1058143.3870000001</v>
      </c>
      <c r="Y9">
        <v>57124.13164</v>
      </c>
      <c r="Z9">
        <v>90411.04999</v>
      </c>
      <c r="AA9">
        <v>10398.722949999999</v>
      </c>
      <c r="AB9">
        <v>10982.64803</v>
      </c>
      <c r="AC9">
        <v>46402.002520000002</v>
      </c>
      <c r="AD9">
        <v>23291.690890000002</v>
      </c>
      <c r="AE9">
        <v>87599.695049999995</v>
      </c>
      <c r="AF9">
        <v>18643.043109999999</v>
      </c>
      <c r="AG9">
        <v>317814.32919999998</v>
      </c>
      <c r="AH9">
        <v>24753.936470000001</v>
      </c>
      <c r="AI9">
        <v>69254.139389999997</v>
      </c>
      <c r="AJ9">
        <v>587127.19030000002</v>
      </c>
    </row>
    <row r="10" spans="1:36" x14ac:dyDescent="0.2">
      <c r="A10" t="s">
        <v>479</v>
      </c>
      <c r="B10" t="s">
        <v>700</v>
      </c>
      <c r="C10" t="s">
        <v>137</v>
      </c>
      <c r="D10" t="s">
        <v>453</v>
      </c>
      <c r="E10" t="s">
        <v>461</v>
      </c>
      <c r="F10" t="s">
        <v>462</v>
      </c>
      <c r="G10" s="2">
        <v>23573</v>
      </c>
      <c r="H10" s="2">
        <v>43392</v>
      </c>
      <c r="I10" s="2" t="str">
        <f t="shared" si="1"/>
        <v>TRUE</v>
      </c>
      <c r="J10" s="12" t="s">
        <v>137</v>
      </c>
      <c r="K10">
        <f t="shared" si="0"/>
        <v>54</v>
      </c>
      <c r="L10">
        <v>1</v>
      </c>
      <c r="M10" t="s">
        <v>451</v>
      </c>
      <c r="N10">
        <v>6000</v>
      </c>
      <c r="O10">
        <v>7</v>
      </c>
      <c r="P10">
        <v>0</v>
      </c>
      <c r="Q10">
        <v>2</v>
      </c>
      <c r="R10" s="8">
        <v>1</v>
      </c>
      <c r="S10" s="8">
        <v>0</v>
      </c>
      <c r="T10" t="str">
        <f t="shared" si="2"/>
        <v>TRUE</v>
      </c>
      <c r="U10" t="s">
        <v>137</v>
      </c>
      <c r="V10">
        <v>456896.9987</v>
      </c>
      <c r="W10">
        <v>22173.729139999999</v>
      </c>
      <c r="X10">
        <v>289068.68680000002</v>
      </c>
      <c r="Y10">
        <v>465433.90529999998</v>
      </c>
      <c r="Z10">
        <v>93775.37341</v>
      </c>
      <c r="AA10">
        <v>72401.782579999999</v>
      </c>
      <c r="AB10">
        <v>4919.0395619999999</v>
      </c>
      <c r="AC10">
        <v>28172.414990000001</v>
      </c>
      <c r="AD10">
        <v>19708.065760000001</v>
      </c>
      <c r="AE10">
        <v>66449.053069999994</v>
      </c>
      <c r="AF10">
        <v>1598.902824</v>
      </c>
      <c r="AG10">
        <v>19320.043440000001</v>
      </c>
      <c r="AH10">
        <v>33640.265630000002</v>
      </c>
      <c r="AI10">
        <v>19073.145779999999</v>
      </c>
      <c r="AJ10">
        <v>504572.52710000001</v>
      </c>
    </row>
    <row r="11" spans="1:36" x14ac:dyDescent="0.2">
      <c r="A11" t="s">
        <v>636</v>
      </c>
      <c r="B11" t="s">
        <v>701</v>
      </c>
      <c r="C11" t="s">
        <v>130</v>
      </c>
      <c r="D11" t="s">
        <v>453</v>
      </c>
      <c r="E11" t="s">
        <v>461</v>
      </c>
      <c r="F11" t="s">
        <v>462</v>
      </c>
      <c r="G11" s="2">
        <v>24908</v>
      </c>
      <c r="H11" s="2">
        <v>43411</v>
      </c>
      <c r="I11" s="2" t="str">
        <f t="shared" si="1"/>
        <v>TRUE</v>
      </c>
      <c r="J11" s="12" t="s">
        <v>130</v>
      </c>
      <c r="K11">
        <f t="shared" si="0"/>
        <v>50</v>
      </c>
      <c r="L11">
        <v>1</v>
      </c>
      <c r="M11" t="s">
        <v>451</v>
      </c>
      <c r="N11">
        <v>322</v>
      </c>
      <c r="O11">
        <v>4</v>
      </c>
      <c r="P11">
        <v>1</v>
      </c>
      <c r="Q11">
        <v>2</v>
      </c>
      <c r="R11" s="8">
        <v>0</v>
      </c>
      <c r="S11" s="8">
        <v>0</v>
      </c>
      <c r="T11" t="str">
        <f t="shared" si="2"/>
        <v>TRUE</v>
      </c>
      <c r="U11" t="s">
        <v>130</v>
      </c>
      <c r="V11">
        <v>325227.51510000002</v>
      </c>
      <c r="W11">
        <v>233127.20180000001</v>
      </c>
      <c r="X11">
        <v>104151.7387</v>
      </c>
      <c r="Y11">
        <v>342729.66379999998</v>
      </c>
      <c r="Z11">
        <v>449926.95569999999</v>
      </c>
      <c r="AA11">
        <v>21922.967639999999</v>
      </c>
      <c r="AB11">
        <v>3769.6729719999998</v>
      </c>
      <c r="AC11">
        <v>17440.48976</v>
      </c>
      <c r="AD11">
        <v>16307.41048</v>
      </c>
      <c r="AE11">
        <v>37379.207840000003</v>
      </c>
      <c r="AF11">
        <v>3211.5691660000002</v>
      </c>
      <c r="AG11">
        <v>268270.7219</v>
      </c>
      <c r="AH11">
        <v>38786.884590000001</v>
      </c>
      <c r="AI11">
        <v>11914.311830000001</v>
      </c>
      <c r="AJ11">
        <v>27639.13349</v>
      </c>
    </row>
    <row r="12" spans="1:36" x14ac:dyDescent="0.2">
      <c r="A12" t="s">
        <v>483</v>
      </c>
      <c r="B12" t="s">
        <v>702</v>
      </c>
      <c r="C12" t="s">
        <v>300</v>
      </c>
      <c r="D12" t="s">
        <v>453</v>
      </c>
      <c r="E12" t="s">
        <v>461</v>
      </c>
      <c r="F12" t="s">
        <v>462</v>
      </c>
      <c r="G12" s="2">
        <v>29437</v>
      </c>
      <c r="H12" s="2">
        <v>43417</v>
      </c>
      <c r="I12" s="2" t="str">
        <f t="shared" si="1"/>
        <v>TRUE</v>
      </c>
      <c r="J12" s="12" t="s">
        <v>300</v>
      </c>
      <c r="K12">
        <f t="shared" si="0"/>
        <v>38</v>
      </c>
      <c r="L12">
        <v>1</v>
      </c>
      <c r="M12" t="s">
        <v>451</v>
      </c>
      <c r="N12">
        <v>1073</v>
      </c>
      <c r="O12">
        <v>10</v>
      </c>
      <c r="P12">
        <v>1</v>
      </c>
      <c r="Q12">
        <v>3</v>
      </c>
      <c r="R12" s="8">
        <v>1</v>
      </c>
      <c r="S12" s="8">
        <v>0</v>
      </c>
      <c r="T12" t="str">
        <f t="shared" si="2"/>
        <v>TRUE</v>
      </c>
      <c r="U12" t="s">
        <v>300</v>
      </c>
      <c r="V12">
        <v>278909.66259999998</v>
      </c>
      <c r="W12">
        <v>20401.27966</v>
      </c>
      <c r="X12">
        <v>303675.1005</v>
      </c>
      <c r="Y12">
        <v>261250.4344</v>
      </c>
      <c r="Z12">
        <v>112452.31660000001</v>
      </c>
      <c r="AA12">
        <v>27002.278160000002</v>
      </c>
      <c r="AB12">
        <v>15256.187760000001</v>
      </c>
      <c r="AC12">
        <v>67807.088969999997</v>
      </c>
      <c r="AD12">
        <v>622862.81940000004</v>
      </c>
      <c r="AE12">
        <v>284190.50030000001</v>
      </c>
      <c r="AF12">
        <v>1605.449077</v>
      </c>
      <c r="AG12">
        <v>12080.01209</v>
      </c>
      <c r="AH12">
        <v>26041.892909999999</v>
      </c>
      <c r="AI12">
        <v>31442.263630000001</v>
      </c>
      <c r="AJ12">
        <v>428750.2672</v>
      </c>
    </row>
    <row r="13" spans="1:36" x14ac:dyDescent="0.2">
      <c r="A13" t="s">
        <v>484</v>
      </c>
      <c r="B13" t="s">
        <v>703</v>
      </c>
      <c r="C13" t="s">
        <v>151</v>
      </c>
      <c r="D13" t="s">
        <v>453</v>
      </c>
      <c r="E13" t="s">
        <v>476</v>
      </c>
      <c r="F13" t="s">
        <v>462</v>
      </c>
      <c r="G13" s="2">
        <v>25575</v>
      </c>
      <c r="H13" s="2">
        <v>43426</v>
      </c>
      <c r="I13" s="2" t="str">
        <f t="shared" si="1"/>
        <v>TRUE</v>
      </c>
      <c r="J13" s="12" t="s">
        <v>151</v>
      </c>
      <c r="K13">
        <f t="shared" si="0"/>
        <v>48</v>
      </c>
      <c r="L13">
        <v>1</v>
      </c>
      <c r="M13" t="s">
        <v>451</v>
      </c>
      <c r="N13">
        <v>98</v>
      </c>
      <c r="O13">
        <v>4</v>
      </c>
      <c r="P13">
        <v>0</v>
      </c>
      <c r="Q13">
        <v>3</v>
      </c>
      <c r="R13" s="8">
        <v>1</v>
      </c>
      <c r="S13" s="8">
        <v>0</v>
      </c>
      <c r="T13" t="str">
        <f t="shared" si="2"/>
        <v>TRUE</v>
      </c>
      <c r="U13" t="s">
        <v>151</v>
      </c>
      <c r="V13">
        <v>125775.61040000001</v>
      </c>
      <c r="W13">
        <v>612626.98860000004</v>
      </c>
      <c r="X13">
        <v>371740.55229999998</v>
      </c>
      <c r="Y13">
        <v>154428.67389999999</v>
      </c>
      <c r="Z13">
        <v>428069.16739999998</v>
      </c>
      <c r="AA13">
        <v>49885.802589999999</v>
      </c>
      <c r="AB13">
        <v>225064.23939999999</v>
      </c>
      <c r="AC13">
        <v>38814.854469999998</v>
      </c>
      <c r="AD13">
        <v>29555.34546</v>
      </c>
      <c r="AE13">
        <v>65561.727849999996</v>
      </c>
      <c r="AF13">
        <v>1916.0545910000001</v>
      </c>
      <c r="AG13">
        <v>970749.19400000002</v>
      </c>
      <c r="AH13">
        <v>40108.329769999997</v>
      </c>
      <c r="AI13">
        <v>8026.7359669999996</v>
      </c>
      <c r="AJ13">
        <v>87279.036630000002</v>
      </c>
    </row>
    <row r="14" spans="1:36" x14ac:dyDescent="0.2">
      <c r="A14" t="s">
        <v>487</v>
      </c>
      <c r="B14" t="s">
        <v>704</v>
      </c>
      <c r="C14" t="s">
        <v>222</v>
      </c>
      <c r="D14" t="s">
        <v>453</v>
      </c>
      <c r="E14" t="s">
        <v>454</v>
      </c>
      <c r="F14" t="s">
        <v>462</v>
      </c>
      <c r="G14" s="2">
        <v>17139</v>
      </c>
      <c r="H14" s="2">
        <v>43427</v>
      </c>
      <c r="I14" s="2" t="str">
        <f t="shared" si="1"/>
        <v>TRUE</v>
      </c>
      <c r="J14" s="12" t="s">
        <v>222</v>
      </c>
      <c r="K14">
        <f t="shared" si="0"/>
        <v>71</v>
      </c>
      <c r="L14">
        <v>1</v>
      </c>
      <c r="M14" t="s">
        <v>451</v>
      </c>
      <c r="N14">
        <v>164</v>
      </c>
      <c r="O14">
        <v>4</v>
      </c>
      <c r="P14">
        <v>0</v>
      </c>
      <c r="Q14">
        <v>1</v>
      </c>
      <c r="R14" s="8">
        <v>1</v>
      </c>
      <c r="S14" s="8">
        <v>0</v>
      </c>
      <c r="T14" t="str">
        <f t="shared" si="2"/>
        <v>TRUE</v>
      </c>
      <c r="U14" t="s">
        <v>222</v>
      </c>
      <c r="V14">
        <v>27590.935990000002</v>
      </c>
      <c r="W14">
        <v>44420.662969999998</v>
      </c>
      <c r="X14">
        <v>212562.39170000001</v>
      </c>
      <c r="Y14">
        <v>70291.528649999993</v>
      </c>
      <c r="Z14">
        <v>44792.840519999998</v>
      </c>
      <c r="AA14">
        <v>59466.887150000002</v>
      </c>
      <c r="AB14">
        <v>12023.878350000001</v>
      </c>
      <c r="AC14">
        <v>93679.907980000004</v>
      </c>
      <c r="AD14">
        <v>49634.384989999999</v>
      </c>
      <c r="AE14">
        <v>183308.66880000001</v>
      </c>
      <c r="AF14">
        <v>477.79092259999999</v>
      </c>
      <c r="AG14">
        <v>2790279.0720000002</v>
      </c>
      <c r="AH14">
        <v>35181.766580000003</v>
      </c>
      <c r="AI14">
        <v>7954.467533</v>
      </c>
      <c r="AJ14">
        <v>28292.820400000001</v>
      </c>
    </row>
    <row r="15" spans="1:36" x14ac:dyDescent="0.2">
      <c r="A15" t="s">
        <v>489</v>
      </c>
      <c r="B15" t="s">
        <v>705</v>
      </c>
      <c r="C15" t="s">
        <v>164</v>
      </c>
      <c r="D15" t="s">
        <v>453</v>
      </c>
      <c r="E15" t="s">
        <v>454</v>
      </c>
      <c r="F15" t="s">
        <v>462</v>
      </c>
      <c r="G15" s="2">
        <v>36196</v>
      </c>
      <c r="H15" s="2">
        <v>43462</v>
      </c>
      <c r="I15" s="2" t="str">
        <f t="shared" si="1"/>
        <v>TRUE</v>
      </c>
      <c r="J15" s="12" t="s">
        <v>164</v>
      </c>
      <c r="K15">
        <f t="shared" si="0"/>
        <v>19</v>
      </c>
      <c r="L15">
        <v>1</v>
      </c>
      <c r="M15" t="s">
        <v>451</v>
      </c>
      <c r="N15">
        <v>108</v>
      </c>
      <c r="O15">
        <v>3</v>
      </c>
      <c r="P15">
        <v>1</v>
      </c>
      <c r="Q15">
        <v>1</v>
      </c>
      <c r="R15" s="8">
        <v>1</v>
      </c>
      <c r="S15" s="8">
        <v>0</v>
      </c>
      <c r="T15" t="str">
        <f t="shared" si="2"/>
        <v>TRUE</v>
      </c>
      <c r="U15" t="s">
        <v>164</v>
      </c>
      <c r="V15">
        <v>150037.16260000001</v>
      </c>
      <c r="W15">
        <v>24501.095890000001</v>
      </c>
      <c r="X15">
        <v>668847.47950000002</v>
      </c>
      <c r="Y15">
        <v>579737.97490000003</v>
      </c>
      <c r="Z15">
        <v>209027.91589999999</v>
      </c>
      <c r="AA15">
        <v>8969.1992219999993</v>
      </c>
      <c r="AB15">
        <v>2356.9018529999998</v>
      </c>
      <c r="AC15">
        <v>13771.96056</v>
      </c>
      <c r="AD15">
        <v>88254.420270000002</v>
      </c>
      <c r="AE15">
        <v>64973.470549999998</v>
      </c>
      <c r="AF15">
        <v>2009.877571</v>
      </c>
      <c r="AG15">
        <v>35260.038330000003</v>
      </c>
      <c r="AH15">
        <v>45349.287170000003</v>
      </c>
      <c r="AI15">
        <v>53050.550790000001</v>
      </c>
      <c r="AJ15">
        <v>1041099.939</v>
      </c>
    </row>
    <row r="16" spans="1:36" x14ac:dyDescent="0.2">
      <c r="A16" t="s">
        <v>493</v>
      </c>
      <c r="B16" t="s">
        <v>702</v>
      </c>
      <c r="C16" t="s">
        <v>302</v>
      </c>
      <c r="D16" t="s">
        <v>453</v>
      </c>
      <c r="E16" t="s">
        <v>461</v>
      </c>
      <c r="F16" t="s">
        <v>462</v>
      </c>
      <c r="G16" s="2">
        <v>29437</v>
      </c>
      <c r="H16" s="2">
        <v>43467</v>
      </c>
      <c r="I16" s="2" t="str">
        <f t="shared" si="1"/>
        <v>TRUE</v>
      </c>
      <c r="J16" s="12" t="s">
        <v>302</v>
      </c>
      <c r="K16">
        <f t="shared" si="0"/>
        <v>38</v>
      </c>
      <c r="L16">
        <v>2</v>
      </c>
      <c r="M16" t="s">
        <v>451</v>
      </c>
      <c r="N16">
        <v>1248</v>
      </c>
      <c r="O16">
        <v>5</v>
      </c>
      <c r="P16" s="12">
        <v>1</v>
      </c>
      <c r="Q16" s="12">
        <v>3</v>
      </c>
      <c r="R16" s="13">
        <v>0</v>
      </c>
      <c r="S16" s="13">
        <v>0</v>
      </c>
      <c r="T16" t="str">
        <f t="shared" si="2"/>
        <v>TRUE</v>
      </c>
      <c r="U16" t="s">
        <v>302</v>
      </c>
      <c r="V16">
        <v>129717.539</v>
      </c>
      <c r="W16">
        <v>405931.3112</v>
      </c>
      <c r="X16">
        <v>506395.22169999999</v>
      </c>
      <c r="Y16">
        <v>117793.0077</v>
      </c>
      <c r="Z16">
        <v>102232.87790000001</v>
      </c>
      <c r="AA16">
        <v>16427.4938</v>
      </c>
      <c r="AB16">
        <v>19367.269830000001</v>
      </c>
      <c r="AC16">
        <v>73646.004279999994</v>
      </c>
      <c r="AD16">
        <v>84113.167000000001</v>
      </c>
      <c r="AE16">
        <v>325653.07449999999</v>
      </c>
      <c r="AF16">
        <v>2297.950331</v>
      </c>
      <c r="AG16">
        <v>1021598.254</v>
      </c>
      <c r="AH16">
        <v>28756.14229</v>
      </c>
      <c r="AI16">
        <v>26061.380160000001</v>
      </c>
      <c r="AJ16">
        <v>176679.7691</v>
      </c>
    </row>
    <row r="17" spans="1:36" x14ac:dyDescent="0.2">
      <c r="A17" t="s">
        <v>494</v>
      </c>
      <c r="B17" t="s">
        <v>695</v>
      </c>
      <c r="C17" t="s">
        <v>72</v>
      </c>
      <c r="D17" t="s">
        <v>453</v>
      </c>
      <c r="E17" t="s">
        <v>461</v>
      </c>
      <c r="F17" t="s">
        <v>462</v>
      </c>
      <c r="G17" s="2">
        <v>30401</v>
      </c>
      <c r="H17" s="2">
        <v>43469</v>
      </c>
      <c r="I17" s="2" t="str">
        <f t="shared" si="1"/>
        <v>TRUE</v>
      </c>
      <c r="J17" s="12" t="s">
        <v>72</v>
      </c>
      <c r="K17">
        <f t="shared" si="0"/>
        <v>35</v>
      </c>
      <c r="L17">
        <v>2</v>
      </c>
      <c r="M17" t="s">
        <v>451</v>
      </c>
      <c r="N17">
        <v>35</v>
      </c>
      <c r="O17">
        <v>3</v>
      </c>
      <c r="P17" s="12">
        <v>0</v>
      </c>
      <c r="Q17" s="12">
        <v>2</v>
      </c>
      <c r="R17" s="8">
        <v>1</v>
      </c>
      <c r="S17" s="8">
        <v>0</v>
      </c>
      <c r="T17" t="str">
        <f t="shared" si="2"/>
        <v>TRUE</v>
      </c>
      <c r="U17" t="s">
        <v>72</v>
      </c>
      <c r="V17">
        <v>525777.94990000001</v>
      </c>
      <c r="W17">
        <v>15689.13528</v>
      </c>
      <c r="X17">
        <v>249576.79500000001</v>
      </c>
      <c r="Y17">
        <v>400210.054</v>
      </c>
      <c r="Z17">
        <v>249436.4332</v>
      </c>
      <c r="AA17">
        <v>243516.83240000001</v>
      </c>
      <c r="AB17">
        <v>20449.86637</v>
      </c>
      <c r="AC17">
        <v>89659.161720000004</v>
      </c>
      <c r="AD17">
        <v>369277.04639999999</v>
      </c>
      <c r="AE17">
        <v>200963.72150000001</v>
      </c>
      <c r="AF17">
        <v>2350.187081</v>
      </c>
      <c r="AG17">
        <v>60760.400020000001</v>
      </c>
      <c r="AH17">
        <v>211345.58110000001</v>
      </c>
      <c r="AI17">
        <v>38821.601110000003</v>
      </c>
      <c r="AJ17">
        <v>1092030.142</v>
      </c>
    </row>
    <row r="18" spans="1:36" x14ac:dyDescent="0.2">
      <c r="A18" t="s">
        <v>495</v>
      </c>
      <c r="B18" t="s">
        <v>696</v>
      </c>
      <c r="C18" t="s">
        <v>291</v>
      </c>
      <c r="D18" t="s">
        <v>453</v>
      </c>
      <c r="E18" t="s">
        <v>461</v>
      </c>
      <c r="F18" t="s">
        <v>462</v>
      </c>
      <c r="G18" s="2">
        <v>32618</v>
      </c>
      <c r="H18" s="2">
        <v>43476</v>
      </c>
      <c r="I18" s="2" t="str">
        <f t="shared" si="1"/>
        <v>TRUE</v>
      </c>
      <c r="J18" s="12" t="s">
        <v>291</v>
      </c>
      <c r="K18">
        <f t="shared" si="0"/>
        <v>29</v>
      </c>
      <c r="L18">
        <v>2</v>
      </c>
      <c r="M18" t="s">
        <v>451</v>
      </c>
      <c r="N18">
        <v>103</v>
      </c>
      <c r="O18">
        <v>2</v>
      </c>
      <c r="P18">
        <v>0</v>
      </c>
      <c r="Q18">
        <v>2</v>
      </c>
      <c r="R18" s="8">
        <v>1</v>
      </c>
      <c r="S18" s="8">
        <v>0</v>
      </c>
      <c r="T18" t="str">
        <f t="shared" si="2"/>
        <v>TRUE</v>
      </c>
      <c r="U18" t="s">
        <v>291</v>
      </c>
      <c r="V18">
        <v>148333.079</v>
      </c>
      <c r="W18">
        <v>201172.11180000001</v>
      </c>
      <c r="X18">
        <v>953499.78599999996</v>
      </c>
      <c r="Y18">
        <v>134182.1434</v>
      </c>
      <c r="Z18">
        <v>208370.06340000001</v>
      </c>
      <c r="AA18">
        <v>20104.772860000001</v>
      </c>
      <c r="AB18">
        <v>3106.0704649999998</v>
      </c>
      <c r="AC18">
        <v>68625.864189999993</v>
      </c>
      <c r="AD18">
        <v>90716.736180000007</v>
      </c>
      <c r="AE18">
        <v>76522.660390000005</v>
      </c>
      <c r="AF18">
        <v>2676.7112080000002</v>
      </c>
      <c r="AG18">
        <v>194043.88959999999</v>
      </c>
      <c r="AH18">
        <v>146057.30379999999</v>
      </c>
      <c r="AI18">
        <v>53834.12066</v>
      </c>
      <c r="AJ18">
        <v>802715.36369999999</v>
      </c>
    </row>
    <row r="19" spans="1:36" x14ac:dyDescent="0.2">
      <c r="A19" t="s">
        <v>496</v>
      </c>
      <c r="B19" t="s">
        <v>700</v>
      </c>
      <c r="C19" t="s">
        <v>139</v>
      </c>
      <c r="D19" t="s">
        <v>453</v>
      </c>
      <c r="E19" t="s">
        <v>461</v>
      </c>
      <c r="F19" t="s">
        <v>462</v>
      </c>
      <c r="G19" s="2">
        <v>23573</v>
      </c>
      <c r="H19" s="2">
        <v>43483</v>
      </c>
      <c r="I19" s="2" t="str">
        <f t="shared" si="1"/>
        <v>TRUE</v>
      </c>
      <c r="J19" s="12" t="s">
        <v>139</v>
      </c>
      <c r="K19">
        <f t="shared" si="0"/>
        <v>54</v>
      </c>
      <c r="L19">
        <v>2</v>
      </c>
      <c r="M19" t="s">
        <v>451</v>
      </c>
      <c r="N19">
        <v>15</v>
      </c>
      <c r="O19">
        <v>0</v>
      </c>
      <c r="P19" s="12">
        <v>0</v>
      </c>
      <c r="Q19" s="12">
        <v>2</v>
      </c>
      <c r="R19" s="13">
        <v>1</v>
      </c>
      <c r="S19" s="13">
        <v>0</v>
      </c>
      <c r="T19" t="str">
        <f t="shared" si="2"/>
        <v>TRUE</v>
      </c>
      <c r="U19" t="s">
        <v>139</v>
      </c>
      <c r="V19">
        <v>158820.88260000001</v>
      </c>
      <c r="W19">
        <v>546084.90330000001</v>
      </c>
      <c r="X19">
        <v>544478.66859999998</v>
      </c>
      <c r="Y19">
        <v>187613.5661</v>
      </c>
      <c r="Z19">
        <v>289323.41080000001</v>
      </c>
      <c r="AA19">
        <v>10065.079589999999</v>
      </c>
      <c r="AB19">
        <v>1675.5614350000001</v>
      </c>
      <c r="AC19">
        <v>30012.543160000001</v>
      </c>
      <c r="AD19">
        <v>117684.7252</v>
      </c>
      <c r="AE19">
        <v>62094.42787</v>
      </c>
      <c r="AF19">
        <v>2770.4239969999999</v>
      </c>
      <c r="AG19">
        <v>657752.23930000002</v>
      </c>
      <c r="AH19">
        <v>107043.72530000001</v>
      </c>
      <c r="AI19">
        <v>22723.894420000001</v>
      </c>
      <c r="AJ19">
        <v>184758.45009999999</v>
      </c>
    </row>
    <row r="20" spans="1:36" x14ac:dyDescent="0.2">
      <c r="A20" t="s">
        <v>500</v>
      </c>
      <c r="B20" t="s">
        <v>694</v>
      </c>
      <c r="C20" t="s">
        <v>310</v>
      </c>
      <c r="D20" t="s">
        <v>453</v>
      </c>
      <c r="E20" t="s">
        <v>454</v>
      </c>
      <c r="F20" t="s">
        <v>455</v>
      </c>
      <c r="G20" s="2">
        <v>21589</v>
      </c>
      <c r="H20" s="2">
        <v>43487</v>
      </c>
      <c r="I20" s="2" t="str">
        <f t="shared" si="1"/>
        <v>TRUE</v>
      </c>
      <c r="J20" s="12" t="s">
        <v>310</v>
      </c>
      <c r="K20">
        <f t="shared" si="0"/>
        <v>59</v>
      </c>
      <c r="L20">
        <v>3</v>
      </c>
      <c r="M20" t="s">
        <v>451</v>
      </c>
      <c r="N20">
        <v>34</v>
      </c>
      <c r="O20">
        <v>0</v>
      </c>
      <c r="P20" s="12">
        <v>1</v>
      </c>
      <c r="Q20" s="12">
        <v>2</v>
      </c>
      <c r="R20" s="13">
        <v>1</v>
      </c>
      <c r="S20" s="13">
        <v>0</v>
      </c>
      <c r="T20" t="str">
        <f t="shared" si="2"/>
        <v>TRUE</v>
      </c>
      <c r="U20" t="s">
        <v>310</v>
      </c>
      <c r="V20">
        <v>61902.370289999999</v>
      </c>
      <c r="W20">
        <v>105314.5855</v>
      </c>
      <c r="X20">
        <v>823862.00859999994</v>
      </c>
      <c r="Y20">
        <v>156011.59479999999</v>
      </c>
      <c r="Z20">
        <v>276112.67139999999</v>
      </c>
      <c r="AA20">
        <v>5124.44776</v>
      </c>
      <c r="AB20">
        <v>2838.7346680000001</v>
      </c>
      <c r="AC20">
        <v>38109.315170000002</v>
      </c>
      <c r="AD20">
        <v>45934.624640000002</v>
      </c>
      <c r="AE20">
        <v>44385.969620000003</v>
      </c>
      <c r="AF20">
        <v>1172.7579290000001</v>
      </c>
      <c r="AG20">
        <v>78691.187359999996</v>
      </c>
      <c r="AH20">
        <v>73983.751019999996</v>
      </c>
      <c r="AI20">
        <v>186302.204</v>
      </c>
      <c r="AJ20">
        <v>396869.85600000003</v>
      </c>
    </row>
    <row r="21" spans="1:36" x14ac:dyDescent="0.2">
      <c r="A21" t="s">
        <v>501</v>
      </c>
      <c r="B21" t="s">
        <v>697</v>
      </c>
      <c r="C21" t="s">
        <v>176</v>
      </c>
      <c r="D21" t="s">
        <v>453</v>
      </c>
      <c r="E21" t="s">
        <v>454</v>
      </c>
      <c r="F21" t="s">
        <v>462</v>
      </c>
      <c r="G21" s="2">
        <v>29445</v>
      </c>
      <c r="H21" s="2">
        <v>43497</v>
      </c>
      <c r="I21" s="2" t="str">
        <f t="shared" si="1"/>
        <v>TRUE</v>
      </c>
      <c r="J21" s="12" t="s">
        <v>176</v>
      </c>
      <c r="K21">
        <f t="shared" si="0"/>
        <v>38</v>
      </c>
      <c r="L21">
        <v>2</v>
      </c>
      <c r="M21" t="s">
        <v>451</v>
      </c>
      <c r="N21">
        <v>803</v>
      </c>
      <c r="O21">
        <v>1</v>
      </c>
      <c r="P21" s="12">
        <v>1</v>
      </c>
      <c r="Q21" s="12">
        <v>2</v>
      </c>
      <c r="R21" s="13">
        <v>0</v>
      </c>
      <c r="S21" s="13">
        <v>0</v>
      </c>
      <c r="T21" t="str">
        <f t="shared" si="2"/>
        <v>TRUE</v>
      </c>
      <c r="U21" t="s">
        <v>176</v>
      </c>
      <c r="V21">
        <v>825878.33380000002</v>
      </c>
      <c r="W21">
        <v>3172706.875</v>
      </c>
      <c r="X21">
        <v>425550.48560000001</v>
      </c>
      <c r="Y21">
        <v>98710.768710000004</v>
      </c>
      <c r="Z21">
        <v>82961.148520000002</v>
      </c>
      <c r="AA21">
        <v>10472.17396</v>
      </c>
      <c r="AB21">
        <v>4185.2255180000002</v>
      </c>
      <c r="AC21">
        <v>76752.332859999995</v>
      </c>
      <c r="AD21">
        <v>98010.273650000003</v>
      </c>
      <c r="AE21">
        <v>85358.677460000006</v>
      </c>
      <c r="AF21">
        <v>2203.5749949999999</v>
      </c>
      <c r="AG21">
        <v>410529.99709999998</v>
      </c>
      <c r="AH21">
        <v>110092.9653</v>
      </c>
      <c r="AI21">
        <v>66370.123370000001</v>
      </c>
      <c r="AJ21">
        <v>75808.146599999993</v>
      </c>
    </row>
    <row r="22" spans="1:36" x14ac:dyDescent="0.2">
      <c r="A22" t="s">
        <v>626</v>
      </c>
      <c r="B22" t="s">
        <v>706</v>
      </c>
      <c r="C22" t="s">
        <v>103</v>
      </c>
      <c r="D22" t="s">
        <v>453</v>
      </c>
      <c r="E22" t="s">
        <v>454</v>
      </c>
      <c r="F22" t="s">
        <v>455</v>
      </c>
      <c r="G22" s="2">
        <v>36595</v>
      </c>
      <c r="H22" s="2">
        <v>43490</v>
      </c>
      <c r="I22" s="2" t="str">
        <f t="shared" si="1"/>
        <v>TRUE</v>
      </c>
      <c r="J22" s="12" t="s">
        <v>103</v>
      </c>
      <c r="K22">
        <f t="shared" si="0"/>
        <v>18</v>
      </c>
      <c r="L22">
        <v>1</v>
      </c>
      <c r="M22" t="s">
        <v>456</v>
      </c>
      <c r="N22">
        <v>1276</v>
      </c>
      <c r="O22">
        <v>11</v>
      </c>
      <c r="P22">
        <v>1</v>
      </c>
      <c r="Q22">
        <v>2</v>
      </c>
      <c r="R22" s="8">
        <v>1</v>
      </c>
      <c r="S22" s="8">
        <v>0</v>
      </c>
      <c r="T22" t="str">
        <f t="shared" si="2"/>
        <v>TRUE</v>
      </c>
      <c r="U22" t="s">
        <v>103</v>
      </c>
      <c r="V22">
        <v>163173.85999999999</v>
      </c>
      <c r="W22">
        <v>56394.030579999999</v>
      </c>
      <c r="X22">
        <v>1996747.9210000001</v>
      </c>
      <c r="Y22">
        <v>397748.76779999997</v>
      </c>
      <c r="Z22">
        <v>105305.4737</v>
      </c>
      <c r="AA22">
        <v>11427.959720000001</v>
      </c>
      <c r="AB22">
        <v>2047.7586590000001</v>
      </c>
      <c r="AC22">
        <v>59996.603089999997</v>
      </c>
      <c r="AD22">
        <v>622684.94279999996</v>
      </c>
      <c r="AE22">
        <v>70224.665410000001</v>
      </c>
      <c r="AF22">
        <v>7894.2976349999999</v>
      </c>
      <c r="AG22">
        <v>263814.9374</v>
      </c>
      <c r="AH22">
        <v>113042.49830000001</v>
      </c>
      <c r="AI22">
        <v>88799.948210000002</v>
      </c>
      <c r="AJ22">
        <v>1328470.077</v>
      </c>
    </row>
    <row r="23" spans="1:36" x14ac:dyDescent="0.2">
      <c r="A23" t="s">
        <v>507</v>
      </c>
      <c r="B23" t="s">
        <v>701</v>
      </c>
      <c r="C23" t="s">
        <v>128</v>
      </c>
      <c r="D23" t="s">
        <v>453</v>
      </c>
      <c r="E23" t="s">
        <v>461</v>
      </c>
      <c r="F23" t="s">
        <v>462</v>
      </c>
      <c r="G23" s="2">
        <v>24908</v>
      </c>
      <c r="H23" s="2">
        <v>43509</v>
      </c>
      <c r="I23" s="2" t="str">
        <f t="shared" si="1"/>
        <v>TRUE</v>
      </c>
      <c r="J23" s="12" t="s">
        <v>128</v>
      </c>
      <c r="K23">
        <f t="shared" si="0"/>
        <v>50</v>
      </c>
      <c r="L23">
        <v>2</v>
      </c>
      <c r="M23" t="s">
        <v>451</v>
      </c>
      <c r="N23">
        <v>15</v>
      </c>
      <c r="O23">
        <v>2</v>
      </c>
      <c r="P23" s="12">
        <v>1</v>
      </c>
      <c r="Q23" s="12">
        <v>2</v>
      </c>
      <c r="R23" s="13">
        <v>0</v>
      </c>
      <c r="S23" s="13">
        <v>0</v>
      </c>
      <c r="T23" t="str">
        <f t="shared" si="2"/>
        <v>TRUE</v>
      </c>
      <c r="U23" t="s">
        <v>128</v>
      </c>
      <c r="V23">
        <v>173953.2831</v>
      </c>
      <c r="W23">
        <v>135707.0582</v>
      </c>
      <c r="X23">
        <v>145137.0963</v>
      </c>
      <c r="Y23">
        <v>255854.49189999999</v>
      </c>
      <c r="Z23">
        <v>288414.7292</v>
      </c>
      <c r="AA23">
        <v>23323.96703</v>
      </c>
      <c r="AB23">
        <v>2833.6570230000002</v>
      </c>
      <c r="AC23">
        <v>18860.14198</v>
      </c>
      <c r="AD23">
        <v>14949.869199999999</v>
      </c>
      <c r="AE23">
        <v>39142.360030000003</v>
      </c>
      <c r="AF23">
        <v>2870.6447320000002</v>
      </c>
      <c r="AG23">
        <v>286540.01750000002</v>
      </c>
      <c r="AH23">
        <v>25886.580979999999</v>
      </c>
      <c r="AI23">
        <v>6053.5714129999997</v>
      </c>
      <c r="AJ23">
        <v>38073.950819999998</v>
      </c>
    </row>
    <row r="24" spans="1:36" x14ac:dyDescent="0.2">
      <c r="A24" t="s">
        <v>508</v>
      </c>
      <c r="B24" t="s">
        <v>707</v>
      </c>
      <c r="C24" t="s">
        <v>285</v>
      </c>
      <c r="D24" t="s">
        <v>453</v>
      </c>
      <c r="E24" t="s">
        <v>454</v>
      </c>
      <c r="F24" t="s">
        <v>462</v>
      </c>
      <c r="G24" s="2">
        <v>25311</v>
      </c>
      <c r="H24" s="2">
        <v>43511</v>
      </c>
      <c r="I24" s="2" t="str">
        <f t="shared" si="1"/>
        <v>TRUE</v>
      </c>
      <c r="J24" s="12" t="s">
        <v>285</v>
      </c>
      <c r="K24">
        <f t="shared" si="0"/>
        <v>49</v>
      </c>
      <c r="L24">
        <v>1</v>
      </c>
      <c r="M24" t="s">
        <v>451</v>
      </c>
      <c r="N24">
        <v>2216</v>
      </c>
      <c r="O24">
        <v>7</v>
      </c>
      <c r="P24">
        <v>1</v>
      </c>
      <c r="Q24">
        <v>3</v>
      </c>
      <c r="R24" s="8">
        <v>1</v>
      </c>
      <c r="S24" s="8">
        <v>0</v>
      </c>
      <c r="T24" t="str">
        <f t="shared" si="2"/>
        <v>TRUE</v>
      </c>
      <c r="U24" t="s">
        <v>285</v>
      </c>
      <c r="V24">
        <v>135960.85490000001</v>
      </c>
      <c r="W24">
        <v>145254.02929999999</v>
      </c>
      <c r="X24">
        <v>1010181.5060000001</v>
      </c>
      <c r="Y24">
        <v>886608.36600000004</v>
      </c>
      <c r="Z24">
        <v>53404.561549999999</v>
      </c>
      <c r="AA24">
        <v>3929.0086679999999</v>
      </c>
      <c r="AB24">
        <v>17744.2124</v>
      </c>
      <c r="AC24">
        <v>38247.787850000001</v>
      </c>
      <c r="AD24">
        <v>47289.991459999997</v>
      </c>
      <c r="AE24">
        <v>106427.7988</v>
      </c>
      <c r="AF24">
        <v>1488.4060999999999</v>
      </c>
      <c r="AG24">
        <v>103636.66650000001</v>
      </c>
      <c r="AH24">
        <v>76049.643800000005</v>
      </c>
      <c r="AI24">
        <v>67239.766839999997</v>
      </c>
      <c r="AJ24">
        <v>760252.07620000001</v>
      </c>
    </row>
    <row r="25" spans="1:36" x14ac:dyDescent="0.2">
      <c r="A25" t="s">
        <v>510</v>
      </c>
      <c r="B25" t="s">
        <v>703</v>
      </c>
      <c r="C25" t="s">
        <v>149</v>
      </c>
      <c r="D25" t="s">
        <v>453</v>
      </c>
      <c r="E25" t="s">
        <v>476</v>
      </c>
      <c r="F25" t="s">
        <v>462</v>
      </c>
      <c r="G25" s="2">
        <v>25575</v>
      </c>
      <c r="H25" s="2">
        <v>43518</v>
      </c>
      <c r="I25" s="2" t="str">
        <f t="shared" si="1"/>
        <v>TRUE</v>
      </c>
      <c r="J25" s="12" t="s">
        <v>149</v>
      </c>
      <c r="K25">
        <f t="shared" si="0"/>
        <v>49</v>
      </c>
      <c r="L25">
        <v>2</v>
      </c>
      <c r="M25" t="s">
        <v>451</v>
      </c>
      <c r="N25">
        <v>19</v>
      </c>
      <c r="O25">
        <v>2</v>
      </c>
      <c r="P25" s="12">
        <v>0</v>
      </c>
      <c r="Q25" s="12">
        <v>3</v>
      </c>
      <c r="R25" s="13">
        <v>1</v>
      </c>
      <c r="S25" s="13">
        <v>0</v>
      </c>
      <c r="T25" t="str">
        <f t="shared" si="2"/>
        <v>TRUE</v>
      </c>
      <c r="U25" t="s">
        <v>149</v>
      </c>
      <c r="V25">
        <v>154616.43169999999</v>
      </c>
      <c r="W25">
        <v>107388.6349</v>
      </c>
      <c r="X25">
        <v>2178920.068</v>
      </c>
      <c r="Y25">
        <v>145258.47769999999</v>
      </c>
      <c r="Z25">
        <v>148176.37849999999</v>
      </c>
      <c r="AA25">
        <v>9888.7777929999993</v>
      </c>
      <c r="AB25">
        <v>79286.337350000002</v>
      </c>
      <c r="AC25">
        <v>35261.399420000002</v>
      </c>
      <c r="AD25">
        <v>26590.458269999999</v>
      </c>
      <c r="AE25">
        <v>72893.153940000004</v>
      </c>
      <c r="AF25">
        <v>2075.4334330000002</v>
      </c>
      <c r="AG25">
        <v>685231.85649999999</v>
      </c>
      <c r="AH25">
        <v>62767.703780000003</v>
      </c>
      <c r="AI25">
        <v>37054.025410000002</v>
      </c>
      <c r="AJ25">
        <v>1165498.2560000001</v>
      </c>
    </row>
    <row r="26" spans="1:36" x14ac:dyDescent="0.2">
      <c r="A26" t="s">
        <v>511</v>
      </c>
      <c r="B26" t="s">
        <v>704</v>
      </c>
      <c r="C26" t="s">
        <v>224</v>
      </c>
      <c r="D26" t="s">
        <v>453</v>
      </c>
      <c r="E26" t="s">
        <v>454</v>
      </c>
      <c r="F26" t="s">
        <v>462</v>
      </c>
      <c r="G26" s="2">
        <v>17139</v>
      </c>
      <c r="H26" s="2">
        <v>43518</v>
      </c>
      <c r="I26" s="2" t="str">
        <f t="shared" si="1"/>
        <v>TRUE</v>
      </c>
      <c r="J26" s="12" t="s">
        <v>224</v>
      </c>
      <c r="K26">
        <f t="shared" si="0"/>
        <v>72</v>
      </c>
      <c r="L26">
        <v>2</v>
      </c>
      <c r="M26" t="s">
        <v>451</v>
      </c>
      <c r="N26">
        <v>15</v>
      </c>
      <c r="O26">
        <v>1</v>
      </c>
      <c r="P26">
        <v>0</v>
      </c>
      <c r="Q26">
        <v>1</v>
      </c>
      <c r="R26" s="13">
        <v>1</v>
      </c>
      <c r="S26" s="13">
        <v>0</v>
      </c>
      <c r="T26" t="str">
        <f t="shared" si="2"/>
        <v>TRUE</v>
      </c>
      <c r="U26" t="s">
        <v>224</v>
      </c>
      <c r="V26">
        <v>81611.525240000003</v>
      </c>
      <c r="W26">
        <v>131777.6256</v>
      </c>
      <c r="X26">
        <v>265010.87780000002</v>
      </c>
      <c r="Y26">
        <v>88075.444470000002</v>
      </c>
      <c r="Z26">
        <v>78735.727379999997</v>
      </c>
      <c r="AA26">
        <v>31052.338680000001</v>
      </c>
      <c r="AB26">
        <v>4539.0632770000002</v>
      </c>
      <c r="AC26">
        <v>169118.05609999999</v>
      </c>
      <c r="AD26">
        <v>180601.46</v>
      </c>
      <c r="AE26">
        <v>285084.1923</v>
      </c>
      <c r="AF26">
        <v>2754.0871649999999</v>
      </c>
      <c r="AG26">
        <v>1643588.763</v>
      </c>
      <c r="AH26">
        <v>330419.90019999997</v>
      </c>
      <c r="AI26">
        <v>3959.2641239999998</v>
      </c>
      <c r="AJ26">
        <v>87664.397899999996</v>
      </c>
    </row>
    <row r="27" spans="1:36" x14ac:dyDescent="0.2">
      <c r="A27" s="1" t="s">
        <v>512</v>
      </c>
      <c r="B27" s="1" t="s">
        <v>708</v>
      </c>
      <c r="C27" s="1" t="s">
        <v>342</v>
      </c>
      <c r="D27" s="1" t="s">
        <v>453</v>
      </c>
      <c r="E27" s="1" t="s">
        <v>454</v>
      </c>
      <c r="F27" s="1" t="s">
        <v>455</v>
      </c>
      <c r="G27" s="3">
        <v>34403</v>
      </c>
      <c r="H27" s="3">
        <v>43529</v>
      </c>
      <c r="I27" s="2" t="str">
        <f t="shared" si="1"/>
        <v>TRUE</v>
      </c>
      <c r="J27" s="12" t="s">
        <v>342</v>
      </c>
      <c r="K27" s="1">
        <v>24</v>
      </c>
      <c r="L27" s="6">
        <v>1</v>
      </c>
      <c r="M27" s="1" t="s">
        <v>456</v>
      </c>
      <c r="N27" s="1">
        <v>2021</v>
      </c>
      <c r="O27" s="1">
        <v>5</v>
      </c>
      <c r="P27">
        <v>0</v>
      </c>
      <c r="Q27">
        <v>1</v>
      </c>
      <c r="R27" s="8">
        <v>0</v>
      </c>
      <c r="S27" s="8">
        <v>1</v>
      </c>
      <c r="T27" t="str">
        <f t="shared" si="2"/>
        <v>TRUE</v>
      </c>
      <c r="U27" t="s">
        <v>342</v>
      </c>
      <c r="V27">
        <v>632313.3382</v>
      </c>
      <c r="W27">
        <v>51306.499329999999</v>
      </c>
      <c r="X27">
        <v>1229803.247</v>
      </c>
      <c r="Y27">
        <v>431637.4129</v>
      </c>
      <c r="Z27">
        <v>112011.6985</v>
      </c>
      <c r="AA27">
        <v>14718.59331</v>
      </c>
      <c r="AB27">
        <v>4538.4337660000001</v>
      </c>
      <c r="AC27">
        <v>74579.00722</v>
      </c>
      <c r="AD27">
        <v>48177.128620000003</v>
      </c>
      <c r="AE27">
        <v>74175.521670000002</v>
      </c>
      <c r="AF27">
        <v>3667.1851539999998</v>
      </c>
      <c r="AG27">
        <v>553856.93519999995</v>
      </c>
      <c r="AH27">
        <v>266129.1948</v>
      </c>
      <c r="AI27">
        <v>34584.266450000003</v>
      </c>
      <c r="AJ27">
        <v>1061774.375</v>
      </c>
    </row>
    <row r="28" spans="1:36" x14ac:dyDescent="0.2">
      <c r="A28" t="s">
        <v>514</v>
      </c>
      <c r="B28" s="1" t="s">
        <v>709</v>
      </c>
      <c r="C28" t="s">
        <v>399</v>
      </c>
      <c r="D28" t="s">
        <v>453</v>
      </c>
      <c r="E28" t="s">
        <v>461</v>
      </c>
      <c r="F28" t="s">
        <v>455</v>
      </c>
      <c r="G28" s="2">
        <v>29943</v>
      </c>
      <c r="H28" s="2">
        <v>43525</v>
      </c>
      <c r="I28" s="2" t="str">
        <f t="shared" si="1"/>
        <v>TRUE</v>
      </c>
      <c r="J28" s="12" t="s">
        <v>399</v>
      </c>
      <c r="K28">
        <f t="shared" ref="K28:K59" si="3">DATEDIF(G28,H28,"Y")</f>
        <v>37</v>
      </c>
      <c r="L28">
        <v>1</v>
      </c>
      <c r="M28" t="s">
        <v>451</v>
      </c>
      <c r="N28">
        <v>922</v>
      </c>
      <c r="O28">
        <v>8</v>
      </c>
      <c r="P28">
        <v>0</v>
      </c>
      <c r="Q28">
        <v>3</v>
      </c>
      <c r="R28" s="8">
        <v>1</v>
      </c>
      <c r="S28" s="8">
        <v>0</v>
      </c>
      <c r="T28" t="str">
        <f t="shared" si="2"/>
        <v>TRUE</v>
      </c>
      <c r="U28" t="s">
        <v>399</v>
      </c>
      <c r="V28">
        <v>203653.68030000001</v>
      </c>
      <c r="W28">
        <v>320699.89199999999</v>
      </c>
      <c r="X28">
        <v>3481608.4509999999</v>
      </c>
      <c r="Y28">
        <v>132466.92850000001</v>
      </c>
      <c r="Z28">
        <v>161942.04029999999</v>
      </c>
      <c r="AA28">
        <v>30714.92006</v>
      </c>
      <c r="AB28">
        <v>20985.111069999999</v>
      </c>
      <c r="AC28">
        <v>54084.79507</v>
      </c>
      <c r="AD28">
        <v>56956.257810000003</v>
      </c>
      <c r="AE28">
        <v>121563.42969999999</v>
      </c>
      <c r="AF28">
        <v>4059.5511139999999</v>
      </c>
      <c r="AG28">
        <v>1951331.906</v>
      </c>
      <c r="AH28">
        <v>244027.25810000001</v>
      </c>
      <c r="AI28">
        <v>131927.5778</v>
      </c>
      <c r="AJ28">
        <v>2633553.7990000001</v>
      </c>
    </row>
    <row r="29" spans="1:36" x14ac:dyDescent="0.2">
      <c r="A29" t="s">
        <v>516</v>
      </c>
      <c r="B29" t="s">
        <v>710</v>
      </c>
      <c r="C29" t="s">
        <v>312</v>
      </c>
      <c r="D29" t="s">
        <v>453</v>
      </c>
      <c r="E29" t="s">
        <v>461</v>
      </c>
      <c r="F29" t="s">
        <v>462</v>
      </c>
      <c r="G29" s="2">
        <v>35129</v>
      </c>
      <c r="H29" s="2">
        <v>43532</v>
      </c>
      <c r="I29" s="2" t="str">
        <f t="shared" si="1"/>
        <v>TRUE</v>
      </c>
      <c r="J29" s="12" t="s">
        <v>312</v>
      </c>
      <c r="K29">
        <f t="shared" si="3"/>
        <v>23</v>
      </c>
      <c r="L29">
        <v>2</v>
      </c>
      <c r="M29" t="s">
        <v>451</v>
      </c>
      <c r="N29">
        <v>80</v>
      </c>
      <c r="O29">
        <v>2</v>
      </c>
      <c r="P29">
        <v>0</v>
      </c>
      <c r="Q29">
        <v>2</v>
      </c>
      <c r="R29" s="8">
        <v>1</v>
      </c>
      <c r="S29" s="8">
        <v>0</v>
      </c>
      <c r="T29" t="str">
        <f t="shared" si="2"/>
        <v>TRUE</v>
      </c>
      <c r="U29" t="s">
        <v>312</v>
      </c>
      <c r="V29">
        <v>176751.56959999999</v>
      </c>
      <c r="W29">
        <v>38850.994469999998</v>
      </c>
      <c r="X29">
        <v>285865.59330000001</v>
      </c>
      <c r="Y29">
        <v>38585.363129999998</v>
      </c>
      <c r="Z29">
        <v>83789.150110000002</v>
      </c>
      <c r="AA29">
        <v>18838.327529999999</v>
      </c>
      <c r="AB29">
        <v>2725.9271739999999</v>
      </c>
      <c r="AC29">
        <v>54128.307970000002</v>
      </c>
      <c r="AD29">
        <v>67030.803820000001</v>
      </c>
      <c r="AE29">
        <v>39416.98661</v>
      </c>
      <c r="AF29">
        <v>1893.4265270000001</v>
      </c>
      <c r="AG29">
        <v>16543.799200000001</v>
      </c>
      <c r="AH29">
        <v>12903.113090000001</v>
      </c>
      <c r="AI29">
        <v>6304.4548000000004</v>
      </c>
      <c r="AJ29">
        <v>269852.83630000002</v>
      </c>
    </row>
    <row r="30" spans="1:36" x14ac:dyDescent="0.2">
      <c r="A30" t="s">
        <v>632</v>
      </c>
      <c r="B30" s="1" t="s">
        <v>711</v>
      </c>
      <c r="C30" t="s">
        <v>204</v>
      </c>
      <c r="D30" t="s">
        <v>453</v>
      </c>
      <c r="E30" t="s">
        <v>454</v>
      </c>
      <c r="F30" t="s">
        <v>462</v>
      </c>
      <c r="G30" s="2">
        <v>31823</v>
      </c>
      <c r="H30" s="2">
        <v>43546</v>
      </c>
      <c r="I30" s="2" t="str">
        <f t="shared" si="1"/>
        <v>TRUE</v>
      </c>
      <c r="J30" s="12" t="s">
        <v>204</v>
      </c>
      <c r="K30">
        <f t="shared" si="3"/>
        <v>32</v>
      </c>
      <c r="L30">
        <v>1</v>
      </c>
      <c r="M30" t="s">
        <v>456</v>
      </c>
      <c r="N30">
        <v>306</v>
      </c>
      <c r="O30">
        <v>4</v>
      </c>
      <c r="P30">
        <v>0</v>
      </c>
      <c r="Q30">
        <v>2</v>
      </c>
      <c r="R30" s="8">
        <v>0</v>
      </c>
      <c r="S30" s="8">
        <v>0</v>
      </c>
      <c r="T30" t="str">
        <f t="shared" si="2"/>
        <v>TRUE</v>
      </c>
      <c r="U30" t="s">
        <v>204</v>
      </c>
      <c r="V30">
        <v>381859.37180000002</v>
      </c>
      <c r="W30">
        <v>73695.733099999998</v>
      </c>
      <c r="X30">
        <v>1158896.4920000001</v>
      </c>
      <c r="Y30">
        <v>141278.2077</v>
      </c>
      <c r="Z30">
        <v>196148.66959999999</v>
      </c>
      <c r="AA30">
        <v>15375.586520000001</v>
      </c>
      <c r="AB30">
        <v>2557.8425400000001</v>
      </c>
      <c r="AC30">
        <v>63631.140599999999</v>
      </c>
      <c r="AD30">
        <v>47804.4712</v>
      </c>
      <c r="AE30">
        <v>109913.9589</v>
      </c>
      <c r="AF30">
        <v>119820.3995</v>
      </c>
      <c r="AG30">
        <v>325380.42139999999</v>
      </c>
      <c r="AH30">
        <v>15256.0604</v>
      </c>
      <c r="AI30">
        <v>127601.9911</v>
      </c>
      <c r="AJ30">
        <v>812113.54960000003</v>
      </c>
    </row>
    <row r="31" spans="1:36" x14ac:dyDescent="0.2">
      <c r="A31" t="s">
        <v>519</v>
      </c>
      <c r="B31" t="s">
        <v>702</v>
      </c>
      <c r="C31" t="s">
        <v>304</v>
      </c>
      <c r="D31" t="s">
        <v>453</v>
      </c>
      <c r="E31" t="s">
        <v>461</v>
      </c>
      <c r="F31" t="s">
        <v>462</v>
      </c>
      <c r="G31" s="2">
        <v>29437</v>
      </c>
      <c r="H31" s="2">
        <v>43558</v>
      </c>
      <c r="I31" s="2" t="str">
        <f t="shared" si="1"/>
        <v>TRUE</v>
      </c>
      <c r="J31" s="12" t="s">
        <v>304</v>
      </c>
      <c r="K31">
        <f t="shared" si="3"/>
        <v>38</v>
      </c>
      <c r="L31">
        <v>3</v>
      </c>
      <c r="M31" t="s">
        <v>451</v>
      </c>
      <c r="N31">
        <v>56</v>
      </c>
      <c r="O31">
        <v>0</v>
      </c>
      <c r="P31" s="12">
        <v>1</v>
      </c>
      <c r="Q31" s="12">
        <v>3</v>
      </c>
      <c r="R31" s="13">
        <v>1</v>
      </c>
      <c r="S31" s="13">
        <v>0</v>
      </c>
      <c r="T31" t="str">
        <f t="shared" si="2"/>
        <v>TRUE</v>
      </c>
      <c r="U31" t="s">
        <v>304</v>
      </c>
      <c r="V31">
        <v>199560.85070000001</v>
      </c>
      <c r="W31">
        <v>969800.54040000006</v>
      </c>
      <c r="X31">
        <v>884771.12910000002</v>
      </c>
      <c r="Y31">
        <v>293674.1433</v>
      </c>
      <c r="Z31">
        <v>415643.701</v>
      </c>
      <c r="AA31">
        <v>32581.66635</v>
      </c>
      <c r="AB31">
        <v>26695.777340000001</v>
      </c>
      <c r="AC31">
        <v>198638.1109</v>
      </c>
      <c r="AD31">
        <v>202895.53690000001</v>
      </c>
      <c r="AE31">
        <v>566144.81299999997</v>
      </c>
      <c r="AF31">
        <v>4115.7884340000001</v>
      </c>
      <c r="AG31">
        <v>1040767.91</v>
      </c>
      <c r="AH31">
        <v>157319.64739999999</v>
      </c>
      <c r="AI31">
        <v>165725.2475</v>
      </c>
      <c r="AJ31">
        <v>459614.24959999998</v>
      </c>
    </row>
    <row r="32" spans="1:36" x14ac:dyDescent="0.2">
      <c r="A32" t="s">
        <v>520</v>
      </c>
      <c r="B32" t="s">
        <v>695</v>
      </c>
      <c r="C32" t="s">
        <v>76</v>
      </c>
      <c r="D32" t="s">
        <v>453</v>
      </c>
      <c r="E32" t="s">
        <v>461</v>
      </c>
      <c r="F32" t="s">
        <v>462</v>
      </c>
      <c r="G32" s="2">
        <v>30401</v>
      </c>
      <c r="H32" s="2">
        <v>43560</v>
      </c>
      <c r="I32" s="2" t="str">
        <f t="shared" si="1"/>
        <v>TRUE</v>
      </c>
      <c r="J32" s="12" t="s">
        <v>76</v>
      </c>
      <c r="K32">
        <f t="shared" si="3"/>
        <v>36</v>
      </c>
      <c r="L32">
        <v>3</v>
      </c>
      <c r="M32" t="s">
        <v>451</v>
      </c>
      <c r="N32">
        <v>28</v>
      </c>
      <c r="O32">
        <v>0</v>
      </c>
      <c r="P32" s="12">
        <v>0</v>
      </c>
      <c r="Q32" s="12">
        <v>2</v>
      </c>
      <c r="R32" s="8">
        <v>1</v>
      </c>
      <c r="S32" s="8">
        <v>0</v>
      </c>
      <c r="T32" t="str">
        <f t="shared" si="2"/>
        <v>TRUE</v>
      </c>
      <c r="U32" t="s">
        <v>76</v>
      </c>
      <c r="V32">
        <v>177208.236</v>
      </c>
      <c r="W32">
        <v>140916.59950000001</v>
      </c>
      <c r="X32">
        <v>186816.02050000001</v>
      </c>
      <c r="Y32">
        <v>167581.4884</v>
      </c>
      <c r="Z32">
        <v>69153.998630000002</v>
      </c>
      <c r="AA32">
        <v>27046.759829999999</v>
      </c>
      <c r="AB32">
        <v>9587.858209</v>
      </c>
      <c r="AC32">
        <v>26159.819869999999</v>
      </c>
      <c r="AD32">
        <v>27320.346269999998</v>
      </c>
      <c r="AE32">
        <v>69386.658230000001</v>
      </c>
      <c r="AF32">
        <v>1551.8137730000001</v>
      </c>
      <c r="AG32">
        <v>949200.14650000003</v>
      </c>
      <c r="AH32">
        <v>58621.004079999999</v>
      </c>
      <c r="AI32">
        <v>15156.678540000001</v>
      </c>
      <c r="AJ32">
        <v>54702.172129999999</v>
      </c>
    </row>
    <row r="33" spans="1:36" x14ac:dyDescent="0.2">
      <c r="A33" t="s">
        <v>521</v>
      </c>
      <c r="B33" s="1" t="s">
        <v>700</v>
      </c>
      <c r="C33" t="s">
        <v>135</v>
      </c>
      <c r="D33" t="s">
        <v>453</v>
      </c>
      <c r="E33" t="s">
        <v>461</v>
      </c>
      <c r="F33" t="s">
        <v>462</v>
      </c>
      <c r="G33" s="2">
        <v>23573</v>
      </c>
      <c r="H33" s="2">
        <v>43560</v>
      </c>
      <c r="I33" s="2" t="str">
        <f t="shared" si="1"/>
        <v>TRUE</v>
      </c>
      <c r="J33" s="12" t="s">
        <v>135</v>
      </c>
      <c r="K33">
        <f t="shared" si="3"/>
        <v>54</v>
      </c>
      <c r="L33">
        <v>3</v>
      </c>
      <c r="M33" t="s">
        <v>451</v>
      </c>
      <c r="N33">
        <v>35</v>
      </c>
      <c r="O33">
        <v>0</v>
      </c>
      <c r="P33" s="12">
        <v>0</v>
      </c>
      <c r="Q33" s="12">
        <v>2</v>
      </c>
      <c r="R33" s="13">
        <v>1</v>
      </c>
      <c r="S33" s="13">
        <v>0</v>
      </c>
      <c r="T33" t="str">
        <f t="shared" si="2"/>
        <v>TRUE</v>
      </c>
      <c r="U33" t="s">
        <v>135</v>
      </c>
      <c r="V33">
        <v>185906.85459999999</v>
      </c>
      <c r="W33">
        <v>226844.94399999999</v>
      </c>
      <c r="X33">
        <v>374812.04710000003</v>
      </c>
      <c r="Y33">
        <v>195392.96109999999</v>
      </c>
      <c r="Z33">
        <v>393398.93359999999</v>
      </c>
      <c r="AA33">
        <v>11188.0159</v>
      </c>
      <c r="AB33">
        <v>2807.75522</v>
      </c>
      <c r="AC33">
        <v>18637.833170000002</v>
      </c>
      <c r="AD33">
        <v>40087.453410000002</v>
      </c>
      <c r="AE33">
        <v>56400.240859999998</v>
      </c>
      <c r="AF33">
        <v>1111.2499909999999</v>
      </c>
      <c r="AG33">
        <v>807741.83719999995</v>
      </c>
      <c r="AH33">
        <v>48871.546820000003</v>
      </c>
      <c r="AI33">
        <v>9282.2599790000004</v>
      </c>
      <c r="AJ33">
        <v>165722.34520000001</v>
      </c>
    </row>
    <row r="34" spans="1:36" x14ac:dyDescent="0.2">
      <c r="A34" t="s">
        <v>522</v>
      </c>
      <c r="B34" t="s">
        <v>705</v>
      </c>
      <c r="C34" t="s">
        <v>166</v>
      </c>
      <c r="D34" t="s">
        <v>453</v>
      </c>
      <c r="E34" t="s">
        <v>454</v>
      </c>
      <c r="F34" t="s">
        <v>462</v>
      </c>
      <c r="G34" s="2">
        <v>36196</v>
      </c>
      <c r="H34" s="2">
        <v>43560</v>
      </c>
      <c r="I34" s="2" t="str">
        <f t="shared" si="1"/>
        <v>TRUE</v>
      </c>
      <c r="J34" s="12" t="s">
        <v>166</v>
      </c>
      <c r="K34">
        <f t="shared" si="3"/>
        <v>20</v>
      </c>
      <c r="L34">
        <v>3</v>
      </c>
      <c r="M34" t="s">
        <v>451</v>
      </c>
      <c r="N34">
        <v>68</v>
      </c>
      <c r="O34">
        <v>1</v>
      </c>
      <c r="P34" s="12">
        <v>1</v>
      </c>
      <c r="Q34" s="12">
        <v>2</v>
      </c>
      <c r="R34" s="13">
        <v>1</v>
      </c>
      <c r="S34" s="13">
        <v>0</v>
      </c>
      <c r="T34" t="str">
        <f t="shared" si="2"/>
        <v>TRUE</v>
      </c>
      <c r="U34" t="s">
        <v>166</v>
      </c>
      <c r="V34">
        <v>264704.85499999998</v>
      </c>
      <c r="W34">
        <v>137045.6943</v>
      </c>
      <c r="X34">
        <v>3329048.6740000001</v>
      </c>
      <c r="Y34">
        <v>399165.02899999998</v>
      </c>
      <c r="Z34">
        <v>33434.167130000002</v>
      </c>
      <c r="AA34">
        <v>17919.99987</v>
      </c>
      <c r="AB34">
        <v>2889.2370089999999</v>
      </c>
      <c r="AC34">
        <v>12736.639789999999</v>
      </c>
      <c r="AD34">
        <v>235023.53820000001</v>
      </c>
      <c r="AE34">
        <v>66458.751260000005</v>
      </c>
      <c r="AF34">
        <v>2408.561878</v>
      </c>
      <c r="AG34">
        <v>55097.711470000002</v>
      </c>
      <c r="AH34">
        <v>77888.037729999996</v>
      </c>
      <c r="AI34">
        <v>63765.071810000001</v>
      </c>
      <c r="AJ34">
        <v>2897722.574</v>
      </c>
    </row>
    <row r="35" spans="1:36" x14ac:dyDescent="0.2">
      <c r="A35" t="s">
        <v>523</v>
      </c>
      <c r="B35" s="1" t="s">
        <v>708</v>
      </c>
      <c r="C35" t="s">
        <v>340</v>
      </c>
      <c r="D35" t="s">
        <v>453</v>
      </c>
      <c r="E35" t="s">
        <v>454</v>
      </c>
      <c r="F35" t="s">
        <v>455</v>
      </c>
      <c r="G35" s="2">
        <v>34403</v>
      </c>
      <c r="H35" s="2">
        <v>43546</v>
      </c>
      <c r="I35" s="2" t="str">
        <f t="shared" si="1"/>
        <v>TRUE</v>
      </c>
      <c r="J35" s="12" t="s">
        <v>340</v>
      </c>
      <c r="K35">
        <f t="shared" si="3"/>
        <v>25</v>
      </c>
      <c r="L35">
        <v>2</v>
      </c>
      <c r="M35" t="s">
        <v>456</v>
      </c>
      <c r="N35">
        <v>2155</v>
      </c>
      <c r="O35">
        <v>15</v>
      </c>
      <c r="P35" s="12">
        <v>0</v>
      </c>
      <c r="Q35" s="12">
        <v>1</v>
      </c>
      <c r="R35" s="13">
        <v>0</v>
      </c>
      <c r="S35" s="13">
        <v>1</v>
      </c>
      <c r="T35" t="str">
        <f t="shared" si="2"/>
        <v>TRUE</v>
      </c>
      <c r="U35" t="s">
        <v>340</v>
      </c>
      <c r="V35">
        <v>304934.09759999998</v>
      </c>
      <c r="W35">
        <v>55471.286749999999</v>
      </c>
      <c r="X35">
        <v>806320.03960000002</v>
      </c>
      <c r="Y35">
        <v>1293733.3119999999</v>
      </c>
      <c r="Z35">
        <v>101010.1038</v>
      </c>
      <c r="AA35">
        <v>11589.64948</v>
      </c>
      <c r="AB35">
        <v>2117.0936099999999</v>
      </c>
      <c r="AC35">
        <v>79445.858739999996</v>
      </c>
      <c r="AD35">
        <v>114290.2645</v>
      </c>
      <c r="AE35">
        <v>146805.10149999999</v>
      </c>
      <c r="AF35">
        <v>25291.826000000001</v>
      </c>
      <c r="AG35">
        <v>38534.792159999997</v>
      </c>
      <c r="AH35">
        <v>84496.280039999998</v>
      </c>
      <c r="AI35">
        <v>145272.1501</v>
      </c>
      <c r="AJ35">
        <v>656047.33239999996</v>
      </c>
    </row>
    <row r="36" spans="1:36" x14ac:dyDescent="0.2">
      <c r="A36" t="s">
        <v>524</v>
      </c>
      <c r="B36" s="1" t="s">
        <v>711</v>
      </c>
      <c r="C36" t="s">
        <v>202</v>
      </c>
      <c r="D36" t="s">
        <v>453</v>
      </c>
      <c r="E36" t="s">
        <v>454</v>
      </c>
      <c r="F36" t="s">
        <v>462</v>
      </c>
      <c r="G36" s="2">
        <v>31823</v>
      </c>
      <c r="H36" s="2">
        <v>43579</v>
      </c>
      <c r="I36" s="2" t="str">
        <f t="shared" si="1"/>
        <v>TRUE</v>
      </c>
      <c r="J36" s="12" t="s">
        <v>202</v>
      </c>
      <c r="K36">
        <f t="shared" si="3"/>
        <v>32</v>
      </c>
      <c r="L36">
        <v>2</v>
      </c>
      <c r="M36" t="s">
        <v>456</v>
      </c>
      <c r="N36">
        <v>15</v>
      </c>
      <c r="O36">
        <v>0</v>
      </c>
      <c r="P36" s="12">
        <v>0</v>
      </c>
      <c r="Q36" s="12">
        <v>1</v>
      </c>
      <c r="R36" s="13">
        <v>1</v>
      </c>
      <c r="S36" s="13">
        <v>0</v>
      </c>
      <c r="T36" t="str">
        <f t="shared" si="2"/>
        <v>TRUE</v>
      </c>
      <c r="U36" t="s">
        <v>202</v>
      </c>
      <c r="V36">
        <v>176542.02970000001</v>
      </c>
      <c r="W36">
        <v>177805.8915</v>
      </c>
      <c r="X36">
        <v>3400364.6970000002</v>
      </c>
      <c r="Y36">
        <v>211419.55799999999</v>
      </c>
      <c r="Z36">
        <v>207114.14850000001</v>
      </c>
      <c r="AA36">
        <v>28231.134419999998</v>
      </c>
      <c r="AB36">
        <v>2172.6756970000001</v>
      </c>
      <c r="AC36">
        <v>21888.01917</v>
      </c>
      <c r="AD36">
        <v>93122.705539999995</v>
      </c>
      <c r="AE36">
        <v>61998.816359999997</v>
      </c>
      <c r="AF36">
        <v>368721.7733</v>
      </c>
      <c r="AG36">
        <v>72634.785870000007</v>
      </c>
      <c r="AH36">
        <v>46220.325100000002</v>
      </c>
      <c r="AI36">
        <v>155820.32569999999</v>
      </c>
      <c r="AJ36">
        <v>2373180.855</v>
      </c>
    </row>
    <row r="37" spans="1:36" x14ac:dyDescent="0.2">
      <c r="A37" t="s">
        <v>526</v>
      </c>
      <c r="B37" s="1" t="s">
        <v>709</v>
      </c>
      <c r="C37" t="s">
        <v>397</v>
      </c>
      <c r="D37" t="s">
        <v>453</v>
      </c>
      <c r="E37" t="s">
        <v>461</v>
      </c>
      <c r="F37" t="s">
        <v>455</v>
      </c>
      <c r="G37" s="2">
        <v>29943</v>
      </c>
      <c r="H37" s="2">
        <v>43567</v>
      </c>
      <c r="I37" s="2" t="str">
        <f t="shared" si="1"/>
        <v>TRUE</v>
      </c>
      <c r="J37" s="12" t="s">
        <v>397</v>
      </c>
      <c r="K37">
        <f t="shared" si="3"/>
        <v>37</v>
      </c>
      <c r="L37">
        <v>2</v>
      </c>
      <c r="M37" t="s">
        <v>451</v>
      </c>
      <c r="N37">
        <v>31</v>
      </c>
      <c r="O37">
        <v>0</v>
      </c>
      <c r="P37">
        <v>0</v>
      </c>
      <c r="Q37">
        <v>3</v>
      </c>
      <c r="R37" s="8">
        <v>1</v>
      </c>
      <c r="S37" s="8">
        <v>0</v>
      </c>
      <c r="T37" t="str">
        <f t="shared" si="2"/>
        <v>TRUE</v>
      </c>
      <c r="U37" t="s">
        <v>397</v>
      </c>
      <c r="V37">
        <v>123500.6781</v>
      </c>
      <c r="W37">
        <v>868722.89670000004</v>
      </c>
      <c r="X37">
        <v>2034678.118</v>
      </c>
      <c r="Y37">
        <v>103030.4834</v>
      </c>
      <c r="Z37">
        <v>123475.5719</v>
      </c>
      <c r="AA37">
        <v>14684.431339999999</v>
      </c>
      <c r="AB37">
        <v>2767.2074269999998</v>
      </c>
      <c r="AC37">
        <v>26628.270639999999</v>
      </c>
      <c r="AD37">
        <v>62119.05861</v>
      </c>
      <c r="AE37">
        <v>106049.01300000001</v>
      </c>
      <c r="AF37">
        <v>2204.847784</v>
      </c>
      <c r="AG37">
        <v>6466893.9060000004</v>
      </c>
      <c r="AH37">
        <v>230109.26819999999</v>
      </c>
      <c r="AI37">
        <v>6411.2718189999996</v>
      </c>
      <c r="AJ37">
        <v>1158859.5379999999</v>
      </c>
    </row>
    <row r="38" spans="1:36" x14ac:dyDescent="0.2">
      <c r="A38" t="s">
        <v>527</v>
      </c>
      <c r="B38" t="s">
        <v>707</v>
      </c>
      <c r="C38" t="s">
        <v>281</v>
      </c>
      <c r="D38" t="s">
        <v>453</v>
      </c>
      <c r="E38" t="s">
        <v>454</v>
      </c>
      <c r="F38" t="s">
        <v>462</v>
      </c>
      <c r="G38" s="2">
        <v>25311</v>
      </c>
      <c r="H38" s="2">
        <v>43581</v>
      </c>
      <c r="I38" s="2" t="str">
        <f t="shared" si="1"/>
        <v>TRUE</v>
      </c>
      <c r="J38" s="12" t="s">
        <v>281</v>
      </c>
      <c r="K38">
        <f t="shared" si="3"/>
        <v>50</v>
      </c>
      <c r="L38">
        <v>2</v>
      </c>
      <c r="M38" t="s">
        <v>451</v>
      </c>
      <c r="N38">
        <v>67</v>
      </c>
      <c r="O38">
        <v>2</v>
      </c>
      <c r="P38" s="12">
        <v>1</v>
      </c>
      <c r="Q38" s="12">
        <v>3</v>
      </c>
      <c r="R38" s="13">
        <v>1</v>
      </c>
      <c r="S38" s="13">
        <v>0</v>
      </c>
      <c r="T38" t="str">
        <f t="shared" si="2"/>
        <v>TRUE</v>
      </c>
      <c r="U38" t="s">
        <v>281</v>
      </c>
      <c r="V38">
        <v>209727.87770000001</v>
      </c>
      <c r="W38">
        <v>134817.81479999999</v>
      </c>
      <c r="X38">
        <v>1836441.2209999999</v>
      </c>
      <c r="Y38">
        <v>79040.305800000002</v>
      </c>
      <c r="Z38">
        <v>76254.209669999997</v>
      </c>
      <c r="AA38">
        <v>18586.86274</v>
      </c>
      <c r="AB38">
        <v>48128.274689999998</v>
      </c>
      <c r="AC38">
        <v>16332.43658</v>
      </c>
      <c r="AD38">
        <v>37663.03398</v>
      </c>
      <c r="AE38">
        <v>44862.788339999999</v>
      </c>
      <c r="AF38">
        <v>4401.167598</v>
      </c>
      <c r="AG38">
        <v>192045.76689999999</v>
      </c>
      <c r="AH38">
        <v>127603.93829999999</v>
      </c>
      <c r="AI38">
        <v>106041.308</v>
      </c>
      <c r="AJ38">
        <v>1934402.956</v>
      </c>
    </row>
    <row r="39" spans="1:36" x14ac:dyDescent="0.2">
      <c r="A39" t="s">
        <v>528</v>
      </c>
      <c r="B39" t="s">
        <v>704</v>
      </c>
      <c r="C39" t="s">
        <v>220</v>
      </c>
      <c r="D39" t="s">
        <v>453</v>
      </c>
      <c r="E39" t="s">
        <v>454</v>
      </c>
      <c r="F39" t="s">
        <v>462</v>
      </c>
      <c r="G39" s="2">
        <v>17139</v>
      </c>
      <c r="H39" s="2">
        <v>43609</v>
      </c>
      <c r="I39" s="2" t="str">
        <f t="shared" si="1"/>
        <v>TRUE</v>
      </c>
      <c r="J39" s="12" t="s">
        <v>220</v>
      </c>
      <c r="K39">
        <f t="shared" si="3"/>
        <v>72</v>
      </c>
      <c r="L39">
        <v>3</v>
      </c>
      <c r="M39" t="s">
        <v>451</v>
      </c>
      <c r="N39">
        <v>15</v>
      </c>
      <c r="O39">
        <v>2</v>
      </c>
      <c r="P39">
        <v>0</v>
      </c>
      <c r="Q39">
        <v>1</v>
      </c>
      <c r="R39" s="13">
        <v>1</v>
      </c>
      <c r="S39" s="13">
        <v>0</v>
      </c>
      <c r="T39" t="str">
        <f t="shared" si="2"/>
        <v>TRUE</v>
      </c>
      <c r="U39" t="s">
        <v>220</v>
      </c>
      <c r="V39">
        <v>47974.631379999999</v>
      </c>
      <c r="W39">
        <v>55280.869200000001</v>
      </c>
      <c r="X39">
        <v>330470.81430000003</v>
      </c>
      <c r="Y39">
        <v>55250.245210000001</v>
      </c>
      <c r="Z39">
        <v>209019.75109999999</v>
      </c>
      <c r="AA39">
        <v>74055.547959999996</v>
      </c>
      <c r="AB39">
        <v>2453.349788</v>
      </c>
      <c r="AC39">
        <v>23720.287629999999</v>
      </c>
      <c r="AD39">
        <v>46067.274709999998</v>
      </c>
      <c r="AE39">
        <v>86170.418900000004</v>
      </c>
      <c r="AF39">
        <v>1185.3497950000001</v>
      </c>
      <c r="AG39">
        <v>989808.70629999996</v>
      </c>
      <c r="AH39">
        <v>149301.5491</v>
      </c>
      <c r="AI39">
        <v>5729.8273989999998</v>
      </c>
      <c r="AJ39">
        <v>74536.672690000007</v>
      </c>
    </row>
    <row r="40" spans="1:36" x14ac:dyDescent="0.2">
      <c r="A40" t="s">
        <v>529</v>
      </c>
      <c r="B40" s="1" t="s">
        <v>708</v>
      </c>
      <c r="C40" t="s">
        <v>344</v>
      </c>
      <c r="D40" t="s">
        <v>453</v>
      </c>
      <c r="E40" t="s">
        <v>454</v>
      </c>
      <c r="F40" t="s">
        <v>455</v>
      </c>
      <c r="G40" s="2">
        <v>34403</v>
      </c>
      <c r="H40" s="2">
        <v>43627</v>
      </c>
      <c r="I40" s="2" t="str">
        <f t="shared" si="1"/>
        <v>TRUE</v>
      </c>
      <c r="J40" s="12" t="s">
        <v>344</v>
      </c>
      <c r="K40">
        <f t="shared" si="3"/>
        <v>25</v>
      </c>
      <c r="L40">
        <v>3</v>
      </c>
      <c r="M40" t="s">
        <v>456</v>
      </c>
      <c r="N40">
        <v>667</v>
      </c>
      <c r="O40">
        <v>6</v>
      </c>
      <c r="P40" s="12">
        <v>0</v>
      </c>
      <c r="Q40" s="12">
        <v>1</v>
      </c>
      <c r="R40" s="13">
        <v>0</v>
      </c>
      <c r="S40" s="13">
        <v>1</v>
      </c>
      <c r="T40" t="str">
        <f t="shared" si="2"/>
        <v>TRUE</v>
      </c>
      <c r="U40" t="s">
        <v>344</v>
      </c>
      <c r="V40">
        <v>295056.75300000003</v>
      </c>
      <c r="W40">
        <v>14798.830089999999</v>
      </c>
      <c r="X40">
        <v>378540.4155</v>
      </c>
      <c r="Y40">
        <v>517942.24239999999</v>
      </c>
      <c r="Z40">
        <v>129441.4749</v>
      </c>
      <c r="AA40">
        <v>12313.303089999999</v>
      </c>
      <c r="AB40">
        <v>1711.544639</v>
      </c>
      <c r="AC40">
        <v>53235.927179999999</v>
      </c>
      <c r="AD40">
        <v>26672.279159999998</v>
      </c>
      <c r="AE40">
        <v>118956.1275</v>
      </c>
      <c r="AF40">
        <v>2337.4223029999998</v>
      </c>
      <c r="AG40">
        <v>106882.91220000001</v>
      </c>
      <c r="AH40">
        <v>20749.629110000002</v>
      </c>
      <c r="AI40">
        <v>72442.759829999995</v>
      </c>
      <c r="AJ40">
        <v>205248.80929999999</v>
      </c>
    </row>
    <row r="41" spans="1:36" x14ac:dyDescent="0.2">
      <c r="A41" t="s">
        <v>533</v>
      </c>
      <c r="B41" t="s">
        <v>707</v>
      </c>
      <c r="C41" t="s">
        <v>283</v>
      </c>
      <c r="D41" t="s">
        <v>453</v>
      </c>
      <c r="E41" t="s">
        <v>454</v>
      </c>
      <c r="F41" t="s">
        <v>462</v>
      </c>
      <c r="G41" s="2">
        <v>25311</v>
      </c>
      <c r="H41" s="2">
        <v>43672</v>
      </c>
      <c r="I41" s="2" t="str">
        <f t="shared" si="1"/>
        <v>TRUE</v>
      </c>
      <c r="J41" s="12" t="s">
        <v>283</v>
      </c>
      <c r="K41">
        <f t="shared" si="3"/>
        <v>50</v>
      </c>
      <c r="L41">
        <v>3</v>
      </c>
      <c r="M41" t="s">
        <v>451</v>
      </c>
      <c r="N41">
        <v>786</v>
      </c>
      <c r="O41">
        <v>3</v>
      </c>
      <c r="P41" s="12">
        <v>1</v>
      </c>
      <c r="Q41" s="12">
        <v>3</v>
      </c>
      <c r="R41" s="13">
        <v>1</v>
      </c>
      <c r="S41" s="13">
        <v>0</v>
      </c>
      <c r="T41" t="str">
        <f t="shared" si="2"/>
        <v>TRUE</v>
      </c>
      <c r="U41" t="s">
        <v>283</v>
      </c>
      <c r="V41">
        <v>229335.73</v>
      </c>
      <c r="W41">
        <v>106737.9145</v>
      </c>
      <c r="X41">
        <v>733062.10519999999</v>
      </c>
      <c r="Y41">
        <v>47769.409059999998</v>
      </c>
      <c r="Z41">
        <v>269199.72960000002</v>
      </c>
      <c r="AA41">
        <v>15384.31179</v>
      </c>
      <c r="AB41">
        <v>56263.774299999997</v>
      </c>
      <c r="AC41">
        <v>68880.692970000004</v>
      </c>
      <c r="AD41">
        <v>124852.3437</v>
      </c>
      <c r="AE41">
        <v>176123.98019999999</v>
      </c>
      <c r="AF41">
        <v>101475.0592</v>
      </c>
      <c r="AG41">
        <v>395612.64880000002</v>
      </c>
      <c r="AH41">
        <v>202096.06280000001</v>
      </c>
      <c r="AI41">
        <v>82142.114950000003</v>
      </c>
      <c r="AJ41">
        <v>784590.85030000005</v>
      </c>
    </row>
    <row r="42" spans="1:36" x14ac:dyDescent="0.2">
      <c r="A42" t="s">
        <v>536</v>
      </c>
      <c r="B42" t="s">
        <v>697</v>
      </c>
      <c r="C42" t="s">
        <v>174</v>
      </c>
      <c r="D42" t="s">
        <v>453</v>
      </c>
      <c r="E42" t="s">
        <v>454</v>
      </c>
      <c r="F42" t="s">
        <v>462</v>
      </c>
      <c r="G42" s="2">
        <v>29445</v>
      </c>
      <c r="H42" s="2">
        <v>43679</v>
      </c>
      <c r="I42" s="2" t="str">
        <f t="shared" si="1"/>
        <v>TRUE</v>
      </c>
      <c r="J42" s="12" t="s">
        <v>174</v>
      </c>
      <c r="K42">
        <f t="shared" si="3"/>
        <v>38</v>
      </c>
      <c r="L42">
        <v>3</v>
      </c>
      <c r="M42" t="s">
        <v>451</v>
      </c>
      <c r="N42">
        <v>155</v>
      </c>
      <c r="O42">
        <v>1</v>
      </c>
      <c r="P42" s="12">
        <v>1</v>
      </c>
      <c r="Q42" s="12">
        <v>2</v>
      </c>
      <c r="R42" s="13">
        <v>0</v>
      </c>
      <c r="S42" s="13">
        <v>0</v>
      </c>
      <c r="T42" t="str">
        <f t="shared" si="2"/>
        <v>TRUE</v>
      </c>
      <c r="U42" t="s">
        <v>174</v>
      </c>
      <c r="V42">
        <v>1223697.8870000001</v>
      </c>
      <c r="W42">
        <v>296965.92119999998</v>
      </c>
      <c r="X42">
        <v>1897955.398</v>
      </c>
      <c r="Y42">
        <v>209353.94589999999</v>
      </c>
      <c r="Z42">
        <v>236734.36300000001</v>
      </c>
      <c r="AA42">
        <v>26460.039929999999</v>
      </c>
      <c r="AB42">
        <v>4239.8058469999996</v>
      </c>
      <c r="AC42">
        <v>105458.12450000001</v>
      </c>
      <c r="AD42">
        <v>531568.58530000004</v>
      </c>
      <c r="AE42">
        <v>225085.11840000001</v>
      </c>
      <c r="AF42">
        <v>8135.8956500000004</v>
      </c>
      <c r="AG42">
        <v>4851746.1660000002</v>
      </c>
      <c r="AH42">
        <v>89140.948480000006</v>
      </c>
      <c r="AI42">
        <v>26007.86045</v>
      </c>
      <c r="AJ42">
        <v>663112.74089999998</v>
      </c>
    </row>
    <row r="43" spans="1:36" x14ac:dyDescent="0.2">
      <c r="A43" t="s">
        <v>538</v>
      </c>
      <c r="B43" t="s">
        <v>703</v>
      </c>
      <c r="C43" t="s">
        <v>154</v>
      </c>
      <c r="D43" t="s">
        <v>453</v>
      </c>
      <c r="E43" t="s">
        <v>476</v>
      </c>
      <c r="F43" t="s">
        <v>462</v>
      </c>
      <c r="G43" s="2">
        <v>25575</v>
      </c>
      <c r="H43" s="2">
        <v>43700</v>
      </c>
      <c r="I43" s="2" t="str">
        <f t="shared" si="1"/>
        <v>TRUE</v>
      </c>
      <c r="J43" s="12" t="s">
        <v>154</v>
      </c>
      <c r="K43">
        <f t="shared" si="3"/>
        <v>49</v>
      </c>
      <c r="L43">
        <v>3</v>
      </c>
      <c r="M43" t="s">
        <v>451</v>
      </c>
      <c r="N43">
        <v>15</v>
      </c>
      <c r="O43">
        <v>2</v>
      </c>
      <c r="P43" s="12">
        <v>0</v>
      </c>
      <c r="Q43" s="12">
        <v>3</v>
      </c>
      <c r="R43" s="13">
        <v>1</v>
      </c>
      <c r="S43" s="13">
        <v>0</v>
      </c>
      <c r="T43" t="str">
        <f t="shared" si="2"/>
        <v>TRUE</v>
      </c>
      <c r="U43" t="s">
        <v>154</v>
      </c>
      <c r="V43">
        <v>77683.554659999994</v>
      </c>
      <c r="W43">
        <v>133039.3229</v>
      </c>
      <c r="X43">
        <v>2558367.0499999998</v>
      </c>
      <c r="Y43">
        <v>221335.7757</v>
      </c>
      <c r="Z43">
        <v>200584.53940000001</v>
      </c>
      <c r="AA43">
        <v>14824.84036</v>
      </c>
      <c r="AB43">
        <v>138215.07060000001</v>
      </c>
      <c r="AC43">
        <v>15415.49757</v>
      </c>
      <c r="AD43">
        <v>30369.677230000001</v>
      </c>
      <c r="AE43">
        <v>26123.059300000001</v>
      </c>
      <c r="AF43">
        <v>2209.613022</v>
      </c>
      <c r="AG43">
        <v>618199.50340000005</v>
      </c>
      <c r="AH43">
        <v>45326.291319999997</v>
      </c>
      <c r="AI43">
        <v>33302.400699999998</v>
      </c>
      <c r="AJ43">
        <v>1177658.547</v>
      </c>
    </row>
    <row r="44" spans="1:36" x14ac:dyDescent="0.2">
      <c r="A44" t="s">
        <v>539</v>
      </c>
      <c r="B44" s="1" t="s">
        <v>711</v>
      </c>
      <c r="C44" t="s">
        <v>206</v>
      </c>
      <c r="D44" t="s">
        <v>453</v>
      </c>
      <c r="E44" t="s">
        <v>454</v>
      </c>
      <c r="F44" t="s">
        <v>462</v>
      </c>
      <c r="G44" s="2">
        <v>31823</v>
      </c>
      <c r="H44" s="2">
        <v>43726</v>
      </c>
      <c r="I44" s="2" t="str">
        <f t="shared" si="1"/>
        <v>TRUE</v>
      </c>
      <c r="J44" s="12" t="s">
        <v>206</v>
      </c>
      <c r="K44">
        <f t="shared" si="3"/>
        <v>32</v>
      </c>
      <c r="L44">
        <v>3</v>
      </c>
      <c r="M44" t="s">
        <v>456</v>
      </c>
      <c r="N44">
        <v>15</v>
      </c>
      <c r="O44">
        <v>0</v>
      </c>
      <c r="P44" s="12">
        <v>0</v>
      </c>
      <c r="Q44" s="12">
        <v>2</v>
      </c>
      <c r="R44" s="13">
        <v>1</v>
      </c>
      <c r="S44" s="13">
        <v>0</v>
      </c>
      <c r="T44" t="str">
        <f t="shared" si="2"/>
        <v>TRUE</v>
      </c>
      <c r="U44" t="s">
        <v>206</v>
      </c>
      <c r="V44">
        <v>191665.84469999999</v>
      </c>
      <c r="W44">
        <v>333709.52039999998</v>
      </c>
      <c r="X44">
        <v>1689455.4539999999</v>
      </c>
      <c r="Y44">
        <v>94807.863209999996</v>
      </c>
      <c r="Z44">
        <v>170184.2506</v>
      </c>
      <c r="AA44">
        <v>21057.00691</v>
      </c>
      <c r="AB44">
        <v>2451.2585220000001</v>
      </c>
      <c r="AC44">
        <v>35364.903619999997</v>
      </c>
      <c r="AD44">
        <v>57430.784030000003</v>
      </c>
      <c r="AE44">
        <v>83410.209480000005</v>
      </c>
      <c r="AF44">
        <v>4557.3293629999998</v>
      </c>
      <c r="AG44">
        <v>385767.23599999998</v>
      </c>
      <c r="AH44">
        <v>17099.616399999999</v>
      </c>
      <c r="AI44">
        <v>34870.382080000003</v>
      </c>
      <c r="AJ44">
        <v>1656108.081</v>
      </c>
    </row>
    <row r="45" spans="1:36" x14ac:dyDescent="0.2">
      <c r="A45" t="s">
        <v>541</v>
      </c>
      <c r="B45" t="s">
        <v>699</v>
      </c>
      <c r="C45" t="s">
        <v>414</v>
      </c>
      <c r="D45" t="s">
        <v>453</v>
      </c>
      <c r="E45" t="s">
        <v>454</v>
      </c>
      <c r="F45" t="s">
        <v>462</v>
      </c>
      <c r="G45" s="2">
        <v>35211</v>
      </c>
      <c r="H45" s="2">
        <v>43728</v>
      </c>
      <c r="I45" s="2" t="str">
        <f t="shared" si="1"/>
        <v>TRUE</v>
      </c>
      <c r="J45" s="12" t="s">
        <v>414</v>
      </c>
      <c r="K45">
        <f t="shared" si="3"/>
        <v>23</v>
      </c>
      <c r="L45">
        <v>2</v>
      </c>
      <c r="M45" t="s">
        <v>451</v>
      </c>
      <c r="N45">
        <v>64</v>
      </c>
      <c r="O45">
        <v>2</v>
      </c>
      <c r="P45" s="12">
        <v>0</v>
      </c>
      <c r="Q45" s="12">
        <v>2</v>
      </c>
      <c r="R45" s="13">
        <v>1</v>
      </c>
      <c r="S45" s="13">
        <v>0</v>
      </c>
      <c r="T45" t="str">
        <f t="shared" si="2"/>
        <v>TRUE</v>
      </c>
      <c r="U45" t="s">
        <v>414</v>
      </c>
      <c r="V45">
        <v>88100.243109999996</v>
      </c>
      <c r="W45">
        <v>230955.6654</v>
      </c>
      <c r="X45">
        <v>3418064.8590000002</v>
      </c>
      <c r="Y45">
        <v>141802.51550000001</v>
      </c>
      <c r="Z45">
        <v>135313.17139999999</v>
      </c>
      <c r="AA45">
        <v>38280.43823</v>
      </c>
      <c r="AB45">
        <v>22320.624609999999</v>
      </c>
      <c r="AC45">
        <v>62860.556729999997</v>
      </c>
      <c r="AD45">
        <v>55101.609940000002</v>
      </c>
      <c r="AE45">
        <v>139635.8738</v>
      </c>
      <c r="AF45">
        <v>43132.287170000003</v>
      </c>
      <c r="AG45">
        <v>311475.06780000002</v>
      </c>
      <c r="AH45">
        <v>96830.243210000001</v>
      </c>
      <c r="AI45">
        <v>93393.472269999998</v>
      </c>
      <c r="AJ45">
        <v>4263916.2029999997</v>
      </c>
    </row>
    <row r="46" spans="1:36" x14ac:dyDescent="0.2">
      <c r="A46" t="s">
        <v>664</v>
      </c>
      <c r="B46" t="s">
        <v>705</v>
      </c>
      <c r="C46" t="s">
        <v>162</v>
      </c>
      <c r="D46" t="s">
        <v>453</v>
      </c>
      <c r="E46" t="s">
        <v>454</v>
      </c>
      <c r="F46" t="s">
        <v>462</v>
      </c>
      <c r="G46" s="2">
        <v>36196</v>
      </c>
      <c r="H46" s="2">
        <v>43748</v>
      </c>
      <c r="I46" s="2" t="str">
        <f t="shared" si="1"/>
        <v>TRUE</v>
      </c>
      <c r="J46" s="12" t="s">
        <v>162</v>
      </c>
      <c r="K46">
        <f t="shared" si="3"/>
        <v>20</v>
      </c>
      <c r="L46">
        <v>3</v>
      </c>
      <c r="M46" t="s">
        <v>451</v>
      </c>
      <c r="N46">
        <v>60</v>
      </c>
      <c r="O46">
        <v>1</v>
      </c>
      <c r="P46" s="12">
        <v>1</v>
      </c>
      <c r="Q46" s="12">
        <v>2</v>
      </c>
      <c r="R46" s="13">
        <v>1</v>
      </c>
      <c r="S46" s="13">
        <v>0</v>
      </c>
      <c r="T46" t="str">
        <f t="shared" si="2"/>
        <v>TRUE</v>
      </c>
      <c r="U46" t="s">
        <v>162</v>
      </c>
      <c r="V46">
        <v>253714.9039</v>
      </c>
      <c r="W46">
        <v>68093.648289999997</v>
      </c>
      <c r="X46">
        <v>1694920.46</v>
      </c>
      <c r="Y46">
        <v>286378.85800000001</v>
      </c>
      <c r="Z46">
        <v>126684.97659999999</v>
      </c>
      <c r="AA46">
        <v>12983.650680000001</v>
      </c>
      <c r="AB46">
        <v>3535.3833169999998</v>
      </c>
      <c r="AC46">
        <v>36745.043669999999</v>
      </c>
      <c r="AD46">
        <v>200735.58489999999</v>
      </c>
      <c r="AE46">
        <v>344133.70699999999</v>
      </c>
      <c r="AF46">
        <v>16687.375110000001</v>
      </c>
      <c r="AG46">
        <v>98422.953880000001</v>
      </c>
      <c r="AH46">
        <v>71749.089200000002</v>
      </c>
      <c r="AI46">
        <v>72132.751439999993</v>
      </c>
      <c r="AJ46">
        <v>1517635.1529999999</v>
      </c>
    </row>
    <row r="47" spans="1:36" x14ac:dyDescent="0.2">
      <c r="A47" t="s">
        <v>544</v>
      </c>
      <c r="B47" t="s">
        <v>700</v>
      </c>
      <c r="C47" t="s">
        <v>141</v>
      </c>
      <c r="D47" t="s">
        <v>453</v>
      </c>
      <c r="E47" t="s">
        <v>461</v>
      </c>
      <c r="F47" t="s">
        <v>462</v>
      </c>
      <c r="G47" s="2">
        <v>23573</v>
      </c>
      <c r="H47" s="2">
        <v>43742</v>
      </c>
      <c r="I47" s="2" t="str">
        <f t="shared" si="1"/>
        <v>TRUE</v>
      </c>
      <c r="J47" s="12" t="s">
        <v>141</v>
      </c>
      <c r="K47">
        <f t="shared" si="3"/>
        <v>55</v>
      </c>
      <c r="L47">
        <v>4</v>
      </c>
      <c r="M47" t="s">
        <v>451</v>
      </c>
      <c r="N47">
        <v>4476</v>
      </c>
      <c r="O47">
        <v>1</v>
      </c>
      <c r="P47" s="12">
        <v>0</v>
      </c>
      <c r="Q47" s="12">
        <v>2</v>
      </c>
      <c r="R47" s="13">
        <v>1</v>
      </c>
      <c r="S47" s="13">
        <v>0</v>
      </c>
      <c r="T47" t="str">
        <f t="shared" si="2"/>
        <v>TRUE</v>
      </c>
      <c r="U47" t="s">
        <v>141</v>
      </c>
      <c r="V47">
        <v>414450.94309999997</v>
      </c>
      <c r="W47">
        <v>100628.03810000001</v>
      </c>
      <c r="X47">
        <v>148892.11139999999</v>
      </c>
      <c r="Y47">
        <v>1012201.65</v>
      </c>
      <c r="Z47">
        <v>495945.8</v>
      </c>
      <c r="AA47">
        <v>20514.34276</v>
      </c>
      <c r="AB47">
        <v>4234.5639920000003</v>
      </c>
      <c r="AC47">
        <v>59190.572</v>
      </c>
      <c r="AD47">
        <v>460261.83250000002</v>
      </c>
      <c r="AE47">
        <v>168857.33979999999</v>
      </c>
      <c r="AF47">
        <v>2339.514533</v>
      </c>
      <c r="AG47">
        <v>586745.32990000001</v>
      </c>
      <c r="AH47">
        <v>267538.81469999999</v>
      </c>
      <c r="AI47">
        <v>114232.41650000001</v>
      </c>
      <c r="AJ47">
        <v>137469.1825</v>
      </c>
    </row>
    <row r="48" spans="1:36" x14ac:dyDescent="0.2">
      <c r="A48" t="s">
        <v>545</v>
      </c>
      <c r="B48" t="s">
        <v>696</v>
      </c>
      <c r="C48" t="s">
        <v>289</v>
      </c>
      <c r="D48" t="s">
        <v>453</v>
      </c>
      <c r="E48" t="s">
        <v>461</v>
      </c>
      <c r="F48" t="s">
        <v>462</v>
      </c>
      <c r="G48" s="2">
        <v>32618</v>
      </c>
      <c r="H48" s="2">
        <v>43843</v>
      </c>
      <c r="I48" s="2" t="str">
        <f t="shared" si="1"/>
        <v>TRUE</v>
      </c>
      <c r="J48" s="12" t="s">
        <v>289</v>
      </c>
      <c r="K48">
        <f t="shared" si="3"/>
        <v>30</v>
      </c>
      <c r="L48">
        <v>3</v>
      </c>
      <c r="M48" t="s">
        <v>451</v>
      </c>
      <c r="N48">
        <v>180</v>
      </c>
      <c r="O48">
        <v>3</v>
      </c>
      <c r="P48">
        <v>0</v>
      </c>
      <c r="Q48">
        <v>2</v>
      </c>
      <c r="R48" s="8">
        <v>1</v>
      </c>
      <c r="S48" s="8">
        <v>0</v>
      </c>
      <c r="T48" t="str">
        <f t="shared" si="2"/>
        <v>TRUE</v>
      </c>
      <c r="U48" t="s">
        <v>289</v>
      </c>
      <c r="V48">
        <v>98176.824619999999</v>
      </c>
      <c r="W48">
        <v>63389.601089999996</v>
      </c>
      <c r="X48">
        <v>1182309.1259999999</v>
      </c>
      <c r="Y48">
        <v>117587.7191</v>
      </c>
      <c r="Z48">
        <v>67978.754499999995</v>
      </c>
      <c r="AA48">
        <v>11368.863729999999</v>
      </c>
      <c r="AB48">
        <v>2317.6514619999998</v>
      </c>
      <c r="AC48">
        <v>22216.586670000001</v>
      </c>
      <c r="AD48">
        <v>115378.7167</v>
      </c>
      <c r="AE48">
        <v>51926.506780000003</v>
      </c>
      <c r="AF48">
        <v>2729.207054</v>
      </c>
      <c r="AG48">
        <v>154216.9191</v>
      </c>
      <c r="AH48">
        <v>92065.089770000006</v>
      </c>
      <c r="AI48">
        <v>67526.161619999999</v>
      </c>
      <c r="AJ48">
        <v>1001538.872</v>
      </c>
    </row>
    <row r="49" spans="1:36" x14ac:dyDescent="0.2">
      <c r="A49" t="s">
        <v>546</v>
      </c>
      <c r="B49" s="1" t="s">
        <v>709</v>
      </c>
      <c r="C49" t="s">
        <v>402</v>
      </c>
      <c r="D49" t="s">
        <v>453</v>
      </c>
      <c r="E49" t="s">
        <v>461</v>
      </c>
      <c r="F49" t="s">
        <v>455</v>
      </c>
      <c r="G49" s="2">
        <v>29943</v>
      </c>
      <c r="H49" s="2">
        <v>43733</v>
      </c>
      <c r="I49" s="2" t="str">
        <f t="shared" si="1"/>
        <v>TRUE</v>
      </c>
      <c r="J49" s="12" t="s">
        <v>402</v>
      </c>
      <c r="K49">
        <f t="shared" si="3"/>
        <v>37</v>
      </c>
      <c r="L49">
        <v>3</v>
      </c>
      <c r="M49" t="s">
        <v>451</v>
      </c>
      <c r="N49">
        <v>11409</v>
      </c>
      <c r="O49">
        <v>10</v>
      </c>
      <c r="P49" s="12">
        <v>0</v>
      </c>
      <c r="Q49" s="12">
        <v>3</v>
      </c>
      <c r="R49" s="13">
        <v>1</v>
      </c>
      <c r="S49" s="13">
        <v>0</v>
      </c>
      <c r="T49" t="str">
        <f t="shared" si="2"/>
        <v>TRUE</v>
      </c>
      <c r="U49" t="s">
        <v>402</v>
      </c>
      <c r="V49">
        <v>185021.33780000001</v>
      </c>
      <c r="W49">
        <v>1746899.5090000001</v>
      </c>
      <c r="X49">
        <v>1599829.0560000001</v>
      </c>
      <c r="Y49">
        <v>160921.20069999999</v>
      </c>
      <c r="Z49">
        <v>46450.225960000003</v>
      </c>
      <c r="AA49">
        <v>21103.563150000002</v>
      </c>
      <c r="AB49">
        <v>2117.8759789999999</v>
      </c>
      <c r="AC49">
        <v>39179.330139999998</v>
      </c>
      <c r="AD49">
        <v>83685.167419999998</v>
      </c>
      <c r="AE49">
        <v>31475.859100000001</v>
      </c>
      <c r="AF49">
        <v>3957.4913449999999</v>
      </c>
      <c r="AG49">
        <v>4412726.7640000004</v>
      </c>
      <c r="AH49">
        <v>146626.13589999999</v>
      </c>
      <c r="AI49">
        <v>254427.30379999999</v>
      </c>
      <c r="AJ49">
        <v>959706.44900000002</v>
      </c>
    </row>
    <row r="50" spans="1:36" x14ac:dyDescent="0.2">
      <c r="A50" t="s">
        <v>552</v>
      </c>
      <c r="B50" t="s">
        <v>702</v>
      </c>
      <c r="C50" t="s">
        <v>298</v>
      </c>
      <c r="D50" t="s">
        <v>453</v>
      </c>
      <c r="E50" t="s">
        <v>461</v>
      </c>
      <c r="F50" t="s">
        <v>462</v>
      </c>
      <c r="G50" s="2">
        <v>29437</v>
      </c>
      <c r="H50" s="2">
        <v>43796</v>
      </c>
      <c r="I50" s="2" t="str">
        <f t="shared" si="1"/>
        <v>TRUE</v>
      </c>
      <c r="J50" s="12" t="s">
        <v>298</v>
      </c>
      <c r="K50">
        <f t="shared" si="3"/>
        <v>39</v>
      </c>
      <c r="L50">
        <v>4</v>
      </c>
      <c r="M50" t="s">
        <v>451</v>
      </c>
      <c r="N50">
        <v>98</v>
      </c>
      <c r="O50">
        <v>0</v>
      </c>
      <c r="P50" s="12">
        <v>1</v>
      </c>
      <c r="Q50" s="12">
        <v>3</v>
      </c>
      <c r="R50" s="13">
        <v>1</v>
      </c>
      <c r="S50" s="13">
        <v>0</v>
      </c>
      <c r="T50" t="str">
        <f t="shared" si="2"/>
        <v>TRUE</v>
      </c>
      <c r="U50" t="s">
        <v>298</v>
      </c>
      <c r="V50">
        <v>59155.873189999998</v>
      </c>
      <c r="W50">
        <v>129095.1971</v>
      </c>
      <c r="X50">
        <v>1780937.6470000001</v>
      </c>
      <c r="Y50">
        <v>86975.631590000005</v>
      </c>
      <c r="Z50">
        <v>209303.8431</v>
      </c>
      <c r="AA50">
        <v>21055.106970000001</v>
      </c>
      <c r="AB50">
        <v>16088.3143</v>
      </c>
      <c r="AC50">
        <v>45200.657460000002</v>
      </c>
      <c r="AD50">
        <v>56245.190790000001</v>
      </c>
      <c r="AE50">
        <v>146137.52499999999</v>
      </c>
      <c r="AF50">
        <v>2233.1700430000001</v>
      </c>
      <c r="AG50">
        <v>1461086.46</v>
      </c>
      <c r="AH50">
        <v>111397.2001</v>
      </c>
      <c r="AI50">
        <v>136162.5612</v>
      </c>
      <c r="AJ50">
        <v>961177.16799999995</v>
      </c>
    </row>
    <row r="51" spans="1:36" x14ac:dyDescent="0.2">
      <c r="A51" t="s">
        <v>613</v>
      </c>
      <c r="B51" s="1" t="s">
        <v>712</v>
      </c>
      <c r="C51" t="s">
        <v>391</v>
      </c>
      <c r="D51" t="s">
        <v>453</v>
      </c>
      <c r="E51" t="s">
        <v>476</v>
      </c>
      <c r="F51" t="s">
        <v>462</v>
      </c>
      <c r="G51" s="2">
        <v>34720</v>
      </c>
      <c r="H51" s="2">
        <v>43812</v>
      </c>
      <c r="I51" s="2" t="str">
        <f t="shared" si="1"/>
        <v>TRUE</v>
      </c>
      <c r="J51" s="12" t="s">
        <v>391</v>
      </c>
      <c r="K51">
        <f t="shared" si="3"/>
        <v>24</v>
      </c>
      <c r="L51">
        <v>1</v>
      </c>
      <c r="M51" t="s">
        <v>451</v>
      </c>
      <c r="N51">
        <v>375</v>
      </c>
      <c r="O51">
        <v>9</v>
      </c>
      <c r="P51">
        <v>0</v>
      </c>
      <c r="Q51">
        <v>1</v>
      </c>
      <c r="R51" s="13">
        <v>0</v>
      </c>
      <c r="S51" s="13">
        <v>1</v>
      </c>
      <c r="T51" t="str">
        <f t="shared" si="2"/>
        <v>TRUE</v>
      </c>
      <c r="U51" t="s">
        <v>391</v>
      </c>
      <c r="V51">
        <v>184465.38639999999</v>
      </c>
      <c r="W51">
        <v>1251954.898</v>
      </c>
      <c r="X51">
        <v>1658208.1</v>
      </c>
      <c r="Y51">
        <v>45467.873910000002</v>
      </c>
      <c r="Z51">
        <v>183405.2126</v>
      </c>
      <c r="AA51">
        <v>158005.3236</v>
      </c>
      <c r="AB51">
        <v>138196.12210000001</v>
      </c>
      <c r="AC51">
        <v>18911.605060000002</v>
      </c>
      <c r="AD51">
        <v>22764.474419999999</v>
      </c>
      <c r="AE51">
        <v>45525.082029999998</v>
      </c>
      <c r="AF51">
        <v>2066.8570420000001</v>
      </c>
      <c r="AG51">
        <v>632850.87549999997</v>
      </c>
      <c r="AH51">
        <v>94670.563039999994</v>
      </c>
      <c r="AI51">
        <v>5507.1976029999996</v>
      </c>
      <c r="AJ51">
        <v>418247.89730000001</v>
      </c>
    </row>
    <row r="52" spans="1:36" x14ac:dyDescent="0.2">
      <c r="A52" t="s">
        <v>554</v>
      </c>
      <c r="B52" s="1" t="s">
        <v>713</v>
      </c>
      <c r="C52" t="s">
        <v>182</v>
      </c>
      <c r="D52" t="s">
        <v>453</v>
      </c>
      <c r="E52" t="s">
        <v>461</v>
      </c>
      <c r="F52" t="s">
        <v>462</v>
      </c>
      <c r="G52" s="2">
        <v>33760</v>
      </c>
      <c r="H52" s="2">
        <v>43815</v>
      </c>
      <c r="I52" s="2" t="str">
        <f t="shared" si="1"/>
        <v>TRUE</v>
      </c>
      <c r="J52" s="12" t="s">
        <v>182</v>
      </c>
      <c r="K52">
        <f t="shared" si="3"/>
        <v>27</v>
      </c>
      <c r="L52">
        <v>1</v>
      </c>
      <c r="M52" t="s">
        <v>451</v>
      </c>
      <c r="N52">
        <v>704</v>
      </c>
      <c r="O52">
        <v>10</v>
      </c>
      <c r="P52">
        <v>1</v>
      </c>
      <c r="Q52">
        <v>2</v>
      </c>
      <c r="R52" s="8">
        <v>1</v>
      </c>
      <c r="S52" s="8">
        <v>0</v>
      </c>
      <c r="T52" t="str">
        <f t="shared" si="2"/>
        <v>TRUE</v>
      </c>
      <c r="U52" t="s">
        <v>182</v>
      </c>
      <c r="V52">
        <v>73105.13566</v>
      </c>
      <c r="W52">
        <v>109196.17110000001</v>
      </c>
      <c r="X52">
        <v>136514.11809999999</v>
      </c>
      <c r="Y52">
        <v>108607.2138</v>
      </c>
      <c r="Z52">
        <v>56606.8223</v>
      </c>
      <c r="AA52">
        <v>25134.14488</v>
      </c>
      <c r="AB52">
        <v>2852.9067150000001</v>
      </c>
      <c r="AC52">
        <v>29953.011849999999</v>
      </c>
      <c r="AD52">
        <v>44616.206559999999</v>
      </c>
      <c r="AE52">
        <v>44877.283969999997</v>
      </c>
      <c r="AF52">
        <v>2802.7452349999999</v>
      </c>
      <c r="AG52">
        <v>345333.5563</v>
      </c>
      <c r="AH52">
        <v>12033.54715</v>
      </c>
      <c r="AI52">
        <v>7250.1805189999995</v>
      </c>
      <c r="AJ52">
        <v>41040.93015</v>
      </c>
    </row>
    <row r="53" spans="1:36" x14ac:dyDescent="0.2">
      <c r="A53" t="s">
        <v>559</v>
      </c>
      <c r="B53" s="1" t="s">
        <v>713</v>
      </c>
      <c r="C53" t="s">
        <v>180</v>
      </c>
      <c r="D53" t="s">
        <v>453</v>
      </c>
      <c r="E53" t="s">
        <v>461</v>
      </c>
      <c r="F53" t="s">
        <v>462</v>
      </c>
      <c r="G53" s="2">
        <v>33760</v>
      </c>
      <c r="H53" s="2">
        <v>43830</v>
      </c>
      <c r="I53" s="2" t="str">
        <f t="shared" si="1"/>
        <v>TRUE</v>
      </c>
      <c r="J53" s="12" t="s">
        <v>180</v>
      </c>
      <c r="K53">
        <f t="shared" si="3"/>
        <v>27</v>
      </c>
      <c r="L53">
        <v>2</v>
      </c>
      <c r="M53" t="s">
        <v>451</v>
      </c>
      <c r="N53">
        <v>129</v>
      </c>
      <c r="O53">
        <v>0</v>
      </c>
      <c r="P53" s="12">
        <v>1</v>
      </c>
      <c r="Q53" s="12">
        <v>2</v>
      </c>
      <c r="R53" s="13">
        <v>1</v>
      </c>
      <c r="S53" s="13">
        <v>0</v>
      </c>
      <c r="T53" t="str">
        <f t="shared" si="2"/>
        <v>TRUE</v>
      </c>
      <c r="U53" t="s">
        <v>180</v>
      </c>
      <c r="V53">
        <v>223731.14199999999</v>
      </c>
      <c r="W53">
        <v>167342.48680000001</v>
      </c>
      <c r="X53">
        <v>320888.28149999998</v>
      </c>
      <c r="Y53">
        <v>162467.74650000001</v>
      </c>
      <c r="Z53">
        <v>1352274.9650000001</v>
      </c>
      <c r="AA53">
        <v>13371.06473</v>
      </c>
      <c r="AB53">
        <v>2830.659572</v>
      </c>
      <c r="AC53">
        <v>104143.7453</v>
      </c>
      <c r="AD53">
        <v>257528.91140000001</v>
      </c>
      <c r="AE53">
        <v>170782.55249999999</v>
      </c>
      <c r="AF53">
        <v>2198.7629099999999</v>
      </c>
      <c r="AG53">
        <v>684288.53929999995</v>
      </c>
      <c r="AH53">
        <v>101563.25659999999</v>
      </c>
      <c r="AI53">
        <v>0</v>
      </c>
      <c r="AJ53">
        <v>250348.3106</v>
      </c>
    </row>
    <row r="54" spans="1:36" x14ac:dyDescent="0.2">
      <c r="A54" t="s">
        <v>560</v>
      </c>
      <c r="B54" s="1" t="s">
        <v>714</v>
      </c>
      <c r="C54" t="s">
        <v>293</v>
      </c>
      <c r="D54" t="s">
        <v>453</v>
      </c>
      <c r="E54" t="s">
        <v>454</v>
      </c>
      <c r="F54" t="s">
        <v>455</v>
      </c>
      <c r="G54" s="2">
        <v>23236</v>
      </c>
      <c r="H54" s="2">
        <v>43866</v>
      </c>
      <c r="I54" s="2" t="str">
        <f t="shared" si="1"/>
        <v>TRUE</v>
      </c>
      <c r="J54" s="12" t="s">
        <v>293</v>
      </c>
      <c r="K54">
        <f t="shared" si="3"/>
        <v>56</v>
      </c>
      <c r="L54">
        <v>1</v>
      </c>
      <c r="M54" t="s">
        <v>451</v>
      </c>
      <c r="N54">
        <v>1854</v>
      </c>
      <c r="O54">
        <v>14</v>
      </c>
      <c r="P54">
        <v>0</v>
      </c>
      <c r="Q54">
        <v>3</v>
      </c>
      <c r="R54" s="8">
        <v>0</v>
      </c>
      <c r="S54" s="8">
        <v>0</v>
      </c>
      <c r="T54" t="str">
        <f t="shared" si="2"/>
        <v>TRUE</v>
      </c>
      <c r="U54" t="s">
        <v>293</v>
      </c>
      <c r="V54">
        <v>418664.75380000001</v>
      </c>
      <c r="W54">
        <v>125676.7629</v>
      </c>
      <c r="X54">
        <v>4529962.9170000004</v>
      </c>
      <c r="Y54">
        <v>130158.9519</v>
      </c>
      <c r="Z54">
        <v>22867.182369999999</v>
      </c>
      <c r="AA54">
        <v>45253.896269999997</v>
      </c>
      <c r="AB54">
        <v>79571.877680000005</v>
      </c>
      <c r="AC54">
        <v>78180.662370000005</v>
      </c>
      <c r="AD54">
        <v>43939.00131</v>
      </c>
      <c r="AE54">
        <v>73790.0003</v>
      </c>
      <c r="AF54">
        <v>3122.625344</v>
      </c>
      <c r="AG54">
        <v>6586149.3969999999</v>
      </c>
      <c r="AH54">
        <v>260749.57639999999</v>
      </c>
      <c r="AI54">
        <v>278034.86930000002</v>
      </c>
      <c r="AJ54">
        <v>1964033.496</v>
      </c>
    </row>
    <row r="55" spans="1:36" x14ac:dyDescent="0.2">
      <c r="A55" t="s">
        <v>562</v>
      </c>
      <c r="B55" s="1" t="s">
        <v>715</v>
      </c>
      <c r="C55" t="s">
        <v>270</v>
      </c>
      <c r="D55" t="s">
        <v>453</v>
      </c>
      <c r="E55" t="s">
        <v>454</v>
      </c>
      <c r="F55" t="s">
        <v>455</v>
      </c>
      <c r="G55" s="2">
        <v>30355</v>
      </c>
      <c r="H55" s="2">
        <v>43854</v>
      </c>
      <c r="I55" s="2" t="str">
        <f t="shared" si="1"/>
        <v>TRUE</v>
      </c>
      <c r="J55" s="12" t="s">
        <v>270</v>
      </c>
      <c r="K55">
        <f t="shared" si="3"/>
        <v>36</v>
      </c>
      <c r="L55">
        <v>1</v>
      </c>
      <c r="M55" t="s">
        <v>456</v>
      </c>
      <c r="N55">
        <v>2375</v>
      </c>
      <c r="O55">
        <v>14</v>
      </c>
      <c r="P55">
        <v>1</v>
      </c>
      <c r="Q55">
        <v>3</v>
      </c>
      <c r="R55" s="8">
        <v>1</v>
      </c>
      <c r="S55" s="8">
        <v>0</v>
      </c>
      <c r="T55" t="str">
        <f t="shared" si="2"/>
        <v>TRUE</v>
      </c>
      <c r="U55" t="s">
        <v>270</v>
      </c>
      <c r="V55">
        <v>600279.06740000006</v>
      </c>
      <c r="W55">
        <v>40943.692029999998</v>
      </c>
      <c r="X55">
        <v>1051571.727</v>
      </c>
      <c r="Y55">
        <v>553691.77890000003</v>
      </c>
      <c r="Z55">
        <v>20771.778429999998</v>
      </c>
      <c r="AA55">
        <v>43747.356290000003</v>
      </c>
      <c r="AB55">
        <v>3304.589481</v>
      </c>
      <c r="AC55">
        <v>100823.6351</v>
      </c>
      <c r="AD55">
        <v>78958.037979999994</v>
      </c>
      <c r="AE55">
        <v>89193.971179999993</v>
      </c>
      <c r="AF55">
        <v>2018.345963</v>
      </c>
      <c r="AG55">
        <v>38894.218710000001</v>
      </c>
      <c r="AH55">
        <v>703292.31070000003</v>
      </c>
      <c r="AI55">
        <v>570218.62190000003</v>
      </c>
      <c r="AJ55">
        <v>3684660.6510000001</v>
      </c>
    </row>
    <row r="56" spans="1:36" x14ac:dyDescent="0.2">
      <c r="A56" t="s">
        <v>656</v>
      </c>
      <c r="B56" s="1" t="s">
        <v>716</v>
      </c>
      <c r="C56" t="s">
        <v>228</v>
      </c>
      <c r="D56" t="s">
        <v>453</v>
      </c>
      <c r="E56" t="s">
        <v>461</v>
      </c>
      <c r="F56" t="s">
        <v>462</v>
      </c>
      <c r="G56" s="2">
        <v>25518</v>
      </c>
      <c r="H56" s="2">
        <v>43864</v>
      </c>
      <c r="I56" s="2" t="str">
        <f t="shared" si="1"/>
        <v>TRUE</v>
      </c>
      <c r="J56" s="12" t="s">
        <v>228</v>
      </c>
      <c r="K56">
        <f t="shared" si="3"/>
        <v>50</v>
      </c>
      <c r="L56">
        <v>1</v>
      </c>
      <c r="M56" t="s">
        <v>456</v>
      </c>
      <c r="N56">
        <v>1982</v>
      </c>
      <c r="O56">
        <v>10</v>
      </c>
      <c r="P56">
        <v>0</v>
      </c>
      <c r="Q56">
        <v>3</v>
      </c>
      <c r="R56" s="8">
        <v>1</v>
      </c>
      <c r="S56" s="8">
        <v>0</v>
      </c>
      <c r="T56" t="str">
        <f t="shared" si="2"/>
        <v>TRUE</v>
      </c>
      <c r="U56" t="s">
        <v>228</v>
      </c>
      <c r="V56">
        <v>359914.8137</v>
      </c>
      <c r="W56">
        <v>219030.43700000001</v>
      </c>
      <c r="X56">
        <v>1142978.915</v>
      </c>
      <c r="Y56">
        <v>463398.473</v>
      </c>
      <c r="Z56">
        <v>59865.93907</v>
      </c>
      <c r="AA56">
        <v>30588.158780000002</v>
      </c>
      <c r="AB56">
        <v>2420.6363270000002</v>
      </c>
      <c r="AC56">
        <v>99285.472840000002</v>
      </c>
      <c r="AD56">
        <v>71809.721590000001</v>
      </c>
      <c r="AE56">
        <v>97358.289699999994</v>
      </c>
      <c r="AF56">
        <v>714.56339809999997</v>
      </c>
      <c r="AG56">
        <v>191583.7328</v>
      </c>
      <c r="AH56">
        <v>104858.6171</v>
      </c>
      <c r="AI56">
        <v>78213.407720000003</v>
      </c>
      <c r="AJ56">
        <v>850655.41890000005</v>
      </c>
    </row>
    <row r="57" spans="1:36" x14ac:dyDescent="0.2">
      <c r="A57" t="s">
        <v>565</v>
      </c>
      <c r="B57" s="1" t="s">
        <v>716</v>
      </c>
      <c r="C57" t="s">
        <v>230</v>
      </c>
      <c r="D57" t="s">
        <v>453</v>
      </c>
      <c r="E57" t="s">
        <v>461</v>
      </c>
      <c r="F57" t="s">
        <v>462</v>
      </c>
      <c r="G57" s="2">
        <v>25518</v>
      </c>
      <c r="H57" s="2">
        <v>43916</v>
      </c>
      <c r="I57" s="2" t="str">
        <f t="shared" si="1"/>
        <v>TRUE</v>
      </c>
      <c r="J57" s="12" t="s">
        <v>230</v>
      </c>
      <c r="K57">
        <f t="shared" si="3"/>
        <v>50</v>
      </c>
      <c r="L57">
        <v>2</v>
      </c>
      <c r="M57" t="s">
        <v>456</v>
      </c>
      <c r="N57">
        <v>178</v>
      </c>
      <c r="O57">
        <v>0</v>
      </c>
      <c r="P57" s="12">
        <v>0</v>
      </c>
      <c r="Q57" s="12">
        <v>3</v>
      </c>
      <c r="R57" s="13">
        <v>0</v>
      </c>
      <c r="S57" s="13">
        <v>0</v>
      </c>
      <c r="T57" t="str">
        <f t="shared" si="2"/>
        <v>TRUE</v>
      </c>
      <c r="U57" t="s">
        <v>230</v>
      </c>
      <c r="V57">
        <v>322102.28409999999</v>
      </c>
      <c r="W57">
        <v>175825.4871</v>
      </c>
      <c r="X57">
        <v>1726990.754</v>
      </c>
      <c r="Y57">
        <v>1106090.5330000001</v>
      </c>
      <c r="Z57">
        <v>30897.823</v>
      </c>
      <c r="AA57">
        <v>66722.153829999996</v>
      </c>
      <c r="AB57">
        <v>2170.5631800000001</v>
      </c>
      <c r="AC57">
        <v>49379.932840000001</v>
      </c>
      <c r="AD57">
        <v>195247.9136</v>
      </c>
      <c r="AE57">
        <v>47816.989589999997</v>
      </c>
      <c r="AF57">
        <v>3864.8336760000002</v>
      </c>
      <c r="AG57">
        <v>292414.9509</v>
      </c>
      <c r="AH57">
        <v>183603.91889999999</v>
      </c>
      <c r="AI57">
        <v>53780.888590000002</v>
      </c>
      <c r="AJ57">
        <v>732985.08539999998</v>
      </c>
    </row>
    <row r="58" spans="1:36" x14ac:dyDescent="0.2">
      <c r="A58" t="s">
        <v>567</v>
      </c>
      <c r="B58" s="1" t="s">
        <v>714</v>
      </c>
      <c r="C58" t="s">
        <v>295</v>
      </c>
      <c r="D58" t="s">
        <v>453</v>
      </c>
      <c r="E58" t="s">
        <v>454</v>
      </c>
      <c r="F58" t="s">
        <v>455</v>
      </c>
      <c r="G58" s="2">
        <v>23236</v>
      </c>
      <c r="H58" s="2">
        <v>43905</v>
      </c>
      <c r="I58" s="2" t="str">
        <f t="shared" si="1"/>
        <v>TRUE</v>
      </c>
      <c r="J58" s="12" t="s">
        <v>295</v>
      </c>
      <c r="K58">
        <f t="shared" si="3"/>
        <v>56</v>
      </c>
      <c r="L58">
        <v>2</v>
      </c>
      <c r="M58" t="s">
        <v>451</v>
      </c>
      <c r="N58">
        <v>373</v>
      </c>
      <c r="O58">
        <v>4</v>
      </c>
      <c r="P58" s="12">
        <v>0</v>
      </c>
      <c r="Q58" s="12">
        <v>3</v>
      </c>
      <c r="R58" s="13">
        <v>1</v>
      </c>
      <c r="S58" s="13">
        <v>0</v>
      </c>
      <c r="T58" t="str">
        <f t="shared" si="2"/>
        <v>TRUE</v>
      </c>
      <c r="U58" t="s">
        <v>295</v>
      </c>
      <c r="V58">
        <v>78749.830839999995</v>
      </c>
      <c r="W58">
        <v>95010.95796</v>
      </c>
      <c r="X58">
        <v>965350.28890000004</v>
      </c>
      <c r="Y58">
        <v>161669.62100000001</v>
      </c>
      <c r="Z58">
        <v>119616.2815</v>
      </c>
      <c r="AA58">
        <v>15293.49699</v>
      </c>
      <c r="AB58">
        <v>1105.5817440000001</v>
      </c>
      <c r="AC58">
        <v>59794.148840000002</v>
      </c>
      <c r="AD58">
        <v>49268.612289999997</v>
      </c>
      <c r="AE58">
        <v>133413.57320000001</v>
      </c>
      <c r="AF58">
        <v>1735.155411</v>
      </c>
      <c r="AG58">
        <v>384256.75109999999</v>
      </c>
      <c r="AH58">
        <v>60510.989860000001</v>
      </c>
      <c r="AI58">
        <v>3672.7402489999999</v>
      </c>
      <c r="AJ58">
        <v>721555.63049999997</v>
      </c>
    </row>
    <row r="59" spans="1:36" x14ac:dyDescent="0.2">
      <c r="A59" t="s">
        <v>568</v>
      </c>
      <c r="B59" s="1" t="s">
        <v>712</v>
      </c>
      <c r="C59" t="s">
        <v>393</v>
      </c>
      <c r="D59" t="s">
        <v>453</v>
      </c>
      <c r="E59" t="s">
        <v>476</v>
      </c>
      <c r="F59" t="s">
        <v>462</v>
      </c>
      <c r="G59" s="2">
        <v>34720</v>
      </c>
      <c r="H59" s="2">
        <v>43903</v>
      </c>
      <c r="I59" s="2" t="str">
        <f t="shared" si="1"/>
        <v>TRUE</v>
      </c>
      <c r="J59" s="12" t="s">
        <v>393</v>
      </c>
      <c r="K59">
        <f t="shared" si="3"/>
        <v>25</v>
      </c>
      <c r="L59">
        <v>2</v>
      </c>
      <c r="M59" t="s">
        <v>451</v>
      </c>
      <c r="N59">
        <v>172</v>
      </c>
      <c r="O59">
        <v>0</v>
      </c>
      <c r="P59" s="12">
        <v>0</v>
      </c>
      <c r="Q59" s="12">
        <v>1</v>
      </c>
      <c r="R59" s="13">
        <v>0</v>
      </c>
      <c r="S59" s="13">
        <v>1</v>
      </c>
      <c r="T59" t="str">
        <f t="shared" si="2"/>
        <v>TRUE</v>
      </c>
      <c r="U59" t="s">
        <v>393</v>
      </c>
      <c r="V59">
        <v>96752.001040000003</v>
      </c>
      <c r="W59">
        <v>6084403.5779999997</v>
      </c>
      <c r="X59">
        <v>1938290.145</v>
      </c>
      <c r="Y59">
        <v>66694.036219999995</v>
      </c>
      <c r="Z59">
        <v>259245.61670000001</v>
      </c>
      <c r="AA59">
        <v>143513.7451</v>
      </c>
      <c r="AB59">
        <v>239551.37359999999</v>
      </c>
      <c r="AC59">
        <v>16220.436470000001</v>
      </c>
      <c r="AD59">
        <v>29977.0357</v>
      </c>
      <c r="AE59">
        <v>102948.6119</v>
      </c>
      <c r="AF59">
        <v>3082.2516949999999</v>
      </c>
      <c r="AG59">
        <v>1024328.5060000001</v>
      </c>
      <c r="AH59">
        <v>114751.1075</v>
      </c>
      <c r="AI59">
        <v>3745.4442159999999</v>
      </c>
      <c r="AJ59">
        <v>332634.03830000001</v>
      </c>
    </row>
    <row r="60" spans="1:36" x14ac:dyDescent="0.2">
      <c r="A60" t="s">
        <v>569</v>
      </c>
      <c r="B60" s="1" t="s">
        <v>717</v>
      </c>
      <c r="C60" t="s">
        <v>80</v>
      </c>
      <c r="D60" t="s">
        <v>453</v>
      </c>
      <c r="E60" t="s">
        <v>476</v>
      </c>
      <c r="F60" t="s">
        <v>462</v>
      </c>
      <c r="G60" s="2">
        <v>21477</v>
      </c>
      <c r="H60" s="2">
        <v>44042</v>
      </c>
      <c r="I60" s="2" t="str">
        <f t="shared" si="1"/>
        <v>TRUE</v>
      </c>
      <c r="J60" s="12" t="s">
        <v>80</v>
      </c>
      <c r="K60">
        <f t="shared" ref="K60:K82" si="4">DATEDIF(G60,H60,"Y")</f>
        <v>61</v>
      </c>
      <c r="L60">
        <v>1</v>
      </c>
      <c r="M60" t="s">
        <v>451</v>
      </c>
      <c r="N60">
        <v>394</v>
      </c>
      <c r="O60">
        <v>6</v>
      </c>
      <c r="P60">
        <v>0</v>
      </c>
      <c r="Q60">
        <v>2</v>
      </c>
      <c r="R60" s="8">
        <v>0</v>
      </c>
      <c r="S60" s="8">
        <v>1</v>
      </c>
      <c r="T60" t="str">
        <f t="shared" si="2"/>
        <v>TRUE</v>
      </c>
      <c r="U60" t="s">
        <v>80</v>
      </c>
      <c r="V60">
        <v>62665.259709999998</v>
      </c>
      <c r="W60">
        <v>83140.719129999998</v>
      </c>
      <c r="X60">
        <v>88903.431750000003</v>
      </c>
      <c r="Y60">
        <v>150773.0202</v>
      </c>
      <c r="Z60">
        <v>20069.32473</v>
      </c>
      <c r="AA60">
        <v>4600.266294</v>
      </c>
      <c r="AB60">
        <v>7315.030968</v>
      </c>
      <c r="AC60">
        <v>84124.677989999996</v>
      </c>
      <c r="AD60">
        <v>24970.758160000001</v>
      </c>
      <c r="AE60">
        <v>110925.04790000001</v>
      </c>
      <c r="AF60">
        <v>2293.0988619999998</v>
      </c>
      <c r="AG60">
        <v>460730.85070000001</v>
      </c>
      <c r="AH60">
        <v>73541.873579999999</v>
      </c>
      <c r="AI60">
        <v>12716.622789999999</v>
      </c>
      <c r="AJ60">
        <v>35835.092989999997</v>
      </c>
    </row>
    <row r="61" spans="1:36" x14ac:dyDescent="0.2">
      <c r="A61" t="s">
        <v>642</v>
      </c>
      <c r="B61" s="1" t="s">
        <v>718</v>
      </c>
      <c r="C61" t="s">
        <v>253</v>
      </c>
      <c r="D61" t="s">
        <v>453</v>
      </c>
      <c r="E61" t="s">
        <v>461</v>
      </c>
      <c r="F61" t="s">
        <v>462</v>
      </c>
      <c r="G61" s="2">
        <v>36030</v>
      </c>
      <c r="H61" s="2">
        <v>44054</v>
      </c>
      <c r="I61" s="2" t="str">
        <f t="shared" si="1"/>
        <v>TRUE</v>
      </c>
      <c r="J61" s="12" t="s">
        <v>253</v>
      </c>
      <c r="K61">
        <f t="shared" si="4"/>
        <v>21</v>
      </c>
      <c r="L61">
        <v>1</v>
      </c>
      <c r="M61" t="s">
        <v>451</v>
      </c>
      <c r="N61">
        <v>2208</v>
      </c>
      <c r="O61">
        <v>5</v>
      </c>
      <c r="P61">
        <v>1</v>
      </c>
      <c r="Q61">
        <v>2</v>
      </c>
      <c r="R61" s="8">
        <v>1</v>
      </c>
      <c r="S61" s="8">
        <v>0</v>
      </c>
      <c r="T61" t="str">
        <f t="shared" si="2"/>
        <v>TRUE</v>
      </c>
      <c r="U61" t="s">
        <v>253</v>
      </c>
      <c r="V61">
        <v>369427.93459999998</v>
      </c>
      <c r="W61">
        <v>122574.1737</v>
      </c>
      <c r="X61">
        <v>305675.0943</v>
      </c>
      <c r="Y61">
        <v>395544.99449999997</v>
      </c>
      <c r="Z61">
        <v>11043.952579999999</v>
      </c>
      <c r="AA61">
        <v>29759.466090000002</v>
      </c>
      <c r="AB61">
        <v>4993.7481610000004</v>
      </c>
      <c r="AC61">
        <v>11597.5142</v>
      </c>
      <c r="AD61">
        <v>37568.268349999998</v>
      </c>
      <c r="AE61">
        <v>107851.5436</v>
      </c>
      <c r="AF61">
        <v>2388.0853400000001</v>
      </c>
      <c r="AG61">
        <v>250052.47339999999</v>
      </c>
      <c r="AH61">
        <v>79210.819619999995</v>
      </c>
      <c r="AI61">
        <v>11662.61543</v>
      </c>
      <c r="AJ61">
        <v>296556.22259999998</v>
      </c>
    </row>
    <row r="62" spans="1:36" x14ac:dyDescent="0.2">
      <c r="A62" t="s">
        <v>571</v>
      </c>
      <c r="B62" s="1" t="s">
        <v>715</v>
      </c>
      <c r="C62" t="s">
        <v>272</v>
      </c>
      <c r="D62" t="s">
        <v>453</v>
      </c>
      <c r="E62" t="s">
        <v>454</v>
      </c>
      <c r="F62" t="s">
        <v>455</v>
      </c>
      <c r="G62" s="2">
        <v>30355</v>
      </c>
      <c r="H62" s="2">
        <v>43978</v>
      </c>
      <c r="I62" s="2" t="str">
        <f t="shared" si="1"/>
        <v>TRUE</v>
      </c>
      <c r="J62" s="12" t="s">
        <v>272</v>
      </c>
      <c r="K62">
        <f t="shared" si="4"/>
        <v>37</v>
      </c>
      <c r="L62">
        <v>2</v>
      </c>
      <c r="M62" t="s">
        <v>456</v>
      </c>
      <c r="N62">
        <v>3372</v>
      </c>
      <c r="O62">
        <v>13</v>
      </c>
      <c r="P62" s="12">
        <v>1</v>
      </c>
      <c r="Q62" s="12">
        <v>3</v>
      </c>
      <c r="R62" s="13">
        <v>1</v>
      </c>
      <c r="S62" s="13">
        <v>0</v>
      </c>
      <c r="T62" t="str">
        <f t="shared" si="2"/>
        <v>TRUE</v>
      </c>
      <c r="U62" t="s">
        <v>272</v>
      </c>
      <c r="V62">
        <v>227115.9241</v>
      </c>
      <c r="W62">
        <v>75356.545970000006</v>
      </c>
      <c r="X62">
        <v>1369687.9779999999</v>
      </c>
      <c r="Y62">
        <v>1071772.8459999999</v>
      </c>
      <c r="Z62">
        <v>115732.2574</v>
      </c>
      <c r="AA62">
        <v>28048.570479999998</v>
      </c>
      <c r="AB62">
        <v>18691.540969999998</v>
      </c>
      <c r="AC62">
        <v>86618.680609999996</v>
      </c>
      <c r="AD62">
        <v>36014.029609999998</v>
      </c>
      <c r="AE62">
        <v>86970.999089999998</v>
      </c>
      <c r="AF62">
        <v>2652.6875190000001</v>
      </c>
      <c r="AG62">
        <v>57997.730170000003</v>
      </c>
      <c r="AH62">
        <v>282947.86930000002</v>
      </c>
      <c r="AI62">
        <v>108373.0254</v>
      </c>
      <c r="AJ62">
        <v>2884123.7489999998</v>
      </c>
    </row>
    <row r="63" spans="1:36" x14ac:dyDescent="0.2">
      <c r="A63" t="s">
        <v>665</v>
      </c>
      <c r="B63" s="1" t="s">
        <v>719</v>
      </c>
      <c r="C63" t="s">
        <v>249</v>
      </c>
      <c r="D63" t="s">
        <v>453</v>
      </c>
      <c r="E63" t="s">
        <v>476</v>
      </c>
      <c r="F63" t="s">
        <v>462</v>
      </c>
      <c r="G63" s="2">
        <v>33194</v>
      </c>
      <c r="H63" s="2">
        <v>44084</v>
      </c>
      <c r="I63" s="2" t="str">
        <f t="shared" si="1"/>
        <v>TRUE</v>
      </c>
      <c r="J63" s="12" t="s">
        <v>249</v>
      </c>
      <c r="K63">
        <f t="shared" si="4"/>
        <v>29</v>
      </c>
      <c r="L63">
        <v>1</v>
      </c>
      <c r="M63" t="s">
        <v>456</v>
      </c>
      <c r="N63">
        <v>6689</v>
      </c>
      <c r="O63">
        <v>4</v>
      </c>
      <c r="P63">
        <v>1</v>
      </c>
      <c r="Q63">
        <v>2</v>
      </c>
      <c r="R63" s="13">
        <v>1</v>
      </c>
      <c r="S63" s="13">
        <v>0</v>
      </c>
      <c r="T63" t="str">
        <f t="shared" si="2"/>
        <v>TRUE</v>
      </c>
      <c r="U63" t="s">
        <v>249</v>
      </c>
      <c r="V63">
        <v>559446.59369999997</v>
      </c>
      <c r="W63">
        <v>183506.3235</v>
      </c>
      <c r="X63">
        <v>397653.60009999998</v>
      </c>
      <c r="Y63">
        <v>531084.13840000005</v>
      </c>
      <c r="Z63">
        <v>75510.586720000007</v>
      </c>
      <c r="AA63">
        <v>57535.01513</v>
      </c>
      <c r="AB63">
        <v>2637.429678</v>
      </c>
      <c r="AC63">
        <v>168571.8186</v>
      </c>
      <c r="AD63">
        <v>180039.5759</v>
      </c>
      <c r="AE63">
        <v>463251.212</v>
      </c>
      <c r="AF63">
        <v>6777.0129109999998</v>
      </c>
      <c r="AG63">
        <v>96599.806060000003</v>
      </c>
      <c r="AH63">
        <v>26318.781630000001</v>
      </c>
      <c r="AI63">
        <v>32883.475160000002</v>
      </c>
      <c r="AJ63">
        <v>91468.419550000006</v>
      </c>
    </row>
    <row r="64" spans="1:36" x14ac:dyDescent="0.2">
      <c r="A64" t="s">
        <v>577</v>
      </c>
      <c r="B64" s="1" t="s">
        <v>717</v>
      </c>
      <c r="C64" t="s">
        <v>78</v>
      </c>
      <c r="D64" t="s">
        <v>453</v>
      </c>
      <c r="E64" t="s">
        <v>476</v>
      </c>
      <c r="F64" t="s">
        <v>462</v>
      </c>
      <c r="G64" s="2">
        <v>21477</v>
      </c>
      <c r="H64" s="2">
        <v>44098</v>
      </c>
      <c r="I64" s="2" t="str">
        <f t="shared" si="1"/>
        <v>TRUE</v>
      </c>
      <c r="J64" s="12" t="s">
        <v>78</v>
      </c>
      <c r="K64">
        <f t="shared" si="4"/>
        <v>61</v>
      </c>
      <c r="L64">
        <v>2</v>
      </c>
      <c r="M64" t="s">
        <v>451</v>
      </c>
      <c r="N64">
        <v>66</v>
      </c>
      <c r="O64">
        <v>1</v>
      </c>
      <c r="P64" s="12">
        <v>0</v>
      </c>
      <c r="Q64" s="12">
        <v>2</v>
      </c>
      <c r="R64" s="13">
        <v>0</v>
      </c>
      <c r="S64" s="13">
        <v>0</v>
      </c>
      <c r="T64" t="str">
        <f t="shared" si="2"/>
        <v>TRUE</v>
      </c>
      <c r="U64" t="s">
        <v>78</v>
      </c>
      <c r="V64">
        <v>200892.26</v>
      </c>
      <c r="W64">
        <v>189535.9933</v>
      </c>
      <c r="X64">
        <v>301779.87040000001</v>
      </c>
      <c r="Y64">
        <v>189402.1502</v>
      </c>
      <c r="Z64">
        <v>236199.34599999999</v>
      </c>
      <c r="AA64">
        <v>46112.972659999999</v>
      </c>
      <c r="AB64">
        <v>6165.998724</v>
      </c>
      <c r="AC64">
        <v>32454.85266</v>
      </c>
      <c r="AD64">
        <v>37089.440649999997</v>
      </c>
      <c r="AE64">
        <v>118745.24980000001</v>
      </c>
      <c r="AF64">
        <v>2117.4362099999998</v>
      </c>
      <c r="AG64">
        <v>908155.23230000003</v>
      </c>
      <c r="AH64">
        <v>57207.46675</v>
      </c>
      <c r="AI64">
        <v>2097.3646950000002</v>
      </c>
      <c r="AJ64">
        <v>77292.356620000006</v>
      </c>
    </row>
    <row r="65" spans="1:36" x14ac:dyDescent="0.2">
      <c r="A65" t="s">
        <v>578</v>
      </c>
      <c r="B65" s="1" t="s">
        <v>720</v>
      </c>
      <c r="C65" t="s">
        <v>408</v>
      </c>
      <c r="D65" t="s">
        <v>453</v>
      </c>
      <c r="E65" t="s">
        <v>476</v>
      </c>
      <c r="F65" t="s">
        <v>462</v>
      </c>
      <c r="G65" s="2">
        <v>29096</v>
      </c>
      <c r="H65" s="2">
        <v>44099</v>
      </c>
      <c r="I65" s="2" t="str">
        <f t="shared" si="1"/>
        <v>TRUE</v>
      </c>
      <c r="J65" s="12" t="s">
        <v>408</v>
      </c>
      <c r="K65">
        <f t="shared" si="4"/>
        <v>41</v>
      </c>
      <c r="L65">
        <v>1</v>
      </c>
      <c r="M65" t="s">
        <v>451</v>
      </c>
      <c r="N65">
        <v>1897</v>
      </c>
      <c r="O65">
        <v>13</v>
      </c>
      <c r="P65">
        <v>0</v>
      </c>
      <c r="Q65">
        <v>1</v>
      </c>
      <c r="R65" s="13">
        <v>1</v>
      </c>
      <c r="S65" s="13">
        <v>0</v>
      </c>
      <c r="T65" t="str">
        <f t="shared" si="2"/>
        <v>TRUE</v>
      </c>
      <c r="U65" t="s">
        <v>408</v>
      </c>
      <c r="V65">
        <v>53387.422980000003</v>
      </c>
      <c r="W65">
        <v>150102.20019999999</v>
      </c>
      <c r="X65">
        <v>210961.2322</v>
      </c>
      <c r="Y65">
        <v>126044.1281</v>
      </c>
      <c r="Z65">
        <v>246872.2789</v>
      </c>
      <c r="AA65">
        <v>28264.263800000001</v>
      </c>
      <c r="AB65">
        <v>3762.8584890000002</v>
      </c>
      <c r="AC65">
        <v>21390.484079999998</v>
      </c>
      <c r="AD65">
        <v>33811.697</v>
      </c>
      <c r="AE65">
        <v>134535.43239999999</v>
      </c>
      <c r="AF65">
        <v>3219.6964659999999</v>
      </c>
      <c r="AG65">
        <v>1110704.236</v>
      </c>
      <c r="AH65">
        <v>47071.736389999998</v>
      </c>
      <c r="AI65">
        <v>4236.3660220000002</v>
      </c>
      <c r="AJ65">
        <v>48482.01165</v>
      </c>
    </row>
    <row r="66" spans="1:36" x14ac:dyDescent="0.2">
      <c r="A66" t="s">
        <v>579</v>
      </c>
      <c r="B66" s="1" t="s">
        <v>721</v>
      </c>
      <c r="C66" t="s">
        <v>358</v>
      </c>
      <c r="D66" t="s">
        <v>453</v>
      </c>
      <c r="E66" t="s">
        <v>461</v>
      </c>
      <c r="F66" t="s">
        <v>455</v>
      </c>
      <c r="G66" s="2">
        <v>24431</v>
      </c>
      <c r="H66" s="2">
        <v>44099</v>
      </c>
      <c r="I66" s="2" t="str">
        <f t="shared" si="1"/>
        <v>TRUE</v>
      </c>
      <c r="J66" s="12" t="s">
        <v>358</v>
      </c>
      <c r="K66">
        <f t="shared" si="4"/>
        <v>53</v>
      </c>
      <c r="L66">
        <v>1</v>
      </c>
      <c r="M66" t="s">
        <v>456</v>
      </c>
      <c r="N66">
        <v>1126</v>
      </c>
      <c r="O66">
        <v>15</v>
      </c>
      <c r="P66">
        <v>1</v>
      </c>
      <c r="Q66">
        <v>3</v>
      </c>
      <c r="R66" s="13">
        <v>0</v>
      </c>
      <c r="S66" s="13">
        <v>0</v>
      </c>
      <c r="T66" t="str">
        <f t="shared" si="2"/>
        <v>TRUE</v>
      </c>
      <c r="U66" t="s">
        <v>358</v>
      </c>
      <c r="V66">
        <v>59538.945010000003</v>
      </c>
      <c r="W66">
        <v>216422.32709999999</v>
      </c>
      <c r="X66">
        <v>213026.93549999999</v>
      </c>
      <c r="Y66">
        <v>75640.76874</v>
      </c>
      <c r="Z66">
        <v>93382.402770000001</v>
      </c>
      <c r="AA66">
        <v>22546.182379999998</v>
      </c>
      <c r="AB66">
        <v>3618.3672110000002</v>
      </c>
      <c r="AC66">
        <v>69161.474289999998</v>
      </c>
      <c r="AD66">
        <v>32576.87343</v>
      </c>
      <c r="AE66">
        <v>282998.272</v>
      </c>
      <c r="AF66">
        <v>3640.0545390000002</v>
      </c>
      <c r="AG66">
        <v>88723.948399999994</v>
      </c>
      <c r="AH66">
        <v>101149.6211</v>
      </c>
      <c r="AI66">
        <v>152183.58170000001</v>
      </c>
      <c r="AJ66">
        <v>78569.594029999993</v>
      </c>
    </row>
    <row r="67" spans="1:36" x14ac:dyDescent="0.2">
      <c r="A67" t="s">
        <v>581</v>
      </c>
      <c r="B67" s="1" t="s">
        <v>722</v>
      </c>
      <c r="C67" t="s">
        <v>84</v>
      </c>
      <c r="D67" t="s">
        <v>453</v>
      </c>
      <c r="E67" t="s">
        <v>461</v>
      </c>
      <c r="F67" t="s">
        <v>462</v>
      </c>
      <c r="G67" s="2">
        <v>23988</v>
      </c>
      <c r="H67" s="2">
        <v>44104</v>
      </c>
      <c r="I67" s="2" t="str">
        <f t="shared" ref="I67:I82" si="5">IF(J67=C67, "TRUE", "FALSE")</f>
        <v>TRUE</v>
      </c>
      <c r="J67" s="12" t="s">
        <v>84</v>
      </c>
      <c r="K67">
        <f t="shared" si="4"/>
        <v>55</v>
      </c>
      <c r="L67">
        <v>1</v>
      </c>
      <c r="M67" t="s">
        <v>456</v>
      </c>
      <c r="N67">
        <v>4713</v>
      </c>
      <c r="O67">
        <v>6</v>
      </c>
      <c r="P67">
        <v>1</v>
      </c>
      <c r="Q67">
        <v>2</v>
      </c>
      <c r="R67" s="8">
        <v>0</v>
      </c>
      <c r="S67" s="8">
        <v>0</v>
      </c>
      <c r="T67" t="str">
        <f t="shared" ref="T67:T82" si="6">IF(U67=C67, "TRUE", "FALSE")</f>
        <v>TRUE</v>
      </c>
      <c r="U67" t="s">
        <v>84</v>
      </c>
      <c r="V67">
        <v>281310.70110000001</v>
      </c>
      <c r="W67">
        <v>912588.64080000005</v>
      </c>
      <c r="X67">
        <v>247144.06349999999</v>
      </c>
      <c r="Y67">
        <v>141032.33780000001</v>
      </c>
      <c r="Z67">
        <v>9404.5635010000005</v>
      </c>
      <c r="AA67">
        <v>49958.866099999999</v>
      </c>
      <c r="AB67">
        <v>1638.7600640000001</v>
      </c>
      <c r="AC67">
        <v>11940.33409</v>
      </c>
      <c r="AD67">
        <v>48993.286220000002</v>
      </c>
      <c r="AE67">
        <v>80478.903990000006</v>
      </c>
      <c r="AF67">
        <v>1532.3894789999999</v>
      </c>
      <c r="AG67">
        <v>165037.41450000001</v>
      </c>
      <c r="AH67">
        <v>42892.996700000003</v>
      </c>
      <c r="AI67">
        <v>8147.8482739999999</v>
      </c>
      <c r="AJ67">
        <v>199870.5074</v>
      </c>
    </row>
    <row r="68" spans="1:36" x14ac:dyDescent="0.2">
      <c r="A68" t="s">
        <v>582</v>
      </c>
      <c r="B68" s="1" t="s">
        <v>723</v>
      </c>
      <c r="C68" t="s">
        <v>279</v>
      </c>
      <c r="D68" t="s">
        <v>453</v>
      </c>
      <c r="E68" t="s">
        <v>454</v>
      </c>
      <c r="F68" t="s">
        <v>462</v>
      </c>
      <c r="G68" s="2">
        <v>16624</v>
      </c>
      <c r="H68" s="2">
        <v>44106</v>
      </c>
      <c r="I68" s="2" t="str">
        <f t="shared" si="5"/>
        <v>TRUE</v>
      </c>
      <c r="J68" s="12" t="s">
        <v>279</v>
      </c>
      <c r="K68">
        <f t="shared" si="4"/>
        <v>75</v>
      </c>
      <c r="L68">
        <v>1</v>
      </c>
      <c r="M68" t="s">
        <v>456</v>
      </c>
      <c r="N68">
        <v>4146</v>
      </c>
      <c r="O68">
        <v>6</v>
      </c>
      <c r="P68">
        <v>1</v>
      </c>
      <c r="Q68">
        <v>2</v>
      </c>
      <c r="R68" s="8">
        <v>1</v>
      </c>
      <c r="S68" s="8">
        <v>0</v>
      </c>
      <c r="T68" t="str">
        <f t="shared" si="6"/>
        <v>TRUE</v>
      </c>
      <c r="U68" t="s">
        <v>279</v>
      </c>
      <c r="V68">
        <v>17405.364519999999</v>
      </c>
      <c r="W68">
        <v>206912.0007</v>
      </c>
      <c r="X68">
        <v>671033.2622</v>
      </c>
      <c r="Y68">
        <v>81628.872310000006</v>
      </c>
      <c r="Z68">
        <v>126660.7225</v>
      </c>
      <c r="AA68">
        <v>27224.652839999999</v>
      </c>
      <c r="AB68">
        <v>3317.4186890000001</v>
      </c>
      <c r="AC68">
        <v>9749.9362189999993</v>
      </c>
      <c r="AD68">
        <v>11836.119989999999</v>
      </c>
      <c r="AE68">
        <v>15407.44974</v>
      </c>
      <c r="AF68">
        <v>2816.7086439999998</v>
      </c>
      <c r="AG68">
        <v>444241.33990000002</v>
      </c>
      <c r="AH68">
        <v>90349.613159999994</v>
      </c>
      <c r="AI68">
        <v>217333.08410000001</v>
      </c>
      <c r="AJ68">
        <v>162938.3996</v>
      </c>
    </row>
    <row r="69" spans="1:36" x14ac:dyDescent="0.2">
      <c r="A69" t="s">
        <v>583</v>
      </c>
      <c r="B69" s="1" t="s">
        <v>724</v>
      </c>
      <c r="C69" t="s">
        <v>95</v>
      </c>
      <c r="D69" t="s">
        <v>453</v>
      </c>
      <c r="E69" t="s">
        <v>454</v>
      </c>
      <c r="F69" t="s">
        <v>455</v>
      </c>
      <c r="G69" s="2">
        <v>33801</v>
      </c>
      <c r="H69" s="2">
        <v>44110</v>
      </c>
      <c r="I69" s="2" t="str">
        <f t="shared" si="5"/>
        <v>TRUE</v>
      </c>
      <c r="J69" s="12" t="s">
        <v>95</v>
      </c>
      <c r="K69">
        <f t="shared" si="4"/>
        <v>28</v>
      </c>
      <c r="L69">
        <v>1</v>
      </c>
      <c r="M69" t="s">
        <v>451</v>
      </c>
      <c r="N69">
        <v>2363</v>
      </c>
      <c r="O69">
        <v>9</v>
      </c>
      <c r="P69">
        <v>0</v>
      </c>
      <c r="Q69">
        <v>2</v>
      </c>
      <c r="R69" s="8">
        <v>1</v>
      </c>
      <c r="S69" s="8">
        <v>0</v>
      </c>
      <c r="T69" t="str">
        <f t="shared" si="6"/>
        <v>TRUE</v>
      </c>
      <c r="U69" t="s">
        <v>95</v>
      </c>
      <c r="V69">
        <v>138394.0545</v>
      </c>
      <c r="W69">
        <v>75043.568549999996</v>
      </c>
      <c r="X69">
        <v>1348749.7949999999</v>
      </c>
      <c r="Y69">
        <v>125936.0174</v>
      </c>
      <c r="Z69">
        <v>112832.99890000001</v>
      </c>
      <c r="AA69">
        <v>41088.393709999997</v>
      </c>
      <c r="AB69">
        <v>4414.6658660000003</v>
      </c>
      <c r="AC69">
        <v>26100.108749999999</v>
      </c>
      <c r="AD69">
        <v>28756.269189999999</v>
      </c>
      <c r="AE69">
        <v>78652.982980000001</v>
      </c>
      <c r="AF69">
        <v>2462.8921460000001</v>
      </c>
      <c r="AG69">
        <v>493241.49180000002</v>
      </c>
      <c r="AH69">
        <v>35007.273739999997</v>
      </c>
      <c r="AI69">
        <v>20354.07764</v>
      </c>
      <c r="AJ69">
        <v>3130002.054</v>
      </c>
    </row>
    <row r="70" spans="1:36" x14ac:dyDescent="0.2">
      <c r="A70" t="s">
        <v>653</v>
      </c>
      <c r="B70" s="1" t="s">
        <v>718</v>
      </c>
      <c r="C70" t="s">
        <v>251</v>
      </c>
      <c r="D70" t="s">
        <v>453</v>
      </c>
      <c r="E70" t="s">
        <v>461</v>
      </c>
      <c r="F70" t="s">
        <v>462</v>
      </c>
      <c r="G70" s="2">
        <v>36030</v>
      </c>
      <c r="H70" s="2">
        <v>44134</v>
      </c>
      <c r="I70" s="2" t="str">
        <f t="shared" si="5"/>
        <v>TRUE</v>
      </c>
      <c r="J70" s="12" t="s">
        <v>251</v>
      </c>
      <c r="K70">
        <f t="shared" si="4"/>
        <v>22</v>
      </c>
      <c r="L70">
        <v>2</v>
      </c>
      <c r="M70" t="s">
        <v>451</v>
      </c>
      <c r="N70">
        <v>73</v>
      </c>
      <c r="O70">
        <v>0</v>
      </c>
      <c r="P70" s="12">
        <v>1</v>
      </c>
      <c r="Q70" s="12">
        <v>2</v>
      </c>
      <c r="R70" s="13">
        <v>1</v>
      </c>
      <c r="S70" s="13">
        <v>0</v>
      </c>
      <c r="T70" t="str">
        <f t="shared" si="6"/>
        <v>TRUE</v>
      </c>
      <c r="U70" t="s">
        <v>251</v>
      </c>
      <c r="V70">
        <v>43768.135620000001</v>
      </c>
      <c r="W70">
        <v>416007.25540000002</v>
      </c>
      <c r="X70">
        <v>235942.16020000001</v>
      </c>
      <c r="Y70">
        <v>91737.204979999995</v>
      </c>
      <c r="Z70">
        <v>346631.0295</v>
      </c>
      <c r="AA70">
        <v>29969.2107</v>
      </c>
      <c r="AB70">
        <v>3452.2679229999999</v>
      </c>
      <c r="AC70">
        <v>81220.376799999998</v>
      </c>
      <c r="AD70">
        <v>77125.468729999993</v>
      </c>
      <c r="AE70">
        <v>231448.66200000001</v>
      </c>
      <c r="AF70">
        <v>2799.2360650000001</v>
      </c>
      <c r="AG70">
        <v>7006629.1030000001</v>
      </c>
      <c r="AH70">
        <v>454761.98979999998</v>
      </c>
      <c r="AI70">
        <v>5307.3806850000001</v>
      </c>
      <c r="AJ70">
        <v>94491.30184</v>
      </c>
    </row>
    <row r="71" spans="1:36" x14ac:dyDescent="0.2">
      <c r="A71" t="s">
        <v>591</v>
      </c>
      <c r="B71" s="1" t="s">
        <v>720</v>
      </c>
      <c r="C71" t="s">
        <v>406</v>
      </c>
      <c r="D71" t="s">
        <v>453</v>
      </c>
      <c r="E71" t="s">
        <v>476</v>
      </c>
      <c r="F71" t="s">
        <v>462</v>
      </c>
      <c r="G71" s="2">
        <v>29096</v>
      </c>
      <c r="H71" s="2">
        <v>44148</v>
      </c>
      <c r="I71" s="2" t="str">
        <f t="shared" si="5"/>
        <v>TRUE</v>
      </c>
      <c r="J71" s="12" t="s">
        <v>406</v>
      </c>
      <c r="K71">
        <f t="shared" si="4"/>
        <v>41</v>
      </c>
      <c r="L71">
        <v>2</v>
      </c>
      <c r="M71" t="s">
        <v>451</v>
      </c>
      <c r="N71">
        <v>55</v>
      </c>
      <c r="O71">
        <v>1</v>
      </c>
      <c r="P71" s="12">
        <v>0</v>
      </c>
      <c r="Q71" s="12">
        <v>2</v>
      </c>
      <c r="R71" s="13">
        <v>0</v>
      </c>
      <c r="S71" s="13">
        <v>0</v>
      </c>
      <c r="T71" t="str">
        <f t="shared" si="6"/>
        <v>TRUE</v>
      </c>
      <c r="U71" t="s">
        <v>406</v>
      </c>
      <c r="V71">
        <v>42817.570010000003</v>
      </c>
      <c r="W71">
        <v>289316.92369999998</v>
      </c>
      <c r="X71">
        <v>345179.66110000003</v>
      </c>
      <c r="Y71">
        <v>284611.78470000002</v>
      </c>
      <c r="Z71">
        <v>145217.73509999999</v>
      </c>
      <c r="AA71">
        <v>26486.256949999999</v>
      </c>
      <c r="AB71">
        <v>3844.456756</v>
      </c>
      <c r="AC71">
        <v>31014.279910000001</v>
      </c>
      <c r="AD71">
        <v>34751.715429999997</v>
      </c>
      <c r="AE71">
        <v>121299.5543</v>
      </c>
      <c r="AF71">
        <v>2995.6845579999999</v>
      </c>
      <c r="AG71">
        <v>1258011.32</v>
      </c>
      <c r="AH71">
        <v>52867.847450000001</v>
      </c>
      <c r="AI71">
        <v>8953.1540910000003</v>
      </c>
      <c r="AJ71">
        <v>135946.7562</v>
      </c>
    </row>
    <row r="72" spans="1:36" x14ac:dyDescent="0.2">
      <c r="A72" t="s">
        <v>592</v>
      </c>
      <c r="B72" s="1" t="s">
        <v>721</v>
      </c>
      <c r="C72" t="s">
        <v>356</v>
      </c>
      <c r="D72" t="s">
        <v>453</v>
      </c>
      <c r="E72" t="s">
        <v>461</v>
      </c>
      <c r="F72" t="s">
        <v>455</v>
      </c>
      <c r="G72" s="2">
        <v>24431</v>
      </c>
      <c r="H72" s="2">
        <v>44148</v>
      </c>
      <c r="I72" s="2" t="str">
        <f t="shared" si="5"/>
        <v>TRUE</v>
      </c>
      <c r="J72" s="12" t="s">
        <v>356</v>
      </c>
      <c r="K72">
        <f t="shared" si="4"/>
        <v>53</v>
      </c>
      <c r="L72">
        <v>2</v>
      </c>
      <c r="M72" t="s">
        <v>456</v>
      </c>
      <c r="N72">
        <v>1780</v>
      </c>
      <c r="O72">
        <v>5</v>
      </c>
      <c r="P72" s="12">
        <v>1</v>
      </c>
      <c r="Q72" s="12">
        <v>3</v>
      </c>
      <c r="R72" s="13">
        <v>1</v>
      </c>
      <c r="S72" s="13">
        <v>0</v>
      </c>
      <c r="T72" t="str">
        <f t="shared" si="6"/>
        <v>TRUE</v>
      </c>
      <c r="U72" t="s">
        <v>356</v>
      </c>
      <c r="V72">
        <v>118592.2208</v>
      </c>
      <c r="W72">
        <v>594741.97320000001</v>
      </c>
      <c r="X72">
        <v>510906.41769999999</v>
      </c>
      <c r="Y72">
        <v>170923.50270000001</v>
      </c>
      <c r="Z72">
        <v>51151.527540000003</v>
      </c>
      <c r="AA72">
        <v>26142.844400000002</v>
      </c>
      <c r="AB72">
        <v>2136.062989</v>
      </c>
      <c r="AC72">
        <v>103684.447</v>
      </c>
      <c r="AD72">
        <v>42305.535819999997</v>
      </c>
      <c r="AE72">
        <v>422391.3162</v>
      </c>
      <c r="AF72">
        <v>3063.8718359999998</v>
      </c>
      <c r="AG72">
        <v>73767.387919999994</v>
      </c>
      <c r="AH72">
        <v>79813.432180000003</v>
      </c>
      <c r="AI72">
        <v>70503.955489999993</v>
      </c>
      <c r="AJ72">
        <v>373939.95280000003</v>
      </c>
    </row>
    <row r="73" spans="1:36" x14ac:dyDescent="0.2">
      <c r="A73" t="s">
        <v>593</v>
      </c>
      <c r="B73" t="s">
        <v>725</v>
      </c>
      <c r="C73" t="s">
        <v>70</v>
      </c>
      <c r="D73" t="s">
        <v>453</v>
      </c>
      <c r="E73" t="s">
        <v>461</v>
      </c>
      <c r="F73" t="s">
        <v>455</v>
      </c>
      <c r="G73" s="2">
        <v>34311</v>
      </c>
      <c r="H73" s="2">
        <v>44148</v>
      </c>
      <c r="I73" s="2" t="str">
        <f t="shared" si="5"/>
        <v>TRUE</v>
      </c>
      <c r="J73" s="12" t="s">
        <v>70</v>
      </c>
      <c r="K73">
        <f t="shared" si="4"/>
        <v>26</v>
      </c>
      <c r="L73">
        <v>1</v>
      </c>
      <c r="M73" t="s">
        <v>451</v>
      </c>
      <c r="N73">
        <v>1823</v>
      </c>
      <c r="O73">
        <v>9</v>
      </c>
      <c r="P73">
        <v>0</v>
      </c>
      <c r="Q73">
        <v>2</v>
      </c>
      <c r="R73" s="9">
        <v>1</v>
      </c>
      <c r="S73" s="9">
        <v>0</v>
      </c>
      <c r="T73" t="str">
        <f t="shared" si="6"/>
        <v>TRUE</v>
      </c>
      <c r="U73" t="s">
        <v>70</v>
      </c>
      <c r="V73">
        <v>191103.48120000001</v>
      </c>
      <c r="W73">
        <v>411178.1948</v>
      </c>
      <c r="X73">
        <v>294419.92660000001</v>
      </c>
      <c r="Y73">
        <v>180197.25769999999</v>
      </c>
      <c r="Z73">
        <v>112583.11380000001</v>
      </c>
      <c r="AA73">
        <v>18102.980510000001</v>
      </c>
      <c r="AB73">
        <v>8110.7345130000003</v>
      </c>
      <c r="AC73">
        <v>24115.734390000001</v>
      </c>
      <c r="AD73">
        <v>21200.512890000002</v>
      </c>
      <c r="AE73">
        <v>84786.583469999998</v>
      </c>
      <c r="AF73">
        <v>2178.1685790000001</v>
      </c>
      <c r="AG73">
        <v>796489.6176</v>
      </c>
      <c r="AH73">
        <v>70860.738710000005</v>
      </c>
      <c r="AI73">
        <v>14163.978510000001</v>
      </c>
      <c r="AJ73">
        <v>81089.106390000001</v>
      </c>
    </row>
    <row r="74" spans="1:36" x14ac:dyDescent="0.2">
      <c r="A74" t="s">
        <v>595</v>
      </c>
      <c r="B74" s="1" t="s">
        <v>726</v>
      </c>
      <c r="C74" t="s">
        <v>329</v>
      </c>
      <c r="D74" t="s">
        <v>453</v>
      </c>
      <c r="E74" t="s">
        <v>461</v>
      </c>
      <c r="F74" t="s">
        <v>462</v>
      </c>
      <c r="G74" s="2">
        <v>33826</v>
      </c>
      <c r="H74" s="2">
        <v>44152</v>
      </c>
      <c r="I74" s="2" t="str">
        <f t="shared" si="5"/>
        <v>TRUE</v>
      </c>
      <c r="J74" s="12" t="s">
        <v>329</v>
      </c>
      <c r="K74">
        <f t="shared" si="4"/>
        <v>28</v>
      </c>
      <c r="L74">
        <v>1</v>
      </c>
      <c r="M74" t="s">
        <v>451</v>
      </c>
      <c r="N74">
        <v>221</v>
      </c>
      <c r="O74">
        <v>10</v>
      </c>
      <c r="P74">
        <v>0</v>
      </c>
      <c r="Q74">
        <v>2</v>
      </c>
      <c r="R74" s="8">
        <v>1</v>
      </c>
      <c r="S74" s="8">
        <v>0</v>
      </c>
      <c r="T74" t="str">
        <f t="shared" si="6"/>
        <v>TRUE</v>
      </c>
      <c r="U74" t="s">
        <v>329</v>
      </c>
      <c r="V74">
        <v>1151068.3959999999</v>
      </c>
      <c r="W74">
        <v>66108.020250000001</v>
      </c>
      <c r="X74">
        <v>383233.64549999998</v>
      </c>
      <c r="Y74">
        <v>836942.68420000002</v>
      </c>
      <c r="Z74">
        <v>358258.0673</v>
      </c>
      <c r="AA74">
        <v>66049.172040000005</v>
      </c>
      <c r="AB74">
        <v>5294.3746359999996</v>
      </c>
      <c r="AC74">
        <v>29509.644489999999</v>
      </c>
      <c r="AD74">
        <v>168143.4246</v>
      </c>
      <c r="AE74">
        <v>106876.53569999999</v>
      </c>
      <c r="AF74">
        <v>2669.712661</v>
      </c>
      <c r="AG74">
        <v>317872.9449</v>
      </c>
      <c r="AH74">
        <v>589513.37139999995</v>
      </c>
      <c r="AI74">
        <v>471195.3039</v>
      </c>
      <c r="AJ74">
        <v>265220.88439999998</v>
      </c>
    </row>
    <row r="75" spans="1:36" x14ac:dyDescent="0.2">
      <c r="A75" t="s">
        <v>597</v>
      </c>
      <c r="B75" s="1" t="s">
        <v>727</v>
      </c>
      <c r="C75" t="s">
        <v>145</v>
      </c>
      <c r="D75" t="s">
        <v>453</v>
      </c>
      <c r="E75" t="s">
        <v>461</v>
      </c>
      <c r="F75" t="s">
        <v>462</v>
      </c>
      <c r="G75" s="2">
        <v>35769</v>
      </c>
      <c r="H75" s="2">
        <v>44162</v>
      </c>
      <c r="I75" s="2" t="str">
        <f t="shared" si="5"/>
        <v>TRUE</v>
      </c>
      <c r="J75" s="12" t="s">
        <v>145</v>
      </c>
      <c r="K75">
        <f t="shared" si="4"/>
        <v>22</v>
      </c>
      <c r="L75">
        <v>1</v>
      </c>
      <c r="M75" t="s">
        <v>456</v>
      </c>
      <c r="N75">
        <v>7900</v>
      </c>
      <c r="O75">
        <v>13</v>
      </c>
      <c r="P75">
        <v>1</v>
      </c>
      <c r="Q75">
        <v>2</v>
      </c>
      <c r="R75" s="9">
        <v>1</v>
      </c>
      <c r="S75" s="9">
        <v>0</v>
      </c>
      <c r="T75" t="str">
        <f t="shared" si="6"/>
        <v>TRUE</v>
      </c>
      <c r="U75" t="s">
        <v>145</v>
      </c>
      <c r="V75">
        <v>430905.83679999999</v>
      </c>
      <c r="W75">
        <v>65493.35241</v>
      </c>
      <c r="X75">
        <v>297798.0417</v>
      </c>
      <c r="Y75">
        <v>355858.25660000002</v>
      </c>
      <c r="Z75">
        <v>122716.98330000001</v>
      </c>
      <c r="AA75">
        <v>49804.299480000001</v>
      </c>
      <c r="AB75">
        <v>177594.99040000001</v>
      </c>
      <c r="AC75">
        <v>396517.63949999999</v>
      </c>
      <c r="AD75">
        <v>118947.9648</v>
      </c>
      <c r="AE75">
        <v>615301.33400000003</v>
      </c>
      <c r="AF75">
        <v>1812.722792</v>
      </c>
      <c r="AG75">
        <v>107134.6596</v>
      </c>
      <c r="AH75">
        <v>191473.63589999999</v>
      </c>
      <c r="AI75">
        <v>83356.860820000002</v>
      </c>
      <c r="AJ75">
        <v>2081797.683</v>
      </c>
    </row>
    <row r="76" spans="1:36" x14ac:dyDescent="0.2">
      <c r="A76" t="s">
        <v>598</v>
      </c>
      <c r="B76" t="s">
        <v>728</v>
      </c>
      <c r="C76" t="s">
        <v>431</v>
      </c>
      <c r="D76" t="s">
        <v>453</v>
      </c>
      <c r="E76" t="s">
        <v>461</v>
      </c>
      <c r="F76" t="s">
        <v>462</v>
      </c>
      <c r="G76" s="2">
        <v>28094</v>
      </c>
      <c r="H76" s="2">
        <v>44169</v>
      </c>
      <c r="I76" s="2" t="str">
        <f t="shared" si="5"/>
        <v>TRUE</v>
      </c>
      <c r="J76" t="s">
        <v>431</v>
      </c>
      <c r="K76">
        <f t="shared" si="4"/>
        <v>44</v>
      </c>
      <c r="L76">
        <v>2</v>
      </c>
      <c r="M76" t="s">
        <v>451</v>
      </c>
      <c r="N76">
        <v>659</v>
      </c>
      <c r="O76">
        <v>6</v>
      </c>
      <c r="P76">
        <v>1</v>
      </c>
      <c r="Q76">
        <v>2</v>
      </c>
      <c r="R76" s="9">
        <v>1</v>
      </c>
      <c r="S76" s="9">
        <v>0</v>
      </c>
      <c r="T76" t="str">
        <f t="shared" si="6"/>
        <v>TRUE</v>
      </c>
      <c r="U76" t="s">
        <v>431</v>
      </c>
      <c r="V76">
        <v>98573.356539999993</v>
      </c>
      <c r="W76">
        <v>1131254.375</v>
      </c>
      <c r="X76">
        <v>1223079.4210000001</v>
      </c>
      <c r="Y76">
        <v>195906.1611</v>
      </c>
      <c r="Z76">
        <v>50294.880969999998</v>
      </c>
      <c r="AA76">
        <v>106380.3253</v>
      </c>
      <c r="AB76">
        <v>2215.7926219999999</v>
      </c>
      <c r="AC76">
        <v>137206.30739999999</v>
      </c>
      <c r="AD76">
        <v>213769.24410000001</v>
      </c>
      <c r="AE76">
        <v>369544.31219999999</v>
      </c>
      <c r="AF76">
        <v>5260.0982649999996</v>
      </c>
      <c r="AG76">
        <v>1264484.811</v>
      </c>
      <c r="AH76">
        <v>21002.00001</v>
      </c>
      <c r="AI76">
        <v>11398.30947</v>
      </c>
      <c r="AJ76">
        <v>85290.628320000003</v>
      </c>
    </row>
    <row r="77" spans="1:36" x14ac:dyDescent="0.2">
      <c r="A77" t="s">
        <v>600</v>
      </c>
      <c r="B77" s="1" t="s">
        <v>723</v>
      </c>
      <c r="C77" t="s">
        <v>277</v>
      </c>
      <c r="D77" t="s">
        <v>453</v>
      </c>
      <c r="E77" t="s">
        <v>454</v>
      </c>
      <c r="F77" t="s">
        <v>462</v>
      </c>
      <c r="G77" s="2">
        <v>16624</v>
      </c>
      <c r="H77" s="2">
        <v>44172</v>
      </c>
      <c r="I77" s="2" t="str">
        <f t="shared" si="5"/>
        <v>TRUE</v>
      </c>
      <c r="J77" s="12" t="s">
        <v>277</v>
      </c>
      <c r="K77">
        <f t="shared" si="4"/>
        <v>75</v>
      </c>
      <c r="L77">
        <v>2</v>
      </c>
      <c r="M77" t="s">
        <v>456</v>
      </c>
      <c r="N77">
        <v>324</v>
      </c>
      <c r="O77">
        <v>0</v>
      </c>
      <c r="P77" s="12">
        <v>1</v>
      </c>
      <c r="Q77" s="12">
        <v>2</v>
      </c>
      <c r="R77" s="13">
        <v>1</v>
      </c>
      <c r="S77" s="13">
        <v>0</v>
      </c>
      <c r="T77" t="str">
        <f t="shared" si="6"/>
        <v>TRUE</v>
      </c>
      <c r="U77" t="s">
        <v>277</v>
      </c>
      <c r="V77">
        <v>39321.368540000003</v>
      </c>
      <c r="W77">
        <v>78234.744149999999</v>
      </c>
      <c r="X77">
        <v>432902.75799999997</v>
      </c>
      <c r="Y77">
        <v>39162.943379999997</v>
      </c>
      <c r="Z77">
        <v>113877.8446</v>
      </c>
      <c r="AA77">
        <v>25813.435799999999</v>
      </c>
      <c r="AB77">
        <v>6131.7764450000004</v>
      </c>
      <c r="AC77">
        <v>30792.069149999999</v>
      </c>
      <c r="AD77">
        <v>14402.2117</v>
      </c>
      <c r="AE77">
        <v>43483.400430000002</v>
      </c>
      <c r="AF77">
        <v>3865.2673060000002</v>
      </c>
      <c r="AG77">
        <v>375468.2304</v>
      </c>
      <c r="AH77">
        <v>60952.027370000003</v>
      </c>
      <c r="AI77">
        <v>25359.109100000001</v>
      </c>
      <c r="AJ77">
        <v>207871.16010000001</v>
      </c>
    </row>
    <row r="78" spans="1:36" x14ac:dyDescent="0.2">
      <c r="A78" t="s">
        <v>602</v>
      </c>
      <c r="B78" s="1" t="s">
        <v>724</v>
      </c>
      <c r="C78" t="s">
        <v>93</v>
      </c>
      <c r="D78" t="s">
        <v>453</v>
      </c>
      <c r="E78" t="s">
        <v>454</v>
      </c>
      <c r="F78" t="s">
        <v>455</v>
      </c>
      <c r="G78" s="2">
        <v>33801</v>
      </c>
      <c r="H78" s="2">
        <v>44173</v>
      </c>
      <c r="I78" s="2" t="str">
        <f t="shared" si="5"/>
        <v>TRUE</v>
      </c>
      <c r="J78" s="12" t="s">
        <v>93</v>
      </c>
      <c r="K78">
        <f t="shared" si="4"/>
        <v>28</v>
      </c>
      <c r="L78">
        <v>2</v>
      </c>
      <c r="M78" t="s">
        <v>451</v>
      </c>
      <c r="N78">
        <v>470</v>
      </c>
      <c r="O78">
        <v>0</v>
      </c>
      <c r="P78" s="12">
        <v>0</v>
      </c>
      <c r="Q78" s="12">
        <v>2</v>
      </c>
      <c r="R78" s="8">
        <v>1</v>
      </c>
      <c r="S78" s="8">
        <v>0</v>
      </c>
      <c r="T78" t="str">
        <f t="shared" si="6"/>
        <v>TRUE</v>
      </c>
      <c r="U78" t="s">
        <v>93</v>
      </c>
      <c r="V78">
        <v>365241.6594</v>
      </c>
      <c r="W78">
        <v>125010.0111</v>
      </c>
      <c r="X78">
        <v>1140105.841</v>
      </c>
      <c r="Y78">
        <v>259630.96230000001</v>
      </c>
      <c r="Z78">
        <v>409643.92879999999</v>
      </c>
      <c r="AA78">
        <v>28240.53024</v>
      </c>
      <c r="AB78">
        <v>7796.0174310000002</v>
      </c>
      <c r="AC78">
        <v>23876.00734</v>
      </c>
      <c r="AD78">
        <v>39201.378120000001</v>
      </c>
      <c r="AE78">
        <v>84152.557140000004</v>
      </c>
      <c r="AF78">
        <v>2758.3711960000001</v>
      </c>
      <c r="AG78">
        <v>382896.19530000002</v>
      </c>
      <c r="AH78">
        <v>109993.1554</v>
      </c>
      <c r="AI78">
        <v>128952.3714</v>
      </c>
      <c r="AJ78">
        <v>830334.26740000001</v>
      </c>
    </row>
    <row r="79" spans="1:36" x14ac:dyDescent="0.2">
      <c r="A79" t="s">
        <v>605</v>
      </c>
      <c r="B79" s="1" t="s">
        <v>727</v>
      </c>
      <c r="C79" t="s">
        <v>147</v>
      </c>
      <c r="D79" t="s">
        <v>453</v>
      </c>
      <c r="E79" t="s">
        <v>461</v>
      </c>
      <c r="F79" t="s">
        <v>462</v>
      </c>
      <c r="G79" s="2">
        <v>35769</v>
      </c>
      <c r="H79" s="2">
        <v>44182</v>
      </c>
      <c r="I79" s="2" t="str">
        <f t="shared" si="5"/>
        <v>TRUE</v>
      </c>
      <c r="J79" s="12" t="s">
        <v>147</v>
      </c>
      <c r="K79">
        <f t="shared" si="4"/>
        <v>23</v>
      </c>
      <c r="L79">
        <v>2</v>
      </c>
      <c r="M79" t="s">
        <v>456</v>
      </c>
      <c r="N79">
        <v>282</v>
      </c>
      <c r="O79">
        <v>1</v>
      </c>
      <c r="P79" s="12">
        <v>1</v>
      </c>
      <c r="Q79" s="12">
        <v>2</v>
      </c>
      <c r="R79" s="13">
        <v>1</v>
      </c>
      <c r="S79" s="13">
        <v>0</v>
      </c>
      <c r="T79" t="str">
        <f t="shared" si="6"/>
        <v>TRUE</v>
      </c>
      <c r="U79" t="s">
        <v>147</v>
      </c>
      <c r="V79">
        <v>176110.77660000001</v>
      </c>
      <c r="W79">
        <v>73971.884260000006</v>
      </c>
      <c r="X79">
        <v>2128983.9180000001</v>
      </c>
      <c r="Y79">
        <v>247836.6452</v>
      </c>
      <c r="Z79">
        <v>15381.673769999999</v>
      </c>
      <c r="AA79">
        <v>11798.87335</v>
      </c>
      <c r="AB79">
        <v>67222.094589999993</v>
      </c>
      <c r="AC79">
        <v>27915.202959999999</v>
      </c>
      <c r="AD79">
        <v>41788.003400000001</v>
      </c>
      <c r="AE79">
        <v>94128.266820000004</v>
      </c>
      <c r="AF79">
        <v>8895.1660370000009</v>
      </c>
      <c r="AG79">
        <v>282061.89939999999</v>
      </c>
      <c r="AH79">
        <v>55097.081469999997</v>
      </c>
      <c r="AI79">
        <v>71733.091820000001</v>
      </c>
      <c r="AJ79">
        <v>1271444.098</v>
      </c>
    </row>
    <row r="80" spans="1:36" x14ac:dyDescent="0.2">
      <c r="A80" t="s">
        <v>606</v>
      </c>
      <c r="B80" s="1" t="s">
        <v>728</v>
      </c>
      <c r="C80" t="s">
        <v>429</v>
      </c>
      <c r="D80" t="s">
        <v>453</v>
      </c>
      <c r="E80" t="s">
        <v>461</v>
      </c>
      <c r="F80" t="s">
        <v>462</v>
      </c>
      <c r="G80" s="2">
        <v>28094</v>
      </c>
      <c r="H80" s="2">
        <v>44251</v>
      </c>
      <c r="I80" s="2" t="str">
        <f t="shared" si="5"/>
        <v>TRUE</v>
      </c>
      <c r="J80" s="12" t="s">
        <v>429</v>
      </c>
      <c r="K80">
        <f t="shared" si="4"/>
        <v>44</v>
      </c>
      <c r="L80">
        <v>2</v>
      </c>
      <c r="M80" t="s">
        <v>451</v>
      </c>
      <c r="N80">
        <v>20</v>
      </c>
      <c r="O80">
        <v>0</v>
      </c>
      <c r="P80" s="12">
        <v>1</v>
      </c>
      <c r="Q80" s="12">
        <v>2</v>
      </c>
      <c r="R80" s="13">
        <v>3</v>
      </c>
      <c r="S80" s="13">
        <v>1</v>
      </c>
      <c r="T80" t="str">
        <f t="shared" si="6"/>
        <v>TRUE</v>
      </c>
      <c r="U80" t="s">
        <v>429</v>
      </c>
      <c r="V80">
        <v>65674.750419999997</v>
      </c>
      <c r="W80">
        <v>421264.04969999997</v>
      </c>
      <c r="X80">
        <v>512138.255</v>
      </c>
      <c r="Y80">
        <v>102018.9002</v>
      </c>
      <c r="Z80">
        <v>102317.2473</v>
      </c>
      <c r="AA80">
        <v>37543.736980000001</v>
      </c>
      <c r="AB80">
        <v>2545.7276729999999</v>
      </c>
      <c r="AC80">
        <v>66221.425220000005</v>
      </c>
      <c r="AD80">
        <v>129129.7084</v>
      </c>
      <c r="AE80">
        <v>195744.16</v>
      </c>
      <c r="AF80">
        <v>2455.9504010000001</v>
      </c>
      <c r="AG80">
        <v>1394936.692</v>
      </c>
      <c r="AH80">
        <v>13709.900180000001</v>
      </c>
      <c r="AI80">
        <v>0</v>
      </c>
      <c r="AJ80">
        <v>336979.2316</v>
      </c>
    </row>
    <row r="81" spans="1:36" x14ac:dyDescent="0.2">
      <c r="A81" t="s">
        <v>607</v>
      </c>
      <c r="B81" t="s">
        <v>725</v>
      </c>
      <c r="C81" t="s">
        <v>67</v>
      </c>
      <c r="D81" t="s">
        <v>453</v>
      </c>
      <c r="E81" t="s">
        <v>461</v>
      </c>
      <c r="F81" t="s">
        <v>455</v>
      </c>
      <c r="G81" s="2">
        <v>34311</v>
      </c>
      <c r="H81" s="2">
        <v>44259</v>
      </c>
      <c r="I81" s="2" t="str">
        <f t="shared" si="5"/>
        <v>TRUE</v>
      </c>
      <c r="J81" s="12" t="s">
        <v>67</v>
      </c>
      <c r="K81">
        <f t="shared" si="4"/>
        <v>27</v>
      </c>
      <c r="L81">
        <v>2</v>
      </c>
      <c r="M81" t="s">
        <v>451</v>
      </c>
      <c r="N81">
        <v>1826</v>
      </c>
      <c r="O81">
        <v>6</v>
      </c>
      <c r="P81" s="12">
        <v>0</v>
      </c>
      <c r="Q81" s="12">
        <v>2</v>
      </c>
      <c r="R81" s="13">
        <v>1</v>
      </c>
      <c r="S81" s="13">
        <v>0</v>
      </c>
      <c r="T81" t="str">
        <f t="shared" si="6"/>
        <v>TRUE</v>
      </c>
      <c r="U81" t="s">
        <v>67</v>
      </c>
      <c r="V81">
        <v>442640.02850000001</v>
      </c>
      <c r="W81">
        <v>203810.55600000001</v>
      </c>
      <c r="X81">
        <v>1274551.429</v>
      </c>
      <c r="Y81">
        <v>217491.9149</v>
      </c>
      <c r="Z81">
        <v>12168.884309999999</v>
      </c>
      <c r="AA81">
        <v>3927.2685689999998</v>
      </c>
      <c r="AB81">
        <v>14134.968779999999</v>
      </c>
      <c r="AC81">
        <v>75064.183640000003</v>
      </c>
      <c r="AD81">
        <v>58897.431530000002</v>
      </c>
      <c r="AE81">
        <v>321749.24910000002</v>
      </c>
      <c r="AF81">
        <v>26419.729380000001</v>
      </c>
      <c r="AG81">
        <v>222690.41680000001</v>
      </c>
      <c r="AH81">
        <v>150418.3529</v>
      </c>
      <c r="AI81">
        <v>214433.43969999999</v>
      </c>
      <c r="AJ81">
        <v>1217104.7509999999</v>
      </c>
    </row>
    <row r="82" spans="1:36" x14ac:dyDescent="0.2">
      <c r="A82" t="s">
        <v>608</v>
      </c>
      <c r="B82" s="1" t="s">
        <v>722</v>
      </c>
      <c r="C82" t="s">
        <v>82</v>
      </c>
      <c r="D82" t="s">
        <v>453</v>
      </c>
      <c r="E82" t="s">
        <v>461</v>
      </c>
      <c r="F82" t="s">
        <v>462</v>
      </c>
      <c r="G82" s="2">
        <v>23988</v>
      </c>
      <c r="H82" s="2">
        <v>44264</v>
      </c>
      <c r="I82" s="2" t="str">
        <f t="shared" si="5"/>
        <v>TRUE</v>
      </c>
      <c r="J82" s="12" t="s">
        <v>82</v>
      </c>
      <c r="K82">
        <f t="shared" si="4"/>
        <v>55</v>
      </c>
      <c r="L82">
        <v>2</v>
      </c>
      <c r="M82" t="s">
        <v>456</v>
      </c>
      <c r="N82">
        <v>57</v>
      </c>
      <c r="O82">
        <v>1</v>
      </c>
      <c r="P82" s="12">
        <v>1</v>
      </c>
      <c r="Q82" s="12">
        <v>2</v>
      </c>
      <c r="R82" s="13">
        <v>0</v>
      </c>
      <c r="S82" s="13">
        <v>0</v>
      </c>
      <c r="T82" t="str">
        <f t="shared" si="6"/>
        <v>TRUE</v>
      </c>
      <c r="U82" t="s">
        <v>82</v>
      </c>
      <c r="V82">
        <v>569210.8003</v>
      </c>
      <c r="W82">
        <v>316270.37890000001</v>
      </c>
      <c r="X82">
        <v>897344.90260000003</v>
      </c>
      <c r="Y82">
        <v>372972.14649999997</v>
      </c>
      <c r="Z82">
        <v>298675.8346</v>
      </c>
      <c r="AA82">
        <v>80810.678700000004</v>
      </c>
      <c r="AB82">
        <v>16948.251110000001</v>
      </c>
      <c r="AC82">
        <v>10708.265520000001</v>
      </c>
      <c r="AD82">
        <v>34379.138619999998</v>
      </c>
      <c r="AE82">
        <v>50702.954709999998</v>
      </c>
      <c r="AF82">
        <v>2817.010303</v>
      </c>
      <c r="AG82">
        <v>210048.14129999999</v>
      </c>
      <c r="AH82">
        <v>223571.61960000001</v>
      </c>
      <c r="AI82">
        <v>77293.336869999999</v>
      </c>
      <c r="AJ82">
        <v>485128.72840000002</v>
      </c>
    </row>
  </sheetData>
  <sortState xmlns:xlrd2="http://schemas.microsoft.com/office/spreadsheetml/2017/richdata2" ref="A2:O82">
    <sortCondition ref="C2:C82"/>
  </sortState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I45"/>
  <sheetViews>
    <sheetView workbookViewId="0">
      <pane ySplit="1" topLeftCell="A2" activePane="bottomLeft" state="frozen"/>
      <selection pane="bottomLeft" activeCell="R2" sqref="R2:R45"/>
    </sheetView>
  </sheetViews>
  <sheetFormatPr baseColWidth="10" defaultRowHeight="16" x14ac:dyDescent="0.2"/>
  <sheetData>
    <row r="1" spans="1:35" s="7" customFormat="1" x14ac:dyDescent="0.2">
      <c r="A1" s="7" t="s">
        <v>667</v>
      </c>
      <c r="B1" s="7" t="s">
        <v>731</v>
      </c>
      <c r="C1" s="7" t="s">
        <v>668</v>
      </c>
      <c r="D1" s="7" t="s">
        <v>669</v>
      </c>
      <c r="E1" s="7" t="s">
        <v>670</v>
      </c>
      <c r="F1" s="7" t="s">
        <v>671</v>
      </c>
      <c r="G1" s="7" t="s">
        <v>729</v>
      </c>
      <c r="H1" s="7" t="s">
        <v>672</v>
      </c>
      <c r="I1" s="7" t="s">
        <v>673</v>
      </c>
      <c r="J1" s="7" t="s">
        <v>674</v>
      </c>
      <c r="K1" s="7" t="s">
        <v>675</v>
      </c>
      <c r="L1" s="7" t="s">
        <v>676</v>
      </c>
      <c r="M1" s="7" t="s">
        <v>677</v>
      </c>
      <c r="N1" s="7" t="s">
        <v>678</v>
      </c>
      <c r="O1" s="7" t="s">
        <v>689</v>
      </c>
      <c r="P1" s="7" t="s">
        <v>686</v>
      </c>
      <c r="Q1" s="7" t="s">
        <v>687</v>
      </c>
      <c r="R1" s="7" t="s">
        <v>688</v>
      </c>
      <c r="S1" s="7" t="s">
        <v>679</v>
      </c>
      <c r="T1" s="7" t="s">
        <v>685</v>
      </c>
      <c r="U1" s="7" t="s">
        <v>3</v>
      </c>
      <c r="V1" s="7" t="s">
        <v>4</v>
      </c>
      <c r="W1" s="7" t="s">
        <v>5</v>
      </c>
      <c r="X1" s="7" t="s">
        <v>6</v>
      </c>
      <c r="Y1" s="7" t="s">
        <v>7</v>
      </c>
      <c r="Z1" s="7" t="s">
        <v>8</v>
      </c>
      <c r="AA1" s="7" t="s">
        <v>9</v>
      </c>
      <c r="AB1" s="7" t="s">
        <v>10</v>
      </c>
      <c r="AC1" s="7" t="s">
        <v>11</v>
      </c>
      <c r="AD1" s="7" t="s">
        <v>12</v>
      </c>
      <c r="AE1" s="7" t="s">
        <v>13</v>
      </c>
      <c r="AF1" s="7" t="s">
        <v>14</v>
      </c>
      <c r="AG1" s="7" t="s">
        <v>15</v>
      </c>
      <c r="AH1" s="7" t="s">
        <v>16</v>
      </c>
      <c r="AI1" s="7" t="s">
        <v>17</v>
      </c>
    </row>
    <row r="2" spans="1:35" x14ac:dyDescent="0.2">
      <c r="A2" t="s">
        <v>529</v>
      </c>
      <c r="B2" t="s">
        <v>708</v>
      </c>
      <c r="C2" t="s">
        <v>344</v>
      </c>
      <c r="D2" t="s">
        <v>453</v>
      </c>
      <c r="E2" t="s">
        <v>454</v>
      </c>
      <c r="F2" t="s">
        <v>455</v>
      </c>
      <c r="G2" t="s">
        <v>455</v>
      </c>
      <c r="H2" s="2">
        <v>34403</v>
      </c>
      <c r="I2" s="2">
        <v>43627</v>
      </c>
      <c r="J2">
        <f t="shared" ref="J2:J45" si="0">DATEDIF(H2,I2,"Y")</f>
        <v>25</v>
      </c>
      <c r="K2">
        <v>1</v>
      </c>
      <c r="L2" t="s">
        <v>456</v>
      </c>
      <c r="M2">
        <v>667</v>
      </c>
      <c r="N2">
        <v>6</v>
      </c>
      <c r="O2">
        <v>0</v>
      </c>
      <c r="P2" s="12">
        <v>1</v>
      </c>
      <c r="Q2" s="13">
        <v>0</v>
      </c>
      <c r="R2" s="13">
        <v>1</v>
      </c>
      <c r="S2" t="str">
        <f t="shared" ref="S2:S45" si="1">IF(C2=T2,"TRUE","FALSE")</f>
        <v>TRUE</v>
      </c>
      <c r="T2" t="s">
        <v>344</v>
      </c>
      <c r="U2">
        <v>295056.75300000003</v>
      </c>
      <c r="V2">
        <v>14798.830089999999</v>
      </c>
      <c r="W2">
        <v>378540.4155</v>
      </c>
      <c r="X2">
        <v>517942.24239999999</v>
      </c>
      <c r="Y2">
        <v>129441.4749</v>
      </c>
      <c r="Z2">
        <v>12313.303089999999</v>
      </c>
      <c r="AA2">
        <v>1711.544639</v>
      </c>
      <c r="AB2">
        <v>53235.927179999999</v>
      </c>
      <c r="AC2">
        <v>26672.279159999998</v>
      </c>
      <c r="AD2">
        <v>118956.1275</v>
      </c>
      <c r="AE2">
        <v>2337.4223029999998</v>
      </c>
      <c r="AF2">
        <v>106882.91220000001</v>
      </c>
      <c r="AG2">
        <v>20749.629110000002</v>
      </c>
      <c r="AH2">
        <v>72442.759829999995</v>
      </c>
      <c r="AI2">
        <v>205248.80929999999</v>
      </c>
    </row>
    <row r="3" spans="1:35" x14ac:dyDescent="0.2">
      <c r="A3" t="s">
        <v>622</v>
      </c>
      <c r="B3" t="s">
        <v>708</v>
      </c>
      <c r="C3" t="s">
        <v>348</v>
      </c>
      <c r="D3" t="s">
        <v>453</v>
      </c>
      <c r="E3" t="s">
        <v>454</v>
      </c>
      <c r="F3" t="s">
        <v>455</v>
      </c>
      <c r="G3" t="s">
        <v>730</v>
      </c>
      <c r="H3" s="2">
        <v>34403</v>
      </c>
      <c r="I3" s="2">
        <v>43664</v>
      </c>
      <c r="J3">
        <f t="shared" si="0"/>
        <v>25</v>
      </c>
      <c r="K3">
        <v>2</v>
      </c>
      <c r="L3" t="s">
        <v>456</v>
      </c>
      <c r="M3">
        <v>312</v>
      </c>
      <c r="N3">
        <v>3</v>
      </c>
      <c r="O3">
        <v>0</v>
      </c>
      <c r="P3" s="12">
        <v>1</v>
      </c>
      <c r="Q3">
        <v>0</v>
      </c>
      <c r="R3">
        <v>1</v>
      </c>
      <c r="S3" t="str">
        <f t="shared" si="1"/>
        <v>TRUE</v>
      </c>
      <c r="T3" t="s">
        <v>348</v>
      </c>
      <c r="U3">
        <v>406108.87050000002</v>
      </c>
      <c r="V3">
        <v>87607.770560000004</v>
      </c>
      <c r="W3">
        <v>882641.94110000005</v>
      </c>
      <c r="X3">
        <v>1374393.7390000001</v>
      </c>
      <c r="Y3">
        <v>7628.9076340000001</v>
      </c>
      <c r="Z3">
        <v>10625.16353</v>
      </c>
      <c r="AA3">
        <v>2572.3435159999999</v>
      </c>
      <c r="AB3">
        <v>25541.34002</v>
      </c>
      <c r="AC3">
        <v>23620.181919999999</v>
      </c>
      <c r="AD3">
        <v>57637.05399</v>
      </c>
      <c r="AE3">
        <v>6030.6352479999996</v>
      </c>
      <c r="AF3">
        <v>123548.42479999999</v>
      </c>
      <c r="AG3">
        <v>16870.08684</v>
      </c>
      <c r="AH3">
        <v>53473.121019999999</v>
      </c>
      <c r="AI3">
        <v>432850.70789999998</v>
      </c>
    </row>
    <row r="4" spans="1:35" x14ac:dyDescent="0.2">
      <c r="A4" t="s">
        <v>631</v>
      </c>
      <c r="B4" t="s">
        <v>708</v>
      </c>
      <c r="C4" t="s">
        <v>337</v>
      </c>
      <c r="D4" t="s">
        <v>453</v>
      </c>
      <c r="E4" t="s">
        <v>454</v>
      </c>
      <c r="F4" t="s">
        <v>455</v>
      </c>
      <c r="G4" t="s">
        <v>730</v>
      </c>
      <c r="H4" s="2">
        <v>34403</v>
      </c>
      <c r="I4" s="2">
        <v>43690</v>
      </c>
      <c r="J4">
        <f t="shared" si="0"/>
        <v>25</v>
      </c>
      <c r="K4">
        <v>3</v>
      </c>
      <c r="L4" t="s">
        <v>456</v>
      </c>
      <c r="M4">
        <v>3772</v>
      </c>
      <c r="N4">
        <v>7</v>
      </c>
      <c r="O4">
        <v>0</v>
      </c>
      <c r="P4" s="12">
        <v>1</v>
      </c>
      <c r="Q4">
        <v>0</v>
      </c>
      <c r="R4">
        <v>1</v>
      </c>
      <c r="S4" t="str">
        <f t="shared" si="1"/>
        <v>TRUE</v>
      </c>
      <c r="T4" t="s">
        <v>337</v>
      </c>
      <c r="U4">
        <v>812479.81409999996</v>
      </c>
      <c r="V4">
        <v>16081.03851</v>
      </c>
      <c r="W4">
        <v>1321750.925</v>
      </c>
      <c r="X4">
        <v>1680006.7339999999</v>
      </c>
      <c r="Y4">
        <v>13177.03095</v>
      </c>
      <c r="Z4">
        <v>15976.14057</v>
      </c>
      <c r="AA4">
        <v>3378.9155799999999</v>
      </c>
      <c r="AB4">
        <v>46153.494939999997</v>
      </c>
      <c r="AC4">
        <v>33091.879710000001</v>
      </c>
      <c r="AD4">
        <v>28577.147420000001</v>
      </c>
      <c r="AE4">
        <v>13427.946749999999</v>
      </c>
      <c r="AF4">
        <v>37212.505700000002</v>
      </c>
      <c r="AG4">
        <v>24619.55487</v>
      </c>
      <c r="AH4">
        <v>93374.099130000002</v>
      </c>
      <c r="AI4">
        <v>1299413.5549999999</v>
      </c>
    </row>
    <row r="5" spans="1:35" x14ac:dyDescent="0.2">
      <c r="A5" t="s">
        <v>634</v>
      </c>
      <c r="B5" t="s">
        <v>708</v>
      </c>
      <c r="C5" t="s">
        <v>346</v>
      </c>
      <c r="D5" t="s">
        <v>453</v>
      </c>
      <c r="E5" t="s">
        <v>454</v>
      </c>
      <c r="F5" t="s">
        <v>455</v>
      </c>
      <c r="G5" t="s">
        <v>730</v>
      </c>
      <c r="H5" s="2">
        <v>34403</v>
      </c>
      <c r="I5" s="2">
        <v>43718</v>
      </c>
      <c r="J5">
        <f t="shared" si="0"/>
        <v>25</v>
      </c>
      <c r="K5">
        <v>4</v>
      </c>
      <c r="L5" t="s">
        <v>456</v>
      </c>
      <c r="M5">
        <v>904</v>
      </c>
      <c r="N5">
        <v>5</v>
      </c>
      <c r="O5">
        <v>0</v>
      </c>
      <c r="P5" s="12">
        <v>1</v>
      </c>
      <c r="Q5">
        <v>0</v>
      </c>
      <c r="R5">
        <v>1</v>
      </c>
      <c r="S5" t="str">
        <f t="shared" si="1"/>
        <v>TRUE</v>
      </c>
      <c r="T5" t="s">
        <v>346</v>
      </c>
      <c r="U5">
        <v>151690.90429999999</v>
      </c>
      <c r="V5">
        <v>61680.697979999997</v>
      </c>
      <c r="W5">
        <v>326239.17239999998</v>
      </c>
      <c r="X5">
        <v>503535.65909999999</v>
      </c>
      <c r="Y5">
        <v>44820.787300000004</v>
      </c>
      <c r="Z5">
        <v>13110.935740000001</v>
      </c>
      <c r="AA5">
        <v>2678.8638430000001</v>
      </c>
      <c r="AB5">
        <v>13831.78607</v>
      </c>
      <c r="AC5">
        <v>26011.286329999999</v>
      </c>
      <c r="AD5">
        <v>88397.105859999996</v>
      </c>
      <c r="AE5">
        <v>2515.593914</v>
      </c>
      <c r="AF5">
        <v>31034.855029999999</v>
      </c>
      <c r="AG5">
        <v>9634.7556989999994</v>
      </c>
      <c r="AH5">
        <v>43390.146580000001</v>
      </c>
      <c r="AI5">
        <v>270870.95760000002</v>
      </c>
    </row>
    <row r="6" spans="1:35" x14ac:dyDescent="0.2">
      <c r="A6" t="s">
        <v>546</v>
      </c>
      <c r="B6" t="s">
        <v>709</v>
      </c>
      <c r="C6" t="s">
        <v>402</v>
      </c>
      <c r="D6" t="s">
        <v>453</v>
      </c>
      <c r="E6" t="s">
        <v>461</v>
      </c>
      <c r="F6" t="s">
        <v>462</v>
      </c>
      <c r="G6" t="s">
        <v>455</v>
      </c>
      <c r="H6" s="2">
        <v>29943</v>
      </c>
      <c r="I6" s="2">
        <v>43733</v>
      </c>
      <c r="J6">
        <f t="shared" si="0"/>
        <v>37</v>
      </c>
      <c r="K6" s="5">
        <v>1</v>
      </c>
      <c r="L6" t="s">
        <v>451</v>
      </c>
      <c r="M6">
        <v>11409</v>
      </c>
      <c r="N6">
        <v>10</v>
      </c>
      <c r="O6">
        <v>0</v>
      </c>
      <c r="P6" s="12">
        <v>3</v>
      </c>
      <c r="Q6" s="13">
        <v>1</v>
      </c>
      <c r="R6" s="13">
        <v>0</v>
      </c>
      <c r="S6" t="str">
        <f t="shared" si="1"/>
        <v>TRUE</v>
      </c>
      <c r="T6" t="s">
        <v>402</v>
      </c>
      <c r="U6">
        <v>185021.33780000001</v>
      </c>
      <c r="V6">
        <v>1746899.5090000001</v>
      </c>
      <c r="W6">
        <v>1599829.0560000001</v>
      </c>
      <c r="X6">
        <v>160921.20069999999</v>
      </c>
      <c r="Y6">
        <v>46450.225960000003</v>
      </c>
      <c r="Z6">
        <v>21103.563150000002</v>
      </c>
      <c r="AA6">
        <v>2117.8759789999999</v>
      </c>
      <c r="AB6">
        <v>39179.330139999998</v>
      </c>
      <c r="AC6">
        <v>83685.167419999998</v>
      </c>
      <c r="AD6">
        <v>31475.859100000001</v>
      </c>
      <c r="AE6">
        <v>3957.4913449999999</v>
      </c>
      <c r="AF6">
        <v>4412726.7640000004</v>
      </c>
      <c r="AG6">
        <v>146626.13589999999</v>
      </c>
      <c r="AH6">
        <v>254427.30379999999</v>
      </c>
      <c r="AI6">
        <v>959706.44900000002</v>
      </c>
    </row>
    <row r="7" spans="1:35" x14ac:dyDescent="0.2">
      <c r="A7" t="s">
        <v>654</v>
      </c>
      <c r="B7" t="s">
        <v>709</v>
      </c>
      <c r="C7" t="s">
        <v>404</v>
      </c>
      <c r="D7" t="s">
        <v>453</v>
      </c>
      <c r="E7" t="s">
        <v>461</v>
      </c>
      <c r="F7" t="s">
        <v>462</v>
      </c>
      <c r="G7" t="s">
        <v>730</v>
      </c>
      <c r="H7" s="2">
        <v>29943</v>
      </c>
      <c r="I7" s="2">
        <v>43896</v>
      </c>
      <c r="J7">
        <f t="shared" si="0"/>
        <v>38</v>
      </c>
      <c r="K7">
        <v>2</v>
      </c>
      <c r="L7" t="s">
        <v>451</v>
      </c>
      <c r="M7">
        <v>1144</v>
      </c>
      <c r="N7">
        <v>5</v>
      </c>
      <c r="O7">
        <v>0</v>
      </c>
      <c r="P7" s="12">
        <v>3</v>
      </c>
      <c r="Q7">
        <v>1</v>
      </c>
      <c r="R7">
        <v>0</v>
      </c>
      <c r="S7" t="str">
        <f t="shared" si="1"/>
        <v>TRUE</v>
      </c>
      <c r="T7" t="s">
        <v>404</v>
      </c>
      <c r="U7">
        <v>151754.75599999999</v>
      </c>
      <c r="V7">
        <v>143619.94620000001</v>
      </c>
      <c r="W7">
        <v>1909732.5830000001</v>
      </c>
      <c r="X7">
        <v>97794.671279999995</v>
      </c>
      <c r="Y7">
        <v>161982.3719</v>
      </c>
      <c r="Z7">
        <v>13579.76484</v>
      </c>
      <c r="AA7">
        <v>2315.01782</v>
      </c>
      <c r="AB7">
        <v>42783.136760000001</v>
      </c>
      <c r="AC7">
        <v>69886.266570000007</v>
      </c>
      <c r="AD7">
        <v>115191.83040000001</v>
      </c>
      <c r="AE7">
        <v>2118.231546</v>
      </c>
      <c r="AF7">
        <v>89829.923280000003</v>
      </c>
      <c r="AG7">
        <v>71358.367589999994</v>
      </c>
      <c r="AH7">
        <v>198583.01819999999</v>
      </c>
      <c r="AI7">
        <v>1256139.101</v>
      </c>
    </row>
    <row r="8" spans="1:35" x14ac:dyDescent="0.2">
      <c r="A8" t="s">
        <v>657</v>
      </c>
      <c r="B8" t="s">
        <v>709</v>
      </c>
      <c r="C8" t="s">
        <v>395</v>
      </c>
      <c r="D8" t="s">
        <v>453</v>
      </c>
      <c r="E8" t="s">
        <v>461</v>
      </c>
      <c r="F8" t="s">
        <v>462</v>
      </c>
      <c r="G8" t="s">
        <v>730</v>
      </c>
      <c r="H8" s="2">
        <v>29943</v>
      </c>
      <c r="I8" s="2">
        <v>44011</v>
      </c>
      <c r="J8">
        <f t="shared" si="0"/>
        <v>38</v>
      </c>
      <c r="K8">
        <v>3</v>
      </c>
      <c r="L8" t="s">
        <v>451</v>
      </c>
      <c r="M8">
        <v>20</v>
      </c>
      <c r="N8">
        <v>0</v>
      </c>
      <c r="O8">
        <v>0</v>
      </c>
      <c r="P8" s="12">
        <v>3</v>
      </c>
      <c r="Q8">
        <v>1</v>
      </c>
      <c r="R8">
        <v>0</v>
      </c>
      <c r="S8" t="str">
        <f t="shared" si="1"/>
        <v>TRUE</v>
      </c>
      <c r="T8" t="s">
        <v>395</v>
      </c>
      <c r="U8">
        <v>381191.076</v>
      </c>
      <c r="V8">
        <v>104570.2804</v>
      </c>
      <c r="W8">
        <v>2833999.5430000001</v>
      </c>
      <c r="X8">
        <v>317337.09980000003</v>
      </c>
      <c r="Y8">
        <v>74422.331229999996</v>
      </c>
      <c r="Z8">
        <v>12758.23918</v>
      </c>
      <c r="AA8">
        <v>2797.3572359999998</v>
      </c>
      <c r="AB8">
        <v>37711.277750000001</v>
      </c>
      <c r="AC8">
        <v>140156.84169999999</v>
      </c>
      <c r="AD8">
        <v>141733.10750000001</v>
      </c>
      <c r="AE8">
        <v>217045.91029999999</v>
      </c>
      <c r="AF8">
        <v>280662.76049999997</v>
      </c>
      <c r="AG8">
        <v>72530.089080000005</v>
      </c>
      <c r="AH8">
        <v>182000.17720000001</v>
      </c>
      <c r="AI8">
        <v>3801144.6030000001</v>
      </c>
    </row>
    <row r="9" spans="1:35" x14ac:dyDescent="0.2">
      <c r="A9" t="s">
        <v>534</v>
      </c>
      <c r="B9" t="s">
        <v>732</v>
      </c>
      <c r="C9" t="s">
        <v>63</v>
      </c>
      <c r="D9" t="s">
        <v>464</v>
      </c>
      <c r="E9" t="s">
        <v>465</v>
      </c>
      <c r="F9" t="s">
        <v>462</v>
      </c>
      <c r="G9" t="s">
        <v>455</v>
      </c>
      <c r="H9" s="2">
        <v>22293</v>
      </c>
      <c r="I9" s="2">
        <v>43657</v>
      </c>
      <c r="J9">
        <f t="shared" si="0"/>
        <v>58</v>
      </c>
      <c r="K9">
        <v>1</v>
      </c>
      <c r="L9" t="s">
        <v>456</v>
      </c>
      <c r="M9">
        <v>1013</v>
      </c>
      <c r="N9">
        <v>8</v>
      </c>
      <c r="O9">
        <v>1</v>
      </c>
      <c r="P9">
        <v>2</v>
      </c>
      <c r="Q9">
        <v>1</v>
      </c>
      <c r="R9">
        <v>0</v>
      </c>
      <c r="S9" t="str">
        <f t="shared" si="1"/>
        <v>TRUE</v>
      </c>
      <c r="T9" t="s">
        <v>63</v>
      </c>
      <c r="U9">
        <v>66439.568849999996</v>
      </c>
      <c r="V9">
        <v>1841823.8910000001</v>
      </c>
      <c r="W9">
        <v>510892.79869999998</v>
      </c>
      <c r="X9">
        <v>171947.1574</v>
      </c>
      <c r="Y9">
        <v>143183.13800000001</v>
      </c>
      <c r="Z9">
        <v>30900.341179999999</v>
      </c>
      <c r="AA9">
        <v>105153.32279999999</v>
      </c>
      <c r="AB9">
        <v>69008.479609999995</v>
      </c>
      <c r="AC9">
        <v>31462.779170000002</v>
      </c>
      <c r="AD9">
        <v>51894.700290000001</v>
      </c>
      <c r="AE9">
        <v>3994.054427</v>
      </c>
      <c r="AF9">
        <v>690567.56920000003</v>
      </c>
      <c r="AG9">
        <v>44358.568930000001</v>
      </c>
      <c r="AH9">
        <v>6271.6364460000004</v>
      </c>
      <c r="AI9">
        <v>93372.258449999994</v>
      </c>
    </row>
    <row r="10" spans="1:35" x14ac:dyDescent="0.2">
      <c r="A10" t="s">
        <v>580</v>
      </c>
      <c r="B10" t="s">
        <v>732</v>
      </c>
      <c r="C10" t="s">
        <v>65</v>
      </c>
      <c r="D10" t="s">
        <v>464</v>
      </c>
      <c r="E10" t="s">
        <v>465</v>
      </c>
      <c r="F10" t="s">
        <v>462</v>
      </c>
      <c r="G10" t="s">
        <v>730</v>
      </c>
      <c r="H10" s="2">
        <v>22293</v>
      </c>
      <c r="I10" s="2">
        <v>43754</v>
      </c>
      <c r="J10">
        <f t="shared" si="0"/>
        <v>58</v>
      </c>
      <c r="K10">
        <v>2</v>
      </c>
      <c r="L10" t="s">
        <v>456</v>
      </c>
      <c r="M10">
        <v>254</v>
      </c>
      <c r="N10">
        <v>2</v>
      </c>
      <c r="O10">
        <v>1</v>
      </c>
      <c r="P10">
        <v>2</v>
      </c>
      <c r="Q10" s="14">
        <v>1</v>
      </c>
      <c r="R10" s="14">
        <v>0</v>
      </c>
      <c r="S10" t="str">
        <f t="shared" si="1"/>
        <v>TRUE</v>
      </c>
      <c r="T10" t="s">
        <v>65</v>
      </c>
      <c r="U10">
        <v>237950.04670000001</v>
      </c>
      <c r="V10">
        <v>200968.45050000001</v>
      </c>
      <c r="W10">
        <v>390997.10950000002</v>
      </c>
      <c r="X10">
        <v>272774.1973</v>
      </c>
      <c r="Y10">
        <v>343419.89799999999</v>
      </c>
      <c r="Z10">
        <v>31881.724839999999</v>
      </c>
      <c r="AA10">
        <v>27288.726119999999</v>
      </c>
      <c r="AB10">
        <v>24609.687180000001</v>
      </c>
      <c r="AC10">
        <v>25521.182680000002</v>
      </c>
      <c r="AD10">
        <v>44209.2644</v>
      </c>
      <c r="AE10">
        <v>3360.4645609999998</v>
      </c>
      <c r="AF10">
        <v>244229.98850000001</v>
      </c>
      <c r="AG10">
        <v>228245.2261</v>
      </c>
      <c r="AH10">
        <v>43114.0461</v>
      </c>
      <c r="AI10">
        <v>93639.250400000004</v>
      </c>
    </row>
    <row r="11" spans="1:35" x14ac:dyDescent="0.2">
      <c r="A11" t="s">
        <v>601</v>
      </c>
      <c r="B11" t="s">
        <v>732</v>
      </c>
      <c r="C11" t="s">
        <v>61</v>
      </c>
      <c r="D11" t="s">
        <v>464</v>
      </c>
      <c r="E11" t="s">
        <v>465</v>
      </c>
      <c r="F11" t="s">
        <v>462</v>
      </c>
      <c r="G11" t="s">
        <v>730</v>
      </c>
      <c r="H11" s="2">
        <v>22293</v>
      </c>
      <c r="I11" s="2">
        <v>43788</v>
      </c>
      <c r="J11">
        <f t="shared" si="0"/>
        <v>58</v>
      </c>
      <c r="K11">
        <v>3</v>
      </c>
      <c r="L11" t="s">
        <v>456</v>
      </c>
      <c r="M11">
        <v>467</v>
      </c>
      <c r="N11">
        <v>1</v>
      </c>
      <c r="O11">
        <v>1</v>
      </c>
      <c r="P11">
        <v>2</v>
      </c>
      <c r="Q11" s="14">
        <v>1</v>
      </c>
      <c r="R11" s="14">
        <v>0</v>
      </c>
      <c r="S11" t="str">
        <f t="shared" si="1"/>
        <v>TRUE</v>
      </c>
      <c r="T11" t="s">
        <v>61</v>
      </c>
      <c r="U11">
        <v>74491.980179999999</v>
      </c>
      <c r="V11">
        <v>239847.31330000001</v>
      </c>
      <c r="W11">
        <v>1081800.7779999999</v>
      </c>
      <c r="X11">
        <v>108145.9648</v>
      </c>
      <c r="Y11">
        <v>78684.954639999996</v>
      </c>
      <c r="Z11">
        <v>15685.063889999999</v>
      </c>
      <c r="AA11">
        <v>3862.5519079999999</v>
      </c>
      <c r="AB11">
        <v>30695.416280000001</v>
      </c>
      <c r="AC11">
        <v>24426.092929999999</v>
      </c>
      <c r="AD11">
        <v>54657.73502</v>
      </c>
      <c r="AE11">
        <v>4345.9903340000001</v>
      </c>
      <c r="AF11">
        <v>415605.80930000002</v>
      </c>
      <c r="AG11">
        <v>37466.440190000001</v>
      </c>
      <c r="AH11">
        <v>31621.239989999998</v>
      </c>
      <c r="AI11">
        <v>202612.0576</v>
      </c>
    </row>
    <row r="12" spans="1:35" x14ac:dyDescent="0.2">
      <c r="A12" t="s">
        <v>646</v>
      </c>
      <c r="B12" t="s">
        <v>732</v>
      </c>
      <c r="C12" t="s">
        <v>59</v>
      </c>
      <c r="D12" t="s">
        <v>464</v>
      </c>
      <c r="E12" t="s">
        <v>465</v>
      </c>
      <c r="F12" t="s">
        <v>462</v>
      </c>
      <c r="G12" t="s">
        <v>730</v>
      </c>
      <c r="H12" s="2">
        <v>22293</v>
      </c>
      <c r="I12" s="2">
        <v>43816</v>
      </c>
      <c r="J12">
        <f t="shared" si="0"/>
        <v>58</v>
      </c>
      <c r="K12">
        <v>4</v>
      </c>
      <c r="L12" t="s">
        <v>456</v>
      </c>
      <c r="M12">
        <v>653</v>
      </c>
      <c r="N12">
        <v>0</v>
      </c>
      <c r="O12">
        <v>1</v>
      </c>
      <c r="P12">
        <v>2</v>
      </c>
      <c r="Q12" s="14">
        <v>1</v>
      </c>
      <c r="R12" s="14">
        <v>0</v>
      </c>
      <c r="S12" t="str">
        <f t="shared" si="1"/>
        <v>TRUE</v>
      </c>
      <c r="T12" t="s">
        <v>59</v>
      </c>
      <c r="U12">
        <v>81930.386100000003</v>
      </c>
      <c r="V12">
        <v>74580.825549999994</v>
      </c>
      <c r="W12">
        <v>906800.77890000003</v>
      </c>
      <c r="X12">
        <v>188188.09789999999</v>
      </c>
      <c r="Y12">
        <v>55479.098460000001</v>
      </c>
      <c r="Z12">
        <v>17124.050190000002</v>
      </c>
      <c r="AA12">
        <v>3210.3961060000001</v>
      </c>
      <c r="AB12">
        <v>22948.482489999999</v>
      </c>
      <c r="AC12">
        <v>23965.737450000001</v>
      </c>
      <c r="AD12">
        <v>43255.600109999999</v>
      </c>
      <c r="AE12">
        <v>4627.6285440000001</v>
      </c>
      <c r="AF12">
        <v>454586.3333</v>
      </c>
      <c r="AG12">
        <v>40419.6754</v>
      </c>
      <c r="AH12">
        <v>15004.71882</v>
      </c>
      <c r="AI12">
        <v>320020.766</v>
      </c>
    </row>
    <row r="13" spans="1:35" x14ac:dyDescent="0.2">
      <c r="A13" t="s">
        <v>535</v>
      </c>
      <c r="B13" t="s">
        <v>733</v>
      </c>
      <c r="C13" t="s">
        <v>387</v>
      </c>
      <c r="D13" t="s">
        <v>453</v>
      </c>
      <c r="E13" t="s">
        <v>454</v>
      </c>
      <c r="F13" t="s">
        <v>462</v>
      </c>
      <c r="G13" t="s">
        <v>455</v>
      </c>
      <c r="H13" s="2">
        <v>23568</v>
      </c>
      <c r="I13" s="2">
        <v>43658</v>
      </c>
      <c r="J13">
        <f t="shared" si="0"/>
        <v>55</v>
      </c>
      <c r="K13">
        <v>1</v>
      </c>
      <c r="L13" t="s">
        <v>451</v>
      </c>
      <c r="M13">
        <v>4750</v>
      </c>
      <c r="N13">
        <v>10</v>
      </c>
      <c r="O13">
        <v>0</v>
      </c>
      <c r="P13" s="12">
        <v>2</v>
      </c>
      <c r="Q13" s="14">
        <v>1</v>
      </c>
      <c r="R13" s="14">
        <v>0</v>
      </c>
      <c r="S13" t="str">
        <f t="shared" si="1"/>
        <v>TRUE</v>
      </c>
      <c r="T13" t="s">
        <v>387</v>
      </c>
      <c r="U13">
        <v>46004.114139999998</v>
      </c>
      <c r="V13">
        <v>84855.629079999999</v>
      </c>
      <c r="W13">
        <v>240010.37419999999</v>
      </c>
      <c r="X13">
        <v>99773.571909999999</v>
      </c>
      <c r="Y13">
        <v>127472.1058</v>
      </c>
      <c r="Z13">
        <v>27521.39443</v>
      </c>
      <c r="AA13">
        <v>3179.7370519999999</v>
      </c>
      <c r="AB13">
        <v>20969.486489999999</v>
      </c>
      <c r="AC13">
        <v>16805.972430000002</v>
      </c>
      <c r="AD13">
        <v>66654.956340000004</v>
      </c>
      <c r="AE13">
        <v>2263.4884689999999</v>
      </c>
      <c r="AF13">
        <v>566646.18489999999</v>
      </c>
      <c r="AG13">
        <v>8512.6505219999999</v>
      </c>
      <c r="AH13">
        <v>12367.572109999999</v>
      </c>
      <c r="AI13">
        <v>55731.791729999997</v>
      </c>
    </row>
    <row r="14" spans="1:35" x14ac:dyDescent="0.2">
      <c r="A14" t="s">
        <v>639</v>
      </c>
      <c r="B14" t="s">
        <v>733</v>
      </c>
      <c r="C14" t="s">
        <v>383</v>
      </c>
      <c r="D14" t="s">
        <v>453</v>
      </c>
      <c r="E14" t="s">
        <v>454</v>
      </c>
      <c r="F14" t="s">
        <v>462</v>
      </c>
      <c r="G14" t="s">
        <v>730</v>
      </c>
      <c r="H14" s="2">
        <v>23568</v>
      </c>
      <c r="I14" s="2">
        <v>43728</v>
      </c>
      <c r="J14">
        <f t="shared" si="0"/>
        <v>55</v>
      </c>
      <c r="K14">
        <v>3</v>
      </c>
      <c r="L14" t="s">
        <v>451</v>
      </c>
      <c r="M14">
        <v>15</v>
      </c>
      <c r="N14">
        <v>3</v>
      </c>
      <c r="O14">
        <v>0</v>
      </c>
      <c r="P14" s="12">
        <v>2</v>
      </c>
      <c r="Q14">
        <v>1</v>
      </c>
      <c r="R14">
        <v>0</v>
      </c>
      <c r="S14" t="str">
        <f t="shared" si="1"/>
        <v>TRUE</v>
      </c>
      <c r="T14" t="s">
        <v>383</v>
      </c>
      <c r="U14">
        <v>203037.1955</v>
      </c>
      <c r="V14">
        <v>82445.79969</v>
      </c>
      <c r="W14">
        <v>1463036.017</v>
      </c>
      <c r="X14">
        <v>63726.139719999999</v>
      </c>
      <c r="Y14">
        <v>59749.088309999999</v>
      </c>
      <c r="Z14">
        <v>10212.36429</v>
      </c>
      <c r="AA14">
        <v>6124.3813579999996</v>
      </c>
      <c r="AB14">
        <v>37366.801679999997</v>
      </c>
      <c r="AC14">
        <v>75213.617629999993</v>
      </c>
      <c r="AD14">
        <v>79171.866529999999</v>
      </c>
      <c r="AE14">
        <v>2088.7077640000002</v>
      </c>
      <c r="AF14">
        <v>325678.43410000001</v>
      </c>
      <c r="AG14">
        <v>49937.759169999998</v>
      </c>
      <c r="AH14">
        <v>80740.30442</v>
      </c>
      <c r="AI14">
        <v>481195.53110000002</v>
      </c>
    </row>
    <row r="15" spans="1:35" x14ac:dyDescent="0.2">
      <c r="A15" t="s">
        <v>570</v>
      </c>
      <c r="B15" t="s">
        <v>733</v>
      </c>
      <c r="C15" t="s">
        <v>389</v>
      </c>
      <c r="D15" t="s">
        <v>453</v>
      </c>
      <c r="E15" t="s">
        <v>454</v>
      </c>
      <c r="F15" t="s">
        <v>462</v>
      </c>
      <c r="G15" t="s">
        <v>730</v>
      </c>
      <c r="H15" s="2">
        <v>23568</v>
      </c>
      <c r="I15" s="2">
        <v>43756</v>
      </c>
      <c r="J15">
        <f t="shared" si="0"/>
        <v>55</v>
      </c>
      <c r="K15">
        <v>4</v>
      </c>
      <c r="L15" t="s">
        <v>451</v>
      </c>
      <c r="M15">
        <v>51</v>
      </c>
      <c r="N15">
        <v>2</v>
      </c>
      <c r="O15">
        <v>0</v>
      </c>
      <c r="P15" s="12">
        <v>2</v>
      </c>
      <c r="Q15">
        <v>1</v>
      </c>
      <c r="R15">
        <v>0</v>
      </c>
      <c r="S15" t="str">
        <f t="shared" si="1"/>
        <v>TRUE</v>
      </c>
      <c r="T15" t="s">
        <v>389</v>
      </c>
      <c r="U15">
        <v>88035.357669999998</v>
      </c>
      <c r="V15">
        <v>162834.6844</v>
      </c>
      <c r="W15">
        <v>144455.32079999999</v>
      </c>
      <c r="X15">
        <v>90723.801770000005</v>
      </c>
      <c r="Y15">
        <v>24320.013190000001</v>
      </c>
      <c r="Z15">
        <v>13861.529909999999</v>
      </c>
      <c r="AA15">
        <v>6869.868031</v>
      </c>
      <c r="AB15">
        <v>87438.157170000006</v>
      </c>
      <c r="AC15">
        <v>28770.510340000001</v>
      </c>
      <c r="AD15">
        <v>138765.20689999999</v>
      </c>
      <c r="AE15">
        <v>3158.0923170000001</v>
      </c>
      <c r="AF15">
        <v>765102.38450000004</v>
      </c>
      <c r="AG15">
        <v>22785.61332</v>
      </c>
      <c r="AH15">
        <v>58500.499969999997</v>
      </c>
      <c r="AI15">
        <v>57547.276279999998</v>
      </c>
    </row>
    <row r="16" spans="1:35" x14ac:dyDescent="0.2">
      <c r="A16" t="s">
        <v>518</v>
      </c>
      <c r="B16" t="s">
        <v>733</v>
      </c>
      <c r="C16" t="s">
        <v>385</v>
      </c>
      <c r="D16" t="s">
        <v>453</v>
      </c>
      <c r="E16" t="s">
        <v>454</v>
      </c>
      <c r="F16" t="s">
        <v>462</v>
      </c>
      <c r="G16" t="s">
        <v>730</v>
      </c>
      <c r="H16" s="2">
        <v>23568</v>
      </c>
      <c r="I16" s="2">
        <v>43699</v>
      </c>
      <c r="J16">
        <f t="shared" si="0"/>
        <v>55</v>
      </c>
      <c r="K16">
        <v>2</v>
      </c>
      <c r="L16" t="s">
        <v>451</v>
      </c>
      <c r="M16">
        <v>57</v>
      </c>
      <c r="N16">
        <v>4</v>
      </c>
      <c r="O16">
        <v>0</v>
      </c>
      <c r="P16" s="12">
        <v>2</v>
      </c>
      <c r="Q16">
        <v>1</v>
      </c>
      <c r="R16">
        <v>0</v>
      </c>
      <c r="S16" t="str">
        <f t="shared" si="1"/>
        <v>TRUE</v>
      </c>
      <c r="T16" t="s">
        <v>385</v>
      </c>
      <c r="U16">
        <v>191848.71049999999</v>
      </c>
      <c r="V16">
        <v>71449.922850000003</v>
      </c>
      <c r="W16">
        <v>868223.84299999999</v>
      </c>
      <c r="X16">
        <v>84322.839940000005</v>
      </c>
      <c r="Y16">
        <v>288100.89649999997</v>
      </c>
      <c r="Z16">
        <v>17642.245940000001</v>
      </c>
      <c r="AA16">
        <v>6147.6499249999997</v>
      </c>
      <c r="AB16">
        <v>75031.791809999995</v>
      </c>
      <c r="AC16">
        <v>87530.663239999994</v>
      </c>
      <c r="AD16">
        <v>205097.02910000001</v>
      </c>
      <c r="AE16">
        <v>10115.81682</v>
      </c>
      <c r="AF16">
        <v>797982.48100000003</v>
      </c>
      <c r="AG16">
        <v>39814.146220000002</v>
      </c>
      <c r="AH16">
        <v>29096.16361</v>
      </c>
      <c r="AI16">
        <v>476169.96600000001</v>
      </c>
    </row>
    <row r="17" spans="1:35" x14ac:dyDescent="0.2">
      <c r="A17" t="s">
        <v>629</v>
      </c>
      <c r="B17" t="s">
        <v>734</v>
      </c>
      <c r="C17" t="s">
        <v>216</v>
      </c>
      <c r="D17" t="s">
        <v>464</v>
      </c>
      <c r="E17" t="s">
        <v>482</v>
      </c>
      <c r="F17" t="s">
        <v>462</v>
      </c>
      <c r="G17" t="s">
        <v>462</v>
      </c>
      <c r="H17" s="2">
        <v>19925</v>
      </c>
      <c r="I17" s="2">
        <v>43677</v>
      </c>
      <c r="J17">
        <f t="shared" si="0"/>
        <v>65</v>
      </c>
      <c r="K17">
        <v>1</v>
      </c>
      <c r="L17" t="s">
        <v>456</v>
      </c>
      <c r="M17">
        <v>329</v>
      </c>
      <c r="N17">
        <v>2</v>
      </c>
      <c r="O17">
        <v>1</v>
      </c>
      <c r="P17">
        <v>3</v>
      </c>
      <c r="Q17">
        <v>1</v>
      </c>
      <c r="R17">
        <v>0</v>
      </c>
      <c r="S17" t="str">
        <f t="shared" si="1"/>
        <v>TRUE</v>
      </c>
      <c r="T17" t="s">
        <v>216</v>
      </c>
      <c r="U17">
        <v>146158.3725</v>
      </c>
      <c r="V17">
        <v>350509.74849999999</v>
      </c>
      <c r="W17">
        <v>88945.615609999993</v>
      </c>
      <c r="X17">
        <v>47464.550790000001</v>
      </c>
      <c r="Y17">
        <v>75661.126459999999</v>
      </c>
      <c r="Z17">
        <v>13322.68146</v>
      </c>
      <c r="AA17">
        <v>1014.208176</v>
      </c>
      <c r="AB17">
        <v>58359.857190000002</v>
      </c>
      <c r="AC17">
        <v>36159.011859999999</v>
      </c>
      <c r="AD17">
        <v>111551.2141</v>
      </c>
      <c r="AE17">
        <v>4013.0536350000002</v>
      </c>
      <c r="AF17">
        <v>834575.40619999997</v>
      </c>
      <c r="AG17">
        <v>65817.208840000007</v>
      </c>
      <c r="AH17">
        <v>642.63789659999998</v>
      </c>
      <c r="AI17">
        <v>26716.72712</v>
      </c>
    </row>
    <row r="18" spans="1:35" x14ac:dyDescent="0.2">
      <c r="A18" t="s">
        <v>637</v>
      </c>
      <c r="B18" t="s">
        <v>734</v>
      </c>
      <c r="C18" t="s">
        <v>212</v>
      </c>
      <c r="D18" t="s">
        <v>464</v>
      </c>
      <c r="E18" t="s">
        <v>482</v>
      </c>
      <c r="F18" t="s">
        <v>462</v>
      </c>
      <c r="G18" t="s">
        <v>730</v>
      </c>
      <c r="H18" s="2">
        <v>19925</v>
      </c>
      <c r="I18" s="2">
        <v>43733</v>
      </c>
      <c r="J18">
        <f t="shared" si="0"/>
        <v>65</v>
      </c>
      <c r="K18">
        <v>3</v>
      </c>
      <c r="L18" t="s">
        <v>456</v>
      </c>
      <c r="M18">
        <v>220</v>
      </c>
      <c r="N18">
        <v>2</v>
      </c>
      <c r="O18">
        <v>1</v>
      </c>
      <c r="P18">
        <v>3</v>
      </c>
      <c r="Q18">
        <v>0</v>
      </c>
      <c r="R18">
        <v>0</v>
      </c>
      <c r="S18" t="str">
        <f t="shared" si="1"/>
        <v>TRUE</v>
      </c>
      <c r="T18" t="s">
        <v>212</v>
      </c>
      <c r="U18">
        <v>81848.922409999999</v>
      </c>
      <c r="V18">
        <v>206656.77470000001</v>
      </c>
      <c r="W18">
        <v>58983.990660000003</v>
      </c>
      <c r="X18">
        <v>35918.339930000002</v>
      </c>
      <c r="Y18">
        <v>89043.244930000001</v>
      </c>
      <c r="Z18">
        <v>11986.34071</v>
      </c>
      <c r="AA18">
        <v>2934.5374360000001</v>
      </c>
      <c r="AB18">
        <v>129244.80250000001</v>
      </c>
      <c r="AC18">
        <v>27578.229879999999</v>
      </c>
      <c r="AD18">
        <v>158189.49619999999</v>
      </c>
      <c r="AE18">
        <v>1560.427056</v>
      </c>
      <c r="AF18">
        <v>465378.435</v>
      </c>
      <c r="AG18">
        <v>50952.285960000001</v>
      </c>
      <c r="AH18">
        <v>4486.2296379999998</v>
      </c>
      <c r="AI18">
        <v>15380.62851</v>
      </c>
    </row>
    <row r="19" spans="1:35" x14ac:dyDescent="0.2">
      <c r="A19" t="s">
        <v>643</v>
      </c>
      <c r="B19" t="s">
        <v>734</v>
      </c>
      <c r="C19" t="s">
        <v>214</v>
      </c>
      <c r="D19" t="s">
        <v>464</v>
      </c>
      <c r="E19" t="s">
        <v>482</v>
      </c>
      <c r="F19" t="s">
        <v>462</v>
      </c>
      <c r="G19" t="s">
        <v>730</v>
      </c>
      <c r="H19" s="2">
        <v>19925</v>
      </c>
      <c r="I19" s="2">
        <v>43768</v>
      </c>
      <c r="J19">
        <f t="shared" si="0"/>
        <v>65</v>
      </c>
      <c r="K19">
        <v>4</v>
      </c>
      <c r="L19" t="s">
        <v>456</v>
      </c>
      <c r="M19">
        <v>157</v>
      </c>
      <c r="N19">
        <v>3</v>
      </c>
      <c r="O19">
        <v>1</v>
      </c>
      <c r="P19">
        <v>3</v>
      </c>
      <c r="Q19">
        <v>1</v>
      </c>
      <c r="R19">
        <v>0</v>
      </c>
      <c r="S19" t="str">
        <f t="shared" si="1"/>
        <v>TRUE</v>
      </c>
      <c r="T19" t="s">
        <v>214</v>
      </c>
      <c r="U19">
        <v>11570.748680000001</v>
      </c>
      <c r="V19">
        <v>3817217.4219999998</v>
      </c>
      <c r="W19">
        <v>74001.326289999997</v>
      </c>
      <c r="X19">
        <v>63251.5239</v>
      </c>
      <c r="Y19">
        <v>70236.844819999998</v>
      </c>
      <c r="Z19">
        <v>16974.142629999998</v>
      </c>
      <c r="AA19">
        <v>4840.8308180000004</v>
      </c>
      <c r="AB19">
        <v>136151.43400000001</v>
      </c>
      <c r="AC19">
        <v>29237.058809999999</v>
      </c>
      <c r="AD19">
        <v>200546.40289999999</v>
      </c>
      <c r="AE19">
        <v>3318.8088630000002</v>
      </c>
      <c r="AF19">
        <v>1012969.358</v>
      </c>
      <c r="AG19">
        <v>11331.9941</v>
      </c>
      <c r="AH19">
        <v>9659.9766540000001</v>
      </c>
      <c r="AI19">
        <v>28889.63308</v>
      </c>
    </row>
    <row r="20" spans="1:35" x14ac:dyDescent="0.2">
      <c r="A20" t="s">
        <v>481</v>
      </c>
      <c r="B20" t="s">
        <v>734</v>
      </c>
      <c r="C20" t="s">
        <v>210</v>
      </c>
      <c r="D20" t="s">
        <v>464</v>
      </c>
      <c r="E20" t="s">
        <v>482</v>
      </c>
      <c r="F20" t="s">
        <v>462</v>
      </c>
      <c r="G20" t="s">
        <v>730</v>
      </c>
      <c r="H20" s="2">
        <v>19925</v>
      </c>
      <c r="I20" s="2">
        <v>43705</v>
      </c>
      <c r="J20">
        <f t="shared" si="0"/>
        <v>65</v>
      </c>
      <c r="K20">
        <v>2</v>
      </c>
      <c r="L20" t="s">
        <v>456</v>
      </c>
      <c r="M20">
        <v>122</v>
      </c>
      <c r="N20">
        <v>2</v>
      </c>
      <c r="O20">
        <v>1</v>
      </c>
      <c r="P20">
        <v>3</v>
      </c>
      <c r="Q20">
        <v>1</v>
      </c>
      <c r="R20">
        <v>0</v>
      </c>
      <c r="S20" t="str">
        <f t="shared" si="1"/>
        <v>TRUE</v>
      </c>
      <c r="T20" t="s">
        <v>210</v>
      </c>
      <c r="U20">
        <v>65457.359479999999</v>
      </c>
      <c r="V20">
        <v>1440046.203</v>
      </c>
      <c r="W20">
        <v>109115.22380000001</v>
      </c>
      <c r="X20">
        <v>28649.570830000001</v>
      </c>
      <c r="Y20">
        <v>106386.4004</v>
      </c>
      <c r="Z20">
        <v>14283.869559999999</v>
      </c>
      <c r="AA20">
        <v>2974.2846509999999</v>
      </c>
      <c r="AB20">
        <v>62951.840980000001</v>
      </c>
      <c r="AC20">
        <v>37153.152690000003</v>
      </c>
      <c r="AD20">
        <v>120499.0097</v>
      </c>
      <c r="AE20">
        <v>1954.8767789999999</v>
      </c>
      <c r="AF20">
        <v>816302.26260000002</v>
      </c>
      <c r="AG20">
        <v>39032.665309999997</v>
      </c>
      <c r="AH20">
        <v>5259.5397560000001</v>
      </c>
      <c r="AI20">
        <v>24470.704150000001</v>
      </c>
    </row>
    <row r="21" spans="1:35" x14ac:dyDescent="0.2">
      <c r="A21" t="s">
        <v>630</v>
      </c>
      <c r="B21" t="s">
        <v>735</v>
      </c>
      <c r="C21" t="s">
        <v>198</v>
      </c>
      <c r="D21" t="s">
        <v>453</v>
      </c>
      <c r="E21" t="s">
        <v>454</v>
      </c>
      <c r="F21" t="s">
        <v>462</v>
      </c>
      <c r="G21" t="s">
        <v>462</v>
      </c>
      <c r="H21" s="2">
        <v>34948</v>
      </c>
      <c r="I21" s="2">
        <v>43690</v>
      </c>
      <c r="J21">
        <f t="shared" si="0"/>
        <v>23</v>
      </c>
      <c r="K21">
        <v>1</v>
      </c>
      <c r="L21" t="s">
        <v>456</v>
      </c>
      <c r="M21">
        <v>7699</v>
      </c>
      <c r="N21">
        <v>6</v>
      </c>
      <c r="O21">
        <v>0</v>
      </c>
      <c r="P21" s="12">
        <v>2</v>
      </c>
      <c r="Q21" s="14">
        <v>1</v>
      </c>
      <c r="R21" s="14">
        <v>0</v>
      </c>
      <c r="S21" t="str">
        <f t="shared" si="1"/>
        <v>TRUE</v>
      </c>
      <c r="T21" t="s">
        <v>198</v>
      </c>
      <c r="U21">
        <v>375030.0183</v>
      </c>
      <c r="V21">
        <v>49449.128850000001</v>
      </c>
      <c r="W21">
        <v>982509.25360000005</v>
      </c>
      <c r="X21">
        <v>596323.74010000005</v>
      </c>
      <c r="Y21">
        <v>112348.92449999999</v>
      </c>
      <c r="Z21">
        <v>78421.169930000004</v>
      </c>
      <c r="AA21">
        <v>2778.018838</v>
      </c>
      <c r="AB21">
        <v>134297.89550000001</v>
      </c>
      <c r="AC21">
        <v>62249.7768</v>
      </c>
      <c r="AD21">
        <v>52508.378190000003</v>
      </c>
      <c r="AE21">
        <v>2966.6230860000001</v>
      </c>
      <c r="AF21">
        <v>30864.607189999999</v>
      </c>
      <c r="AG21">
        <v>69047.404699999999</v>
      </c>
      <c r="AH21">
        <v>139504.34710000001</v>
      </c>
      <c r="AI21">
        <v>5399306.2529999996</v>
      </c>
    </row>
    <row r="22" spans="1:35" x14ac:dyDescent="0.2">
      <c r="A22" t="s">
        <v>635</v>
      </c>
      <c r="B22" t="s">
        <v>735</v>
      </c>
      <c r="C22" t="s">
        <v>194</v>
      </c>
      <c r="D22" t="s">
        <v>453</v>
      </c>
      <c r="E22" t="s">
        <v>454</v>
      </c>
      <c r="F22" t="s">
        <v>462</v>
      </c>
      <c r="G22" t="s">
        <v>730</v>
      </c>
      <c r="H22" s="2">
        <v>34948</v>
      </c>
      <c r="I22" s="2">
        <v>43719</v>
      </c>
      <c r="J22">
        <f t="shared" si="0"/>
        <v>24</v>
      </c>
      <c r="K22">
        <v>2</v>
      </c>
      <c r="L22" t="s">
        <v>456</v>
      </c>
      <c r="M22">
        <v>251</v>
      </c>
      <c r="N22">
        <v>4</v>
      </c>
      <c r="O22">
        <v>0</v>
      </c>
      <c r="P22" s="12">
        <v>2</v>
      </c>
      <c r="Q22">
        <v>1</v>
      </c>
      <c r="R22">
        <v>0</v>
      </c>
      <c r="S22" t="str">
        <f t="shared" si="1"/>
        <v>TRUE</v>
      </c>
      <c r="T22" t="s">
        <v>194</v>
      </c>
      <c r="U22">
        <v>66350.176909999995</v>
      </c>
      <c r="V22">
        <v>4679190.5779999997</v>
      </c>
      <c r="W22">
        <v>203271.92170000001</v>
      </c>
      <c r="X22">
        <v>314236.93079999997</v>
      </c>
      <c r="Y22">
        <v>292622.4057</v>
      </c>
      <c r="Z22">
        <v>14425.489380000001</v>
      </c>
      <c r="AA22">
        <v>2463.6577539999998</v>
      </c>
      <c r="AB22">
        <v>5498.9955010000003</v>
      </c>
      <c r="AC22">
        <v>75212.407649999994</v>
      </c>
      <c r="AD22">
        <v>132303.97469999999</v>
      </c>
      <c r="AE22">
        <v>1618.4997659999999</v>
      </c>
      <c r="AF22">
        <v>1057754.2830000001</v>
      </c>
      <c r="AG22">
        <v>74545.54204</v>
      </c>
      <c r="AH22">
        <v>26381.710630000001</v>
      </c>
      <c r="AI22">
        <v>69306.956860000006</v>
      </c>
    </row>
    <row r="23" spans="1:35" x14ac:dyDescent="0.2">
      <c r="A23" t="s">
        <v>641</v>
      </c>
      <c r="B23" t="s">
        <v>735</v>
      </c>
      <c r="C23" t="s">
        <v>196</v>
      </c>
      <c r="D23" t="s">
        <v>453</v>
      </c>
      <c r="E23" t="s">
        <v>454</v>
      </c>
      <c r="F23" t="s">
        <v>462</v>
      </c>
      <c r="G23" t="s">
        <v>730</v>
      </c>
      <c r="H23" s="2">
        <v>34948</v>
      </c>
      <c r="I23" s="2">
        <v>43755</v>
      </c>
      <c r="J23">
        <f t="shared" si="0"/>
        <v>24</v>
      </c>
      <c r="K23">
        <v>3</v>
      </c>
      <c r="L23" t="s">
        <v>456</v>
      </c>
      <c r="M23">
        <v>15</v>
      </c>
      <c r="N23">
        <v>1</v>
      </c>
      <c r="O23">
        <v>0</v>
      </c>
      <c r="P23" s="12">
        <v>2</v>
      </c>
      <c r="Q23">
        <v>0</v>
      </c>
      <c r="R23">
        <v>1</v>
      </c>
      <c r="S23" t="str">
        <f t="shared" si="1"/>
        <v>TRUE</v>
      </c>
      <c r="T23" t="s">
        <v>196</v>
      </c>
      <c r="U23">
        <v>63023.778660000004</v>
      </c>
      <c r="V23">
        <v>1365416.77</v>
      </c>
      <c r="W23">
        <v>293883.49410000001</v>
      </c>
      <c r="X23">
        <v>77648.324540000001</v>
      </c>
      <c r="Y23">
        <v>89210.013999999996</v>
      </c>
      <c r="Z23">
        <v>14359.588320000001</v>
      </c>
      <c r="AA23">
        <v>2585.40735</v>
      </c>
      <c r="AB23">
        <v>45487.87455</v>
      </c>
      <c r="AC23">
        <v>263194.30949999997</v>
      </c>
      <c r="AD23">
        <v>81628.116930000004</v>
      </c>
      <c r="AE23">
        <v>1869.1160150000001</v>
      </c>
      <c r="AF23">
        <v>438241.3051</v>
      </c>
      <c r="AG23">
        <v>63834.052649999998</v>
      </c>
      <c r="AH23">
        <v>20659.20724</v>
      </c>
      <c r="AI23">
        <v>41419.031710000003</v>
      </c>
    </row>
    <row r="24" spans="1:35" x14ac:dyDescent="0.2">
      <c r="A24" t="s">
        <v>645</v>
      </c>
      <c r="B24" t="s">
        <v>735</v>
      </c>
      <c r="C24" t="s">
        <v>200</v>
      </c>
      <c r="D24" t="s">
        <v>453</v>
      </c>
      <c r="E24" t="s">
        <v>454</v>
      </c>
      <c r="F24" t="s">
        <v>462</v>
      </c>
      <c r="G24" t="s">
        <v>730</v>
      </c>
      <c r="H24" s="2">
        <v>34948</v>
      </c>
      <c r="I24" s="2">
        <v>43788</v>
      </c>
      <c r="J24">
        <f t="shared" si="0"/>
        <v>24</v>
      </c>
      <c r="K24">
        <v>4</v>
      </c>
      <c r="L24" t="s">
        <v>456</v>
      </c>
      <c r="M24">
        <v>61</v>
      </c>
      <c r="N24">
        <v>1</v>
      </c>
      <c r="O24">
        <v>0</v>
      </c>
      <c r="P24" s="12">
        <v>2</v>
      </c>
      <c r="Q24">
        <v>1</v>
      </c>
      <c r="R24">
        <v>0</v>
      </c>
      <c r="S24" t="str">
        <f t="shared" si="1"/>
        <v>TRUE</v>
      </c>
      <c r="T24" t="s">
        <v>200</v>
      </c>
      <c r="U24">
        <v>60561.744630000001</v>
      </c>
      <c r="V24">
        <v>128978.3431</v>
      </c>
      <c r="W24">
        <v>538482.12580000004</v>
      </c>
      <c r="X24">
        <v>90353.926240000001</v>
      </c>
      <c r="Y24">
        <v>11167.636619999999</v>
      </c>
      <c r="Z24">
        <v>2321.444551</v>
      </c>
      <c r="AA24">
        <v>1971.480313</v>
      </c>
      <c r="AB24">
        <v>58386.777309999998</v>
      </c>
      <c r="AC24">
        <v>438937.7304</v>
      </c>
      <c r="AD24">
        <v>139290.6354</v>
      </c>
      <c r="AE24">
        <v>2052.4340649999999</v>
      </c>
      <c r="AF24">
        <v>696440.8504</v>
      </c>
      <c r="AG24">
        <v>48167.745940000001</v>
      </c>
      <c r="AH24">
        <v>64888.77173</v>
      </c>
      <c r="AI24">
        <v>166795.48689999999</v>
      </c>
    </row>
    <row r="25" spans="1:35" x14ac:dyDescent="0.2">
      <c r="A25" t="s">
        <v>537</v>
      </c>
      <c r="B25" t="s">
        <v>736</v>
      </c>
      <c r="C25" t="s">
        <v>435</v>
      </c>
      <c r="D25" t="s">
        <v>464</v>
      </c>
      <c r="E25" t="s">
        <v>491</v>
      </c>
      <c r="F25" t="s">
        <v>455</v>
      </c>
      <c r="G25" t="s">
        <v>455</v>
      </c>
      <c r="H25" s="2">
        <v>31009</v>
      </c>
      <c r="I25" s="2">
        <v>43699</v>
      </c>
      <c r="J25">
        <f t="shared" si="0"/>
        <v>34</v>
      </c>
      <c r="K25">
        <v>1</v>
      </c>
      <c r="L25" t="s">
        <v>451</v>
      </c>
      <c r="M25">
        <v>2000</v>
      </c>
      <c r="N25">
        <v>10</v>
      </c>
      <c r="O25">
        <v>1</v>
      </c>
      <c r="P25">
        <v>2</v>
      </c>
      <c r="Q25" s="1">
        <v>1</v>
      </c>
      <c r="R25" s="1">
        <v>0</v>
      </c>
      <c r="S25" t="str">
        <f t="shared" si="1"/>
        <v>TRUE</v>
      </c>
      <c r="T25" t="s">
        <v>435</v>
      </c>
      <c r="U25">
        <v>195084.34210000001</v>
      </c>
      <c r="V25">
        <v>182363.5724</v>
      </c>
      <c r="W25">
        <v>1219938.6599999999</v>
      </c>
      <c r="X25">
        <v>1159550.6089999999</v>
      </c>
      <c r="Y25">
        <v>257817.34700000001</v>
      </c>
      <c r="Z25">
        <v>71743.119980000003</v>
      </c>
      <c r="AA25">
        <v>263231.60720000003</v>
      </c>
      <c r="AB25">
        <v>75391.739400000006</v>
      </c>
      <c r="AC25">
        <v>63296.742440000002</v>
      </c>
      <c r="AD25">
        <v>43121.414169999996</v>
      </c>
      <c r="AE25">
        <v>2092.3324440000001</v>
      </c>
      <c r="AF25">
        <v>180026.2543</v>
      </c>
      <c r="AG25">
        <v>36854.135430000002</v>
      </c>
      <c r="AH25">
        <v>377342.05450000003</v>
      </c>
      <c r="AI25">
        <v>1164341.389</v>
      </c>
    </row>
    <row r="26" spans="1:35" x14ac:dyDescent="0.2">
      <c r="A26" t="s">
        <v>638</v>
      </c>
      <c r="B26" t="s">
        <v>736</v>
      </c>
      <c r="C26" t="s">
        <v>437</v>
      </c>
      <c r="D26" t="s">
        <v>464</v>
      </c>
      <c r="E26" t="s">
        <v>491</v>
      </c>
      <c r="F26" t="s">
        <v>455</v>
      </c>
      <c r="G26" t="s">
        <v>730</v>
      </c>
      <c r="H26" s="2">
        <v>31009</v>
      </c>
      <c r="I26" s="2">
        <v>43763</v>
      </c>
      <c r="J26">
        <f t="shared" si="0"/>
        <v>34</v>
      </c>
      <c r="K26">
        <v>2</v>
      </c>
      <c r="L26" t="s">
        <v>451</v>
      </c>
      <c r="M26">
        <v>445</v>
      </c>
      <c r="N26">
        <v>2</v>
      </c>
      <c r="O26">
        <v>1</v>
      </c>
      <c r="P26">
        <v>2</v>
      </c>
      <c r="Q26">
        <v>1</v>
      </c>
      <c r="R26">
        <v>0</v>
      </c>
      <c r="S26" t="str">
        <f t="shared" si="1"/>
        <v>TRUE</v>
      </c>
      <c r="T26" t="s">
        <v>437</v>
      </c>
      <c r="U26">
        <v>183583.1207</v>
      </c>
      <c r="V26">
        <v>667419.30480000004</v>
      </c>
      <c r="W26">
        <v>3298969.642</v>
      </c>
      <c r="X26">
        <v>235016.1629</v>
      </c>
      <c r="Y26">
        <v>282406.12819999998</v>
      </c>
      <c r="Z26">
        <v>71787.573659999995</v>
      </c>
      <c r="AA26">
        <v>92480.947039999999</v>
      </c>
      <c r="AB26">
        <v>233556.2095</v>
      </c>
      <c r="AC26">
        <v>69267.647689999998</v>
      </c>
      <c r="AD26">
        <v>93018.400070000003</v>
      </c>
      <c r="AE26">
        <v>5321.6436530000001</v>
      </c>
      <c r="AF26">
        <v>1090822.9169999999</v>
      </c>
      <c r="AG26">
        <v>25357.164959999998</v>
      </c>
      <c r="AH26">
        <v>57875.044119999999</v>
      </c>
      <c r="AI26">
        <v>1773271.638</v>
      </c>
    </row>
    <row r="27" spans="1:35" x14ac:dyDescent="0.2">
      <c r="A27" t="s">
        <v>490</v>
      </c>
      <c r="B27" t="s">
        <v>736</v>
      </c>
      <c r="C27" t="s">
        <v>439</v>
      </c>
      <c r="D27" t="s">
        <v>464</v>
      </c>
      <c r="E27" t="s">
        <v>491</v>
      </c>
      <c r="F27" t="s">
        <v>455</v>
      </c>
      <c r="G27" t="s">
        <v>730</v>
      </c>
      <c r="H27" s="2">
        <v>31009</v>
      </c>
      <c r="I27" s="2">
        <v>43775</v>
      </c>
      <c r="J27">
        <f t="shared" si="0"/>
        <v>34</v>
      </c>
      <c r="K27">
        <v>3</v>
      </c>
      <c r="L27" t="s">
        <v>451</v>
      </c>
      <c r="M27">
        <v>843</v>
      </c>
      <c r="N27">
        <v>5</v>
      </c>
      <c r="O27">
        <v>1</v>
      </c>
      <c r="P27">
        <v>2</v>
      </c>
      <c r="Q27">
        <v>1</v>
      </c>
      <c r="R27">
        <v>0</v>
      </c>
      <c r="S27" t="str">
        <f t="shared" si="1"/>
        <v>TRUE</v>
      </c>
      <c r="T27" t="s">
        <v>439</v>
      </c>
      <c r="U27">
        <v>127183.1627</v>
      </c>
      <c r="V27">
        <v>143516.3487</v>
      </c>
      <c r="W27">
        <v>3085910.4730000002</v>
      </c>
      <c r="X27">
        <v>189466.492</v>
      </c>
      <c r="Y27">
        <v>142533.334</v>
      </c>
      <c r="Z27">
        <v>27891.350620000001</v>
      </c>
      <c r="AA27">
        <v>21674.424449999999</v>
      </c>
      <c r="AB27">
        <v>107938.2044</v>
      </c>
      <c r="AC27">
        <v>100889.32610000001</v>
      </c>
      <c r="AD27">
        <v>146651.80720000001</v>
      </c>
      <c r="AE27">
        <v>30509.973139999998</v>
      </c>
      <c r="AF27">
        <v>634180.75950000004</v>
      </c>
      <c r="AG27">
        <v>23030.49093</v>
      </c>
      <c r="AH27">
        <v>128908.3986</v>
      </c>
      <c r="AI27">
        <v>2713730.8339999998</v>
      </c>
    </row>
    <row r="28" spans="1:35" x14ac:dyDescent="0.2">
      <c r="A28" t="s">
        <v>549</v>
      </c>
      <c r="B28" t="s">
        <v>736</v>
      </c>
      <c r="C28" t="s">
        <v>441</v>
      </c>
      <c r="D28" t="s">
        <v>464</v>
      </c>
      <c r="E28" t="s">
        <v>491</v>
      </c>
      <c r="F28" t="s">
        <v>455</v>
      </c>
      <c r="G28" t="s">
        <v>730</v>
      </c>
      <c r="H28" s="2">
        <v>31009</v>
      </c>
      <c r="I28" s="2">
        <v>43812</v>
      </c>
      <c r="J28">
        <f t="shared" si="0"/>
        <v>35</v>
      </c>
      <c r="K28">
        <v>4</v>
      </c>
      <c r="L28" t="s">
        <v>451</v>
      </c>
      <c r="M28">
        <v>545</v>
      </c>
      <c r="N28">
        <v>4</v>
      </c>
      <c r="O28">
        <v>1</v>
      </c>
      <c r="P28">
        <v>2</v>
      </c>
      <c r="Q28">
        <v>1</v>
      </c>
      <c r="R28">
        <v>0</v>
      </c>
      <c r="S28" t="str">
        <f t="shared" si="1"/>
        <v>TRUE</v>
      </c>
      <c r="T28" t="s">
        <v>441</v>
      </c>
      <c r="U28">
        <v>67898.882670000006</v>
      </c>
      <c r="V28">
        <v>404204.97440000001</v>
      </c>
      <c r="W28">
        <v>918661.60340000002</v>
      </c>
      <c r="X28">
        <v>92974.379960000006</v>
      </c>
      <c r="Y28">
        <v>367457.1372</v>
      </c>
      <c r="Z28">
        <v>64496.098469999997</v>
      </c>
      <c r="AA28">
        <v>29282.1404</v>
      </c>
      <c r="AB28">
        <v>93791.942670000004</v>
      </c>
      <c r="AC28">
        <v>217225.2433</v>
      </c>
      <c r="AD28">
        <v>155417.09899999999</v>
      </c>
      <c r="AE28">
        <v>2212.3282589999999</v>
      </c>
      <c r="AF28">
        <v>607766.82059999998</v>
      </c>
      <c r="AG28">
        <v>14281.357319999999</v>
      </c>
      <c r="AH28">
        <v>15882.889719999999</v>
      </c>
      <c r="AI28">
        <v>521928.08110000001</v>
      </c>
    </row>
    <row r="29" spans="1:35" x14ac:dyDescent="0.2">
      <c r="A29" t="s">
        <v>633</v>
      </c>
      <c r="B29" t="s">
        <v>737</v>
      </c>
      <c r="C29" t="s">
        <v>368</v>
      </c>
      <c r="D29" t="s">
        <v>464</v>
      </c>
      <c r="E29" t="s">
        <v>499</v>
      </c>
      <c r="F29" t="s">
        <v>455</v>
      </c>
      <c r="G29" t="s">
        <v>462</v>
      </c>
      <c r="H29" s="2">
        <v>18937</v>
      </c>
      <c r="I29" s="2">
        <v>43711</v>
      </c>
      <c r="J29">
        <f t="shared" si="0"/>
        <v>67</v>
      </c>
      <c r="K29">
        <v>1</v>
      </c>
      <c r="L29" t="s">
        <v>451</v>
      </c>
      <c r="M29">
        <v>715</v>
      </c>
      <c r="N29">
        <v>5</v>
      </c>
      <c r="O29">
        <v>1</v>
      </c>
      <c r="P29">
        <v>3</v>
      </c>
      <c r="Q29">
        <v>1</v>
      </c>
      <c r="R29">
        <v>0</v>
      </c>
      <c r="S29" t="str">
        <f t="shared" si="1"/>
        <v>TRUE</v>
      </c>
      <c r="T29" t="s">
        <v>368</v>
      </c>
      <c r="U29">
        <v>90451.094939999995</v>
      </c>
      <c r="V29">
        <v>100164.6246</v>
      </c>
      <c r="W29">
        <v>332338.86009999999</v>
      </c>
      <c r="X29">
        <v>78262.646970000002</v>
      </c>
      <c r="Y29">
        <v>65048.492209999997</v>
      </c>
      <c r="Z29">
        <v>13339.00138</v>
      </c>
      <c r="AA29">
        <v>2267.481162</v>
      </c>
      <c r="AB29">
        <v>27584.046740000002</v>
      </c>
      <c r="AC29">
        <v>25227.33712</v>
      </c>
      <c r="AD29">
        <v>62014.210160000002</v>
      </c>
      <c r="AE29">
        <v>2117.008495</v>
      </c>
      <c r="AF29">
        <v>313221.3198</v>
      </c>
      <c r="AG29">
        <v>40189.191509999997</v>
      </c>
      <c r="AH29">
        <v>1595.7118640000001</v>
      </c>
      <c r="AI29">
        <v>57679.881970000002</v>
      </c>
    </row>
    <row r="30" spans="1:35" x14ac:dyDescent="0.2">
      <c r="A30" t="s">
        <v>543</v>
      </c>
      <c r="B30" t="s">
        <v>737</v>
      </c>
      <c r="C30" t="s">
        <v>366</v>
      </c>
      <c r="D30" t="s">
        <v>464</v>
      </c>
      <c r="E30" t="s">
        <v>499</v>
      </c>
      <c r="F30" t="s">
        <v>455</v>
      </c>
      <c r="G30" t="s">
        <v>730</v>
      </c>
      <c r="H30" s="2">
        <v>18937</v>
      </c>
      <c r="I30" s="2">
        <v>43802</v>
      </c>
      <c r="J30">
        <f t="shared" si="0"/>
        <v>68</v>
      </c>
      <c r="K30">
        <v>2</v>
      </c>
      <c r="L30" t="s">
        <v>451</v>
      </c>
      <c r="M30">
        <v>2388</v>
      </c>
      <c r="N30">
        <v>6</v>
      </c>
      <c r="O30">
        <v>1</v>
      </c>
      <c r="P30">
        <v>3</v>
      </c>
      <c r="Q30">
        <v>0</v>
      </c>
      <c r="R30">
        <v>1</v>
      </c>
      <c r="S30" t="str">
        <f t="shared" si="1"/>
        <v>TRUE</v>
      </c>
      <c r="T30" t="s">
        <v>366</v>
      </c>
      <c r="U30">
        <v>240765.38440000001</v>
      </c>
      <c r="V30">
        <v>159286.33670000001</v>
      </c>
      <c r="W30">
        <v>308399.16810000001</v>
      </c>
      <c r="X30">
        <v>199100.35699999999</v>
      </c>
      <c r="Y30">
        <v>146292.6825</v>
      </c>
      <c r="Z30">
        <v>20266.546320000001</v>
      </c>
      <c r="AA30">
        <v>3365.6994119999999</v>
      </c>
      <c r="AB30">
        <v>116030.1596</v>
      </c>
      <c r="AC30">
        <v>97173.279020000002</v>
      </c>
      <c r="AD30">
        <v>188106.47709999999</v>
      </c>
      <c r="AE30">
        <v>4480.4017389999999</v>
      </c>
      <c r="AF30">
        <v>740995.80859999999</v>
      </c>
      <c r="AG30">
        <v>73597.548429999995</v>
      </c>
      <c r="AH30">
        <v>14762.630349999999</v>
      </c>
      <c r="AI30">
        <v>164710.4179</v>
      </c>
    </row>
    <row r="31" spans="1:35" x14ac:dyDescent="0.2">
      <c r="A31" t="s">
        <v>547</v>
      </c>
      <c r="B31" t="s">
        <v>738</v>
      </c>
      <c r="C31" t="s">
        <v>245</v>
      </c>
      <c r="D31" t="s">
        <v>464</v>
      </c>
      <c r="E31" t="s">
        <v>548</v>
      </c>
      <c r="F31" t="s">
        <v>455</v>
      </c>
      <c r="G31" t="s">
        <v>455</v>
      </c>
      <c r="H31" s="2">
        <v>21300</v>
      </c>
      <c r="I31" s="2">
        <v>43741</v>
      </c>
      <c r="J31">
        <f t="shared" si="0"/>
        <v>61</v>
      </c>
      <c r="K31">
        <v>1</v>
      </c>
      <c r="L31" t="s">
        <v>456</v>
      </c>
      <c r="M31">
        <v>1217</v>
      </c>
      <c r="N31">
        <v>8</v>
      </c>
      <c r="O31">
        <v>0</v>
      </c>
      <c r="P31">
        <v>1</v>
      </c>
      <c r="Q31">
        <v>0</v>
      </c>
      <c r="R31">
        <v>1</v>
      </c>
      <c r="S31" t="str">
        <f t="shared" si="1"/>
        <v>TRUE</v>
      </c>
      <c r="T31" t="s">
        <v>245</v>
      </c>
      <c r="U31">
        <v>285983.55550000002</v>
      </c>
      <c r="V31">
        <v>56322.786930000002</v>
      </c>
      <c r="W31">
        <v>1059041.4480000001</v>
      </c>
      <c r="X31">
        <v>189468.0906</v>
      </c>
      <c r="Y31">
        <v>49265.947780000002</v>
      </c>
      <c r="Z31">
        <v>18148.593489999999</v>
      </c>
      <c r="AA31">
        <v>1281.385931</v>
      </c>
      <c r="AB31">
        <v>44371.370779999997</v>
      </c>
      <c r="AC31">
        <v>183487.66070000001</v>
      </c>
      <c r="AD31">
        <v>84282.046610000005</v>
      </c>
      <c r="AE31">
        <v>3068.4904470000001</v>
      </c>
      <c r="AF31">
        <v>149071.17199999999</v>
      </c>
      <c r="AG31">
        <v>65901.573019999996</v>
      </c>
      <c r="AH31">
        <v>48732.241029999997</v>
      </c>
      <c r="AI31">
        <v>566980.31240000005</v>
      </c>
    </row>
    <row r="32" spans="1:35" x14ac:dyDescent="0.2">
      <c r="A32" t="s">
        <v>644</v>
      </c>
      <c r="B32" t="s">
        <v>738</v>
      </c>
      <c r="C32" t="s">
        <v>247</v>
      </c>
      <c r="D32" t="s">
        <v>464</v>
      </c>
      <c r="E32" t="s">
        <v>548</v>
      </c>
      <c r="F32" t="s">
        <v>455</v>
      </c>
      <c r="G32" t="s">
        <v>730</v>
      </c>
      <c r="H32" s="2">
        <v>21300</v>
      </c>
      <c r="I32" s="2">
        <v>43770</v>
      </c>
      <c r="J32">
        <f t="shared" si="0"/>
        <v>61</v>
      </c>
      <c r="K32">
        <v>2</v>
      </c>
      <c r="L32" t="s">
        <v>456</v>
      </c>
      <c r="M32">
        <v>921</v>
      </c>
      <c r="N32">
        <v>12</v>
      </c>
      <c r="O32">
        <v>0</v>
      </c>
      <c r="P32">
        <v>1</v>
      </c>
      <c r="Q32">
        <v>0</v>
      </c>
      <c r="R32">
        <v>1</v>
      </c>
      <c r="S32" t="str">
        <f t="shared" si="1"/>
        <v>TRUE</v>
      </c>
      <c r="T32" t="s">
        <v>247</v>
      </c>
      <c r="U32">
        <v>377961.26630000002</v>
      </c>
      <c r="V32">
        <v>98197.966520000002</v>
      </c>
      <c r="W32">
        <v>672973.26919999998</v>
      </c>
      <c r="X32">
        <v>878195.06909999996</v>
      </c>
      <c r="Y32">
        <v>172684.92809999999</v>
      </c>
      <c r="Z32">
        <v>9438.8898119999994</v>
      </c>
      <c r="AA32">
        <v>2393.390124</v>
      </c>
      <c r="AB32">
        <v>67862.801699999996</v>
      </c>
      <c r="AC32">
        <v>94686.822509999998</v>
      </c>
      <c r="AD32">
        <v>205898.56049999999</v>
      </c>
      <c r="AE32">
        <v>2777.4875590000001</v>
      </c>
      <c r="AF32">
        <v>175795.87390000001</v>
      </c>
      <c r="AG32">
        <v>47384.773020000001</v>
      </c>
      <c r="AH32">
        <v>14756.53184</v>
      </c>
      <c r="AI32">
        <v>243443.89920000001</v>
      </c>
    </row>
    <row r="33" spans="1:35" x14ac:dyDescent="0.2">
      <c r="A33" t="s">
        <v>663</v>
      </c>
      <c r="B33" t="s">
        <v>738</v>
      </c>
      <c r="C33" t="s">
        <v>243</v>
      </c>
      <c r="D33" t="s">
        <v>464</v>
      </c>
      <c r="E33" t="s">
        <v>548</v>
      </c>
      <c r="F33" t="s">
        <v>455</v>
      </c>
      <c r="G33" t="s">
        <v>730</v>
      </c>
      <c r="H33" s="2">
        <v>21300</v>
      </c>
      <c r="I33" s="2">
        <v>43791</v>
      </c>
      <c r="J33">
        <f t="shared" si="0"/>
        <v>61</v>
      </c>
      <c r="K33">
        <v>3</v>
      </c>
      <c r="L33" t="s">
        <v>456</v>
      </c>
      <c r="M33">
        <v>784</v>
      </c>
      <c r="N33">
        <v>6</v>
      </c>
      <c r="O33">
        <v>0</v>
      </c>
      <c r="P33">
        <v>1</v>
      </c>
      <c r="Q33">
        <v>0</v>
      </c>
      <c r="R33">
        <v>1</v>
      </c>
      <c r="S33" t="str">
        <f t="shared" si="1"/>
        <v>TRUE</v>
      </c>
      <c r="T33" t="s">
        <v>243</v>
      </c>
      <c r="U33">
        <v>365539.86700000003</v>
      </c>
      <c r="V33">
        <v>63382.933770000003</v>
      </c>
      <c r="W33">
        <v>388026.63760000002</v>
      </c>
      <c r="X33">
        <v>274359.25319999998</v>
      </c>
      <c r="Y33">
        <v>26570.462100000001</v>
      </c>
      <c r="Z33">
        <v>5269.194845</v>
      </c>
      <c r="AA33">
        <v>2125.1011319999998</v>
      </c>
      <c r="AB33">
        <v>46061.081570000002</v>
      </c>
      <c r="AC33">
        <v>24231.629649999999</v>
      </c>
      <c r="AD33">
        <v>22862.561440000001</v>
      </c>
      <c r="AE33">
        <v>8785.0939760000001</v>
      </c>
      <c r="AF33">
        <v>90530.090920000002</v>
      </c>
      <c r="AG33">
        <v>24311.758870000001</v>
      </c>
      <c r="AH33">
        <v>63952.977989999999</v>
      </c>
      <c r="AI33">
        <v>465256.91489999997</v>
      </c>
    </row>
    <row r="34" spans="1:35" x14ac:dyDescent="0.2">
      <c r="A34" t="s">
        <v>660</v>
      </c>
      <c r="B34" t="s">
        <v>739</v>
      </c>
      <c r="C34" t="s">
        <v>374</v>
      </c>
      <c r="D34" t="s">
        <v>464</v>
      </c>
      <c r="E34" t="s">
        <v>491</v>
      </c>
      <c r="F34" t="s">
        <v>462</v>
      </c>
      <c r="G34" t="s">
        <v>455</v>
      </c>
      <c r="H34" s="2">
        <v>29371</v>
      </c>
      <c r="I34" s="2">
        <v>43784</v>
      </c>
      <c r="J34">
        <f t="shared" si="0"/>
        <v>39</v>
      </c>
      <c r="K34">
        <v>1</v>
      </c>
      <c r="L34" t="s">
        <v>456</v>
      </c>
      <c r="M34">
        <v>3792</v>
      </c>
      <c r="N34">
        <v>8</v>
      </c>
      <c r="O34">
        <v>1</v>
      </c>
      <c r="P34">
        <v>2</v>
      </c>
      <c r="Q34">
        <v>1</v>
      </c>
      <c r="R34">
        <v>0</v>
      </c>
      <c r="S34" t="str">
        <f t="shared" si="1"/>
        <v>TRUE</v>
      </c>
      <c r="T34" t="s">
        <v>374</v>
      </c>
      <c r="U34">
        <v>491509.82829999999</v>
      </c>
      <c r="V34">
        <v>141293.86120000001</v>
      </c>
      <c r="W34">
        <v>2227267.2439999999</v>
      </c>
      <c r="X34">
        <v>4365481.51</v>
      </c>
      <c r="Y34">
        <v>70895.574240000002</v>
      </c>
      <c r="Z34">
        <v>18472.129529999998</v>
      </c>
      <c r="AA34">
        <v>4837.5453649999999</v>
      </c>
      <c r="AB34">
        <v>111493.2966</v>
      </c>
      <c r="AC34">
        <v>126622.17290000001</v>
      </c>
      <c r="AD34">
        <v>193776.5569</v>
      </c>
      <c r="AE34">
        <v>11240.879849999999</v>
      </c>
      <c r="AF34">
        <v>672228.77549999999</v>
      </c>
      <c r="AG34">
        <v>142483.63159999999</v>
      </c>
      <c r="AH34">
        <v>225979.7463</v>
      </c>
      <c r="AI34">
        <v>1113610.308</v>
      </c>
    </row>
    <row r="35" spans="1:35" x14ac:dyDescent="0.2">
      <c r="A35" t="s">
        <v>550</v>
      </c>
      <c r="B35" t="s">
        <v>739</v>
      </c>
      <c r="C35" t="s">
        <v>370</v>
      </c>
      <c r="D35" t="s">
        <v>464</v>
      </c>
      <c r="E35" t="s">
        <v>491</v>
      </c>
      <c r="F35" t="s">
        <v>462</v>
      </c>
      <c r="G35" t="s">
        <v>730</v>
      </c>
      <c r="H35" s="2">
        <v>29371</v>
      </c>
      <c r="I35" s="2">
        <v>43812</v>
      </c>
      <c r="J35">
        <f t="shared" si="0"/>
        <v>39</v>
      </c>
      <c r="K35">
        <v>2</v>
      </c>
      <c r="L35" t="s">
        <v>456</v>
      </c>
      <c r="M35">
        <v>45</v>
      </c>
      <c r="N35">
        <v>2</v>
      </c>
      <c r="O35">
        <v>1</v>
      </c>
      <c r="P35">
        <v>2</v>
      </c>
      <c r="Q35">
        <v>1</v>
      </c>
      <c r="R35">
        <v>0</v>
      </c>
      <c r="S35" t="str">
        <f t="shared" si="1"/>
        <v>TRUE</v>
      </c>
      <c r="T35" t="s">
        <v>370</v>
      </c>
      <c r="U35">
        <v>177546.6243</v>
      </c>
      <c r="V35">
        <v>68950.063970000003</v>
      </c>
      <c r="W35">
        <v>721847.83279999997</v>
      </c>
      <c r="X35">
        <v>735585.87919999997</v>
      </c>
      <c r="Y35">
        <v>8327.5897710000008</v>
      </c>
      <c r="Z35">
        <v>6305.135276</v>
      </c>
      <c r="AA35">
        <v>2472.8486229999999</v>
      </c>
      <c r="AB35">
        <v>34096.433149999997</v>
      </c>
      <c r="AC35">
        <v>66300.242360000004</v>
      </c>
      <c r="AD35">
        <v>65802.692569999999</v>
      </c>
      <c r="AE35">
        <v>4190.0271210000001</v>
      </c>
      <c r="AF35">
        <v>194173.06330000001</v>
      </c>
      <c r="AG35">
        <v>39423.688179999997</v>
      </c>
      <c r="AH35">
        <v>147657.3052</v>
      </c>
      <c r="AI35">
        <v>538156.24069999997</v>
      </c>
    </row>
    <row r="36" spans="1:35" x14ac:dyDescent="0.2">
      <c r="A36" t="s">
        <v>648</v>
      </c>
      <c r="B36" t="s">
        <v>739</v>
      </c>
      <c r="C36" t="s">
        <v>376</v>
      </c>
      <c r="D36" t="s">
        <v>464</v>
      </c>
      <c r="E36" t="s">
        <v>491</v>
      </c>
      <c r="F36" t="s">
        <v>462</v>
      </c>
      <c r="G36" t="s">
        <v>730</v>
      </c>
      <c r="H36" s="2">
        <v>29371</v>
      </c>
      <c r="I36" s="2">
        <v>43840</v>
      </c>
      <c r="J36">
        <f t="shared" si="0"/>
        <v>39</v>
      </c>
      <c r="K36">
        <v>3</v>
      </c>
      <c r="L36" t="s">
        <v>456</v>
      </c>
      <c r="M36">
        <v>29</v>
      </c>
      <c r="N36">
        <v>2</v>
      </c>
      <c r="O36">
        <v>1</v>
      </c>
      <c r="P36">
        <v>2</v>
      </c>
      <c r="Q36">
        <v>1</v>
      </c>
      <c r="R36">
        <v>0</v>
      </c>
      <c r="S36" t="str">
        <f t="shared" si="1"/>
        <v>TRUE</v>
      </c>
      <c r="T36" t="s">
        <v>376</v>
      </c>
      <c r="U36">
        <v>185978.13089999999</v>
      </c>
      <c r="V36">
        <v>55541.225149999998</v>
      </c>
      <c r="W36">
        <v>1049860.1359999999</v>
      </c>
      <c r="X36">
        <v>1501936.5090000001</v>
      </c>
      <c r="Y36">
        <v>55403.21024</v>
      </c>
      <c r="Z36">
        <v>15417.828649999999</v>
      </c>
      <c r="AA36">
        <v>1784.681106</v>
      </c>
      <c r="AB36">
        <v>54228.420599999998</v>
      </c>
      <c r="AC36">
        <v>270539.37359999999</v>
      </c>
      <c r="AD36">
        <v>135862.1067</v>
      </c>
      <c r="AE36">
        <v>2532.6441850000001</v>
      </c>
      <c r="AF36">
        <v>297184.67009999999</v>
      </c>
      <c r="AG36">
        <v>51162.968760000003</v>
      </c>
      <c r="AH36">
        <v>150135.26319999999</v>
      </c>
      <c r="AI36">
        <v>276625.55180000002</v>
      </c>
    </row>
    <row r="37" spans="1:35" x14ac:dyDescent="0.2">
      <c r="A37" t="s">
        <v>655</v>
      </c>
      <c r="B37" t="s">
        <v>739</v>
      </c>
      <c r="C37" t="s">
        <v>372</v>
      </c>
      <c r="D37" t="s">
        <v>464</v>
      </c>
      <c r="E37" t="s">
        <v>491</v>
      </c>
      <c r="F37" t="s">
        <v>462</v>
      </c>
      <c r="G37" t="s">
        <v>730</v>
      </c>
      <c r="H37" s="2">
        <v>29371</v>
      </c>
      <c r="I37" s="2">
        <v>43896</v>
      </c>
      <c r="J37">
        <f t="shared" si="0"/>
        <v>39</v>
      </c>
      <c r="K37">
        <v>4</v>
      </c>
      <c r="L37" t="s">
        <v>456</v>
      </c>
      <c r="M37">
        <v>1822</v>
      </c>
      <c r="N37">
        <v>3</v>
      </c>
      <c r="O37">
        <v>1</v>
      </c>
      <c r="P37">
        <v>2</v>
      </c>
      <c r="Q37">
        <v>1</v>
      </c>
      <c r="R37">
        <v>0</v>
      </c>
      <c r="S37" t="str">
        <f t="shared" si="1"/>
        <v>TRUE</v>
      </c>
      <c r="T37" t="s">
        <v>372</v>
      </c>
      <c r="U37">
        <v>375941.46029999998</v>
      </c>
      <c r="V37">
        <v>39284.295019999998</v>
      </c>
      <c r="W37">
        <v>653963.03740000003</v>
      </c>
      <c r="X37">
        <v>417953.35029999999</v>
      </c>
      <c r="Y37">
        <v>93648.097989999995</v>
      </c>
      <c r="Z37">
        <v>6880.4281769999998</v>
      </c>
      <c r="AA37">
        <v>3926.0106230000001</v>
      </c>
      <c r="AB37">
        <v>34887.763160000002</v>
      </c>
      <c r="AC37">
        <v>126122.59269999999</v>
      </c>
      <c r="AD37">
        <v>73694.991569999998</v>
      </c>
      <c r="AE37">
        <v>1042.706907</v>
      </c>
      <c r="AF37">
        <v>55397.345220000003</v>
      </c>
      <c r="AG37">
        <v>52599.825700000001</v>
      </c>
      <c r="AH37">
        <v>125815.16379999999</v>
      </c>
      <c r="AI37">
        <v>241669.78599999999</v>
      </c>
    </row>
    <row r="38" spans="1:35" x14ac:dyDescent="0.2">
      <c r="A38" t="s">
        <v>662</v>
      </c>
      <c r="B38" t="s">
        <v>740</v>
      </c>
      <c r="C38" t="s">
        <v>43</v>
      </c>
      <c r="D38" t="s">
        <v>464</v>
      </c>
      <c r="E38" t="s">
        <v>465</v>
      </c>
      <c r="F38" t="s">
        <v>462</v>
      </c>
      <c r="G38" t="s">
        <v>462</v>
      </c>
      <c r="H38" s="2">
        <v>33023</v>
      </c>
      <c r="I38" s="2">
        <v>43788</v>
      </c>
      <c r="J38">
        <f t="shared" si="0"/>
        <v>29</v>
      </c>
      <c r="K38">
        <v>1</v>
      </c>
      <c r="L38" t="s">
        <v>451</v>
      </c>
      <c r="M38">
        <v>1213</v>
      </c>
      <c r="N38">
        <v>7</v>
      </c>
      <c r="O38">
        <v>0</v>
      </c>
      <c r="P38">
        <v>2</v>
      </c>
      <c r="Q38">
        <v>1</v>
      </c>
      <c r="R38">
        <v>0</v>
      </c>
      <c r="S38" t="str">
        <f t="shared" si="1"/>
        <v>TRUE</v>
      </c>
      <c r="T38" t="s">
        <v>43</v>
      </c>
      <c r="U38">
        <v>399120.43650000001</v>
      </c>
      <c r="V38">
        <v>334705.12420000002</v>
      </c>
      <c r="W38">
        <v>1532200.152</v>
      </c>
      <c r="X38">
        <v>268844.1201</v>
      </c>
      <c r="Y38">
        <v>23658.52605</v>
      </c>
      <c r="Z38">
        <v>11511.31769</v>
      </c>
      <c r="AA38">
        <v>4716.2708359999997</v>
      </c>
      <c r="AB38">
        <v>66749.737540000002</v>
      </c>
      <c r="AC38">
        <v>84822.378169999996</v>
      </c>
      <c r="AD38">
        <v>42101.196649999998</v>
      </c>
      <c r="AE38">
        <v>75089.266099999993</v>
      </c>
      <c r="AF38">
        <v>321867.16460000002</v>
      </c>
      <c r="AG38">
        <v>180010.06450000001</v>
      </c>
      <c r="AH38">
        <v>78765.045679999996</v>
      </c>
      <c r="AI38">
        <v>669371.87809999997</v>
      </c>
    </row>
    <row r="39" spans="1:35" x14ac:dyDescent="0.2">
      <c r="A39" t="s">
        <v>647</v>
      </c>
      <c r="B39" t="s">
        <v>740</v>
      </c>
      <c r="C39" t="s">
        <v>39</v>
      </c>
      <c r="D39" t="s">
        <v>464</v>
      </c>
      <c r="E39" t="s">
        <v>465</v>
      </c>
      <c r="F39" t="s">
        <v>462</v>
      </c>
      <c r="G39" t="s">
        <v>730</v>
      </c>
      <c r="H39" s="2">
        <v>33023</v>
      </c>
      <c r="I39" s="2">
        <v>43817</v>
      </c>
      <c r="J39">
        <f t="shared" si="0"/>
        <v>29</v>
      </c>
      <c r="K39">
        <v>2</v>
      </c>
      <c r="L39" t="s">
        <v>451</v>
      </c>
      <c r="M39">
        <v>368</v>
      </c>
      <c r="N39">
        <v>7</v>
      </c>
      <c r="O39">
        <v>0</v>
      </c>
      <c r="P39">
        <v>2</v>
      </c>
      <c r="Q39">
        <v>1</v>
      </c>
      <c r="R39">
        <v>0</v>
      </c>
      <c r="S39" t="str">
        <f t="shared" si="1"/>
        <v>TRUE</v>
      </c>
      <c r="T39" t="s">
        <v>39</v>
      </c>
      <c r="U39">
        <v>312494.77909999999</v>
      </c>
      <c r="V39">
        <v>123570.2959</v>
      </c>
      <c r="W39">
        <v>1332374.6410000001</v>
      </c>
      <c r="X39">
        <v>243522.9173</v>
      </c>
      <c r="Y39">
        <v>92258.85888</v>
      </c>
      <c r="Z39">
        <v>18697.140790000001</v>
      </c>
      <c r="AA39">
        <v>3099.563521</v>
      </c>
      <c r="AB39">
        <v>138627.7763</v>
      </c>
      <c r="AC39">
        <v>198875.90090000001</v>
      </c>
      <c r="AD39">
        <v>71947.353810000001</v>
      </c>
      <c r="AE39">
        <v>3939.8742400000001</v>
      </c>
      <c r="AF39">
        <v>257082.89430000001</v>
      </c>
      <c r="AG39">
        <v>284131.68030000001</v>
      </c>
      <c r="AH39">
        <v>68671.4234</v>
      </c>
      <c r="AI39">
        <v>384462.09840000002</v>
      </c>
    </row>
    <row r="40" spans="1:35" x14ac:dyDescent="0.2">
      <c r="A40" t="s">
        <v>472</v>
      </c>
      <c r="B40" t="s">
        <v>740</v>
      </c>
      <c r="C40" t="s">
        <v>37</v>
      </c>
      <c r="D40" t="s">
        <v>464</v>
      </c>
      <c r="E40" t="s">
        <v>465</v>
      </c>
      <c r="F40" t="s">
        <v>462</v>
      </c>
      <c r="G40" t="s">
        <v>730</v>
      </c>
      <c r="H40" s="2">
        <v>33023</v>
      </c>
      <c r="I40" s="2">
        <v>43847</v>
      </c>
      <c r="J40">
        <f t="shared" si="0"/>
        <v>29</v>
      </c>
      <c r="K40">
        <v>3</v>
      </c>
      <c r="L40" t="s">
        <v>451</v>
      </c>
      <c r="M40">
        <v>426</v>
      </c>
      <c r="N40">
        <v>3</v>
      </c>
      <c r="O40">
        <v>0</v>
      </c>
      <c r="P40">
        <v>2</v>
      </c>
      <c r="Q40">
        <v>0</v>
      </c>
      <c r="R40">
        <v>0</v>
      </c>
      <c r="S40" t="str">
        <f t="shared" si="1"/>
        <v>TRUE</v>
      </c>
      <c r="T40" t="s">
        <v>37</v>
      </c>
      <c r="U40">
        <v>42722.184150000001</v>
      </c>
      <c r="V40">
        <v>359314.17660000001</v>
      </c>
      <c r="W40">
        <v>605710.27289999998</v>
      </c>
      <c r="X40">
        <v>208026.97659999999</v>
      </c>
      <c r="Y40">
        <v>12307.20585</v>
      </c>
      <c r="Z40">
        <v>2809.1134750000001</v>
      </c>
      <c r="AA40">
        <v>5397.5445250000002</v>
      </c>
      <c r="AB40">
        <v>95523.241729999994</v>
      </c>
      <c r="AC40">
        <v>93081.804550000001</v>
      </c>
      <c r="AD40">
        <v>120835.9123</v>
      </c>
      <c r="AE40">
        <v>4100.5177599999997</v>
      </c>
      <c r="AF40">
        <v>627832.85270000005</v>
      </c>
      <c r="AG40">
        <v>113992.9997</v>
      </c>
      <c r="AH40">
        <v>81588.364069999996</v>
      </c>
      <c r="AI40">
        <v>230878.26190000001</v>
      </c>
    </row>
    <row r="41" spans="1:35" x14ac:dyDescent="0.2">
      <c r="A41" t="s">
        <v>651</v>
      </c>
      <c r="B41" t="s">
        <v>740</v>
      </c>
      <c r="C41" t="s">
        <v>41</v>
      </c>
      <c r="D41" t="s">
        <v>464</v>
      </c>
      <c r="E41" t="s">
        <v>465</v>
      </c>
      <c r="F41" t="s">
        <v>462</v>
      </c>
      <c r="G41" t="s">
        <v>730</v>
      </c>
      <c r="H41" s="2">
        <v>33023</v>
      </c>
      <c r="I41" s="2">
        <v>43510</v>
      </c>
      <c r="J41">
        <f t="shared" si="0"/>
        <v>28</v>
      </c>
      <c r="K41">
        <v>4</v>
      </c>
      <c r="L41" t="s">
        <v>451</v>
      </c>
      <c r="M41">
        <v>391</v>
      </c>
      <c r="N41">
        <v>2</v>
      </c>
      <c r="O41">
        <v>0</v>
      </c>
      <c r="P41">
        <v>2</v>
      </c>
      <c r="Q41">
        <v>0</v>
      </c>
      <c r="R41">
        <v>0</v>
      </c>
      <c r="S41" t="str">
        <f t="shared" si="1"/>
        <v>TRUE</v>
      </c>
      <c r="T41" t="s">
        <v>41</v>
      </c>
      <c r="U41">
        <v>161152.56030000001</v>
      </c>
      <c r="V41">
        <v>898547.29180000001</v>
      </c>
      <c r="W41">
        <v>289219.3492</v>
      </c>
      <c r="X41">
        <v>235890.8046</v>
      </c>
      <c r="Y41">
        <v>46556.156040000002</v>
      </c>
      <c r="Z41">
        <v>12163.788850000001</v>
      </c>
      <c r="AA41">
        <v>1655.5377490000001</v>
      </c>
      <c r="AB41">
        <v>116535.2917</v>
      </c>
      <c r="AC41">
        <v>991839.05740000005</v>
      </c>
      <c r="AD41">
        <v>258144.35709999999</v>
      </c>
      <c r="AE41">
        <v>2582.3961479999998</v>
      </c>
      <c r="AF41">
        <v>822178.62159999995</v>
      </c>
      <c r="AG41">
        <v>256511.55989999999</v>
      </c>
      <c r="AH41">
        <v>131040.6462</v>
      </c>
      <c r="AI41">
        <v>311885.44459999999</v>
      </c>
    </row>
    <row r="42" spans="1:35" x14ac:dyDescent="0.2">
      <c r="A42" t="s">
        <v>650</v>
      </c>
      <c r="B42" t="s">
        <v>741</v>
      </c>
      <c r="C42" t="s">
        <v>122</v>
      </c>
      <c r="D42" t="s">
        <v>453</v>
      </c>
      <c r="E42" t="s">
        <v>461</v>
      </c>
      <c r="F42" t="s">
        <v>462</v>
      </c>
      <c r="G42" t="s">
        <v>455</v>
      </c>
      <c r="H42" s="2">
        <v>29354</v>
      </c>
      <c r="I42" s="2">
        <v>43868</v>
      </c>
      <c r="J42">
        <f t="shared" si="0"/>
        <v>39</v>
      </c>
      <c r="K42">
        <v>1</v>
      </c>
      <c r="L42" t="s">
        <v>451</v>
      </c>
      <c r="M42">
        <v>11611</v>
      </c>
      <c r="N42">
        <v>10</v>
      </c>
      <c r="O42">
        <v>1</v>
      </c>
      <c r="P42" s="12">
        <v>2</v>
      </c>
      <c r="Q42" s="14">
        <v>1</v>
      </c>
      <c r="R42" s="14">
        <v>0</v>
      </c>
      <c r="S42" t="str">
        <f t="shared" si="1"/>
        <v>TRUE</v>
      </c>
      <c r="T42" t="s">
        <v>122</v>
      </c>
      <c r="U42">
        <v>156169.26920000001</v>
      </c>
      <c r="V42">
        <v>54674.349009999998</v>
      </c>
      <c r="W42">
        <v>375181.462</v>
      </c>
      <c r="X42">
        <v>248233.6018</v>
      </c>
      <c r="Y42">
        <v>629306.24730000005</v>
      </c>
      <c r="Z42">
        <v>15298.14371</v>
      </c>
      <c r="AA42">
        <v>4047.9648790000001</v>
      </c>
      <c r="AB42">
        <v>205795.7494</v>
      </c>
      <c r="AC42">
        <v>94806.337880000006</v>
      </c>
      <c r="AD42">
        <v>331138.98540000001</v>
      </c>
      <c r="AE42">
        <v>57724.95996</v>
      </c>
      <c r="AF42">
        <v>729364.91729999997</v>
      </c>
      <c r="AG42">
        <v>125289.5472</v>
      </c>
      <c r="AH42">
        <v>0</v>
      </c>
      <c r="AI42">
        <v>196779.53810000001</v>
      </c>
    </row>
    <row r="43" spans="1:35" x14ac:dyDescent="0.2">
      <c r="A43" t="s">
        <v>589</v>
      </c>
      <c r="B43" t="s">
        <v>741</v>
      </c>
      <c r="C43" t="s">
        <v>126</v>
      </c>
      <c r="D43" t="s">
        <v>453</v>
      </c>
      <c r="E43" t="s">
        <v>461</v>
      </c>
      <c r="F43" t="s">
        <v>462</v>
      </c>
      <c r="G43" t="s">
        <v>730</v>
      </c>
      <c r="H43" s="2">
        <v>29354</v>
      </c>
      <c r="I43" s="2">
        <v>43894</v>
      </c>
      <c r="J43">
        <f t="shared" si="0"/>
        <v>39</v>
      </c>
      <c r="K43">
        <v>2</v>
      </c>
      <c r="L43" t="s">
        <v>451</v>
      </c>
      <c r="M43">
        <v>4033</v>
      </c>
      <c r="N43">
        <v>8</v>
      </c>
      <c r="O43">
        <v>1</v>
      </c>
      <c r="P43" s="12">
        <v>2</v>
      </c>
      <c r="Q43">
        <v>1</v>
      </c>
      <c r="R43">
        <v>0</v>
      </c>
      <c r="S43" t="str">
        <f t="shared" si="1"/>
        <v>TRUE</v>
      </c>
      <c r="T43" t="s">
        <v>126</v>
      </c>
      <c r="U43">
        <v>225152.9106</v>
      </c>
      <c r="V43">
        <v>115104.5494</v>
      </c>
      <c r="W43">
        <v>319613.96389999997</v>
      </c>
      <c r="X43">
        <v>425207.50160000002</v>
      </c>
      <c r="Y43">
        <v>497552.95789999998</v>
      </c>
      <c r="Z43">
        <v>28452.329180000001</v>
      </c>
      <c r="AA43">
        <v>4789.5485339999996</v>
      </c>
      <c r="AB43">
        <v>107993.7577</v>
      </c>
      <c r="AC43">
        <v>33751.869509999997</v>
      </c>
      <c r="AD43">
        <v>114695.7403</v>
      </c>
      <c r="AE43">
        <v>201264.37359999999</v>
      </c>
      <c r="AF43">
        <v>616140.37419999996</v>
      </c>
      <c r="AG43">
        <v>103778.82640000001</v>
      </c>
      <c r="AH43">
        <v>0</v>
      </c>
      <c r="AI43">
        <v>208586.54680000001</v>
      </c>
    </row>
    <row r="44" spans="1:35" x14ac:dyDescent="0.2">
      <c r="A44" t="s">
        <v>564</v>
      </c>
      <c r="B44" t="s">
        <v>741</v>
      </c>
      <c r="C44" t="s">
        <v>124</v>
      </c>
      <c r="D44" t="s">
        <v>453</v>
      </c>
      <c r="E44" t="s">
        <v>461</v>
      </c>
      <c r="F44" t="s">
        <v>462</v>
      </c>
      <c r="G44" t="s">
        <v>730</v>
      </c>
      <c r="H44" s="2">
        <v>29354</v>
      </c>
      <c r="I44" s="2">
        <v>44007</v>
      </c>
      <c r="J44">
        <f t="shared" si="0"/>
        <v>40</v>
      </c>
      <c r="K44">
        <v>3</v>
      </c>
      <c r="L44" t="s">
        <v>451</v>
      </c>
      <c r="M44">
        <v>43</v>
      </c>
      <c r="N44">
        <v>2</v>
      </c>
      <c r="O44">
        <v>1</v>
      </c>
      <c r="P44" s="12">
        <v>2</v>
      </c>
      <c r="Q44">
        <v>1</v>
      </c>
      <c r="R44">
        <v>0</v>
      </c>
      <c r="S44" t="str">
        <f t="shared" si="1"/>
        <v>TRUE</v>
      </c>
      <c r="T44" t="s">
        <v>124</v>
      </c>
      <c r="U44">
        <v>353451.30670000002</v>
      </c>
      <c r="V44">
        <v>335778.67460000003</v>
      </c>
      <c r="W44">
        <v>1010909.7709999999</v>
      </c>
      <c r="X44">
        <v>627837.72710000002</v>
      </c>
      <c r="Y44">
        <v>360417.59220000001</v>
      </c>
      <c r="Z44">
        <v>15320.659250000001</v>
      </c>
      <c r="AA44">
        <v>3741.8580360000001</v>
      </c>
      <c r="AB44">
        <v>136805.9307</v>
      </c>
      <c r="AC44">
        <v>89921.586569999999</v>
      </c>
      <c r="AD44">
        <v>202225.40429999999</v>
      </c>
      <c r="AE44">
        <v>897852.59609999997</v>
      </c>
      <c r="AF44">
        <v>512202.0062</v>
      </c>
      <c r="AG44">
        <v>99364.991569999998</v>
      </c>
      <c r="AH44">
        <v>14974.731089999999</v>
      </c>
      <c r="AI44">
        <v>476264.37180000002</v>
      </c>
    </row>
    <row r="45" spans="1:35" x14ac:dyDescent="0.2">
      <c r="A45" t="s">
        <v>652</v>
      </c>
      <c r="B45" t="s">
        <v>742</v>
      </c>
      <c r="C45" t="s">
        <v>427</v>
      </c>
      <c r="D45" t="s">
        <v>464</v>
      </c>
      <c r="E45" t="s">
        <v>482</v>
      </c>
      <c r="F45" t="s">
        <v>455</v>
      </c>
      <c r="G45" t="s">
        <v>462</v>
      </c>
      <c r="H45" s="2">
        <v>26203</v>
      </c>
      <c r="I45" s="2">
        <v>43885</v>
      </c>
      <c r="J45">
        <f t="shared" si="0"/>
        <v>48</v>
      </c>
      <c r="K45">
        <v>1</v>
      </c>
      <c r="L45" t="s">
        <v>456</v>
      </c>
      <c r="M45">
        <v>247</v>
      </c>
      <c r="N45">
        <v>6</v>
      </c>
      <c r="O45">
        <v>0</v>
      </c>
      <c r="P45">
        <v>3</v>
      </c>
      <c r="Q45" s="14">
        <v>1</v>
      </c>
      <c r="R45" s="14">
        <v>0</v>
      </c>
      <c r="S45" t="str">
        <f t="shared" si="1"/>
        <v>TRUE</v>
      </c>
      <c r="T45" t="s">
        <v>427</v>
      </c>
      <c r="U45">
        <v>85996.935630000007</v>
      </c>
      <c r="V45">
        <v>608403.97640000004</v>
      </c>
      <c r="W45">
        <v>648951.99360000005</v>
      </c>
      <c r="X45">
        <v>127783.5395</v>
      </c>
      <c r="Y45">
        <v>645631.2365</v>
      </c>
      <c r="Z45">
        <v>22591.122960000001</v>
      </c>
      <c r="AA45">
        <v>1010993.703</v>
      </c>
      <c r="AB45">
        <v>82477.705860000002</v>
      </c>
      <c r="AC45">
        <v>41974.26223</v>
      </c>
      <c r="AD45">
        <v>100851.5763</v>
      </c>
      <c r="AE45">
        <v>11495.68657</v>
      </c>
      <c r="AF45">
        <v>848078.03350000002</v>
      </c>
      <c r="AG45">
        <v>208042.43150000001</v>
      </c>
      <c r="AH45">
        <v>169295.8646</v>
      </c>
      <c r="AI45">
        <v>1473141.4410000001</v>
      </c>
    </row>
  </sheetData>
  <autoFilter ref="K1:K46" xr:uid="{00000000-0001-0000-0400-000000000000}"/>
  <sortState xmlns:xlrd2="http://schemas.microsoft.com/office/spreadsheetml/2017/richdata2" ref="A2:AI45">
    <sortCondition ref="A1:A45"/>
  </sortState>
  <phoneticPr fontId="27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IBD-UC Stool HPOS_PeakPantheR_c</vt:lpstr>
      <vt:lpstr>Master</vt:lpstr>
      <vt:lpstr>Inception cohort</vt:lpstr>
      <vt:lpstr>5-ASA cohort</vt:lpstr>
      <vt:lpstr>Thiopurine cohort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Radhakrishnan, Shiva Thambiah</cp:lastModifiedBy>
  <dcterms:created xsi:type="dcterms:W3CDTF">2022-08-01T15:37:46Z</dcterms:created>
  <dcterms:modified xsi:type="dcterms:W3CDTF">2022-10-11T11:40:47Z</dcterms:modified>
</cp:coreProperties>
</file>