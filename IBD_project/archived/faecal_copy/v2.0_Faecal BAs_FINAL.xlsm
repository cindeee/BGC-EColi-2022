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03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imperiallondon-my.sharepoint.com/personal/str06_ic_ac_uk/Documents/LCMS/Faeces/datasheets for Maria/"/>
    </mc:Choice>
  </mc:AlternateContent>
  <xr:revisionPtr revIDLastSave="28" documentId="8_{1BAEA0AB-A7D5-5D44-9EBB-A9A3AF33EA8C}" xr6:coauthVersionLast="47" xr6:coauthVersionMax="47" xr10:uidLastSave="{5A7C2766-59DA-4D80-9C61-8977CE5A4663}"/>
  <bookViews>
    <workbookView xWindow="-38400" yWindow="500" windowWidth="38400" windowHeight="21100" firstSheet="2" activeTab="2" xr2:uid="{00000000-000D-0000-FFFF-FFFF00000000}"/>
  </bookViews>
  <sheets>
    <sheet name="IBD-UC Stool BA LC-QqQ_combined" sheetId="1" r:id="rId1"/>
    <sheet name="Master" sheetId="5" r:id="rId2"/>
    <sheet name="Inception" sheetId="2" r:id="rId3"/>
    <sheet name="5-ASA" sheetId="3" r:id="rId4"/>
    <sheet name="Thio" sheetId="4" r:id="rId5"/>
  </sheets>
  <definedNames>
    <definedName name="_xlnm._FilterDatabase" localSheetId="3" hidden="1">'5-ASA'!$J$1:$J$82</definedName>
    <definedName name="_xlnm._FilterDatabase" localSheetId="2" hidden="1">Inception!$C$1:$C$94</definedName>
    <definedName name="_xlnm._FilterDatabase" localSheetId="4" hidden="1">Thio!$K$1:$K$45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" i="4" l="1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AB3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B2" i="4" l="1"/>
  <c r="AA2" i="3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2" i="2"/>
  <c r="S2" i="4" l="1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2" i="3"/>
  <c r="R49" i="2"/>
  <c r="R15" i="2" l="1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3" i="2"/>
  <c r="R4" i="2"/>
  <c r="R5" i="2"/>
  <c r="R6" i="2"/>
  <c r="R7" i="2"/>
  <c r="R8" i="2"/>
  <c r="R9" i="2"/>
  <c r="R10" i="2"/>
  <c r="R11" i="2"/>
  <c r="R12" i="2"/>
  <c r="R13" i="2"/>
  <c r="R14" i="2"/>
  <c r="R2" i="2"/>
  <c r="M3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2" i="5"/>
  <c r="J209" i="1"/>
  <c r="K209" i="1"/>
  <c r="L209" i="1"/>
  <c r="M209" i="1"/>
  <c r="N209" i="1"/>
  <c r="L205" i="1"/>
  <c r="M205" i="1"/>
  <c r="N205" i="1"/>
  <c r="O205" i="1"/>
  <c r="P205" i="1"/>
  <c r="Q205" i="1"/>
  <c r="R205" i="1"/>
  <c r="S205" i="1"/>
  <c r="E205" i="1"/>
  <c r="F205" i="1"/>
  <c r="G205" i="1"/>
  <c r="H205" i="1"/>
  <c r="I205" i="1"/>
  <c r="J205" i="1"/>
  <c r="K205" i="1"/>
  <c r="AL205" i="1"/>
  <c r="AM205" i="1"/>
  <c r="AM209" i="1" s="1"/>
  <c r="AN205" i="1"/>
  <c r="AN209" i="1" s="1"/>
  <c r="AO205" i="1"/>
  <c r="AO209" i="1" s="1"/>
  <c r="AP205" i="1"/>
  <c r="AP209" i="1" s="1"/>
  <c r="AQ205" i="1"/>
  <c r="AQ209" i="1" s="1"/>
  <c r="AR205" i="1"/>
  <c r="AR209" i="1" s="1"/>
  <c r="AS205" i="1"/>
  <c r="AS209" i="1" s="1"/>
  <c r="AT205" i="1"/>
  <c r="AT209" i="1" s="1"/>
  <c r="AU205" i="1"/>
  <c r="AU209" i="1" s="1"/>
  <c r="AV205" i="1"/>
  <c r="AV209" i="1" s="1"/>
  <c r="AW205" i="1"/>
  <c r="AW209" i="1" s="1"/>
  <c r="AX205" i="1"/>
  <c r="AX209" i="1" s="1"/>
  <c r="AY205" i="1"/>
  <c r="AY209" i="1" s="1"/>
  <c r="AZ205" i="1"/>
  <c r="AZ209" i="1" s="1"/>
  <c r="BA205" i="1"/>
  <c r="BA209" i="1" s="1"/>
  <c r="BB205" i="1"/>
  <c r="BB209" i="1" s="1"/>
  <c r="BC205" i="1"/>
  <c r="BC209" i="1" s="1"/>
  <c r="BD205" i="1"/>
  <c r="BD209" i="1" s="1"/>
  <c r="BE205" i="1"/>
  <c r="BE209" i="1" s="1"/>
  <c r="BF205" i="1"/>
  <c r="BF209" i="1" s="1"/>
  <c r="BG205" i="1"/>
  <c r="BG209" i="1" s="1"/>
  <c r="BH205" i="1"/>
  <c r="BH209" i="1" s="1"/>
  <c r="AJ209" i="1"/>
  <c r="AL209" i="1"/>
  <c r="AK205" i="1"/>
  <c r="AK209" i="1" s="1"/>
  <c r="AF209" i="1"/>
  <c r="AI205" i="1"/>
  <c r="AI209" i="1" s="1"/>
  <c r="AJ205" i="1"/>
  <c r="AH205" i="1"/>
  <c r="AH209" i="1" s="1"/>
  <c r="AG205" i="1"/>
  <c r="AG209" i="1" s="1"/>
  <c r="AF205" i="1"/>
  <c r="AE205" i="1"/>
  <c r="AE209" i="1" s="1"/>
  <c r="AD205" i="1"/>
  <c r="AD209" i="1" s="1"/>
  <c r="AC205" i="1"/>
  <c r="AC209" i="1" s="1"/>
  <c r="AB205" i="1"/>
  <c r="Z205" i="1"/>
  <c r="AA209" i="1"/>
  <c r="AA205" i="1"/>
  <c r="Y205" i="1"/>
  <c r="X205" i="1"/>
  <c r="W205" i="1"/>
  <c r="V205" i="1"/>
  <c r="V209" i="1" s="1"/>
  <c r="U205" i="1"/>
  <c r="T205" i="1"/>
  <c r="P209" i="1"/>
  <c r="O209" i="1"/>
  <c r="I209" i="1"/>
  <c r="I206" i="1"/>
  <c r="D205" i="1"/>
  <c r="J45" i="4" l="1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" i="3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O1" authorId="0" shapeId="0" xr:uid="{B8293848-6C4C-A847-B8E8-60246CD72C97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scheme val="minor"/>
          </rPr>
          <t xml:space="preserve">&lt;18.5=1
</t>
        </r>
        <r>
          <rPr>
            <sz val="10"/>
            <color rgb="FF000000"/>
            <rFont val="Calibri"/>
            <scheme val="minor"/>
          </rPr>
          <t xml:space="preserve">18-24.9=2
</t>
        </r>
        <r>
          <rPr>
            <sz val="10"/>
            <color rgb="FF000000"/>
            <rFont val="Calibri"/>
            <scheme val="minor"/>
          </rPr>
          <t xml:space="preserve">25-29.9=3
</t>
        </r>
        <r>
          <rPr>
            <sz val="10"/>
            <color rgb="FF000000"/>
            <rFont val="Calibri"/>
            <scheme val="minor"/>
          </rPr>
          <t xml:space="preserve">30-39.9=4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O1" authorId="0" shapeId="0" xr:uid="{24AE5CF0-6247-084B-BCB3-D347531EAE05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</rPr>
          <t xml:space="preserve">&lt;18.5=1
</t>
        </r>
        <r>
          <rPr>
            <sz val="10"/>
            <color rgb="FF000000"/>
            <rFont val="Calibri"/>
          </rPr>
          <t xml:space="preserve">18-24.9=2
</t>
        </r>
        <r>
          <rPr>
            <sz val="10"/>
            <color rgb="FF000000"/>
            <rFont val="Calibri"/>
          </rPr>
          <t xml:space="preserve">25-29.9=3
</t>
        </r>
        <r>
          <rPr>
            <sz val="10"/>
            <color rgb="FF000000"/>
            <rFont val="Calibri"/>
          </rPr>
          <t xml:space="preserve">30-39.9=4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P1" authorId="0" shapeId="0" xr:uid="{F82BF62F-8320-8A4B-95BA-FC15C986C515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</rPr>
          <t xml:space="preserve">&lt;18.5=1
</t>
        </r>
        <r>
          <rPr>
            <sz val="10"/>
            <color rgb="FF000000"/>
            <rFont val="Calibri"/>
          </rPr>
          <t xml:space="preserve">18-24.9=2
</t>
        </r>
        <r>
          <rPr>
            <sz val="10"/>
            <color rgb="FF000000"/>
            <rFont val="Calibri"/>
          </rPr>
          <t xml:space="preserve">25-29.9=3
</t>
        </r>
        <r>
          <rPr>
            <sz val="10"/>
            <color rgb="FF000000"/>
            <rFont val="Calibri"/>
          </rPr>
          <t xml:space="preserve">30-39.9=4
</t>
        </r>
      </text>
    </comment>
  </commentList>
</comments>
</file>

<file path=xl/sharedStrings.xml><?xml version="1.0" encoding="utf-8"?>
<sst xmlns="http://schemas.openxmlformats.org/spreadsheetml/2006/main" count="10392" uniqueCount="762">
  <si>
    <t>Sample File Name</t>
  </si>
  <si>
    <t>Sample ID</t>
  </si>
  <si>
    <t>IBD_UC_Stool_TQ05_BileAcids_Plate_5B_026</t>
  </si>
  <si>
    <t>F001</t>
  </si>
  <si>
    <t>&lt;LLOQ</t>
  </si>
  <si>
    <t>&gt;ULOQ</t>
  </si>
  <si>
    <t>IBD_UC_Stool_TQ05_BileAcids_Plate_5A_054</t>
  </si>
  <si>
    <t>F002</t>
  </si>
  <si>
    <t>IBD_UC_Stool_TQ05_BileAcids_Plate_6B_033</t>
  </si>
  <si>
    <t>F003</t>
  </si>
  <si>
    <t>IBD_UC_Stool_TQ05_BileAcids_Plate_5A_053</t>
  </si>
  <si>
    <t>F004</t>
  </si>
  <si>
    <t>IBD_UC_Stool_TQ05_BileAcids_Plate_5A_040</t>
  </si>
  <si>
    <t>F005</t>
  </si>
  <si>
    <t>IBD_UC_Stool_TQ05_BileAcids_Plate_6A_057</t>
  </si>
  <si>
    <t>F006</t>
  </si>
  <si>
    <t>IBD_UC_Stool_TQ05_BileAcids_Plate_6B_021</t>
  </si>
  <si>
    <t>F007</t>
  </si>
  <si>
    <t>IBD_UC_Stool_TQ05_BileAcids_Plate_7A_057</t>
  </si>
  <si>
    <t>F008</t>
  </si>
  <si>
    <t>IBD_UC_Stool_TQ05_BileAcids_Plate_7A_026</t>
  </si>
  <si>
    <t>F009</t>
  </si>
  <si>
    <t>IBD_UC_Stool_TQ05_BileAcids_Plate_5A_029</t>
  </si>
  <si>
    <t>F010</t>
  </si>
  <si>
    <t>IBD_UC_Stool_TQ05_BileAcids_Plate_5B_052</t>
  </si>
  <si>
    <t>F011</t>
  </si>
  <si>
    <t>IBD_UC_Stool_TQ05_BileAcids_Plate_6A_039</t>
  </si>
  <si>
    <t>F012</t>
  </si>
  <si>
    <t>IBD_UC_Stool_TQ05_BileAcids_Plate_7A_062</t>
  </si>
  <si>
    <t>F013</t>
  </si>
  <si>
    <t>IBD_UC_Stool_TQ05_BileAcids_Plate_5B_048</t>
  </si>
  <si>
    <t>F014</t>
  </si>
  <si>
    <t>IBD_UC_Stool_TQ05_BileAcids_Plate_6B_030</t>
  </si>
  <si>
    <t>F015</t>
  </si>
  <si>
    <t>IBD_UC_Stool_TQ05_BileAcids_Plate_7A_047</t>
  </si>
  <si>
    <t>F016</t>
  </si>
  <si>
    <t>IBD_UC_Stool_TQ05_BileAcids_Plate_5B_028</t>
  </si>
  <si>
    <t>F017</t>
  </si>
  <si>
    <t>IBD_UC_Stool_TQ05_BileAcids_Plate_7A_050</t>
  </si>
  <si>
    <t>F018</t>
  </si>
  <si>
    <t>IBD_UC_Stool_TQ05_BileAcids_Plate_5B_025</t>
  </si>
  <si>
    <t>F019</t>
  </si>
  <si>
    <t>IBD_UC_Stool_TQ05_BileAcids_Plate_6B_027</t>
  </si>
  <si>
    <t>F020</t>
  </si>
  <si>
    <t>IBD_UC_Stool_TQ05_BileAcids_Plate_5B_037</t>
  </si>
  <si>
    <t>F021</t>
  </si>
  <si>
    <t>IBD_UC_Stool_TQ05_BileAcids_Plate_6A_040</t>
  </si>
  <si>
    <t>F022</t>
  </si>
  <si>
    <t>IBD_UC_Stool_TQ05_BileAcids_Plate_6A_053</t>
  </si>
  <si>
    <t>F023</t>
  </si>
  <si>
    <t>IBD_UC_Stool_TQ05_BileAcids_Plate_6A_030</t>
  </si>
  <si>
    <t>F024</t>
  </si>
  <si>
    <t>IBD_UC_Stool_TQ05_BileAcids_Plate_5A_028</t>
  </si>
  <si>
    <t>F025</t>
  </si>
  <si>
    <t>IBD_UC_Stool_TQ05_BileAcids_Plate_5B_045</t>
  </si>
  <si>
    <t>F026</t>
  </si>
  <si>
    <t>IBD_UC_Stool_TQ05_BileAcids_Plate_6B_048</t>
  </si>
  <si>
    <t>F028</t>
  </si>
  <si>
    <t>IBD_UC_Stool_TQ05_BileAcids_Plate_6B_028</t>
  </si>
  <si>
    <t>F029</t>
  </si>
  <si>
    <t>IBD_UC_Stool_TQ05_BileAcids_Plate_5A_039</t>
  </si>
  <si>
    <t>F030</t>
  </si>
  <si>
    <t>IBD_UC_Stool_TQ05_BileAcids_Plate_6B_023</t>
  </si>
  <si>
    <t>F031</t>
  </si>
  <si>
    <t>IBD_UC_Stool_TQ05_BileAcids_Plate_5B_029</t>
  </si>
  <si>
    <t>F032</t>
  </si>
  <si>
    <t>IBD_UC_Stool_TQ05_BileAcids_Plate_5A_059</t>
  </si>
  <si>
    <t>F033</t>
  </si>
  <si>
    <t>IBD_UC_Stool_TQ05_BileAcids_Plate_6B_059</t>
  </si>
  <si>
    <t>F034</t>
  </si>
  <si>
    <t>IBD_UC_Stool_TQ05_BileAcids_Plate_6B_034</t>
  </si>
  <si>
    <t>F035</t>
  </si>
  <si>
    <t>IBD_UC_Stool_TQ05_BileAcids_Plate_5B_051</t>
  </si>
  <si>
    <t>F036</t>
  </si>
  <si>
    <t>IBD_UC_Stool_TQ05_BileAcids_Plate_6B_046</t>
  </si>
  <si>
    <t>F037</t>
  </si>
  <si>
    <t>IBD_UC_Stool_TQ05_BileAcids_Plate_5A_058</t>
  </si>
  <si>
    <t>F038</t>
  </si>
  <si>
    <t>IBD_UC_Stool_TQ05_BileAcids_Plate_5A_062</t>
  </si>
  <si>
    <t>F039</t>
  </si>
  <si>
    <t>IBD_UC_Stool_TQ05_BileAcids_Plate_7A_051</t>
  </si>
  <si>
    <t>F040</t>
  </si>
  <si>
    <t>IBD_UC_Stool_TQ05_BileAcids_Plate_6A_034</t>
  </si>
  <si>
    <t>F041</t>
  </si>
  <si>
    <t>IBD_UC_Stool_TQ05_BileAcids_Plate_5B_024</t>
  </si>
  <si>
    <t>F042</t>
  </si>
  <si>
    <t>IBD_UC_Stool_TQ05_BileAcids_Plate_6A_066</t>
  </si>
  <si>
    <t>F043</t>
  </si>
  <si>
    <t>IBD_UC_Stool_TQ05_BileAcids_Plate_6A_054</t>
  </si>
  <si>
    <t>F044</t>
  </si>
  <si>
    <t>IBD_UC_Stool_TQ05_BileAcids_Plate_5B_036</t>
  </si>
  <si>
    <t>F045</t>
  </si>
  <si>
    <t>IBD_UC_Stool_TQ05_BileAcids_Plate_6A_033</t>
  </si>
  <si>
    <t>F046</t>
  </si>
  <si>
    <t>IBD_UC_Stool_TQ05_BileAcids_Plate_6B_051</t>
  </si>
  <si>
    <t>F047</t>
  </si>
  <si>
    <t>IBD_UC_Stool_TQ05_BileAcids_Plate_5A_027</t>
  </si>
  <si>
    <t>F048</t>
  </si>
  <si>
    <t>IBD_UC_Stool_TQ05_BileAcids_Plate_7A_037</t>
  </si>
  <si>
    <t>F049</t>
  </si>
  <si>
    <t>IBD_UC_Stool_TQ05_BileAcids_Plate_6B_057</t>
  </si>
  <si>
    <t>F050</t>
  </si>
  <si>
    <t>IBD_UC_Stool_TQ05_BileAcids_Plate_6B_035</t>
  </si>
  <si>
    <t>F051</t>
  </si>
  <si>
    <t>IBD_UC_Stool_TQ05_BileAcids_Plate_6B_047</t>
  </si>
  <si>
    <t>F052</t>
  </si>
  <si>
    <t>IBD_UC_Stool_TQ05_BileAcids_Plate_6A_021</t>
  </si>
  <si>
    <t>F053</t>
  </si>
  <si>
    <t>IBD_UC_Stool_TQ05_BileAcids_Plate_6B_029</t>
  </si>
  <si>
    <t>F054</t>
  </si>
  <si>
    <t>IBD_UC_Stool_TQ05_BileAcids_Plate_5A_041</t>
  </si>
  <si>
    <t>F055</t>
  </si>
  <si>
    <t>IBD_UC_Stool_TQ05_BileAcids_Plate_5B_027</t>
  </si>
  <si>
    <t>F056</t>
  </si>
  <si>
    <t>IBD_UC_Stool_TQ05_BileAcids_Plate_5B_046</t>
  </si>
  <si>
    <t>F057</t>
  </si>
  <si>
    <t>IBD_UC_Stool_TQ05_BileAcids_Plate_6B_050</t>
  </si>
  <si>
    <t>F058</t>
  </si>
  <si>
    <t>IBD_UC_Stool_TQ05_BileAcids_Plate_5B_066</t>
  </si>
  <si>
    <t>F059</t>
  </si>
  <si>
    <t>IBD_UC_Stool_TQ05_BileAcids_Plate_5A_063</t>
  </si>
  <si>
    <t>F060</t>
  </si>
  <si>
    <t>IBD_UC_Stool_TQ05_BileAcids_Plate_7A_036</t>
  </si>
  <si>
    <t>F061</t>
  </si>
  <si>
    <t>IBD_UC_Stool_TQ05_BileAcids_Plate_6A_064</t>
  </si>
  <si>
    <t>F062</t>
  </si>
  <si>
    <t>IBD_UC_Stool_TQ05_BileAcids_Plate_6A_029</t>
  </si>
  <si>
    <t>F063</t>
  </si>
  <si>
    <t>IBD_UC_Stool_TQ05_BileAcids_Plate_6B_052</t>
  </si>
  <si>
    <t>F064</t>
  </si>
  <si>
    <t>IBD_UC_Stool_TQ05_BileAcids_Plate_6B_054</t>
  </si>
  <si>
    <t>F065</t>
  </si>
  <si>
    <t>IBD_UC_Stool_TQ05_BileAcids_Plate_6A_050</t>
  </si>
  <si>
    <t>F066</t>
  </si>
  <si>
    <t>IBD_UC_Stool_TQ05_BileAcids_Plate_6A_065</t>
  </si>
  <si>
    <t>F067</t>
  </si>
  <si>
    <t>IBD_UC_Stool_TQ05_BileAcids_Plate_5A_035</t>
  </si>
  <si>
    <t>F068</t>
  </si>
  <si>
    <t>IBD_UC_Stool_TQ05_BileAcids_Plate_7A_029</t>
  </si>
  <si>
    <t>F069</t>
  </si>
  <si>
    <t>IBD_UC_Stool_TQ05_BileAcids_Plate_5B_050</t>
  </si>
  <si>
    <t>F070</t>
  </si>
  <si>
    <t>IBD_UC_Stool_TQ05_BileAcids_Plate_7A_058</t>
  </si>
  <si>
    <t>F071</t>
  </si>
  <si>
    <t>IBD_UC_Stool_TQ05_BileAcids_Plate_5B_038</t>
  </si>
  <si>
    <t>F072</t>
  </si>
  <si>
    <t>IBD_UC_Stool_TQ05_BileAcids_Plate_6A_022</t>
  </si>
  <si>
    <t>F073</t>
  </si>
  <si>
    <t>IBD_UC_Stool_TQ05_BileAcids_Plate_6B_058</t>
  </si>
  <si>
    <t>F074</t>
  </si>
  <si>
    <t>IBD_UC_Stool_TQ05_BileAcids_Plate_7A_046</t>
  </si>
  <si>
    <t>F075</t>
  </si>
  <si>
    <t>IBD_UC_Stool_TQ05_BileAcids_Plate_5A_061</t>
  </si>
  <si>
    <t>F076</t>
  </si>
  <si>
    <t>IBD_UC_Stool_TQ05_BileAcids_Plate_5B_042</t>
  </si>
  <si>
    <t>F077</t>
  </si>
  <si>
    <t>IBD_UC_Stool_TQ05_BileAcids_Plate_5B_030</t>
  </si>
  <si>
    <t>F078</t>
  </si>
  <si>
    <t>IBD_UC_Stool_TQ05_BileAcids_Plate_6B_022</t>
  </si>
  <si>
    <t>F079</t>
  </si>
  <si>
    <t>IBD_UC_Stool_TQ05_BileAcids_Plate_7A_038</t>
  </si>
  <si>
    <t>F080</t>
  </si>
  <si>
    <t>IBD_UC_Stool_TQ05_BileAcids_Plate_6A_045</t>
  </si>
  <si>
    <t>F081</t>
  </si>
  <si>
    <t>IBD_UC_Stool_TQ05_BileAcids_Plate_7A_061</t>
  </si>
  <si>
    <t>F082</t>
  </si>
  <si>
    <t>IBD_UC_Stool_TQ05_BileAcids_Plate_7A_021</t>
  </si>
  <si>
    <t>F083</t>
  </si>
  <si>
    <t>IBD_UC_Stool_TQ05_BileAcids_Plate_6A_051</t>
  </si>
  <si>
    <t>F084</t>
  </si>
  <si>
    <t>IBD_UC_Stool_TQ05_BileAcids_Plate_6B_026</t>
  </si>
  <si>
    <t>F085</t>
  </si>
  <si>
    <t>IBD_UC_Stool_TQ05_BileAcids_Plate_7A_033</t>
  </si>
  <si>
    <t>F086</t>
  </si>
  <si>
    <t>IBD_UC_Stool_TQ05_BileAcids_Plate_5B_054</t>
  </si>
  <si>
    <t>F087</t>
  </si>
  <si>
    <t>IBD_UC_Stool_TQ05_BileAcids_Plate_5A_066</t>
  </si>
  <si>
    <t>F088</t>
  </si>
  <si>
    <t>IBD_UC_Stool_TQ05_BileAcids_Plate_7A_048</t>
  </si>
  <si>
    <t>F089</t>
  </si>
  <si>
    <t>IBD_UC_Stool_TQ05_BileAcids_Plate_5A_049</t>
  </si>
  <si>
    <t>F090</t>
  </si>
  <si>
    <t>IBD_UC_Stool_TQ05_BileAcids_Plate_5B_053</t>
  </si>
  <si>
    <t>F091</t>
  </si>
  <si>
    <t>IBD_UC_Stool_TQ05_BileAcids_Plate_6B_024</t>
  </si>
  <si>
    <t>F092</t>
  </si>
  <si>
    <t>IBD_UC_Stool_TQ05_BileAcids_Plate_6B_037</t>
  </si>
  <si>
    <t>F093</t>
  </si>
  <si>
    <t>IBD_UC_Stool_TQ05_BileAcids_Plate_6A_059</t>
  </si>
  <si>
    <t>F094</t>
  </si>
  <si>
    <t>IBD_UC_Stool_TQ05_BileAcids_Plate_7A_045</t>
  </si>
  <si>
    <t>F095</t>
  </si>
  <si>
    <t>IBD_UC_Stool_TQ05_BileAcids_Plate_6A_035</t>
  </si>
  <si>
    <t>F096</t>
  </si>
  <si>
    <t>IBD_UC_Stool_TQ05_BileAcids_Plate_6A_036</t>
  </si>
  <si>
    <t>F097</t>
  </si>
  <si>
    <t>IBD_UC_Stool_TQ05_BileAcids_Plate_5A_065</t>
  </si>
  <si>
    <t>F098</t>
  </si>
  <si>
    <t>IBD_UC_Stool_TQ05_BileAcids_Plate_6B_025</t>
  </si>
  <si>
    <t>F099</t>
  </si>
  <si>
    <t>IBD_UC_Stool_TQ05_BileAcids_Plate_7A_034</t>
  </si>
  <si>
    <t>F100</t>
  </si>
  <si>
    <t>IBD_UC_Stool_TQ05_BileAcids_Plate_5A_045</t>
  </si>
  <si>
    <t>F101</t>
  </si>
  <si>
    <t>IBD_UC_Stool_TQ05_BileAcids_Plate_6A_049</t>
  </si>
  <si>
    <t>F102</t>
  </si>
  <si>
    <t>IBD_UC_Stool_TQ05_BileAcids_Plate_6A_060</t>
  </si>
  <si>
    <t>F103</t>
  </si>
  <si>
    <t>IBD_UC_Stool_TQ05_BileAcids_Plate_6A_037</t>
  </si>
  <si>
    <t>F104</t>
  </si>
  <si>
    <t>IBD_UC_Stool_TQ05_BileAcids_Plate_6A_061</t>
  </si>
  <si>
    <t>F105</t>
  </si>
  <si>
    <t>IBD_UC_Stool_TQ05_BileAcids_Plate_7A_049</t>
  </si>
  <si>
    <t>F106</t>
  </si>
  <si>
    <t>IBD_UC_Stool_TQ05_BileAcids_Plate_6A_047</t>
  </si>
  <si>
    <t>F107</t>
  </si>
  <si>
    <t>IBD_UC_Stool_TQ05_BileAcids_Plate_5B_060</t>
  </si>
  <si>
    <t>F108</t>
  </si>
  <si>
    <t>IBD_UC_Stool_TQ05_BileAcids_Plate_5A_050</t>
  </si>
  <si>
    <t>F109</t>
  </si>
  <si>
    <t>IBD_UC_Stool_TQ05_BileAcids_Plate_5A_042</t>
  </si>
  <si>
    <t>F110</t>
  </si>
  <si>
    <t>IBD_UC_Stool_TQ05_BileAcids_Plate_7A_041</t>
  </si>
  <si>
    <t>F111</t>
  </si>
  <si>
    <t>IBD_UC_Stool_TQ05_BileAcids_Plate_6B_061</t>
  </si>
  <si>
    <t>F112</t>
  </si>
  <si>
    <t>IBD_UC_Stool_TQ05_BileAcids_Plate_5B_040</t>
  </si>
  <si>
    <t>F113</t>
  </si>
  <si>
    <t>IBD_UC_Stool_TQ05_BileAcids_Plate_5A_047</t>
  </si>
  <si>
    <t>F114</t>
  </si>
  <si>
    <t>IBD_UC_Stool_TQ05_BileAcids_Plate_6A_063</t>
  </si>
  <si>
    <t>F115</t>
  </si>
  <si>
    <t>IBD_UC_Stool_TQ05_BileAcids_Plate_5A_052</t>
  </si>
  <si>
    <t>F116</t>
  </si>
  <si>
    <t>IBD_UC_Stool_TQ05_BileAcids_Plate_6B_036</t>
  </si>
  <si>
    <t>F117</t>
  </si>
  <si>
    <t>IBD_UC_Stool_TQ05_BileAcids_Plate_7A_042</t>
  </si>
  <si>
    <t>F118</t>
  </si>
  <si>
    <t>IBD_UC_Stool_TQ05_BileAcids_Plate_7A_063</t>
  </si>
  <si>
    <t>F119</t>
  </si>
  <si>
    <t>IBD_UC_Stool_TQ05_BileAcids_Plate_6B_039</t>
  </si>
  <si>
    <t>F120</t>
  </si>
  <si>
    <t>IBD_UC_Stool_TQ05_BileAcids_Plate_6B_062</t>
  </si>
  <si>
    <t>F121</t>
  </si>
  <si>
    <t>IBD_UC_Stool_TQ05_BileAcids_Plate_6A_048</t>
  </si>
  <si>
    <t>F122</t>
  </si>
  <si>
    <t>IBD_UC_Stool_TQ05_BileAcids_Plate_5A_026</t>
  </si>
  <si>
    <t>F123</t>
  </si>
  <si>
    <t>IBD_UC_Stool_TQ05_BileAcids_Plate_7A_040</t>
  </si>
  <si>
    <t>F124</t>
  </si>
  <si>
    <t>IBD_UC_Stool_TQ05_BileAcids_Plate_6B_060</t>
  </si>
  <si>
    <t>F125</t>
  </si>
  <si>
    <t>IBD_UC_Stool_TQ05_BileAcids_Plate_5A_038</t>
  </si>
  <si>
    <t>F126</t>
  </si>
  <si>
    <t>IBD_UC_Stool_TQ05_BileAcids_Plate_5B_059</t>
  </si>
  <si>
    <t>F127</t>
  </si>
  <si>
    <t>IBD_UC_Stool_TQ05_BileAcids_Plate_6B_045</t>
  </si>
  <si>
    <t>F128</t>
  </si>
  <si>
    <t>IBD_UC_Stool_TQ05_BileAcids_Plate_5A_060</t>
  </si>
  <si>
    <t>F129</t>
  </si>
  <si>
    <t>IBD_UC_Stool_TQ05_BileAcids_Plate_5B_034</t>
  </si>
  <si>
    <t>F130</t>
  </si>
  <si>
    <t>IBD_UC_Stool_TQ05_BileAcids_Plate_7A_054</t>
  </si>
  <si>
    <t>F131</t>
  </si>
  <si>
    <t>IBD_UC_Stool_TQ05_BileAcids_Plate_5B_039</t>
  </si>
  <si>
    <t>F132</t>
  </si>
  <si>
    <t>IBD_UC_Stool_TQ05_BileAcids_Plate_6A_062</t>
  </si>
  <si>
    <t>F133</t>
  </si>
  <si>
    <t>IBD_UC_Stool_TQ05_BileAcids_Plate_5B_033</t>
  </si>
  <si>
    <t>F134</t>
  </si>
  <si>
    <t>IBD_UC_Stool_TQ05_BileAcids_Plate_5A_051</t>
  </si>
  <si>
    <t>F135</t>
  </si>
  <si>
    <t>IBD_UC_Stool_TQ05_BileAcids_Plate_6B_040</t>
  </si>
  <si>
    <t>F136</t>
  </si>
  <si>
    <t>IBD_UC_Stool_TQ05_BileAcids_Plate_6A_028</t>
  </si>
  <si>
    <t>F137</t>
  </si>
  <si>
    <t>IBD_UC_Stool_TQ05_BileAcids_Plate_5B_035</t>
  </si>
  <si>
    <t>F138</t>
  </si>
  <si>
    <t>IBD_UC_Stool_TQ05_BileAcids_Plate_6A_041</t>
  </si>
  <si>
    <t>F139</t>
  </si>
  <si>
    <t>IBD_UC_Stool_TQ05_BileAcids_Plate_7A_053</t>
  </si>
  <si>
    <t>F140</t>
  </si>
  <si>
    <t>IBD_UC_Stool_TQ05_BileAcids_Plate_5A_037</t>
  </si>
  <si>
    <t>F141</t>
  </si>
  <si>
    <t>IBD_UC_Stool_TQ05_BileAcids_Plate_5A_046</t>
  </si>
  <si>
    <t>F142</t>
  </si>
  <si>
    <t>IBD_UC_Stool_TQ05_BileAcids_Plate_5A_064</t>
  </si>
  <si>
    <t>F143</t>
  </si>
  <si>
    <t>IBD_UC_Stool_TQ05_BileAcids_Plate_6B_038</t>
  </si>
  <si>
    <t>F144</t>
  </si>
  <si>
    <t>IBD_UC_Stool_TQ05_BileAcids_Plate_6A_038</t>
  </si>
  <si>
    <t>F145</t>
  </si>
  <si>
    <t>IBD_UC_Stool_TQ05_BileAcids_Plate_6B_042</t>
  </si>
  <si>
    <t>F146</t>
  </si>
  <si>
    <t>IBD_UC_Stool_TQ05_BileAcids_Plate_5B_047</t>
  </si>
  <si>
    <t>F147</t>
  </si>
  <si>
    <t>IBD_UC_Stool_TQ05_BileAcids_Plate_5B_057</t>
  </si>
  <si>
    <t>F148</t>
  </si>
  <si>
    <t>IBD_UC_Stool_TQ05_BileAcids_Plate_5B_061</t>
  </si>
  <si>
    <t>F149</t>
  </si>
  <si>
    <t>IBD_UC_Stool_TQ05_BileAcids_Plate_5A_025</t>
  </si>
  <si>
    <t>F150</t>
  </si>
  <si>
    <t>IBD_UC_Stool_TQ05_BileAcids_Plate_6B_063</t>
  </si>
  <si>
    <t>F151</t>
  </si>
  <si>
    <t>IBD_UC_Stool_TQ05_BileAcids_Plate_5B_041</t>
  </si>
  <si>
    <t>F152</t>
  </si>
  <si>
    <t>IBD_UC_Stool_TQ05_BileAcids_Plate_5B_058</t>
  </si>
  <si>
    <t>F153</t>
  </si>
  <si>
    <t>IBD_UC_Stool_TQ05_BileAcids_Plate_5A_048</t>
  </si>
  <si>
    <t>F154</t>
  </si>
  <si>
    <t>IBD_UC_Stool_TQ05_BileAcids_Plate_5B_049</t>
  </si>
  <si>
    <t>F155</t>
  </si>
  <si>
    <t>IBD_UC_Stool_TQ05_BileAcids_Plate_6A_058</t>
  </si>
  <si>
    <t>F156</t>
  </si>
  <si>
    <t>IBD_UC_Stool_TQ05_BileAcids_Plate_5A_057</t>
  </si>
  <si>
    <t>F157</t>
  </si>
  <si>
    <t>IBD_UC_Stool_TQ05_BileAcids_Plate_7A_025</t>
  </si>
  <si>
    <t>F158</t>
  </si>
  <si>
    <t>IBD_UC_Stool_TQ05_BileAcids_Plate_6A_023</t>
  </si>
  <si>
    <t>F159</t>
  </si>
  <si>
    <t>IBD_UC_Stool_TQ05_BileAcids_Plate_6A_052</t>
  </si>
  <si>
    <t>F160</t>
  </si>
  <si>
    <t>IBD_UC_Stool_TQ05_BileAcids_Plate_6B_041</t>
  </si>
  <si>
    <t>F161</t>
  </si>
  <si>
    <t>IBD_UC_Stool_TQ05_BileAcids_Plate_6B_064</t>
  </si>
  <si>
    <t>F162</t>
  </si>
  <si>
    <t>IBD_UC_Stool_TQ05_BileAcids_Plate_6A_027</t>
  </si>
  <si>
    <t>F163</t>
  </si>
  <si>
    <t>IBD_UC_Stool_TQ05_BileAcids_Plate_5B_064</t>
  </si>
  <si>
    <t>F164</t>
  </si>
  <si>
    <t>IBD_UC_Stool_TQ05_BileAcids_Plate_6B_049</t>
  </si>
  <si>
    <t>F165</t>
  </si>
  <si>
    <t>IBD_UC_Stool_TQ05_BileAcids_Plate_7A_028</t>
  </si>
  <si>
    <t>F166</t>
  </si>
  <si>
    <t>IBD_UC_Stool_TQ05_BileAcids_Plate_6B_066</t>
  </si>
  <si>
    <t>F167</t>
  </si>
  <si>
    <t>IBD_UC_Stool_TQ05_BileAcids_Plate_6B_053</t>
  </si>
  <si>
    <t>F168</t>
  </si>
  <si>
    <t>IBD_UC_Stool_TQ05_BileAcids_Plate_5B_062</t>
  </si>
  <si>
    <t>F169</t>
  </si>
  <si>
    <t>IBD_UC_Stool_TQ05_BileAcids_Plate_6A_024</t>
  </si>
  <si>
    <t>F170</t>
  </si>
  <si>
    <t>IBD_UC_Stool_TQ05_BileAcids_Plate_6A_025</t>
  </si>
  <si>
    <t>F171</t>
  </si>
  <si>
    <t>IBD_UC_Stool_TQ05_BileAcids_Plate_7A_059</t>
  </si>
  <si>
    <t>F172</t>
  </si>
  <si>
    <t>IBD_UC_Stool_TQ05_BileAcids_Plate_7A_027</t>
  </si>
  <si>
    <t>F173</t>
  </si>
  <si>
    <t>IBD_UC_Stool_TQ05_BileAcids_Plate_5A_036</t>
  </si>
  <si>
    <t>F174</t>
  </si>
  <si>
    <t>IBD_UC_Stool_TQ05_BileAcids_Plate_5B_063</t>
  </si>
  <si>
    <t>F175</t>
  </si>
  <si>
    <t>IBD_UC_Stool_TQ05_BileAcids_Plate_7A_030</t>
  </si>
  <si>
    <t>F176</t>
  </si>
  <si>
    <t>IBD_UC_Stool_TQ05_BileAcids_Plate_6A_026</t>
  </si>
  <si>
    <t>F177</t>
  </si>
  <si>
    <t>IBD_UC_Stool_TQ05_BileAcids_Plate_6A_046</t>
  </si>
  <si>
    <t>F178</t>
  </si>
  <si>
    <t>IBD_UC_Stool_TQ05_BileAcids_Plate_5B_065</t>
  </si>
  <si>
    <t>F179</t>
  </si>
  <si>
    <t>IBD_UC_Stool_TQ05_BileAcids_Plate_5A_033</t>
  </si>
  <si>
    <t>F180</t>
  </si>
  <si>
    <t>IBD_UC_Stool_TQ05_BileAcids_Plate_5A_022</t>
  </si>
  <si>
    <t>F181</t>
  </si>
  <si>
    <t>IBD_UC_Stool_TQ05_BileAcids_Plate_7A_024</t>
  </si>
  <si>
    <t>F182</t>
  </si>
  <si>
    <t>IBD_UC_Stool_TQ05_BileAcids_Plate_5A_021</t>
  </si>
  <si>
    <t>F183</t>
  </si>
  <si>
    <t>IBD_UC_Stool_TQ05_BileAcids_Plate_5B_021</t>
  </si>
  <si>
    <t>F184</t>
  </si>
  <si>
    <t>IBD_UC_Stool_TQ05_BileAcids_Plate_5A_023</t>
  </si>
  <si>
    <t>F185</t>
  </si>
  <si>
    <t>IBD_UC_Stool_TQ05_BileAcids_Plate_7A_052</t>
  </si>
  <si>
    <t>F186</t>
  </si>
  <si>
    <t>IBD_UC_Stool_TQ05_BileAcids_Plate_5B_023</t>
  </si>
  <si>
    <t>F187</t>
  </si>
  <si>
    <t>IBD_UC_Stool_TQ05_BileAcids_Plate_7A_039</t>
  </si>
  <si>
    <t>F188</t>
  </si>
  <si>
    <t>IBD_UC_Stool_TQ05_BileAcids_Plate_7A_022</t>
  </si>
  <si>
    <t>F189</t>
  </si>
  <si>
    <t>IBD_UC_Stool_TQ05_BileAcids_Plate_5B_022</t>
  </si>
  <si>
    <t>F190</t>
  </si>
  <si>
    <t>IBD_UC_Stool_TQ05_BileAcids_Plate_7A_035</t>
  </si>
  <si>
    <t>F191</t>
  </si>
  <si>
    <t>IBD_UC_Stool_TQ05_BileAcids_Plate_7A_060</t>
  </si>
  <si>
    <t>F192</t>
  </si>
  <si>
    <t>IBD_UC_Stool_TQ05_BileAcids_Plate_7A_023</t>
  </si>
  <si>
    <t>F193</t>
  </si>
  <si>
    <t>IBD_UC_Stool_TQ05_BileAcids_Plate_5A_034</t>
  </si>
  <si>
    <t>F194</t>
  </si>
  <si>
    <t>IBD_UC_Stool_TQ05_BileAcids_Plate_5A_024</t>
  </si>
  <si>
    <t>F195</t>
  </si>
  <si>
    <t>IBD_UC_Stool_TQ05_BileAcids_Plate_6A_042</t>
  </si>
  <si>
    <t>F196</t>
  </si>
  <si>
    <t>IBD_UC_Stool_TQ05_BileAcids_Plate_6B_065</t>
  </si>
  <si>
    <t>F197</t>
  </si>
  <si>
    <t>Feature Name</t>
  </si>
  <si>
    <t>Lithocholenic Acid</t>
  </si>
  <si>
    <t>5-Cholenic Acid-3-beta-ol</t>
  </si>
  <si>
    <t>Isolithocholic Acid</t>
  </si>
  <si>
    <t>Isoallolithocholic Acid</t>
  </si>
  <si>
    <t>3-alpha,12-alpha, 23-Nordeoxycholic Acid</t>
  </si>
  <si>
    <t>9(11), (5-beta)-Cholenic Acid-3-alpha-ol-12-one</t>
  </si>
  <si>
    <t>5-alpha-Cholanic Acid-3, 6-dione</t>
  </si>
  <si>
    <t>3,6-Diketocholanic Acid | 3,7-Diketocholanic Acid | 3,12-Diketocholanic Acid</t>
  </si>
  <si>
    <t>8(14),(5-beta)-Cholenic Acid-3-alpha,12-alpha-diol</t>
  </si>
  <si>
    <t>5-beta-Cholenic Acid-7-alpha-ol-3-one</t>
  </si>
  <si>
    <t>5-alpha-Cholanic Acid-3-alpha-ol-6-one</t>
  </si>
  <si>
    <t>3-alpha-Hydroxy-7 Ketolithocholic Acid</t>
  </si>
  <si>
    <t>Murocholic Acid</t>
  </si>
  <si>
    <t>Isodeoxycholic Acid</t>
  </si>
  <si>
    <t>Hyodeoxycholic Acid</t>
  </si>
  <si>
    <t>3,7,12-Dehydrocholic Acid</t>
  </si>
  <si>
    <t>3-alpha-Hydroxy-7,12-Diketocholanic Acid</t>
  </si>
  <si>
    <t>3-alpha-Hydroxy-6,7-Diketocholanic Acid</t>
  </si>
  <si>
    <t>5-beta-Cholanic Acid-3-alpha, 6-alpha-diol-7-one</t>
  </si>
  <si>
    <t>3-Dehydrocholic Acid</t>
  </si>
  <si>
    <t>12-Dehydrocholic Acid</t>
  </si>
  <si>
    <t>Ursodeoxycholic Acid</t>
  </si>
  <si>
    <t>omega-Muricholic Acid</t>
  </si>
  <si>
    <t>beta-Muricholic Acid</t>
  </si>
  <si>
    <t>Cholic Acid</t>
  </si>
  <si>
    <t>Hyocholic Acid</t>
  </si>
  <si>
    <t>alpha-Muricholic Acid</t>
  </si>
  <si>
    <t>Glycohyodeoxycholic Acid</t>
  </si>
  <si>
    <t>Glycochenodeoxycholic Acid</t>
  </si>
  <si>
    <t>Glycodeoxycholic Acid</t>
  </si>
  <si>
    <t>Glycoursodeoxycholic Acid</t>
  </si>
  <si>
    <t>3,7,12-Glycodehydrocholic Acid</t>
  </si>
  <si>
    <t>Glycocholic Acid</t>
  </si>
  <si>
    <t>Glycohyocholic Acid</t>
  </si>
  <si>
    <t>Tauroursodeoxycholic Acid</t>
  </si>
  <si>
    <t>Taurohyodeoxycholic Acid</t>
  </si>
  <si>
    <t>Taurochenodeoxycholic Acid</t>
  </si>
  <si>
    <t>Taurodeoxycholic Acid</t>
  </si>
  <si>
    <t>3,7,12-Taurodehydrocholic Acid</t>
  </si>
  <si>
    <t>Taurohyocholic Acid</t>
  </si>
  <si>
    <t>Tauro-beta-Muricholic Acid | Tauro-alpha-Muricholic Acid | Tauro-omega-Muricholic Acid</t>
  </si>
  <si>
    <t>Taurocholic Acid</t>
  </si>
  <si>
    <t>Lithocholic Acid 3-Sulfate</t>
  </si>
  <si>
    <t>Cholic Acid 7-Sulfate</t>
  </si>
  <si>
    <t>Cholic Acid 3-Sulfate</t>
  </si>
  <si>
    <t>Deoxycholic Acid 3-Sulfate</t>
  </si>
  <si>
    <t>Chenodeoxycholic Acid 3-Sulfate</t>
  </si>
  <si>
    <t>Ursodeoxycholic Acid 3-Sulfate</t>
  </si>
  <si>
    <t>Glycochenodeoxycholic Acid 3-Sulfate</t>
  </si>
  <si>
    <t>Taurochenodeoxycholic Acid 3-Sulfate</t>
  </si>
  <si>
    <t>Glycocholic Acid 3-Sulfate</t>
  </si>
  <si>
    <t>Glycolithocholic Acid 3-Sulfate</t>
  </si>
  <si>
    <t>Taurodeoxycholic Acid 3-Sulfate</t>
  </si>
  <si>
    <t>Tauroursodeoxycholic Acid 3-Sulfate</t>
  </si>
  <si>
    <t>Glycoursodeoxycholic Acid 3-Sulfate</t>
  </si>
  <si>
    <t>Glycodeoxycholic Acid 3-Sulfate</t>
  </si>
  <si>
    <t>Taurocholic Acid-3-Sulfate</t>
  </si>
  <si>
    <t>calibrationMethod</t>
  </si>
  <si>
    <t>Backcalculated with Internal Standard</t>
  </si>
  <si>
    <t>quantificationType</t>
  </si>
  <si>
    <t>Quantified and validated with alternative labeled analogue</t>
  </si>
  <si>
    <t>Quantified and validated with own labeled analogue</t>
  </si>
  <si>
    <t>Unit</t>
  </si>
  <si>
    <t>nM</t>
  </si>
  <si>
    <t>LLOQ</t>
  </si>
  <si>
    <t>ULOQ</t>
  </si>
  <si>
    <t>Primary ID</t>
  </si>
  <si>
    <t>Unique Sample ID</t>
  </si>
  <si>
    <t>Disease type</t>
  </si>
  <si>
    <t>Disease subtype</t>
  </si>
  <si>
    <t>Responder</t>
  </si>
  <si>
    <t>DOB</t>
  </si>
  <si>
    <t>Date of sampling</t>
  </si>
  <si>
    <t>Age</t>
  </si>
  <si>
    <t>Sample point</t>
  </si>
  <si>
    <t>Ethnicity</t>
  </si>
  <si>
    <t>calp_value</t>
  </si>
  <si>
    <t>DAI_value</t>
  </si>
  <si>
    <t xml:space="preserve">Formula </t>
  </si>
  <si>
    <t>sample check</t>
  </si>
  <si>
    <t>Murocholic Acid (10-1000nM)</t>
  </si>
  <si>
    <t>5-beta-Cholanic Acid-3-alpha, 6-alpha-diol-7-one (2.5-1000)</t>
  </si>
  <si>
    <t>Hyocholic Acid (1-500NM)</t>
  </si>
  <si>
    <t>Glycochenodeoxycholic Acid (2.5-2500nM)</t>
  </si>
  <si>
    <t>Glycocholic Acid (2.5-2500)</t>
  </si>
  <si>
    <t>Taurocholic Acid (2.5-2500)</t>
  </si>
  <si>
    <t>Glycolithocholic Acid 3-Sulfate (2.5-2500)</t>
  </si>
  <si>
    <t>SMH260_S1-12</t>
  </si>
  <si>
    <t>Disease control</t>
  </si>
  <si>
    <t>IBS-Diarrhoea</t>
  </si>
  <si>
    <t>N/A</t>
  </si>
  <si>
    <t>CAUCASIAN</t>
  </si>
  <si>
    <t>SMH 261_S1-12</t>
  </si>
  <si>
    <t>UC</t>
  </si>
  <si>
    <t>PAN</t>
  </si>
  <si>
    <t>no</t>
  </si>
  <si>
    <t>NON-CAUCASIAN</t>
  </si>
  <si>
    <t>SMH265_F1-10</t>
  </si>
  <si>
    <t>SMH267_F (1-12)</t>
  </si>
  <si>
    <t>IBS- Constipation</t>
  </si>
  <si>
    <t>SMH272_F1-12</t>
  </si>
  <si>
    <t>Left sided</t>
  </si>
  <si>
    <t>yes</t>
  </si>
  <si>
    <t>SMH273_F (1-9)</t>
  </si>
  <si>
    <t>CD</t>
  </si>
  <si>
    <t>TI</t>
  </si>
  <si>
    <t>SMH274_F1-12</t>
  </si>
  <si>
    <t>SMH277_F1-12</t>
  </si>
  <si>
    <t>SMH278_F1-12</t>
  </si>
  <si>
    <t>N</t>
  </si>
  <si>
    <t>SMH269_F1-12</t>
  </si>
  <si>
    <t>SMH279_F1-12</t>
  </si>
  <si>
    <t>SMH281_F1-12</t>
  </si>
  <si>
    <t>SMH283_F1-10</t>
  </si>
  <si>
    <t>SMH280_F1-12</t>
  </si>
  <si>
    <t>Proctitis</t>
  </si>
  <si>
    <t>SMH265_F13-24</t>
  </si>
  <si>
    <t>SMH286_F1-12</t>
  </si>
  <si>
    <t>SMH288_F1-4</t>
  </si>
  <si>
    <t>SMH290_F1-13</t>
  </si>
  <si>
    <t>SMH292_F1-13</t>
  </si>
  <si>
    <t>SMH294_F1-4</t>
  </si>
  <si>
    <t>SMH296_F1-13</t>
  </si>
  <si>
    <t>SMH281_F13-22</t>
  </si>
  <si>
    <t>SMH273_F10-22</t>
  </si>
  <si>
    <t>SMH297_F1-13</t>
  </si>
  <si>
    <t>SMH269_F13-25</t>
  </si>
  <si>
    <t>SMH295_F1-13</t>
  </si>
  <si>
    <t>SMH298_F1-13</t>
  </si>
  <si>
    <t>SMH294_F5-17</t>
  </si>
  <si>
    <t>SMH272_F13-15</t>
  </si>
  <si>
    <t>SMH274_F13-25</t>
  </si>
  <si>
    <t>SMH288_F5-15</t>
  </si>
  <si>
    <t>SMH289_F1-13</t>
  </si>
  <si>
    <t>SMH300_F1-4</t>
  </si>
  <si>
    <t>ileocolonic</t>
  </si>
  <si>
    <t>SMH265_F25-37</t>
  </si>
  <si>
    <t>SMH279_F13-25</t>
  </si>
  <si>
    <t>SMH298_F14-26</t>
  </si>
  <si>
    <t>SMH302_F1-13</t>
  </si>
  <si>
    <t>SMH303_F1-13</t>
  </si>
  <si>
    <t>Colonic CD</t>
  </si>
  <si>
    <t>SMH290_F14-26</t>
  </si>
  <si>
    <t>SMH291_F1-13</t>
  </si>
  <si>
    <t>SMH292_F14-26</t>
  </si>
  <si>
    <t>SMH304_F1-13</t>
  </si>
  <si>
    <t>SMH273_F23-29</t>
  </si>
  <si>
    <t>SMH296_F14-26</t>
  </si>
  <si>
    <t>SMH297_F14-26</t>
  </si>
  <si>
    <t>SMH305_F1-13</t>
  </si>
  <si>
    <t>SMH269_F26-32</t>
  </si>
  <si>
    <t>SMH307_F1-13</t>
  </si>
  <si>
    <t>SMH300_F5-14</t>
  </si>
  <si>
    <t>SMH301_F1-13</t>
  </si>
  <si>
    <t>SMH298_F27-39</t>
  </si>
  <si>
    <t>SMH308_F1-13</t>
  </si>
  <si>
    <t>SMH294_F18-24</t>
  </si>
  <si>
    <t>SMH272_F16-28</t>
  </si>
  <si>
    <t>SMH288_F17-20</t>
  </si>
  <si>
    <t>SMH295_F14-20</t>
  </si>
  <si>
    <t>SMH305_F14-26</t>
  </si>
  <si>
    <t>SMH308_F14-24</t>
  </si>
  <si>
    <t>SMH303_F14-17</t>
  </si>
  <si>
    <t>SMH307_F14-26</t>
  </si>
  <si>
    <t>SMH304_F14-26</t>
  </si>
  <si>
    <t>SMH297_F27-39</t>
  </si>
  <si>
    <t>SMH305_F27-39</t>
  </si>
  <si>
    <t>SMH305_F40-43</t>
  </si>
  <si>
    <t>SMH316_F1-13</t>
  </si>
  <si>
    <t>SMH304_F27-33</t>
  </si>
  <si>
    <t>SMH312_F1-13</t>
  </si>
  <si>
    <t>SMH313_F1-7</t>
  </si>
  <si>
    <t>SMH279_F26-32</t>
  </si>
  <si>
    <t>SMH318_F1-13</t>
  </si>
  <si>
    <t>ileocolonic w/perianal disease</t>
  </si>
  <si>
    <t>SMH296_F27-39</t>
  </si>
  <si>
    <t>SMH308_F25-34</t>
  </si>
  <si>
    <t>SMH300_F15-18</t>
  </si>
  <si>
    <t>SMH286_F13-22</t>
  </si>
  <si>
    <t>SMH321_F1-10</t>
  </si>
  <si>
    <t>SMH295_F21-30</t>
  </si>
  <si>
    <t>SMH288_F21-30</t>
  </si>
  <si>
    <t>SMH274_F26-29</t>
  </si>
  <si>
    <t>SMH307_F27-32</t>
  </si>
  <si>
    <t>SMH322_F1-10</t>
  </si>
  <si>
    <t>Colonic CD w/perianal disease</t>
  </si>
  <si>
    <t>SMH318_F35-44</t>
  </si>
  <si>
    <t>SMH324_F11-20</t>
  </si>
  <si>
    <t>SMH316_F14-23</t>
  </si>
  <si>
    <t>SMH294_F25 - 31</t>
  </si>
  <si>
    <t>SMH327_F1-10</t>
  </si>
  <si>
    <t>SMH328_F1-10</t>
  </si>
  <si>
    <t>SMH323_F1-10</t>
  </si>
  <si>
    <t>SMH326_F1-4</t>
  </si>
  <si>
    <t>SMH319_F1-9</t>
  </si>
  <si>
    <t>post infection IBS</t>
  </si>
  <si>
    <t>SMH328_F11-20</t>
  </si>
  <si>
    <t>SMH332_F1-6</t>
  </si>
  <si>
    <t>SMH334_F1-10</t>
  </si>
  <si>
    <t>SMH329_F1-10</t>
  </si>
  <si>
    <t>SMH330_F1-10</t>
  </si>
  <si>
    <t>SMH331_F1-10</t>
  </si>
  <si>
    <t>SMH331_F11-20</t>
  </si>
  <si>
    <t>SMH323_F11-20</t>
  </si>
  <si>
    <t>SMH332_F7-16</t>
  </si>
  <si>
    <t>SMH327_F11-20</t>
  </si>
  <si>
    <t>SMH337_F1-10</t>
  </si>
  <si>
    <t>SMH338_F1-10</t>
  </si>
  <si>
    <t>SMH329_F11-20</t>
  </si>
  <si>
    <t>SMH341_F1-6</t>
  </si>
  <si>
    <t>SMH339_F1-10</t>
  </si>
  <si>
    <t>SMH340_F1-7</t>
  </si>
  <si>
    <t>SMH343_F1-10</t>
  </si>
  <si>
    <t>SMH336_F11-20</t>
  </si>
  <si>
    <t>SMH342_F1-10</t>
  </si>
  <si>
    <t>SMH337_F11-20</t>
  </si>
  <si>
    <t>SMH344_F1-10</t>
  </si>
  <si>
    <t>SMH345_F1-10</t>
  </si>
  <si>
    <t>SMH346_F1-10</t>
  </si>
  <si>
    <t>SMH347_F1-10</t>
  </si>
  <si>
    <t>SMH348_F1-10</t>
  </si>
  <si>
    <t>SMH349_F1-10</t>
  </si>
  <si>
    <t>SMH334_F11-20</t>
  </si>
  <si>
    <t>SMH350_F1-10</t>
  </si>
  <si>
    <t>SMH351_F1-10</t>
  </si>
  <si>
    <t>SMH352_F1-10</t>
  </si>
  <si>
    <t>SMH353_F1-10</t>
  </si>
  <si>
    <t>SMH338_F11-20</t>
  </si>
  <si>
    <t>SMH354_F1-10</t>
  </si>
  <si>
    <t>SMH344_F11-20</t>
  </si>
  <si>
    <t>SMH345_F11-20</t>
  </si>
  <si>
    <t>SMH355_F1-10</t>
  </si>
  <si>
    <t>SMH336_F21-30</t>
  </si>
  <si>
    <t>SMH356_F1-10</t>
  </si>
  <si>
    <t>SMH321_F11-20</t>
  </si>
  <si>
    <t>SMH358_F1-4</t>
  </si>
  <si>
    <t>SMH359_F1-10</t>
  </si>
  <si>
    <t>SMH346_F11-20</t>
  </si>
  <si>
    <t>SMH348_F11-20</t>
  </si>
  <si>
    <t>SMH360_F1-10</t>
  </si>
  <si>
    <t>SMH349_F11-20</t>
  </si>
  <si>
    <t>SMH352_F11-20</t>
  </si>
  <si>
    <t>SMH361_F1-10</t>
  </si>
  <si>
    <t>SMH358_F5-14</t>
  </si>
  <si>
    <t>SMH262_F1-18</t>
  </si>
  <si>
    <t>disease control</t>
  </si>
  <si>
    <t>SMH359_F11-20</t>
  </si>
  <si>
    <t>SMH355_F11-20</t>
  </si>
  <si>
    <t>SMH347_F11-20</t>
  </si>
  <si>
    <t>HC001_F1-10</t>
  </si>
  <si>
    <t>Healthy control</t>
  </si>
  <si>
    <t>HC002_F1-10</t>
  </si>
  <si>
    <t>HC003_F1_10</t>
  </si>
  <si>
    <t>HC004_F1-10</t>
  </si>
  <si>
    <t>HC006_F1-10</t>
  </si>
  <si>
    <t>HC007_F1-10</t>
  </si>
  <si>
    <t>HC008_F1-10</t>
  </si>
  <si>
    <t>HC009_F1-10</t>
  </si>
  <si>
    <t>HC010_F1-10</t>
  </si>
  <si>
    <t>HC011_F1-10</t>
  </si>
  <si>
    <t>HC012-F1-10</t>
  </si>
  <si>
    <t>HC013_F1-10</t>
  </si>
  <si>
    <t>HC014_F1-10</t>
  </si>
  <si>
    <t>HC015_F1-11</t>
  </si>
  <si>
    <t>healthy control</t>
  </si>
  <si>
    <t>HC016_F1-10</t>
  </si>
  <si>
    <t>HC017_F1-10</t>
  </si>
  <si>
    <t>HC019_F1-11</t>
  </si>
  <si>
    <t>HC020_F1-11</t>
  </si>
  <si>
    <t>HC021_F1-11</t>
  </si>
  <si>
    <t>HC022_F1-11</t>
  </si>
  <si>
    <t>SMH315_F1-7</t>
  </si>
  <si>
    <t>SMH317_F1-13</t>
  </si>
  <si>
    <t>SMH305_F44-56</t>
  </si>
  <si>
    <t>SMH313_F8-17</t>
  </si>
  <si>
    <t>SMH320_F1-10</t>
  </si>
  <si>
    <t>SMH305_F57-66</t>
  </si>
  <si>
    <t>SMH317_F14-20</t>
  </si>
  <si>
    <t>SMH315_F8-20</t>
  </si>
  <si>
    <t>SMH315_F21-30</t>
  </si>
  <si>
    <t>SMH318_F14-24</t>
  </si>
  <si>
    <t>SMH313_F21-30</t>
  </si>
  <si>
    <t>SMH312_F14-24</t>
  </si>
  <si>
    <t>SMH317_F21-25</t>
  </si>
  <si>
    <t>SMH313_F31-40</t>
  </si>
  <si>
    <t>SMH315_F31-40</t>
  </si>
  <si>
    <t>SMH322_F11-17</t>
  </si>
  <si>
    <t>SMH317_F26-29</t>
  </si>
  <si>
    <t>SMH312_F35-44</t>
  </si>
  <si>
    <t>SMH325_F11-20</t>
  </si>
  <si>
    <t>SMH324_F21-30</t>
  </si>
  <si>
    <t>SMH325_F21-30</t>
  </si>
  <si>
    <t>SMH333_F1-10</t>
  </si>
  <si>
    <t>SMH325_F31-34</t>
  </si>
  <si>
    <t>SMH335_F1-10</t>
  </si>
  <si>
    <t>SMH333_F11-20</t>
  </si>
  <si>
    <t>SMH307_F33-42</t>
  </si>
  <si>
    <t>SMH324_F31-40</t>
  </si>
  <si>
    <t>SMH333_F21-25</t>
  </si>
  <si>
    <t>SMH307_F42-51</t>
  </si>
  <si>
    <t>SMH318_F25-34</t>
  </si>
  <si>
    <t>SMH324_F1-10</t>
  </si>
  <si>
    <t>SMH312_F25-34</t>
  </si>
  <si>
    <t>SMH325_F1-10</t>
  </si>
  <si>
    <t>SMH322_F18-27</t>
  </si>
  <si>
    <t>SMH320_F11-14</t>
  </si>
  <si>
    <t>Sex M(1) or F(0)</t>
  </si>
  <si>
    <t>BMI</t>
  </si>
  <si>
    <t>Meat</t>
  </si>
  <si>
    <t>Vegetarian</t>
  </si>
  <si>
    <t>formula</t>
  </si>
  <si>
    <t>Control</t>
  </si>
  <si>
    <t>IBD</t>
  </si>
  <si>
    <t>Patient</t>
  </si>
  <si>
    <t>Formula</t>
  </si>
  <si>
    <t>Sample check</t>
  </si>
  <si>
    <t>SMH261</t>
  </si>
  <si>
    <t>SMH265</t>
  </si>
  <si>
    <t>SMH272</t>
  </si>
  <si>
    <t>SMH274</t>
  </si>
  <si>
    <t>SMH279</t>
  </si>
  <si>
    <t>SMH280</t>
  </si>
  <si>
    <t>SMH286</t>
  </si>
  <si>
    <t>SMH288</t>
  </si>
  <si>
    <t>SMH292</t>
  </si>
  <si>
    <t>SMH294</t>
  </si>
  <si>
    <t>SMH296</t>
  </si>
  <si>
    <t>SMH297</t>
  </si>
  <si>
    <t>SMH295</t>
  </si>
  <si>
    <t>SMH302</t>
  </si>
  <si>
    <t>SMH304</t>
  </si>
  <si>
    <t>SMH305</t>
  </si>
  <si>
    <t>SMH307</t>
  </si>
  <si>
    <t>SMH301</t>
  </si>
  <si>
    <t>SMH308</t>
  </si>
  <si>
    <t>SMH327</t>
  </si>
  <si>
    <t>SMH328</t>
  </si>
  <si>
    <t>SMH332</t>
  </si>
  <si>
    <t>SMH329</t>
  </si>
  <si>
    <t>SMH331</t>
  </si>
  <si>
    <t>SMH337</t>
  </si>
  <si>
    <t>SMH338</t>
  </si>
  <si>
    <t>SMH343</t>
  </si>
  <si>
    <t>SMH344</t>
  </si>
  <si>
    <t>SMH345</t>
  </si>
  <si>
    <t>SMH347</t>
  </si>
  <si>
    <t>SMH348</t>
  </si>
  <si>
    <t>SMH349</t>
  </si>
  <si>
    <t>SMH355</t>
  </si>
  <si>
    <t>SMH356</t>
  </si>
  <si>
    <t>SMH358</t>
  </si>
  <si>
    <t>SMH359</t>
  </si>
  <si>
    <t>Patient ID</t>
  </si>
  <si>
    <t>Hypermethylator</t>
  </si>
  <si>
    <t>SMH312</t>
  </si>
  <si>
    <t>SMH313</t>
  </si>
  <si>
    <t>SMH318</t>
  </si>
  <si>
    <t>SMH322</t>
  </si>
  <si>
    <t>SMH324</t>
  </si>
  <si>
    <t>SMH315</t>
  </si>
  <si>
    <t>SMH317</t>
  </si>
  <si>
    <t>SMH320</t>
  </si>
  <si>
    <t>SMH325</t>
  </si>
  <si>
    <t>SMH333</t>
  </si>
  <si>
    <t>SMH335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</si>
</sst>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0"/>
      <color rgb="FF000000"/>
      <name val="Calibri"/>
      <scheme val="minor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0"/>
      <color rgb="FF000000"/>
      <name val="Helvetica Neue"/>
      <family val="2"/>
    </font>
    <font>
      <sz val="11"/>
      <color rgb="FF000000"/>
      <name val="Calibri"/>
      <family val="2"/>
      <scheme val="minor"/>
    </font>
    <font>
      <sz val="10"/>
      <color rgb="FF000000"/>
      <name val="Calibri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18" fillId="0" borderId="0" xfId="0" applyFont="1"/>
    <xf numFmtId="14" fontId="18" fillId="0" borderId="0" xfId="0" applyNumberFormat="1" applyFont="1"/>
    <xf numFmtId="0" fontId="18" fillId="33" borderId="0" xfId="0" applyFont="1" applyFill="1"/>
    <xf numFmtId="14" fontId="0" fillId="0" borderId="0" xfId="0" applyNumberFormat="1"/>
    <xf numFmtId="0" fontId="0" fillId="34" borderId="0" xfId="0" applyFill="1"/>
    <xf numFmtId="0" fontId="18" fillId="34" borderId="0" xfId="0" applyFont="1" applyFill="1"/>
    <xf numFmtId="0" fontId="0" fillId="35" borderId="0" xfId="0" applyFill="1"/>
    <xf numFmtId="0" fontId="16" fillId="0" borderId="0" xfId="0" applyFont="1"/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 applyAlignment="1">
      <alignment horizontal="center" vertical="center"/>
    </xf>
    <xf numFmtId="0" fontId="25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H209"/>
  <sheetViews>
    <sheetView topLeftCell="AP1" workbookViewId="0">
      <selection activeCell="BC2" sqref="BC2:BC203"/>
    </sheetView>
  </sheetViews>
  <sheetFormatPr defaultColWidth="11" defaultRowHeight="15.95"/>
  <sheetData>
    <row r="1" spans="1:60">
      <c r="B1" t="s">
        <v>0</v>
      </c>
      <c r="C1" t="s">
        <v>1</v>
      </c>
      <c r="D1" s="7">
        <v>0</v>
      </c>
      <c r="E1" s="7">
        <v>1</v>
      </c>
      <c r="F1" s="7">
        <v>2</v>
      </c>
      <c r="G1" s="7">
        <v>3</v>
      </c>
      <c r="H1" s="7">
        <v>4</v>
      </c>
      <c r="I1" s="7">
        <v>5</v>
      </c>
      <c r="J1" s="7">
        <v>6</v>
      </c>
      <c r="K1" s="7">
        <v>7</v>
      </c>
      <c r="L1" s="7">
        <v>8</v>
      </c>
      <c r="M1" s="7">
        <v>9</v>
      </c>
      <c r="N1" s="7">
        <v>10</v>
      </c>
      <c r="O1" s="7">
        <v>11</v>
      </c>
      <c r="P1">
        <v>12</v>
      </c>
      <c r="Q1" s="7">
        <v>13</v>
      </c>
      <c r="R1" s="7">
        <v>14</v>
      </c>
      <c r="S1" s="7">
        <v>15</v>
      </c>
      <c r="T1" s="7">
        <v>16</v>
      </c>
      <c r="U1" s="7">
        <v>17</v>
      </c>
      <c r="V1">
        <v>18</v>
      </c>
      <c r="W1" s="7">
        <v>19</v>
      </c>
      <c r="X1" s="7">
        <v>20</v>
      </c>
      <c r="Y1" s="7">
        <v>21</v>
      </c>
      <c r="Z1" s="7">
        <v>22</v>
      </c>
      <c r="AA1" s="7">
        <v>23</v>
      </c>
      <c r="AB1" s="7">
        <v>24</v>
      </c>
      <c r="AC1">
        <v>25</v>
      </c>
      <c r="AD1" s="7">
        <v>26</v>
      </c>
      <c r="AE1" s="7">
        <v>27</v>
      </c>
      <c r="AF1">
        <v>28</v>
      </c>
      <c r="AG1" s="7">
        <v>29</v>
      </c>
      <c r="AH1" s="7">
        <v>30</v>
      </c>
      <c r="AI1" s="7">
        <v>31</v>
      </c>
      <c r="AJ1">
        <v>32</v>
      </c>
      <c r="AK1" s="7">
        <v>33</v>
      </c>
      <c r="AL1" s="7">
        <v>34</v>
      </c>
      <c r="AM1" s="7">
        <v>35</v>
      </c>
      <c r="AN1" s="7">
        <v>36</v>
      </c>
      <c r="AO1" s="7">
        <v>37</v>
      </c>
      <c r="AP1" s="7">
        <v>38</v>
      </c>
      <c r="AQ1" s="7">
        <v>39</v>
      </c>
      <c r="AR1" s="7">
        <v>40</v>
      </c>
      <c r="AS1">
        <v>41</v>
      </c>
      <c r="AT1" s="7">
        <v>42</v>
      </c>
      <c r="AU1" s="7">
        <v>43</v>
      </c>
      <c r="AV1" s="7">
        <v>44</v>
      </c>
      <c r="AW1" s="7">
        <v>45</v>
      </c>
      <c r="AX1" s="7">
        <v>46</v>
      </c>
      <c r="AY1" s="7">
        <v>47</v>
      </c>
      <c r="AZ1" s="7">
        <v>48</v>
      </c>
      <c r="BA1" s="7">
        <v>49</v>
      </c>
      <c r="BB1" s="7">
        <v>50</v>
      </c>
      <c r="BC1">
        <v>51</v>
      </c>
      <c r="BD1" s="7">
        <v>52</v>
      </c>
      <c r="BE1" s="7">
        <v>53</v>
      </c>
      <c r="BF1" s="7">
        <v>54</v>
      </c>
      <c r="BG1" s="7">
        <v>55</v>
      </c>
      <c r="BH1" s="7">
        <v>56</v>
      </c>
    </row>
    <row r="2" spans="1:60">
      <c r="A2">
        <v>44</v>
      </c>
      <c r="B2" t="s">
        <v>2</v>
      </c>
      <c r="C2" t="s">
        <v>3</v>
      </c>
      <c r="D2" s="7" t="s">
        <v>4</v>
      </c>
      <c r="E2" s="7">
        <v>5.69</v>
      </c>
      <c r="F2" s="7" t="s">
        <v>5</v>
      </c>
      <c r="G2" s="7" t="s">
        <v>4</v>
      </c>
      <c r="H2" s="7" t="s">
        <v>4</v>
      </c>
      <c r="I2" s="7">
        <v>5.53</v>
      </c>
      <c r="J2" s="7" t="s">
        <v>4</v>
      </c>
      <c r="K2" s="7">
        <v>27.05</v>
      </c>
      <c r="L2" s="7" t="s">
        <v>4</v>
      </c>
      <c r="M2" s="7">
        <v>14.6</v>
      </c>
      <c r="N2" s="7" t="s">
        <v>4</v>
      </c>
      <c r="O2" s="7">
        <v>233.18</v>
      </c>
      <c r="P2">
        <v>223.62</v>
      </c>
      <c r="Q2" s="7" t="s">
        <v>4</v>
      </c>
      <c r="R2" s="7">
        <v>4.17</v>
      </c>
      <c r="S2" s="7" t="s">
        <v>4</v>
      </c>
      <c r="T2" s="7">
        <v>8.3800000000000008</v>
      </c>
      <c r="U2" s="7" t="s">
        <v>4</v>
      </c>
      <c r="V2">
        <v>4.59</v>
      </c>
      <c r="W2" s="7">
        <v>27.87</v>
      </c>
      <c r="X2" s="7" t="s">
        <v>5</v>
      </c>
      <c r="Y2" s="7">
        <v>828.28</v>
      </c>
      <c r="Z2" s="7" t="s">
        <v>4</v>
      </c>
      <c r="AA2" s="7">
        <v>10.76</v>
      </c>
      <c r="AB2" s="7" t="s">
        <v>5</v>
      </c>
      <c r="AC2">
        <v>10.029999999999999</v>
      </c>
      <c r="AD2" s="7" t="s">
        <v>4</v>
      </c>
      <c r="AE2" s="7" t="s">
        <v>4</v>
      </c>
      <c r="AF2">
        <v>391.21</v>
      </c>
      <c r="AG2" s="7">
        <v>75.28</v>
      </c>
      <c r="AH2" s="7">
        <v>82.08</v>
      </c>
      <c r="AI2" s="7" t="s">
        <v>4</v>
      </c>
      <c r="AJ2">
        <v>556.16</v>
      </c>
      <c r="AK2" s="7" t="s">
        <v>4</v>
      </c>
      <c r="AL2" s="7">
        <v>6.97</v>
      </c>
      <c r="AM2" s="7" t="s">
        <v>4</v>
      </c>
      <c r="AN2" s="7">
        <v>29.15</v>
      </c>
      <c r="AO2" s="7">
        <v>18.489999999999998</v>
      </c>
      <c r="AP2" s="7" t="s">
        <v>4</v>
      </c>
      <c r="AQ2" s="7" t="s">
        <v>4</v>
      </c>
      <c r="AR2" s="7" t="s">
        <v>4</v>
      </c>
      <c r="AS2">
        <v>37.15</v>
      </c>
      <c r="AT2" s="7">
        <v>98.66</v>
      </c>
      <c r="AU2" s="7" t="s">
        <v>4</v>
      </c>
      <c r="AV2" s="7">
        <v>70.69</v>
      </c>
      <c r="AW2" s="7">
        <v>872.93</v>
      </c>
      <c r="AX2" s="7">
        <v>402.2</v>
      </c>
      <c r="AY2" s="7">
        <v>276.39999999999998</v>
      </c>
      <c r="AZ2" s="7" t="s">
        <v>4</v>
      </c>
      <c r="BA2" s="7" t="s">
        <v>4</v>
      </c>
      <c r="BB2" s="7" t="s">
        <v>4</v>
      </c>
      <c r="BC2" t="s">
        <v>4</v>
      </c>
      <c r="BD2" s="7">
        <v>1.07</v>
      </c>
      <c r="BE2" s="7" t="s">
        <v>4</v>
      </c>
      <c r="BF2" s="7" t="s">
        <v>4</v>
      </c>
      <c r="BG2" s="7">
        <v>1.39</v>
      </c>
      <c r="BH2" s="7" t="s">
        <v>4</v>
      </c>
    </row>
    <row r="3" spans="1:60">
      <c r="A3">
        <v>28</v>
      </c>
      <c r="B3" t="s">
        <v>6</v>
      </c>
      <c r="C3" t="s">
        <v>7</v>
      </c>
      <c r="D3" s="7" t="s">
        <v>4</v>
      </c>
      <c r="E3" s="7" t="s">
        <v>5</v>
      </c>
      <c r="F3" s="7" t="s">
        <v>4</v>
      </c>
      <c r="G3" s="7" t="s">
        <v>4</v>
      </c>
      <c r="H3" s="7" t="s">
        <v>4</v>
      </c>
      <c r="I3" s="7">
        <v>1.33</v>
      </c>
      <c r="J3" s="7" t="s">
        <v>4</v>
      </c>
      <c r="K3" s="7">
        <v>12.15</v>
      </c>
      <c r="L3" s="7" t="s">
        <v>4</v>
      </c>
      <c r="M3" s="7">
        <v>585.79999999999995</v>
      </c>
      <c r="N3" s="7" t="s">
        <v>4</v>
      </c>
      <c r="O3" s="7">
        <v>811.66</v>
      </c>
      <c r="P3">
        <v>724.77</v>
      </c>
      <c r="Q3" s="7" t="s">
        <v>4</v>
      </c>
      <c r="R3" s="7" t="s">
        <v>4</v>
      </c>
      <c r="S3" s="7" t="s">
        <v>4</v>
      </c>
      <c r="T3" s="7">
        <v>63.16</v>
      </c>
      <c r="U3" s="7" t="s">
        <v>4</v>
      </c>
      <c r="V3">
        <v>8.2799999999999994</v>
      </c>
      <c r="W3" s="7" t="s">
        <v>5</v>
      </c>
      <c r="X3" s="7" t="s">
        <v>5</v>
      </c>
      <c r="Y3" s="7" t="s">
        <v>5</v>
      </c>
      <c r="Z3" s="7" t="s">
        <v>4</v>
      </c>
      <c r="AA3" s="7">
        <v>74.02</v>
      </c>
      <c r="AB3" s="7" t="s">
        <v>5</v>
      </c>
      <c r="AC3">
        <v>54.99</v>
      </c>
      <c r="AD3" s="7" t="s">
        <v>4</v>
      </c>
      <c r="AE3" s="7" t="s">
        <v>4</v>
      </c>
      <c r="AF3">
        <v>47.41</v>
      </c>
      <c r="AG3" s="7" t="s">
        <v>4</v>
      </c>
      <c r="AH3" s="7">
        <v>2.57</v>
      </c>
      <c r="AI3" s="7" t="s">
        <v>4</v>
      </c>
      <c r="AJ3">
        <v>54.51</v>
      </c>
      <c r="AK3" s="7" t="s">
        <v>4</v>
      </c>
      <c r="AL3" s="7">
        <v>4.5599999999999996</v>
      </c>
      <c r="AM3" s="7" t="s">
        <v>4</v>
      </c>
      <c r="AN3" s="7">
        <v>6.79</v>
      </c>
      <c r="AO3" s="7" t="s">
        <v>4</v>
      </c>
      <c r="AP3" s="7" t="s">
        <v>4</v>
      </c>
      <c r="AQ3" s="7" t="s">
        <v>4</v>
      </c>
      <c r="AR3" s="7">
        <v>3.02</v>
      </c>
      <c r="AS3">
        <v>57.06</v>
      </c>
      <c r="AT3" s="7">
        <v>44.05</v>
      </c>
      <c r="AU3" s="7" t="s">
        <v>4</v>
      </c>
      <c r="AV3" s="7">
        <v>136.93</v>
      </c>
      <c r="AW3" s="7" t="s">
        <v>4</v>
      </c>
      <c r="AX3" s="7">
        <v>818.33</v>
      </c>
      <c r="AY3" s="7">
        <v>142.63</v>
      </c>
      <c r="AZ3" s="7" t="s">
        <v>4</v>
      </c>
      <c r="BA3" s="7" t="s">
        <v>4</v>
      </c>
      <c r="BB3" s="7" t="s">
        <v>4</v>
      </c>
      <c r="BC3" t="s">
        <v>4</v>
      </c>
      <c r="BD3" s="7" t="s">
        <v>4</v>
      </c>
      <c r="BE3" s="7" t="s">
        <v>4</v>
      </c>
      <c r="BF3" s="7" t="s">
        <v>4</v>
      </c>
      <c r="BG3" s="7" t="s">
        <v>4</v>
      </c>
      <c r="BH3" s="7" t="s">
        <v>4</v>
      </c>
    </row>
    <row r="4" spans="1:60">
      <c r="A4">
        <v>129</v>
      </c>
      <c r="B4" t="s">
        <v>8</v>
      </c>
      <c r="C4" t="s">
        <v>9</v>
      </c>
      <c r="D4" s="7" t="s">
        <v>4</v>
      </c>
      <c r="E4" s="7">
        <v>9.35</v>
      </c>
      <c r="F4" s="7" t="s">
        <v>4</v>
      </c>
      <c r="G4" s="7" t="s">
        <v>4</v>
      </c>
      <c r="H4" s="7" t="s">
        <v>4</v>
      </c>
      <c r="I4" s="7" t="s">
        <v>4</v>
      </c>
      <c r="J4" s="7" t="s">
        <v>4</v>
      </c>
      <c r="K4" s="7" t="s">
        <v>4</v>
      </c>
      <c r="L4" s="7" t="s">
        <v>4</v>
      </c>
      <c r="M4" s="7" t="s">
        <v>4</v>
      </c>
      <c r="N4" s="7" t="s">
        <v>4</v>
      </c>
      <c r="O4" s="7">
        <v>15.54</v>
      </c>
      <c r="P4">
        <v>19.91</v>
      </c>
      <c r="Q4" s="7" t="s">
        <v>4</v>
      </c>
      <c r="R4" s="7" t="s">
        <v>4</v>
      </c>
      <c r="S4" s="7" t="s">
        <v>4</v>
      </c>
      <c r="T4" s="7">
        <v>6.33</v>
      </c>
      <c r="U4" s="7" t="s">
        <v>4</v>
      </c>
      <c r="V4" t="s">
        <v>4</v>
      </c>
      <c r="W4" s="7">
        <v>3.73</v>
      </c>
      <c r="X4" s="7">
        <v>1777.4</v>
      </c>
      <c r="Y4" s="7">
        <v>6.28</v>
      </c>
      <c r="Z4" s="7" t="s">
        <v>4</v>
      </c>
      <c r="AA4" s="7">
        <v>1.87</v>
      </c>
      <c r="AB4" s="7">
        <v>581.5</v>
      </c>
      <c r="AC4">
        <v>1.65</v>
      </c>
      <c r="AD4" s="7" t="s">
        <v>4</v>
      </c>
      <c r="AE4" s="7" t="s">
        <v>4</v>
      </c>
      <c r="AF4">
        <v>27.12</v>
      </c>
      <c r="AG4" s="7" t="s">
        <v>4</v>
      </c>
      <c r="AH4" s="7" t="s">
        <v>4</v>
      </c>
      <c r="AI4" s="7" t="s">
        <v>4</v>
      </c>
      <c r="AJ4">
        <v>74.94</v>
      </c>
      <c r="AK4" s="7" t="s">
        <v>4</v>
      </c>
      <c r="AL4" s="7" t="s">
        <v>4</v>
      </c>
      <c r="AM4" s="7" t="s">
        <v>4</v>
      </c>
      <c r="AN4" s="7">
        <v>26.61</v>
      </c>
      <c r="AO4" s="7">
        <v>3.22</v>
      </c>
      <c r="AP4" s="7" t="s">
        <v>4</v>
      </c>
      <c r="AQ4" s="7" t="s">
        <v>4</v>
      </c>
      <c r="AR4" s="7" t="s">
        <v>4</v>
      </c>
      <c r="AS4">
        <v>134.82</v>
      </c>
      <c r="AT4" s="7">
        <v>8.7100000000000009</v>
      </c>
      <c r="AU4" s="7" t="s">
        <v>4</v>
      </c>
      <c r="AV4" s="7" t="s">
        <v>4</v>
      </c>
      <c r="AW4" s="7">
        <v>20.37</v>
      </c>
      <c r="AX4" s="7">
        <v>24.56</v>
      </c>
      <c r="AY4" s="7" t="s">
        <v>4</v>
      </c>
      <c r="AZ4" s="7">
        <v>12.32</v>
      </c>
      <c r="BA4" s="7">
        <v>5.49</v>
      </c>
      <c r="BB4" s="7">
        <v>1.92</v>
      </c>
      <c r="BC4">
        <v>8.66</v>
      </c>
      <c r="BD4" s="7">
        <v>2.48</v>
      </c>
      <c r="BE4" s="7" t="s">
        <v>4</v>
      </c>
      <c r="BF4" s="7" t="s">
        <v>4</v>
      </c>
      <c r="BG4" s="7">
        <v>5.08</v>
      </c>
      <c r="BH4" s="7" t="s">
        <v>4</v>
      </c>
    </row>
    <row r="5" spans="1:60">
      <c r="A5">
        <v>27</v>
      </c>
      <c r="B5" t="s">
        <v>10</v>
      </c>
      <c r="C5" t="s">
        <v>11</v>
      </c>
      <c r="D5" s="7" t="s">
        <v>4</v>
      </c>
      <c r="E5" s="7" t="s">
        <v>4</v>
      </c>
      <c r="F5" s="7" t="s">
        <v>4</v>
      </c>
      <c r="G5" s="7" t="s">
        <v>4</v>
      </c>
      <c r="H5" s="7" t="s">
        <v>4</v>
      </c>
      <c r="I5" s="7" t="s">
        <v>4</v>
      </c>
      <c r="J5" s="7" t="s">
        <v>4</v>
      </c>
      <c r="K5" s="7" t="s">
        <v>4</v>
      </c>
      <c r="L5" s="7" t="s">
        <v>4</v>
      </c>
      <c r="M5" s="7">
        <v>5.29</v>
      </c>
      <c r="N5" s="7" t="s">
        <v>4</v>
      </c>
      <c r="O5" s="7">
        <v>368.13</v>
      </c>
      <c r="P5">
        <v>19.8</v>
      </c>
      <c r="Q5" s="7" t="s">
        <v>4</v>
      </c>
      <c r="R5" s="7" t="s">
        <v>4</v>
      </c>
      <c r="S5" s="7" t="s">
        <v>4</v>
      </c>
      <c r="T5" s="7">
        <v>7.77</v>
      </c>
      <c r="U5" s="7" t="s">
        <v>4</v>
      </c>
      <c r="V5" t="s">
        <v>4</v>
      </c>
      <c r="W5" s="7">
        <v>9.27</v>
      </c>
      <c r="X5" s="7" t="s">
        <v>5</v>
      </c>
      <c r="Y5" s="7">
        <v>70.510000000000005</v>
      </c>
      <c r="Z5" s="7" t="s">
        <v>4</v>
      </c>
      <c r="AA5" s="7">
        <v>32.33</v>
      </c>
      <c r="AB5" s="7" t="s">
        <v>5</v>
      </c>
      <c r="AC5">
        <v>15.9</v>
      </c>
      <c r="AD5" s="7" t="s">
        <v>4</v>
      </c>
      <c r="AE5" s="7" t="s">
        <v>4</v>
      </c>
      <c r="AF5" t="s">
        <v>5</v>
      </c>
      <c r="AG5" s="7">
        <v>10.81</v>
      </c>
      <c r="AH5" s="7">
        <v>82.1</v>
      </c>
      <c r="AI5" s="7" t="s">
        <v>4</v>
      </c>
      <c r="AJ5" t="s">
        <v>5</v>
      </c>
      <c r="AK5" s="7">
        <v>25.65</v>
      </c>
      <c r="AL5" s="7">
        <v>38.46</v>
      </c>
      <c r="AM5" s="7" t="s">
        <v>4</v>
      </c>
      <c r="AN5" s="7" t="s">
        <v>5</v>
      </c>
      <c r="AO5" s="7">
        <v>5.24</v>
      </c>
      <c r="AP5" s="7" t="s">
        <v>4</v>
      </c>
      <c r="AQ5" s="7">
        <v>20.309999999999999</v>
      </c>
      <c r="AR5" s="7" t="s">
        <v>4</v>
      </c>
      <c r="AS5" t="s">
        <v>5</v>
      </c>
      <c r="AT5" s="7">
        <v>3.68</v>
      </c>
      <c r="AU5" s="7" t="s">
        <v>4</v>
      </c>
      <c r="AV5" s="7" t="s">
        <v>4</v>
      </c>
      <c r="AW5" s="7" t="s">
        <v>4</v>
      </c>
      <c r="AX5" s="7">
        <v>44.2</v>
      </c>
      <c r="AY5" s="7" t="s">
        <v>4</v>
      </c>
      <c r="AZ5" s="7">
        <v>225.05</v>
      </c>
      <c r="BA5" s="7">
        <v>37.549999999999997</v>
      </c>
      <c r="BB5" s="7">
        <v>79.47</v>
      </c>
      <c r="BC5">
        <v>17.62</v>
      </c>
      <c r="BD5" s="7">
        <v>1.22</v>
      </c>
      <c r="BE5" s="7" t="s">
        <v>4</v>
      </c>
      <c r="BF5" s="7">
        <v>7.36</v>
      </c>
      <c r="BG5" s="7">
        <v>5.16</v>
      </c>
      <c r="BH5" s="7">
        <v>16.98</v>
      </c>
    </row>
    <row r="6" spans="1:60">
      <c r="A6">
        <v>16</v>
      </c>
      <c r="B6" t="s">
        <v>12</v>
      </c>
      <c r="C6" t="s">
        <v>13</v>
      </c>
      <c r="D6" s="7">
        <v>3.31</v>
      </c>
      <c r="E6" s="7" t="s">
        <v>4</v>
      </c>
      <c r="F6" s="7" t="s">
        <v>5</v>
      </c>
      <c r="G6" s="7" t="s">
        <v>5</v>
      </c>
      <c r="H6" s="7" t="s">
        <v>4</v>
      </c>
      <c r="I6" s="7">
        <v>1.04</v>
      </c>
      <c r="J6" s="7" t="s">
        <v>4</v>
      </c>
      <c r="K6" s="7" t="s">
        <v>5</v>
      </c>
      <c r="L6" s="7" t="s">
        <v>4</v>
      </c>
      <c r="M6" s="7" t="s">
        <v>4</v>
      </c>
      <c r="N6" s="7">
        <v>2.69</v>
      </c>
      <c r="O6" s="7">
        <v>5.84</v>
      </c>
      <c r="P6">
        <v>30.2</v>
      </c>
      <c r="Q6" s="7" t="s">
        <v>4</v>
      </c>
      <c r="R6" s="7">
        <v>10.31</v>
      </c>
      <c r="S6" s="7" t="s">
        <v>4</v>
      </c>
      <c r="T6" s="7">
        <v>2.15</v>
      </c>
      <c r="U6" s="7" t="s">
        <v>4</v>
      </c>
      <c r="V6">
        <v>7.66</v>
      </c>
      <c r="W6" s="7" t="s">
        <v>4</v>
      </c>
      <c r="X6" s="7">
        <v>196.37</v>
      </c>
      <c r="Y6" s="7">
        <v>21.98</v>
      </c>
      <c r="Z6" s="7" t="s">
        <v>4</v>
      </c>
      <c r="AA6" s="7" t="s">
        <v>4</v>
      </c>
      <c r="AB6" s="7">
        <v>5.78</v>
      </c>
      <c r="AC6" t="s">
        <v>4</v>
      </c>
      <c r="AD6" s="7" t="s">
        <v>4</v>
      </c>
      <c r="AE6" s="7" t="s">
        <v>4</v>
      </c>
      <c r="AF6">
        <v>11.61</v>
      </c>
      <c r="AG6" s="7">
        <v>6.08</v>
      </c>
      <c r="AH6" s="7" t="s">
        <v>4</v>
      </c>
      <c r="AI6" s="7" t="s">
        <v>4</v>
      </c>
      <c r="AJ6">
        <v>23.99</v>
      </c>
      <c r="AK6" s="7" t="s">
        <v>4</v>
      </c>
      <c r="AL6" s="7" t="s">
        <v>4</v>
      </c>
      <c r="AM6" s="7" t="s">
        <v>4</v>
      </c>
      <c r="AN6" s="7" t="s">
        <v>4</v>
      </c>
      <c r="AO6" s="7" t="s">
        <v>4</v>
      </c>
      <c r="AP6" s="7" t="s">
        <v>4</v>
      </c>
      <c r="AQ6" s="7" t="s">
        <v>4</v>
      </c>
      <c r="AR6" s="7" t="s">
        <v>4</v>
      </c>
      <c r="AS6">
        <v>4.8099999999999996</v>
      </c>
      <c r="AT6" s="7">
        <v>2.48</v>
      </c>
      <c r="AU6" s="7" t="s">
        <v>4</v>
      </c>
      <c r="AV6" s="7" t="s">
        <v>4</v>
      </c>
      <c r="AW6" s="7" t="s">
        <v>4</v>
      </c>
      <c r="AX6" s="7" t="s">
        <v>4</v>
      </c>
      <c r="AY6" s="7" t="s">
        <v>4</v>
      </c>
      <c r="AZ6" s="7" t="s">
        <v>4</v>
      </c>
      <c r="BA6" s="7" t="s">
        <v>4</v>
      </c>
      <c r="BB6" s="7" t="s">
        <v>4</v>
      </c>
      <c r="BC6" t="s">
        <v>4</v>
      </c>
      <c r="BD6" s="7" t="s">
        <v>4</v>
      </c>
      <c r="BE6" s="7" t="s">
        <v>4</v>
      </c>
      <c r="BF6" s="7" t="s">
        <v>4</v>
      </c>
      <c r="BG6" s="7" t="s">
        <v>4</v>
      </c>
      <c r="BH6" s="7" t="s">
        <v>4</v>
      </c>
    </row>
    <row r="7" spans="1:60">
      <c r="A7">
        <v>109</v>
      </c>
      <c r="B7" t="s">
        <v>14</v>
      </c>
      <c r="C7" t="s">
        <v>15</v>
      </c>
      <c r="D7" s="7" t="s">
        <v>4</v>
      </c>
      <c r="E7" s="7" t="s">
        <v>5</v>
      </c>
      <c r="F7" s="7">
        <v>20.3</v>
      </c>
      <c r="G7" s="7" t="s">
        <v>4</v>
      </c>
      <c r="H7" s="7" t="s">
        <v>4</v>
      </c>
      <c r="I7" s="7">
        <v>1.79</v>
      </c>
      <c r="J7" s="7" t="s">
        <v>4</v>
      </c>
      <c r="K7" s="7">
        <v>19.02</v>
      </c>
      <c r="L7" s="7" t="s">
        <v>4</v>
      </c>
      <c r="M7" s="7">
        <v>634.22</v>
      </c>
      <c r="N7" s="7" t="s">
        <v>4</v>
      </c>
      <c r="O7" s="7" t="s">
        <v>5</v>
      </c>
      <c r="P7" t="s">
        <v>5</v>
      </c>
      <c r="Q7" s="7" t="s">
        <v>4</v>
      </c>
      <c r="R7" s="7" t="s">
        <v>4</v>
      </c>
      <c r="S7" s="7" t="s">
        <v>4</v>
      </c>
      <c r="T7" s="7">
        <v>122.67</v>
      </c>
      <c r="U7" s="7" t="s">
        <v>4</v>
      </c>
      <c r="V7">
        <v>9.02</v>
      </c>
      <c r="W7" s="7" t="s">
        <v>5</v>
      </c>
      <c r="X7" s="7" t="s">
        <v>5</v>
      </c>
      <c r="Y7" s="7" t="s">
        <v>5</v>
      </c>
      <c r="Z7" s="7">
        <v>1.03</v>
      </c>
      <c r="AA7" s="7">
        <v>69.03</v>
      </c>
      <c r="AB7" s="7" t="s">
        <v>5</v>
      </c>
      <c r="AC7">
        <v>100.78</v>
      </c>
      <c r="AD7" s="7" t="s">
        <v>4</v>
      </c>
      <c r="AE7" s="7" t="s">
        <v>4</v>
      </c>
      <c r="AF7">
        <v>83.2</v>
      </c>
      <c r="AG7" s="7" t="s">
        <v>4</v>
      </c>
      <c r="AH7" s="7">
        <v>9.43</v>
      </c>
      <c r="AI7" s="7" t="s">
        <v>4</v>
      </c>
      <c r="AJ7">
        <v>108.37</v>
      </c>
      <c r="AK7" s="7" t="s">
        <v>4</v>
      </c>
      <c r="AL7" s="7">
        <v>14.28</v>
      </c>
      <c r="AM7" s="7" t="s">
        <v>4</v>
      </c>
      <c r="AN7" s="7">
        <v>33.380000000000003</v>
      </c>
      <c r="AO7" s="7" t="s">
        <v>4</v>
      </c>
      <c r="AP7" s="7" t="s">
        <v>4</v>
      </c>
      <c r="AQ7" s="7" t="s">
        <v>4</v>
      </c>
      <c r="AR7" s="7">
        <v>3.48</v>
      </c>
      <c r="AS7">
        <v>108.4</v>
      </c>
      <c r="AT7" s="7">
        <v>56.89</v>
      </c>
      <c r="AU7" s="7" t="s">
        <v>4</v>
      </c>
      <c r="AV7" s="7">
        <v>110.09</v>
      </c>
      <c r="AW7" s="7">
        <v>184.67</v>
      </c>
      <c r="AX7" s="7">
        <v>644.16999999999996</v>
      </c>
      <c r="AY7" s="7">
        <v>358.07</v>
      </c>
      <c r="AZ7" s="7" t="s">
        <v>4</v>
      </c>
      <c r="BA7" s="7">
        <v>12.16</v>
      </c>
      <c r="BB7" s="7">
        <v>1.06</v>
      </c>
      <c r="BC7" t="s">
        <v>4</v>
      </c>
      <c r="BD7" s="7">
        <v>3.1</v>
      </c>
      <c r="BE7" s="7" t="s">
        <v>4</v>
      </c>
      <c r="BF7" s="7" t="s">
        <v>4</v>
      </c>
      <c r="BG7" s="7" t="s">
        <v>4</v>
      </c>
      <c r="BH7" s="7">
        <v>8.7899999999999991</v>
      </c>
    </row>
    <row r="8" spans="1:60">
      <c r="A8">
        <v>119</v>
      </c>
      <c r="B8" t="s">
        <v>16</v>
      </c>
      <c r="C8" t="s">
        <v>17</v>
      </c>
      <c r="D8" s="7" t="s">
        <v>4</v>
      </c>
      <c r="E8" s="7">
        <v>3.13</v>
      </c>
      <c r="F8" s="7" t="s">
        <v>5</v>
      </c>
      <c r="G8" s="7">
        <v>30.46</v>
      </c>
      <c r="H8" s="7" t="s">
        <v>4</v>
      </c>
      <c r="I8" s="7">
        <v>1.54</v>
      </c>
      <c r="J8" s="7" t="s">
        <v>4</v>
      </c>
      <c r="K8" s="7">
        <v>445.28</v>
      </c>
      <c r="L8" s="7" t="s">
        <v>4</v>
      </c>
      <c r="M8" s="7">
        <v>2.5099999999999998</v>
      </c>
      <c r="N8" s="7" t="s">
        <v>4</v>
      </c>
      <c r="O8" s="7">
        <v>5.92</v>
      </c>
      <c r="P8">
        <v>19.649999999999999</v>
      </c>
      <c r="Q8" s="7" t="s">
        <v>4</v>
      </c>
      <c r="R8" s="7">
        <v>32.619999999999997</v>
      </c>
      <c r="S8" s="7" t="s">
        <v>4</v>
      </c>
      <c r="T8" s="7">
        <v>2.69</v>
      </c>
      <c r="U8" s="7" t="s">
        <v>4</v>
      </c>
      <c r="V8">
        <v>4.6399999999999997</v>
      </c>
      <c r="W8" s="7" t="s">
        <v>4</v>
      </c>
      <c r="X8" s="7">
        <v>291.7</v>
      </c>
      <c r="Y8" s="7">
        <v>9.08</v>
      </c>
      <c r="Z8" s="7" t="s">
        <v>4</v>
      </c>
      <c r="AA8" s="7" t="s">
        <v>4</v>
      </c>
      <c r="AB8" s="7">
        <v>18.96</v>
      </c>
      <c r="AC8">
        <v>3.87</v>
      </c>
      <c r="AD8" s="7" t="s">
        <v>4</v>
      </c>
      <c r="AE8" s="7" t="s">
        <v>4</v>
      </c>
      <c r="AF8">
        <v>28.85</v>
      </c>
      <c r="AG8" s="7">
        <v>13.27</v>
      </c>
      <c r="AH8" s="7" t="s">
        <v>4</v>
      </c>
      <c r="AI8" s="7" t="s">
        <v>4</v>
      </c>
      <c r="AJ8">
        <v>23.43</v>
      </c>
      <c r="AK8" s="7" t="s">
        <v>4</v>
      </c>
      <c r="AL8" s="7" t="s">
        <v>4</v>
      </c>
      <c r="AM8" s="7" t="s">
        <v>4</v>
      </c>
      <c r="AN8" s="7">
        <v>6.3</v>
      </c>
      <c r="AO8" s="7" t="s">
        <v>4</v>
      </c>
      <c r="AP8" s="7" t="s">
        <v>4</v>
      </c>
      <c r="AQ8" s="7" t="s">
        <v>4</v>
      </c>
      <c r="AR8" s="7" t="s">
        <v>4</v>
      </c>
      <c r="AS8">
        <v>3.4</v>
      </c>
      <c r="AT8" s="7" t="s">
        <v>4</v>
      </c>
      <c r="AU8" s="7" t="s">
        <v>4</v>
      </c>
      <c r="AV8" s="7" t="s">
        <v>4</v>
      </c>
      <c r="AW8" s="7" t="s">
        <v>4</v>
      </c>
      <c r="AX8" s="7" t="s">
        <v>4</v>
      </c>
      <c r="AY8" s="7" t="s">
        <v>4</v>
      </c>
      <c r="AZ8" s="7" t="s">
        <v>4</v>
      </c>
      <c r="BA8" s="7" t="s">
        <v>4</v>
      </c>
      <c r="BB8" s="7" t="s">
        <v>4</v>
      </c>
      <c r="BC8" t="s">
        <v>4</v>
      </c>
      <c r="BD8" s="7" t="s">
        <v>4</v>
      </c>
      <c r="BE8" s="7" t="s">
        <v>4</v>
      </c>
      <c r="BF8" s="7" t="s">
        <v>4</v>
      </c>
      <c r="BG8" s="7" t="s">
        <v>4</v>
      </c>
      <c r="BH8" s="7" t="s">
        <v>4</v>
      </c>
    </row>
    <row r="9" spans="1:60">
      <c r="A9">
        <v>189</v>
      </c>
      <c r="B9" t="s">
        <v>18</v>
      </c>
      <c r="C9" t="s">
        <v>19</v>
      </c>
      <c r="D9" s="7" t="s">
        <v>4</v>
      </c>
      <c r="E9" s="7" t="s">
        <v>5</v>
      </c>
      <c r="F9" s="7" t="s">
        <v>5</v>
      </c>
      <c r="G9" s="7" t="s">
        <v>4</v>
      </c>
      <c r="H9" s="7">
        <v>1.29</v>
      </c>
      <c r="I9" s="7">
        <v>7.74</v>
      </c>
      <c r="J9" s="7" t="s">
        <v>4</v>
      </c>
      <c r="K9" s="7">
        <v>84.14</v>
      </c>
      <c r="L9" s="7" t="s">
        <v>4</v>
      </c>
      <c r="M9" s="7">
        <v>461</v>
      </c>
      <c r="N9" s="7" t="s">
        <v>4</v>
      </c>
      <c r="O9" s="7">
        <v>889.62</v>
      </c>
      <c r="P9">
        <v>384.05</v>
      </c>
      <c r="Q9" s="7" t="s">
        <v>4</v>
      </c>
      <c r="R9" s="7">
        <v>9.4</v>
      </c>
      <c r="S9" s="7" t="s">
        <v>4</v>
      </c>
      <c r="T9" s="7">
        <v>43.8</v>
      </c>
      <c r="U9" s="7" t="s">
        <v>4</v>
      </c>
      <c r="V9">
        <v>8.01</v>
      </c>
      <c r="W9" s="7">
        <v>308.70999999999998</v>
      </c>
      <c r="X9" s="7" t="s">
        <v>5</v>
      </c>
      <c r="Y9" s="7" t="s">
        <v>5</v>
      </c>
      <c r="Z9" s="7" t="s">
        <v>4</v>
      </c>
      <c r="AA9" s="7">
        <v>32.700000000000003</v>
      </c>
      <c r="AB9" s="7" t="s">
        <v>5</v>
      </c>
      <c r="AC9">
        <v>101.1</v>
      </c>
      <c r="AD9" s="7" t="s">
        <v>4</v>
      </c>
      <c r="AE9" s="7" t="s">
        <v>4</v>
      </c>
      <c r="AF9">
        <v>49.57</v>
      </c>
      <c r="AG9" s="7">
        <v>39.28</v>
      </c>
      <c r="AH9" s="7">
        <v>6.03</v>
      </c>
      <c r="AI9" s="7" t="s">
        <v>4</v>
      </c>
      <c r="AJ9">
        <v>50.83</v>
      </c>
      <c r="AK9" s="7" t="s">
        <v>4</v>
      </c>
      <c r="AL9" s="7">
        <v>6.04</v>
      </c>
      <c r="AM9" s="7" t="s">
        <v>4</v>
      </c>
      <c r="AN9" s="7">
        <v>19.170000000000002</v>
      </c>
      <c r="AO9" s="7">
        <v>27.07</v>
      </c>
      <c r="AP9" s="7" t="s">
        <v>4</v>
      </c>
      <c r="AQ9" s="7" t="s">
        <v>4</v>
      </c>
      <c r="AR9" s="7" t="s">
        <v>4</v>
      </c>
      <c r="AS9">
        <v>30.4</v>
      </c>
      <c r="AT9" s="7">
        <v>3.29</v>
      </c>
      <c r="AU9" s="7" t="s">
        <v>4</v>
      </c>
      <c r="AV9" s="7" t="s">
        <v>4</v>
      </c>
      <c r="AW9" s="7" t="s">
        <v>4</v>
      </c>
      <c r="AX9" s="7" t="s">
        <v>4</v>
      </c>
      <c r="AY9" s="7" t="s">
        <v>4</v>
      </c>
      <c r="AZ9" s="7" t="s">
        <v>4</v>
      </c>
      <c r="BA9" s="7" t="s">
        <v>4</v>
      </c>
      <c r="BB9" s="7" t="s">
        <v>4</v>
      </c>
      <c r="BC9" t="s">
        <v>4</v>
      </c>
      <c r="BD9" s="7" t="s">
        <v>4</v>
      </c>
      <c r="BE9" s="7" t="s">
        <v>4</v>
      </c>
      <c r="BF9" s="7" t="s">
        <v>4</v>
      </c>
      <c r="BG9" s="7" t="s">
        <v>4</v>
      </c>
      <c r="BH9" s="7" t="s">
        <v>4</v>
      </c>
    </row>
    <row r="10" spans="1:60">
      <c r="A10">
        <v>164</v>
      </c>
      <c r="B10" t="s">
        <v>20</v>
      </c>
      <c r="C10" t="s">
        <v>21</v>
      </c>
      <c r="D10" s="7" t="s">
        <v>4</v>
      </c>
      <c r="E10" s="7">
        <v>22.56</v>
      </c>
      <c r="F10" s="7" t="s">
        <v>5</v>
      </c>
      <c r="G10" s="7" t="s">
        <v>4</v>
      </c>
      <c r="H10" s="7" t="s">
        <v>4</v>
      </c>
      <c r="I10" s="7" t="s">
        <v>4</v>
      </c>
      <c r="J10" s="7" t="s">
        <v>4</v>
      </c>
      <c r="K10" s="7">
        <v>52.69</v>
      </c>
      <c r="L10" s="7" t="s">
        <v>4</v>
      </c>
      <c r="M10" s="7">
        <v>26.56</v>
      </c>
      <c r="N10" s="7" t="s">
        <v>4</v>
      </c>
      <c r="O10" s="7">
        <v>290.97000000000003</v>
      </c>
      <c r="P10">
        <v>448.3</v>
      </c>
      <c r="Q10" s="7" t="s">
        <v>4</v>
      </c>
      <c r="R10" s="7">
        <v>7.44</v>
      </c>
      <c r="S10" s="7" t="s">
        <v>4</v>
      </c>
      <c r="T10" s="7">
        <v>13.79</v>
      </c>
      <c r="U10" s="7" t="s">
        <v>4</v>
      </c>
      <c r="V10">
        <v>8.61</v>
      </c>
      <c r="W10" s="7">
        <v>18.55</v>
      </c>
      <c r="X10" s="7" t="s">
        <v>5</v>
      </c>
      <c r="Y10" s="7" t="s">
        <v>5</v>
      </c>
      <c r="Z10" s="7">
        <v>3.78</v>
      </c>
      <c r="AA10" s="7">
        <v>2.96</v>
      </c>
      <c r="AB10" s="7">
        <v>288.33</v>
      </c>
      <c r="AC10">
        <v>22.96</v>
      </c>
      <c r="AD10" s="7" t="s">
        <v>4</v>
      </c>
      <c r="AE10" s="7" t="s">
        <v>4</v>
      </c>
      <c r="AF10">
        <v>63.86</v>
      </c>
      <c r="AG10" s="7">
        <v>15.42</v>
      </c>
      <c r="AH10" s="7">
        <v>14.56</v>
      </c>
      <c r="AI10" s="7" t="s">
        <v>4</v>
      </c>
      <c r="AJ10">
        <v>34.04</v>
      </c>
      <c r="AK10" s="7" t="s">
        <v>4</v>
      </c>
      <c r="AL10" s="7" t="s">
        <v>4</v>
      </c>
      <c r="AM10" s="7" t="s">
        <v>4</v>
      </c>
      <c r="AN10" s="7">
        <v>14.46</v>
      </c>
      <c r="AO10" s="7">
        <v>8.59</v>
      </c>
      <c r="AP10" s="7" t="s">
        <v>4</v>
      </c>
      <c r="AQ10" s="7" t="s">
        <v>4</v>
      </c>
      <c r="AR10" s="7" t="s">
        <v>4</v>
      </c>
      <c r="AS10">
        <v>13.6</v>
      </c>
      <c r="AT10" s="7" t="s">
        <v>4</v>
      </c>
      <c r="AU10" s="7" t="s">
        <v>4</v>
      </c>
      <c r="AV10" s="7" t="s">
        <v>4</v>
      </c>
      <c r="AW10" s="7" t="s">
        <v>4</v>
      </c>
      <c r="AX10" s="7" t="s">
        <v>4</v>
      </c>
      <c r="AY10" s="7" t="s">
        <v>4</v>
      </c>
      <c r="AZ10" s="7" t="s">
        <v>4</v>
      </c>
      <c r="BA10" s="7" t="s">
        <v>4</v>
      </c>
      <c r="BB10" s="7">
        <v>2.0299999999999998</v>
      </c>
      <c r="BC10">
        <v>3.25</v>
      </c>
      <c r="BD10" s="7" t="s">
        <v>4</v>
      </c>
      <c r="BE10" s="7" t="s">
        <v>4</v>
      </c>
      <c r="BF10" s="7" t="s">
        <v>4</v>
      </c>
      <c r="BG10" s="7">
        <v>1.6</v>
      </c>
      <c r="BH10" s="7" t="s">
        <v>4</v>
      </c>
    </row>
    <row r="11" spans="1:60">
      <c r="A11">
        <v>8</v>
      </c>
      <c r="B11" t="s">
        <v>22</v>
      </c>
      <c r="C11" t="s">
        <v>23</v>
      </c>
      <c r="D11" s="7">
        <v>2.7</v>
      </c>
      <c r="E11" s="7" t="s">
        <v>4</v>
      </c>
      <c r="F11" s="7" t="s">
        <v>5</v>
      </c>
      <c r="G11" s="7" t="s">
        <v>5</v>
      </c>
      <c r="H11" s="7">
        <v>9.59</v>
      </c>
      <c r="I11" s="7">
        <v>2.0499999999999998</v>
      </c>
      <c r="J11" s="7" t="s">
        <v>4</v>
      </c>
      <c r="K11" s="7">
        <v>245.93</v>
      </c>
      <c r="L11" s="7" t="s">
        <v>4</v>
      </c>
      <c r="M11" s="7" t="s">
        <v>4</v>
      </c>
      <c r="N11" s="7">
        <v>3.19</v>
      </c>
      <c r="O11" s="7">
        <v>4.82</v>
      </c>
      <c r="P11">
        <v>32.04</v>
      </c>
      <c r="Q11" s="7" t="s">
        <v>4</v>
      </c>
      <c r="R11" s="7">
        <v>27.72</v>
      </c>
      <c r="S11" s="7" t="s">
        <v>4</v>
      </c>
      <c r="T11" s="7" t="s">
        <v>4</v>
      </c>
      <c r="U11" s="7" t="s">
        <v>4</v>
      </c>
      <c r="V11">
        <v>14.94</v>
      </c>
      <c r="W11" s="7" t="s">
        <v>4</v>
      </c>
      <c r="X11" s="7">
        <v>186.71</v>
      </c>
      <c r="Y11" s="7">
        <v>126.21</v>
      </c>
      <c r="Z11" s="7" t="s">
        <v>4</v>
      </c>
      <c r="AA11" s="7" t="s">
        <v>4</v>
      </c>
      <c r="AB11" s="7">
        <v>28.86</v>
      </c>
      <c r="AC11">
        <v>1.07</v>
      </c>
      <c r="AD11" s="7" t="s">
        <v>4</v>
      </c>
      <c r="AE11" s="7" t="s">
        <v>4</v>
      </c>
      <c r="AF11">
        <v>25.87</v>
      </c>
      <c r="AG11" s="7">
        <v>12.11</v>
      </c>
      <c r="AH11" s="7">
        <v>3.34</v>
      </c>
      <c r="AI11" s="7" t="s">
        <v>4</v>
      </c>
      <c r="AJ11">
        <v>46.87</v>
      </c>
      <c r="AK11" s="7" t="s">
        <v>4</v>
      </c>
      <c r="AL11" s="7" t="s">
        <v>4</v>
      </c>
      <c r="AM11" s="7" t="s">
        <v>4</v>
      </c>
      <c r="AN11" s="7" t="s">
        <v>4</v>
      </c>
      <c r="AO11" s="7" t="s">
        <v>4</v>
      </c>
      <c r="AP11" s="7" t="s">
        <v>4</v>
      </c>
      <c r="AQ11" s="7" t="s">
        <v>4</v>
      </c>
      <c r="AR11" s="7" t="s">
        <v>4</v>
      </c>
      <c r="AS11" t="s">
        <v>4</v>
      </c>
      <c r="AT11" s="7">
        <v>13.91</v>
      </c>
      <c r="AU11" s="7" t="s">
        <v>4</v>
      </c>
      <c r="AV11" s="7" t="s">
        <v>4</v>
      </c>
      <c r="AW11" s="7" t="s">
        <v>4</v>
      </c>
      <c r="AX11" s="7" t="s">
        <v>4</v>
      </c>
      <c r="AY11" s="7" t="s">
        <v>4</v>
      </c>
      <c r="AZ11" s="7" t="s">
        <v>4</v>
      </c>
      <c r="BA11" s="7" t="s">
        <v>4</v>
      </c>
      <c r="BB11" s="7" t="s">
        <v>4</v>
      </c>
      <c r="BC11">
        <v>4.92</v>
      </c>
      <c r="BD11" s="7" t="s">
        <v>4</v>
      </c>
      <c r="BE11" s="7" t="s">
        <v>4</v>
      </c>
      <c r="BF11" s="7" t="s">
        <v>4</v>
      </c>
      <c r="BG11" s="7" t="s">
        <v>4</v>
      </c>
      <c r="BH11" s="7" t="s">
        <v>4</v>
      </c>
    </row>
    <row r="12" spans="1:60">
      <c r="A12">
        <v>66</v>
      </c>
      <c r="B12" t="s">
        <v>24</v>
      </c>
      <c r="C12" t="s">
        <v>25</v>
      </c>
      <c r="D12" s="7" t="s">
        <v>4</v>
      </c>
      <c r="E12" s="7">
        <v>23.08</v>
      </c>
      <c r="F12" s="7" t="s">
        <v>5</v>
      </c>
      <c r="G12" s="7" t="s">
        <v>5</v>
      </c>
      <c r="H12" s="7">
        <v>1.6</v>
      </c>
      <c r="I12" s="7">
        <v>2.54</v>
      </c>
      <c r="J12" s="7" t="s">
        <v>4</v>
      </c>
      <c r="K12" s="7">
        <v>122.78</v>
      </c>
      <c r="L12" s="7" t="s">
        <v>4</v>
      </c>
      <c r="M12" s="7" t="s">
        <v>4</v>
      </c>
      <c r="N12" s="7" t="s">
        <v>4</v>
      </c>
      <c r="O12" s="7">
        <v>8.25</v>
      </c>
      <c r="P12">
        <v>25.08</v>
      </c>
      <c r="Q12" s="7" t="s">
        <v>4</v>
      </c>
      <c r="R12" s="7">
        <v>44.07</v>
      </c>
      <c r="S12" s="7" t="s">
        <v>4</v>
      </c>
      <c r="T12" s="7" t="s">
        <v>4</v>
      </c>
      <c r="U12" s="7" t="s">
        <v>4</v>
      </c>
      <c r="V12">
        <v>21.54</v>
      </c>
      <c r="W12" s="7" t="s">
        <v>4</v>
      </c>
      <c r="X12" s="7" t="s">
        <v>4</v>
      </c>
      <c r="Y12" s="7">
        <v>41.78</v>
      </c>
      <c r="Z12" s="7" t="s">
        <v>4</v>
      </c>
      <c r="AA12" s="7" t="s">
        <v>4</v>
      </c>
      <c r="AB12" s="7" t="s">
        <v>4</v>
      </c>
      <c r="AC12">
        <v>8.18</v>
      </c>
      <c r="AD12" s="7" t="s">
        <v>4</v>
      </c>
      <c r="AE12" s="7" t="s">
        <v>4</v>
      </c>
      <c r="AF12">
        <v>14.46</v>
      </c>
      <c r="AG12" s="7">
        <v>6.59</v>
      </c>
      <c r="AH12" s="7">
        <v>2.95</v>
      </c>
      <c r="AI12" s="7" t="s">
        <v>4</v>
      </c>
      <c r="AJ12">
        <v>9.1</v>
      </c>
      <c r="AK12" s="7" t="s">
        <v>4</v>
      </c>
      <c r="AL12" s="7" t="s">
        <v>4</v>
      </c>
      <c r="AM12" s="7" t="s">
        <v>4</v>
      </c>
      <c r="AN12" s="7" t="s">
        <v>4</v>
      </c>
      <c r="AO12" s="7">
        <v>6.79</v>
      </c>
      <c r="AP12" s="7" t="s">
        <v>4</v>
      </c>
      <c r="AQ12" s="7" t="s">
        <v>4</v>
      </c>
      <c r="AR12" s="7" t="s">
        <v>4</v>
      </c>
      <c r="AS12" t="s">
        <v>4</v>
      </c>
      <c r="AT12" s="7">
        <v>5.43</v>
      </c>
      <c r="AU12" s="7" t="s">
        <v>4</v>
      </c>
      <c r="AV12" s="7" t="s">
        <v>4</v>
      </c>
      <c r="AW12" s="7" t="s">
        <v>4</v>
      </c>
      <c r="AX12" s="7" t="s">
        <v>4</v>
      </c>
      <c r="AY12" s="7" t="s">
        <v>4</v>
      </c>
      <c r="AZ12" s="7" t="s">
        <v>4</v>
      </c>
      <c r="BA12" s="7" t="s">
        <v>4</v>
      </c>
      <c r="BB12" s="7" t="s">
        <v>4</v>
      </c>
      <c r="BC12">
        <v>18.420000000000002</v>
      </c>
      <c r="BD12" s="7" t="s">
        <v>4</v>
      </c>
      <c r="BE12" s="7" t="s">
        <v>4</v>
      </c>
      <c r="BF12" s="7" t="s">
        <v>4</v>
      </c>
      <c r="BG12" s="7" t="s">
        <v>4</v>
      </c>
      <c r="BH12" s="7" t="s">
        <v>4</v>
      </c>
    </row>
    <row r="13" spans="1:60">
      <c r="A13">
        <v>95</v>
      </c>
      <c r="B13" t="s">
        <v>26</v>
      </c>
      <c r="C13" t="s">
        <v>27</v>
      </c>
      <c r="D13" s="7" t="s">
        <v>4</v>
      </c>
      <c r="E13" s="7" t="s">
        <v>5</v>
      </c>
      <c r="F13" s="7" t="s">
        <v>5</v>
      </c>
      <c r="G13" s="7" t="s">
        <v>5</v>
      </c>
      <c r="H13" s="7">
        <v>9.43</v>
      </c>
      <c r="I13" s="7">
        <v>10.94</v>
      </c>
      <c r="J13" s="7" t="s">
        <v>4</v>
      </c>
      <c r="K13" s="7" t="s">
        <v>5</v>
      </c>
      <c r="L13" s="7">
        <v>21</v>
      </c>
      <c r="M13" s="7" t="s">
        <v>4</v>
      </c>
      <c r="N13" s="7">
        <v>2.71</v>
      </c>
      <c r="O13" s="7">
        <v>21.2</v>
      </c>
      <c r="P13">
        <v>54.34</v>
      </c>
      <c r="Q13" s="7" t="s">
        <v>4</v>
      </c>
      <c r="R13" s="7">
        <v>141</v>
      </c>
      <c r="S13" s="7" t="s">
        <v>4</v>
      </c>
      <c r="T13" s="7" t="s">
        <v>4</v>
      </c>
      <c r="U13" s="7" t="s">
        <v>4</v>
      </c>
      <c r="V13">
        <v>14.01</v>
      </c>
      <c r="W13" s="7" t="s">
        <v>4</v>
      </c>
      <c r="X13" s="7">
        <v>390.05</v>
      </c>
      <c r="Y13" s="7">
        <v>483.28</v>
      </c>
      <c r="Z13" s="7" t="s">
        <v>4</v>
      </c>
      <c r="AA13" s="7">
        <v>4.84</v>
      </c>
      <c r="AB13" s="7">
        <v>29.79</v>
      </c>
      <c r="AC13">
        <v>23.6</v>
      </c>
      <c r="AD13" s="7" t="s">
        <v>4</v>
      </c>
      <c r="AE13" s="7" t="s">
        <v>4</v>
      </c>
      <c r="AF13">
        <v>105.26</v>
      </c>
      <c r="AG13" s="7">
        <v>249.53</v>
      </c>
      <c r="AH13" s="7">
        <v>4.0599999999999996</v>
      </c>
      <c r="AI13" s="7" t="s">
        <v>4</v>
      </c>
      <c r="AJ13">
        <v>50.33</v>
      </c>
      <c r="AK13" s="7" t="s">
        <v>4</v>
      </c>
      <c r="AL13" s="7" t="s">
        <v>4</v>
      </c>
      <c r="AM13" s="7" t="s">
        <v>4</v>
      </c>
      <c r="AN13" s="7">
        <v>15.11</v>
      </c>
      <c r="AO13" s="7">
        <v>13.49</v>
      </c>
      <c r="AP13" s="7" t="s">
        <v>4</v>
      </c>
      <c r="AQ13" s="7" t="s">
        <v>4</v>
      </c>
      <c r="AR13" s="7" t="s">
        <v>4</v>
      </c>
      <c r="AS13">
        <v>7.36</v>
      </c>
      <c r="AT13" s="7" t="s">
        <v>5</v>
      </c>
      <c r="AU13" s="7" t="s">
        <v>4</v>
      </c>
      <c r="AV13" s="7" t="s">
        <v>4</v>
      </c>
      <c r="AW13" s="7">
        <v>402.33</v>
      </c>
      <c r="AX13" s="7">
        <v>36.82</v>
      </c>
      <c r="AY13" s="7" t="s">
        <v>4</v>
      </c>
      <c r="AZ13" s="7" t="s">
        <v>4</v>
      </c>
      <c r="BA13" s="7" t="s">
        <v>4</v>
      </c>
      <c r="BB13" s="7" t="s">
        <v>4</v>
      </c>
      <c r="BC13">
        <v>40.51</v>
      </c>
      <c r="BD13" s="7" t="s">
        <v>4</v>
      </c>
      <c r="BE13" s="7" t="s">
        <v>4</v>
      </c>
      <c r="BF13" s="7" t="s">
        <v>4</v>
      </c>
      <c r="BG13" s="7">
        <v>3.74</v>
      </c>
      <c r="BH13" s="7" t="s">
        <v>4</v>
      </c>
    </row>
    <row r="14" spans="1:60">
      <c r="A14">
        <v>194</v>
      </c>
      <c r="B14" t="s">
        <v>28</v>
      </c>
      <c r="C14" t="s">
        <v>29</v>
      </c>
      <c r="D14" s="7">
        <v>2.57</v>
      </c>
      <c r="E14" s="7">
        <v>17.95</v>
      </c>
      <c r="F14" s="7" t="s">
        <v>5</v>
      </c>
      <c r="G14" s="7">
        <v>28.55</v>
      </c>
      <c r="H14" s="7">
        <v>1.1299999999999999</v>
      </c>
      <c r="I14" s="7">
        <v>4.21</v>
      </c>
      <c r="J14" s="7" t="s">
        <v>4</v>
      </c>
      <c r="K14" s="7">
        <v>179.52</v>
      </c>
      <c r="L14" s="7" t="s">
        <v>4</v>
      </c>
      <c r="M14" s="7">
        <v>23.21</v>
      </c>
      <c r="N14" s="7" t="s">
        <v>4</v>
      </c>
      <c r="O14" s="7">
        <v>231.33</v>
      </c>
      <c r="P14">
        <v>43.45</v>
      </c>
      <c r="Q14" s="7" t="s">
        <v>4</v>
      </c>
      <c r="R14" s="7">
        <v>4.08</v>
      </c>
      <c r="S14" s="7" t="s">
        <v>4</v>
      </c>
      <c r="T14" s="7">
        <v>6.88</v>
      </c>
      <c r="U14" s="7" t="s">
        <v>4</v>
      </c>
      <c r="V14">
        <v>6.24</v>
      </c>
      <c r="W14" s="7">
        <v>2.96</v>
      </c>
      <c r="X14" s="7">
        <v>2243.1799999999998</v>
      </c>
      <c r="Y14" s="7">
        <v>155.5</v>
      </c>
      <c r="Z14" s="7" t="s">
        <v>4</v>
      </c>
      <c r="AA14" s="7" t="s">
        <v>4</v>
      </c>
      <c r="AB14" s="7">
        <v>92.89</v>
      </c>
      <c r="AC14">
        <v>3.89</v>
      </c>
      <c r="AD14" s="7" t="s">
        <v>4</v>
      </c>
      <c r="AE14" s="7" t="s">
        <v>4</v>
      </c>
      <c r="AF14">
        <v>9.09</v>
      </c>
      <c r="AG14" s="7">
        <v>9.2200000000000006</v>
      </c>
      <c r="AH14" s="7" t="s">
        <v>4</v>
      </c>
      <c r="AI14" s="7" t="s">
        <v>4</v>
      </c>
      <c r="AJ14">
        <v>3.97</v>
      </c>
      <c r="AK14" s="7" t="s">
        <v>4</v>
      </c>
      <c r="AL14" s="7" t="s">
        <v>4</v>
      </c>
      <c r="AM14" s="7" t="s">
        <v>4</v>
      </c>
      <c r="AN14" s="7" t="s">
        <v>4</v>
      </c>
      <c r="AO14" s="7" t="s">
        <v>4</v>
      </c>
      <c r="AP14" s="7" t="s">
        <v>4</v>
      </c>
      <c r="AQ14" s="7" t="s">
        <v>4</v>
      </c>
      <c r="AR14" s="7" t="s">
        <v>4</v>
      </c>
      <c r="AS14" t="s">
        <v>4</v>
      </c>
      <c r="AT14" s="7">
        <v>798.95</v>
      </c>
      <c r="AU14" s="7" t="s">
        <v>4</v>
      </c>
      <c r="AV14" s="7" t="s">
        <v>4</v>
      </c>
      <c r="AW14" s="7">
        <v>63.92</v>
      </c>
      <c r="AX14" s="7">
        <v>24.33</v>
      </c>
      <c r="AY14" s="7" t="s">
        <v>4</v>
      </c>
      <c r="AZ14" s="7" t="s">
        <v>4</v>
      </c>
      <c r="BA14" s="7" t="s">
        <v>4</v>
      </c>
      <c r="BB14" s="7" t="s">
        <v>4</v>
      </c>
      <c r="BC14">
        <v>48.74</v>
      </c>
      <c r="BD14" s="7" t="s">
        <v>4</v>
      </c>
      <c r="BE14" s="7" t="s">
        <v>4</v>
      </c>
      <c r="BF14" s="7" t="s">
        <v>4</v>
      </c>
      <c r="BG14" s="7">
        <v>1.83</v>
      </c>
      <c r="BH14" s="7" t="s">
        <v>4</v>
      </c>
    </row>
    <row r="15" spans="1:60">
      <c r="A15">
        <v>62</v>
      </c>
      <c r="B15" t="s">
        <v>30</v>
      </c>
      <c r="C15" t="s">
        <v>31</v>
      </c>
      <c r="D15" s="7" t="s">
        <v>4</v>
      </c>
      <c r="E15" s="7">
        <v>39.799999999999997</v>
      </c>
      <c r="F15" s="7" t="s">
        <v>5</v>
      </c>
      <c r="G15" s="7" t="s">
        <v>5</v>
      </c>
      <c r="H15" s="7">
        <v>2.79</v>
      </c>
      <c r="I15" s="7">
        <v>12.97</v>
      </c>
      <c r="J15" s="7" t="s">
        <v>4</v>
      </c>
      <c r="K15" s="7" t="s">
        <v>5</v>
      </c>
      <c r="L15" s="7" t="s">
        <v>4</v>
      </c>
      <c r="M15" s="7">
        <v>16.73</v>
      </c>
      <c r="N15" s="7" t="s">
        <v>4</v>
      </c>
      <c r="O15" s="7">
        <v>53.91</v>
      </c>
      <c r="P15">
        <v>42.87</v>
      </c>
      <c r="Q15" s="7" t="s">
        <v>4</v>
      </c>
      <c r="R15" s="7">
        <v>48.31</v>
      </c>
      <c r="S15" s="7" t="s">
        <v>4</v>
      </c>
      <c r="T15" s="7">
        <v>6.39</v>
      </c>
      <c r="U15" s="7" t="s">
        <v>4</v>
      </c>
      <c r="V15">
        <v>30.82</v>
      </c>
      <c r="W15" s="7" t="s">
        <v>4</v>
      </c>
      <c r="X15" s="7">
        <v>165.37</v>
      </c>
      <c r="Y15" s="7">
        <v>161.27000000000001</v>
      </c>
      <c r="Z15" s="7" t="s">
        <v>4</v>
      </c>
      <c r="AA15" s="7">
        <v>2.92</v>
      </c>
      <c r="AB15" s="7">
        <v>43.6</v>
      </c>
      <c r="AC15">
        <v>9.18</v>
      </c>
      <c r="AD15" s="7" t="s">
        <v>4</v>
      </c>
      <c r="AE15" s="7" t="s">
        <v>4</v>
      </c>
      <c r="AF15">
        <v>169.66</v>
      </c>
      <c r="AG15" s="7">
        <v>101.35</v>
      </c>
      <c r="AH15" s="7">
        <v>7.81</v>
      </c>
      <c r="AI15" s="7" t="s">
        <v>4</v>
      </c>
      <c r="AJ15">
        <v>176.33</v>
      </c>
      <c r="AK15" s="7" t="s">
        <v>4</v>
      </c>
      <c r="AL15" s="7" t="s">
        <v>4</v>
      </c>
      <c r="AM15" s="7" t="s">
        <v>4</v>
      </c>
      <c r="AN15" s="7">
        <v>39.700000000000003</v>
      </c>
      <c r="AO15" s="7">
        <v>15.49</v>
      </c>
      <c r="AP15" s="7" t="s">
        <v>4</v>
      </c>
      <c r="AQ15" s="7" t="s">
        <v>4</v>
      </c>
      <c r="AR15" s="7" t="s">
        <v>4</v>
      </c>
      <c r="AS15">
        <v>47.67</v>
      </c>
      <c r="AT15" s="7">
        <v>8.61</v>
      </c>
      <c r="AU15" s="7" t="s">
        <v>4</v>
      </c>
      <c r="AV15" s="7" t="s">
        <v>4</v>
      </c>
      <c r="AW15" s="7" t="s">
        <v>4</v>
      </c>
      <c r="AX15" s="7" t="s">
        <v>4</v>
      </c>
      <c r="AY15" s="7" t="s">
        <v>4</v>
      </c>
      <c r="AZ15" s="7" t="s">
        <v>4</v>
      </c>
      <c r="BA15" s="7" t="s">
        <v>4</v>
      </c>
      <c r="BB15" s="7" t="s">
        <v>4</v>
      </c>
      <c r="BC15">
        <v>15.91</v>
      </c>
      <c r="BD15" s="7" t="s">
        <v>4</v>
      </c>
      <c r="BE15" s="7" t="s">
        <v>4</v>
      </c>
      <c r="BF15" s="7" t="s">
        <v>4</v>
      </c>
      <c r="BG15" s="7">
        <v>3.83</v>
      </c>
      <c r="BH15" s="7" t="s">
        <v>4</v>
      </c>
    </row>
    <row r="16" spans="1:60">
      <c r="A16">
        <v>128</v>
      </c>
      <c r="B16" t="s">
        <v>32</v>
      </c>
      <c r="C16" t="s">
        <v>33</v>
      </c>
      <c r="D16" s="7" t="s">
        <v>4</v>
      </c>
      <c r="E16" s="7">
        <v>7.13</v>
      </c>
      <c r="F16" s="7" t="s">
        <v>5</v>
      </c>
      <c r="G16" s="7" t="s">
        <v>4</v>
      </c>
      <c r="H16" s="7" t="s">
        <v>4</v>
      </c>
      <c r="I16" s="7">
        <v>1.84</v>
      </c>
      <c r="J16" s="7" t="s">
        <v>4</v>
      </c>
      <c r="K16" s="7">
        <v>87.22</v>
      </c>
      <c r="L16" s="7" t="s">
        <v>4</v>
      </c>
      <c r="M16" s="7" t="s">
        <v>4</v>
      </c>
      <c r="N16" s="7" t="s">
        <v>4</v>
      </c>
      <c r="O16" s="7">
        <v>12.32</v>
      </c>
      <c r="P16">
        <v>61.24</v>
      </c>
      <c r="Q16" s="7" t="s">
        <v>4</v>
      </c>
      <c r="R16" s="7">
        <v>5.0199999999999996</v>
      </c>
      <c r="S16" s="7" t="s">
        <v>4</v>
      </c>
      <c r="T16" s="7">
        <v>8.92</v>
      </c>
      <c r="U16" s="7" t="s">
        <v>4</v>
      </c>
      <c r="V16">
        <v>4.2699999999999996</v>
      </c>
      <c r="W16" s="7" t="s">
        <v>4</v>
      </c>
      <c r="X16" s="7">
        <v>643.36</v>
      </c>
      <c r="Y16" s="7">
        <v>28.26</v>
      </c>
      <c r="Z16" s="7" t="s">
        <v>4</v>
      </c>
      <c r="AA16" s="7" t="s">
        <v>4</v>
      </c>
      <c r="AB16" s="7">
        <v>26.64</v>
      </c>
      <c r="AC16" t="s">
        <v>4</v>
      </c>
      <c r="AD16" s="7" t="s">
        <v>4</v>
      </c>
      <c r="AE16" s="7" t="s">
        <v>4</v>
      </c>
      <c r="AF16">
        <v>92.19</v>
      </c>
      <c r="AG16" s="7">
        <v>14.66</v>
      </c>
      <c r="AH16" s="7" t="s">
        <v>4</v>
      </c>
      <c r="AI16" s="7" t="s">
        <v>4</v>
      </c>
      <c r="AJ16">
        <v>76.72</v>
      </c>
      <c r="AK16" s="7" t="s">
        <v>4</v>
      </c>
      <c r="AL16" s="7" t="s">
        <v>4</v>
      </c>
      <c r="AM16" s="7" t="s">
        <v>4</v>
      </c>
      <c r="AN16" s="7">
        <v>20.28</v>
      </c>
      <c r="AO16" s="7" t="s">
        <v>4</v>
      </c>
      <c r="AP16" s="7" t="s">
        <v>4</v>
      </c>
      <c r="AQ16" s="7" t="s">
        <v>4</v>
      </c>
      <c r="AR16" s="7" t="s">
        <v>4</v>
      </c>
      <c r="AS16">
        <v>14.09</v>
      </c>
      <c r="AT16" s="7">
        <v>19.61</v>
      </c>
      <c r="AU16" s="7" t="s">
        <v>4</v>
      </c>
      <c r="AV16" s="7" t="s">
        <v>4</v>
      </c>
      <c r="AW16" s="7" t="s">
        <v>4</v>
      </c>
      <c r="AX16" s="7" t="s">
        <v>4</v>
      </c>
      <c r="AY16" s="7" t="s">
        <v>4</v>
      </c>
      <c r="AZ16" s="7" t="s">
        <v>4</v>
      </c>
      <c r="BA16" s="7" t="s">
        <v>4</v>
      </c>
      <c r="BB16" s="7" t="s">
        <v>4</v>
      </c>
      <c r="BC16">
        <v>10.53</v>
      </c>
      <c r="BD16" s="7" t="s">
        <v>4</v>
      </c>
      <c r="BE16" s="7" t="s">
        <v>4</v>
      </c>
      <c r="BF16" s="7" t="s">
        <v>4</v>
      </c>
      <c r="BG16" s="7" t="s">
        <v>4</v>
      </c>
      <c r="BH16" s="7" t="s">
        <v>4</v>
      </c>
    </row>
    <row r="17" spans="1:60">
      <c r="A17">
        <v>181</v>
      </c>
      <c r="B17" t="s">
        <v>34</v>
      </c>
      <c r="C17" t="s">
        <v>35</v>
      </c>
      <c r="D17" s="7" t="s">
        <v>4</v>
      </c>
      <c r="E17" s="7" t="s">
        <v>5</v>
      </c>
      <c r="F17" s="7" t="s">
        <v>5</v>
      </c>
      <c r="G17" s="7">
        <v>5.76</v>
      </c>
      <c r="H17" s="7">
        <v>3.7</v>
      </c>
      <c r="I17" s="7">
        <v>23.48</v>
      </c>
      <c r="J17" s="7" t="s">
        <v>4</v>
      </c>
      <c r="K17" s="7">
        <v>316</v>
      </c>
      <c r="L17" s="7" t="s">
        <v>4</v>
      </c>
      <c r="M17" s="7">
        <v>64.180000000000007</v>
      </c>
      <c r="N17" s="7" t="s">
        <v>4</v>
      </c>
      <c r="O17" s="7">
        <v>245.32</v>
      </c>
      <c r="P17">
        <v>124.87</v>
      </c>
      <c r="Q17" s="7" t="s">
        <v>4</v>
      </c>
      <c r="R17" s="7">
        <v>55.86</v>
      </c>
      <c r="S17" s="7" t="s">
        <v>4</v>
      </c>
      <c r="T17" s="7">
        <v>15.2</v>
      </c>
      <c r="U17" s="7" t="s">
        <v>4</v>
      </c>
      <c r="V17">
        <v>20.12</v>
      </c>
      <c r="W17" s="7">
        <v>53.99</v>
      </c>
      <c r="X17" s="7" t="s">
        <v>5</v>
      </c>
      <c r="Y17" s="7">
        <v>664.97</v>
      </c>
      <c r="Z17" s="7" t="s">
        <v>4</v>
      </c>
      <c r="AA17" s="7">
        <v>8.6300000000000008</v>
      </c>
      <c r="AB17" s="7" t="s">
        <v>5</v>
      </c>
      <c r="AC17">
        <v>29.24</v>
      </c>
      <c r="AD17" s="7">
        <v>1.1100000000000001</v>
      </c>
      <c r="AE17" s="7" t="s">
        <v>4</v>
      </c>
      <c r="AF17">
        <v>254.62</v>
      </c>
      <c r="AG17" s="7">
        <v>241.31</v>
      </c>
      <c r="AH17" s="7">
        <v>7.88</v>
      </c>
      <c r="AI17" s="7" t="s">
        <v>4</v>
      </c>
      <c r="AJ17">
        <v>182.41</v>
      </c>
      <c r="AK17" s="7" t="s">
        <v>4</v>
      </c>
      <c r="AL17" s="7" t="s">
        <v>4</v>
      </c>
      <c r="AM17" s="7" t="s">
        <v>4</v>
      </c>
      <c r="AN17" s="7">
        <v>40.270000000000003</v>
      </c>
      <c r="AO17" s="7">
        <v>59.84</v>
      </c>
      <c r="AP17" s="7" t="s">
        <v>4</v>
      </c>
      <c r="AQ17" s="7" t="s">
        <v>4</v>
      </c>
      <c r="AR17" s="7" t="s">
        <v>4</v>
      </c>
      <c r="AS17">
        <v>30.69</v>
      </c>
      <c r="AT17" s="7">
        <v>12.87</v>
      </c>
      <c r="AU17" s="7" t="s">
        <v>4</v>
      </c>
      <c r="AV17" s="7" t="s">
        <v>4</v>
      </c>
      <c r="AW17" s="7" t="s">
        <v>4</v>
      </c>
      <c r="AX17" s="7" t="s">
        <v>4</v>
      </c>
      <c r="AY17" s="7" t="s">
        <v>4</v>
      </c>
      <c r="AZ17" s="7" t="s">
        <v>4</v>
      </c>
      <c r="BA17" s="7" t="s">
        <v>4</v>
      </c>
      <c r="BB17" s="7" t="s">
        <v>4</v>
      </c>
      <c r="BC17">
        <v>13.5</v>
      </c>
      <c r="BD17" s="7" t="s">
        <v>4</v>
      </c>
      <c r="BE17" s="7" t="s">
        <v>4</v>
      </c>
      <c r="BF17" s="7" t="s">
        <v>4</v>
      </c>
      <c r="BG17" s="7">
        <v>4.4800000000000004</v>
      </c>
      <c r="BH17" s="7" t="s">
        <v>4</v>
      </c>
    </row>
    <row r="18" spans="1:60">
      <c r="A18">
        <v>46</v>
      </c>
      <c r="B18" t="s">
        <v>36</v>
      </c>
      <c r="C18" t="s">
        <v>37</v>
      </c>
      <c r="D18" s="7">
        <v>8.27</v>
      </c>
      <c r="E18" s="7">
        <v>12.26</v>
      </c>
      <c r="F18" s="7" t="s">
        <v>5</v>
      </c>
      <c r="G18" s="7" t="s">
        <v>5</v>
      </c>
      <c r="H18" s="7" t="s">
        <v>4</v>
      </c>
      <c r="I18" s="7" t="s">
        <v>4</v>
      </c>
      <c r="J18" s="7" t="s">
        <v>4</v>
      </c>
      <c r="K18" s="7">
        <v>7.09</v>
      </c>
      <c r="L18" s="7" t="s">
        <v>4</v>
      </c>
      <c r="M18" s="7" t="s">
        <v>4</v>
      </c>
      <c r="N18" s="7" t="s">
        <v>4</v>
      </c>
      <c r="O18" s="7" t="s">
        <v>4</v>
      </c>
      <c r="P18">
        <v>24.69</v>
      </c>
      <c r="Q18" s="7" t="s">
        <v>4</v>
      </c>
      <c r="R18" s="7" t="s">
        <v>4</v>
      </c>
      <c r="S18" s="7" t="s">
        <v>4</v>
      </c>
      <c r="T18" s="7" t="s">
        <v>4</v>
      </c>
      <c r="U18" s="7" t="s">
        <v>4</v>
      </c>
      <c r="V18" t="s">
        <v>4</v>
      </c>
      <c r="W18" s="7" t="s">
        <v>4</v>
      </c>
      <c r="X18" s="7" t="s">
        <v>4</v>
      </c>
      <c r="Y18" s="7">
        <v>6.78</v>
      </c>
      <c r="Z18" s="7" t="s">
        <v>4</v>
      </c>
      <c r="AA18" s="7" t="s">
        <v>4</v>
      </c>
      <c r="AB18" s="7">
        <v>8.85</v>
      </c>
      <c r="AC18" t="s">
        <v>4</v>
      </c>
      <c r="AD18" s="7" t="s">
        <v>4</v>
      </c>
      <c r="AE18" s="7" t="s">
        <v>4</v>
      </c>
      <c r="AF18">
        <v>4.63</v>
      </c>
      <c r="AG18" s="7" t="s">
        <v>4</v>
      </c>
      <c r="AH18" s="7" t="s">
        <v>4</v>
      </c>
      <c r="AI18" s="7" t="s">
        <v>4</v>
      </c>
      <c r="AJ18">
        <v>4.99</v>
      </c>
      <c r="AK18" s="7" t="s">
        <v>4</v>
      </c>
      <c r="AL18" s="7" t="s">
        <v>4</v>
      </c>
      <c r="AM18" s="7" t="s">
        <v>4</v>
      </c>
      <c r="AN18" s="7" t="s">
        <v>4</v>
      </c>
      <c r="AO18" s="7" t="s">
        <v>4</v>
      </c>
      <c r="AP18" s="7" t="s">
        <v>4</v>
      </c>
      <c r="AQ18" s="7" t="s">
        <v>4</v>
      </c>
      <c r="AR18" s="7" t="s">
        <v>4</v>
      </c>
      <c r="AS18" t="s">
        <v>4</v>
      </c>
      <c r="AT18" s="7">
        <v>5.42</v>
      </c>
      <c r="AU18" s="7" t="s">
        <v>4</v>
      </c>
      <c r="AV18" s="7" t="s">
        <v>4</v>
      </c>
      <c r="AW18" s="7" t="s">
        <v>4</v>
      </c>
      <c r="AX18" s="7" t="s">
        <v>4</v>
      </c>
      <c r="AY18" s="7" t="s">
        <v>4</v>
      </c>
      <c r="AZ18" s="7" t="s">
        <v>4</v>
      </c>
      <c r="BA18" s="7" t="s">
        <v>4</v>
      </c>
      <c r="BB18" s="7" t="s">
        <v>4</v>
      </c>
      <c r="BC18">
        <v>5.64</v>
      </c>
      <c r="BD18" s="7" t="s">
        <v>4</v>
      </c>
      <c r="BE18" s="7" t="s">
        <v>4</v>
      </c>
      <c r="BF18" s="7" t="s">
        <v>4</v>
      </c>
      <c r="BG18" s="7" t="s">
        <v>4</v>
      </c>
      <c r="BH18" s="7" t="s">
        <v>4</v>
      </c>
    </row>
    <row r="19" spans="1:60">
      <c r="A19">
        <v>184</v>
      </c>
      <c r="B19" t="s">
        <v>38</v>
      </c>
      <c r="C19" t="s">
        <v>39</v>
      </c>
      <c r="D19" s="7" t="s">
        <v>4</v>
      </c>
      <c r="E19" s="7" t="s">
        <v>5</v>
      </c>
      <c r="F19" s="7" t="s">
        <v>5</v>
      </c>
      <c r="G19" s="7">
        <v>26.77</v>
      </c>
      <c r="H19" s="7">
        <v>4.5199999999999996</v>
      </c>
      <c r="I19" s="7">
        <v>17.350000000000001</v>
      </c>
      <c r="J19" s="7" t="s">
        <v>4</v>
      </c>
      <c r="K19" s="7" t="s">
        <v>5</v>
      </c>
      <c r="L19" s="7" t="s">
        <v>4</v>
      </c>
      <c r="M19" s="7">
        <v>300.27999999999997</v>
      </c>
      <c r="N19" s="7" t="s">
        <v>4</v>
      </c>
      <c r="O19" s="7" t="s">
        <v>5</v>
      </c>
      <c r="P19">
        <v>58.07</v>
      </c>
      <c r="Q19" s="7" t="s">
        <v>4</v>
      </c>
      <c r="R19" s="7">
        <v>42.56</v>
      </c>
      <c r="S19" s="7">
        <v>2.73</v>
      </c>
      <c r="T19" s="7">
        <v>131.56</v>
      </c>
      <c r="U19" s="7" t="s">
        <v>4</v>
      </c>
      <c r="V19">
        <v>14.81</v>
      </c>
      <c r="W19" s="7">
        <v>77.47</v>
      </c>
      <c r="X19" s="7" t="s">
        <v>5</v>
      </c>
      <c r="Y19" s="7">
        <v>292.06</v>
      </c>
      <c r="Z19" s="7" t="s">
        <v>4</v>
      </c>
      <c r="AA19" s="7">
        <v>5.86</v>
      </c>
      <c r="AB19" s="7" t="s">
        <v>5</v>
      </c>
      <c r="AC19">
        <v>14.82</v>
      </c>
      <c r="AD19" s="7" t="s">
        <v>4</v>
      </c>
      <c r="AE19" s="7" t="s">
        <v>4</v>
      </c>
      <c r="AF19">
        <v>231.43</v>
      </c>
      <c r="AG19" s="7">
        <v>317.35000000000002</v>
      </c>
      <c r="AH19" s="7">
        <v>4.51</v>
      </c>
      <c r="AI19" s="7" t="s">
        <v>4</v>
      </c>
      <c r="AJ19">
        <v>204.76</v>
      </c>
      <c r="AK19" s="7" t="s">
        <v>4</v>
      </c>
      <c r="AL19" s="7" t="s">
        <v>4</v>
      </c>
      <c r="AM19" s="7" t="s">
        <v>4</v>
      </c>
      <c r="AN19" s="7">
        <v>120.18</v>
      </c>
      <c r="AO19" s="7">
        <v>146.54</v>
      </c>
      <c r="AP19" s="7" t="s">
        <v>4</v>
      </c>
      <c r="AQ19" s="7" t="s">
        <v>4</v>
      </c>
      <c r="AR19" s="7" t="s">
        <v>4</v>
      </c>
      <c r="AS19">
        <v>36.54</v>
      </c>
      <c r="AT19" s="7">
        <v>476.23</v>
      </c>
      <c r="AU19" s="7" t="s">
        <v>4</v>
      </c>
      <c r="AV19" s="7" t="s">
        <v>4</v>
      </c>
      <c r="AW19" s="7">
        <v>263.77</v>
      </c>
      <c r="AX19" s="7">
        <v>22.12</v>
      </c>
      <c r="AY19" s="7">
        <v>93.82</v>
      </c>
      <c r="AZ19" s="7">
        <v>6.32</v>
      </c>
      <c r="BA19" s="7" t="s">
        <v>4</v>
      </c>
      <c r="BB19" s="7" t="s">
        <v>4</v>
      </c>
      <c r="BC19">
        <v>294.86</v>
      </c>
      <c r="BD19" s="7">
        <v>5.64</v>
      </c>
      <c r="BE19" s="7" t="s">
        <v>4</v>
      </c>
      <c r="BF19" s="7" t="s">
        <v>4</v>
      </c>
      <c r="BG19" s="7">
        <v>18.68</v>
      </c>
      <c r="BH19" s="7" t="s">
        <v>4</v>
      </c>
    </row>
    <row r="20" spans="1:60">
      <c r="A20">
        <v>43</v>
      </c>
      <c r="B20" t="s">
        <v>40</v>
      </c>
      <c r="C20" t="s">
        <v>41</v>
      </c>
      <c r="D20" s="7">
        <v>10.27</v>
      </c>
      <c r="E20" s="7" t="s">
        <v>5</v>
      </c>
      <c r="F20" s="7" t="s">
        <v>5</v>
      </c>
      <c r="G20" s="7" t="s">
        <v>5</v>
      </c>
      <c r="H20" s="7">
        <v>12.33</v>
      </c>
      <c r="I20" s="7">
        <v>14.58</v>
      </c>
      <c r="J20" s="7" t="s">
        <v>4</v>
      </c>
      <c r="K20" s="7" t="s">
        <v>5</v>
      </c>
      <c r="L20" s="7" t="s">
        <v>4</v>
      </c>
      <c r="M20" s="7">
        <v>7.66</v>
      </c>
      <c r="N20" s="7">
        <v>8.4</v>
      </c>
      <c r="O20" s="7">
        <v>2.79</v>
      </c>
      <c r="P20">
        <v>56.28</v>
      </c>
      <c r="Q20" s="7" t="s">
        <v>4</v>
      </c>
      <c r="R20" s="7" t="s">
        <v>4</v>
      </c>
      <c r="S20" s="7" t="s">
        <v>4</v>
      </c>
      <c r="T20" s="7" t="s">
        <v>4</v>
      </c>
      <c r="U20" s="7" t="s">
        <v>4</v>
      </c>
      <c r="V20">
        <v>15.35</v>
      </c>
      <c r="W20" s="7" t="s">
        <v>4</v>
      </c>
      <c r="X20" s="7">
        <v>295.24</v>
      </c>
      <c r="Y20" s="7">
        <v>274.89999999999998</v>
      </c>
      <c r="Z20" s="7" t="s">
        <v>4</v>
      </c>
      <c r="AA20" s="7">
        <v>3.96</v>
      </c>
      <c r="AB20" s="7">
        <v>167.92</v>
      </c>
      <c r="AC20">
        <v>20.88</v>
      </c>
      <c r="AD20" s="7" t="s">
        <v>4</v>
      </c>
      <c r="AE20" s="7" t="s">
        <v>4</v>
      </c>
      <c r="AF20">
        <v>50.43</v>
      </c>
      <c r="AG20" s="7">
        <v>49.65</v>
      </c>
      <c r="AH20" s="7">
        <v>2.72</v>
      </c>
      <c r="AI20" s="7" t="s">
        <v>4</v>
      </c>
      <c r="AJ20">
        <v>117.06</v>
      </c>
      <c r="AK20" s="7" t="s">
        <v>4</v>
      </c>
      <c r="AL20" s="7" t="s">
        <v>4</v>
      </c>
      <c r="AM20" s="7" t="s">
        <v>4</v>
      </c>
      <c r="AN20" s="7" t="s">
        <v>4</v>
      </c>
      <c r="AO20" s="7" t="s">
        <v>4</v>
      </c>
      <c r="AP20" s="7" t="s">
        <v>4</v>
      </c>
      <c r="AQ20" s="7" t="s">
        <v>4</v>
      </c>
      <c r="AR20" s="7" t="s">
        <v>4</v>
      </c>
      <c r="AS20">
        <v>7.81</v>
      </c>
      <c r="AT20" s="7">
        <v>3.87</v>
      </c>
      <c r="AU20" s="7" t="s">
        <v>4</v>
      </c>
      <c r="AV20" s="7" t="s">
        <v>4</v>
      </c>
      <c r="AW20" s="7" t="s">
        <v>4</v>
      </c>
      <c r="AX20" s="7" t="s">
        <v>4</v>
      </c>
      <c r="AY20" s="7" t="s">
        <v>4</v>
      </c>
      <c r="AZ20" s="7" t="s">
        <v>4</v>
      </c>
      <c r="BA20" s="7" t="s">
        <v>4</v>
      </c>
      <c r="BB20" s="7" t="s">
        <v>4</v>
      </c>
      <c r="BC20">
        <v>10.56</v>
      </c>
      <c r="BD20" s="7" t="s">
        <v>4</v>
      </c>
      <c r="BE20" s="7" t="s">
        <v>4</v>
      </c>
      <c r="BF20" s="7" t="s">
        <v>4</v>
      </c>
      <c r="BG20" s="7">
        <v>1.57</v>
      </c>
      <c r="BH20" s="7" t="s">
        <v>4</v>
      </c>
    </row>
    <row r="21" spans="1:60">
      <c r="A21">
        <v>125</v>
      </c>
      <c r="B21" t="s">
        <v>42</v>
      </c>
      <c r="C21" t="s">
        <v>43</v>
      </c>
      <c r="D21" s="7" t="s">
        <v>4</v>
      </c>
      <c r="E21" s="7" t="s">
        <v>4</v>
      </c>
      <c r="F21" s="7" t="s">
        <v>5</v>
      </c>
      <c r="G21" s="7">
        <v>2.66</v>
      </c>
      <c r="H21" s="7" t="s">
        <v>4</v>
      </c>
      <c r="I21" s="7" t="s">
        <v>4</v>
      </c>
      <c r="J21" s="7" t="s">
        <v>4</v>
      </c>
      <c r="K21" s="7">
        <v>14.21</v>
      </c>
      <c r="L21" s="7" t="s">
        <v>4</v>
      </c>
      <c r="M21" s="7" t="s">
        <v>4</v>
      </c>
      <c r="N21" s="7" t="s">
        <v>4</v>
      </c>
      <c r="O21" s="7" t="s">
        <v>4</v>
      </c>
      <c r="P21">
        <v>21.17</v>
      </c>
      <c r="Q21" s="7" t="s">
        <v>4</v>
      </c>
      <c r="R21" s="7" t="s">
        <v>4</v>
      </c>
      <c r="S21" s="7" t="s">
        <v>4</v>
      </c>
      <c r="T21" s="7" t="s">
        <v>4</v>
      </c>
      <c r="U21" s="7" t="s">
        <v>4</v>
      </c>
      <c r="V21" t="s">
        <v>4</v>
      </c>
      <c r="W21" s="7" t="s">
        <v>4</v>
      </c>
      <c r="X21" s="7" t="s">
        <v>4</v>
      </c>
      <c r="Y21" s="7">
        <v>4.51</v>
      </c>
      <c r="Z21" s="7" t="s">
        <v>4</v>
      </c>
      <c r="AA21" s="7" t="s">
        <v>4</v>
      </c>
      <c r="AB21" s="7">
        <v>8.42</v>
      </c>
      <c r="AC21" t="s">
        <v>4</v>
      </c>
      <c r="AD21" s="7" t="s">
        <v>4</v>
      </c>
      <c r="AE21" s="7" t="s">
        <v>4</v>
      </c>
      <c r="AF21">
        <v>8.84</v>
      </c>
      <c r="AG21" s="7">
        <v>5.7</v>
      </c>
      <c r="AH21" s="7" t="s">
        <v>4</v>
      </c>
      <c r="AI21" s="7" t="s">
        <v>4</v>
      </c>
      <c r="AJ21" t="s">
        <v>4</v>
      </c>
      <c r="AK21" s="7" t="s">
        <v>4</v>
      </c>
      <c r="AL21" s="7" t="s">
        <v>4</v>
      </c>
      <c r="AM21" s="7" t="s">
        <v>4</v>
      </c>
      <c r="AN21" s="7" t="s">
        <v>4</v>
      </c>
      <c r="AO21" s="7" t="s">
        <v>4</v>
      </c>
      <c r="AP21" s="7" t="s">
        <v>4</v>
      </c>
      <c r="AQ21" s="7" t="s">
        <v>4</v>
      </c>
      <c r="AR21" s="7" t="s">
        <v>4</v>
      </c>
      <c r="AS21" t="s">
        <v>4</v>
      </c>
      <c r="AT21" s="7">
        <v>47.71</v>
      </c>
      <c r="AU21" s="7" t="s">
        <v>4</v>
      </c>
      <c r="AV21" s="7" t="s">
        <v>4</v>
      </c>
      <c r="AW21" s="7">
        <v>248.18</v>
      </c>
      <c r="AX21" s="7">
        <v>16.989999999999998</v>
      </c>
      <c r="AY21" s="7">
        <v>16.059999999999999</v>
      </c>
      <c r="AZ21" s="7" t="s">
        <v>4</v>
      </c>
      <c r="BA21" s="7" t="s">
        <v>4</v>
      </c>
      <c r="BB21" s="7" t="s">
        <v>4</v>
      </c>
      <c r="BC21">
        <v>3.78</v>
      </c>
      <c r="BD21" s="7" t="s">
        <v>4</v>
      </c>
      <c r="BE21" s="7" t="s">
        <v>4</v>
      </c>
      <c r="BF21" s="7" t="s">
        <v>4</v>
      </c>
      <c r="BG21" s="7" t="s">
        <v>4</v>
      </c>
      <c r="BH21" s="7" t="s">
        <v>4</v>
      </c>
    </row>
    <row r="22" spans="1:60">
      <c r="A22">
        <v>53</v>
      </c>
      <c r="B22" t="s">
        <v>44</v>
      </c>
      <c r="C22" t="s">
        <v>45</v>
      </c>
      <c r="D22" s="7" t="s">
        <v>4</v>
      </c>
      <c r="E22" s="7">
        <v>3.45</v>
      </c>
      <c r="F22" s="7" t="s">
        <v>5</v>
      </c>
      <c r="G22" s="7" t="s">
        <v>5</v>
      </c>
      <c r="H22" s="7">
        <v>8.1199999999999992</v>
      </c>
      <c r="I22" s="7">
        <v>20.02</v>
      </c>
      <c r="J22" s="7" t="s">
        <v>4</v>
      </c>
      <c r="K22" s="7" t="s">
        <v>5</v>
      </c>
      <c r="L22" s="7">
        <v>4.53</v>
      </c>
      <c r="M22" s="7">
        <v>2.94</v>
      </c>
      <c r="N22" s="7">
        <v>12.68</v>
      </c>
      <c r="O22" s="7">
        <v>63.4</v>
      </c>
      <c r="P22">
        <v>41.07</v>
      </c>
      <c r="Q22" s="7" t="s">
        <v>4</v>
      </c>
      <c r="R22" s="7">
        <v>44.64</v>
      </c>
      <c r="S22" s="7" t="s">
        <v>4</v>
      </c>
      <c r="T22" s="7">
        <v>4.3899999999999997</v>
      </c>
      <c r="U22" s="7" t="s">
        <v>4</v>
      </c>
      <c r="V22">
        <v>23.19</v>
      </c>
      <c r="W22" s="7" t="s">
        <v>4</v>
      </c>
      <c r="X22" s="7">
        <v>915.27</v>
      </c>
      <c r="Y22" s="7">
        <v>498.31</v>
      </c>
      <c r="Z22" s="7" t="s">
        <v>4</v>
      </c>
      <c r="AA22" s="7">
        <v>4.8499999999999996</v>
      </c>
      <c r="AB22" s="7">
        <v>131.77000000000001</v>
      </c>
      <c r="AC22">
        <v>17.39</v>
      </c>
      <c r="AD22" s="7" t="s">
        <v>4</v>
      </c>
      <c r="AE22" s="7" t="s">
        <v>4</v>
      </c>
      <c r="AF22">
        <v>103.89</v>
      </c>
      <c r="AG22" s="7">
        <v>79.72</v>
      </c>
      <c r="AH22" s="7">
        <v>11.5</v>
      </c>
      <c r="AI22" s="7" t="s">
        <v>4</v>
      </c>
      <c r="AJ22">
        <v>145.83000000000001</v>
      </c>
      <c r="AK22" s="7" t="s">
        <v>4</v>
      </c>
      <c r="AL22" s="7" t="s">
        <v>4</v>
      </c>
      <c r="AM22" s="7" t="s">
        <v>4</v>
      </c>
      <c r="AN22" s="7">
        <v>24.76</v>
      </c>
      <c r="AO22" s="7">
        <v>10.83</v>
      </c>
      <c r="AP22" s="7" t="s">
        <v>4</v>
      </c>
      <c r="AQ22" s="7" t="s">
        <v>4</v>
      </c>
      <c r="AR22" s="7" t="s">
        <v>4</v>
      </c>
      <c r="AS22">
        <v>18.59</v>
      </c>
      <c r="AT22" s="7">
        <v>12.77</v>
      </c>
      <c r="AU22" s="7" t="s">
        <v>4</v>
      </c>
      <c r="AV22" s="7" t="s">
        <v>4</v>
      </c>
      <c r="AW22" s="7" t="s">
        <v>4</v>
      </c>
      <c r="AX22" s="7" t="s">
        <v>4</v>
      </c>
      <c r="AY22" s="7" t="s">
        <v>4</v>
      </c>
      <c r="AZ22" s="7" t="s">
        <v>4</v>
      </c>
      <c r="BA22" s="7" t="s">
        <v>4</v>
      </c>
      <c r="BB22" s="7" t="s">
        <v>4</v>
      </c>
      <c r="BC22">
        <v>8.16</v>
      </c>
      <c r="BD22" s="7" t="s">
        <v>4</v>
      </c>
      <c r="BE22" s="7" t="s">
        <v>4</v>
      </c>
      <c r="BF22" s="7" t="s">
        <v>4</v>
      </c>
      <c r="BG22" s="7">
        <v>2.2599999999999998</v>
      </c>
      <c r="BH22" s="7" t="s">
        <v>4</v>
      </c>
    </row>
    <row r="23" spans="1:60">
      <c r="A23">
        <v>96</v>
      </c>
      <c r="B23" t="s">
        <v>46</v>
      </c>
      <c r="C23" t="s">
        <v>47</v>
      </c>
      <c r="D23" s="7" t="s">
        <v>4</v>
      </c>
      <c r="E23" s="7">
        <v>30.45</v>
      </c>
      <c r="F23" s="7" t="s">
        <v>5</v>
      </c>
      <c r="G23" s="7" t="s">
        <v>5</v>
      </c>
      <c r="H23" s="7">
        <v>22.58</v>
      </c>
      <c r="I23" s="7">
        <v>18.54</v>
      </c>
      <c r="J23" s="7" t="s">
        <v>4</v>
      </c>
      <c r="K23" s="7" t="s">
        <v>5</v>
      </c>
      <c r="L23" s="7">
        <v>27.95</v>
      </c>
      <c r="M23" s="7" t="s">
        <v>4</v>
      </c>
      <c r="N23" s="7">
        <v>8.98</v>
      </c>
      <c r="O23" s="7">
        <v>44.94</v>
      </c>
      <c r="P23">
        <v>64.2</v>
      </c>
      <c r="Q23" s="7" t="s">
        <v>4</v>
      </c>
      <c r="R23" s="7">
        <v>248.92</v>
      </c>
      <c r="S23" s="7" t="s">
        <v>4</v>
      </c>
      <c r="T23" s="7" t="s">
        <v>4</v>
      </c>
      <c r="U23" s="7" t="s">
        <v>4</v>
      </c>
      <c r="V23">
        <v>59.39</v>
      </c>
      <c r="W23" s="7" t="s">
        <v>4</v>
      </c>
      <c r="X23" s="7">
        <v>367.29</v>
      </c>
      <c r="Y23" s="7" t="s">
        <v>5</v>
      </c>
      <c r="Z23" s="7" t="s">
        <v>4</v>
      </c>
      <c r="AA23" s="7">
        <v>24.28</v>
      </c>
      <c r="AB23" s="7">
        <v>32.299999999999997</v>
      </c>
      <c r="AC23">
        <v>26.69</v>
      </c>
      <c r="AD23" s="7" t="s">
        <v>4</v>
      </c>
      <c r="AE23" s="7" t="s">
        <v>4</v>
      </c>
      <c r="AF23">
        <v>143.29</v>
      </c>
      <c r="AG23" s="7">
        <v>288.83999999999997</v>
      </c>
      <c r="AH23" s="7">
        <v>9.99</v>
      </c>
      <c r="AI23" s="7" t="s">
        <v>4</v>
      </c>
      <c r="AJ23">
        <v>141.58000000000001</v>
      </c>
      <c r="AK23" s="7" t="s">
        <v>4</v>
      </c>
      <c r="AL23" s="7" t="s">
        <v>4</v>
      </c>
      <c r="AM23" s="7" t="s">
        <v>4</v>
      </c>
      <c r="AN23" s="7">
        <v>22.22</v>
      </c>
      <c r="AO23" s="7">
        <v>19.690000000000001</v>
      </c>
      <c r="AP23" s="7" t="s">
        <v>4</v>
      </c>
      <c r="AQ23" s="7" t="s">
        <v>4</v>
      </c>
      <c r="AR23" s="7" t="s">
        <v>4</v>
      </c>
      <c r="AS23">
        <v>21.88</v>
      </c>
      <c r="AT23" s="7">
        <v>108.44</v>
      </c>
      <c r="AU23" s="7" t="s">
        <v>4</v>
      </c>
      <c r="AV23" s="7" t="s">
        <v>4</v>
      </c>
      <c r="AW23" s="7" t="s">
        <v>4</v>
      </c>
      <c r="AX23" s="7" t="s">
        <v>4</v>
      </c>
      <c r="AY23" s="7" t="s">
        <v>4</v>
      </c>
      <c r="AZ23" s="7" t="s">
        <v>4</v>
      </c>
      <c r="BA23" s="7" t="s">
        <v>4</v>
      </c>
      <c r="BB23" s="7" t="s">
        <v>4</v>
      </c>
      <c r="BC23">
        <v>43.64</v>
      </c>
      <c r="BD23" s="7" t="s">
        <v>4</v>
      </c>
      <c r="BE23" s="7" t="s">
        <v>4</v>
      </c>
      <c r="BF23" s="7" t="s">
        <v>4</v>
      </c>
      <c r="BG23" s="7">
        <v>1.73</v>
      </c>
      <c r="BH23" s="7" t="s">
        <v>4</v>
      </c>
    </row>
    <row r="24" spans="1:60">
      <c r="A24">
        <v>107</v>
      </c>
      <c r="B24" t="s">
        <v>48</v>
      </c>
      <c r="C24" t="s">
        <v>49</v>
      </c>
      <c r="D24" s="7" t="s">
        <v>4</v>
      </c>
      <c r="E24" s="7" t="s">
        <v>5</v>
      </c>
      <c r="F24" s="7">
        <v>5.34</v>
      </c>
      <c r="G24" s="7" t="s">
        <v>4</v>
      </c>
      <c r="H24" s="7" t="s">
        <v>4</v>
      </c>
      <c r="I24" s="7">
        <v>2.39</v>
      </c>
      <c r="J24" s="7" t="s">
        <v>4</v>
      </c>
      <c r="K24" s="7">
        <v>63</v>
      </c>
      <c r="L24" s="7" t="s">
        <v>4</v>
      </c>
      <c r="M24" s="7" t="s">
        <v>5</v>
      </c>
      <c r="N24" s="7" t="s">
        <v>4</v>
      </c>
      <c r="O24" s="7" t="s">
        <v>5</v>
      </c>
      <c r="P24" t="s">
        <v>5</v>
      </c>
      <c r="Q24" s="7" t="s">
        <v>4</v>
      </c>
      <c r="R24" s="7" t="s">
        <v>4</v>
      </c>
      <c r="S24" s="7">
        <v>8.07</v>
      </c>
      <c r="T24" s="7">
        <v>167.41</v>
      </c>
      <c r="U24" s="7" t="s">
        <v>4</v>
      </c>
      <c r="V24">
        <v>17.690000000000001</v>
      </c>
      <c r="W24" s="7" t="s">
        <v>5</v>
      </c>
      <c r="X24" s="7" t="s">
        <v>5</v>
      </c>
      <c r="Y24" s="7" t="s">
        <v>5</v>
      </c>
      <c r="Z24" s="7">
        <v>1.44</v>
      </c>
      <c r="AA24" s="7">
        <v>39.64</v>
      </c>
      <c r="AB24" s="7" t="s">
        <v>5</v>
      </c>
      <c r="AC24">
        <v>134.54</v>
      </c>
      <c r="AD24" s="7" t="s">
        <v>4</v>
      </c>
      <c r="AE24" s="7" t="s">
        <v>4</v>
      </c>
      <c r="AF24">
        <v>95.86</v>
      </c>
      <c r="AG24" s="7" t="s">
        <v>4</v>
      </c>
      <c r="AH24" s="7">
        <v>16.7</v>
      </c>
      <c r="AI24" s="7" t="s">
        <v>4</v>
      </c>
      <c r="AJ24">
        <v>96.61</v>
      </c>
      <c r="AK24" s="7" t="s">
        <v>4</v>
      </c>
      <c r="AL24" s="7">
        <v>9.84</v>
      </c>
      <c r="AM24" s="7" t="s">
        <v>4</v>
      </c>
      <c r="AN24" s="7">
        <v>29.79</v>
      </c>
      <c r="AO24" s="7" t="s">
        <v>4</v>
      </c>
      <c r="AP24" s="7" t="s">
        <v>4</v>
      </c>
      <c r="AQ24" s="7" t="s">
        <v>4</v>
      </c>
      <c r="AR24" s="7">
        <v>2.69</v>
      </c>
      <c r="AS24">
        <v>40.619999999999997</v>
      </c>
      <c r="AT24" s="7">
        <v>125.43</v>
      </c>
      <c r="AU24" s="7" t="s">
        <v>4</v>
      </c>
      <c r="AV24" s="7">
        <v>161.08000000000001</v>
      </c>
      <c r="AW24" s="7">
        <v>441.36</v>
      </c>
      <c r="AX24" s="7" t="s">
        <v>5</v>
      </c>
      <c r="AY24" s="7">
        <v>696.04</v>
      </c>
      <c r="AZ24" s="7" t="s">
        <v>4</v>
      </c>
      <c r="BA24" s="7" t="s">
        <v>4</v>
      </c>
      <c r="BB24" s="7" t="s">
        <v>4</v>
      </c>
      <c r="BC24" t="s">
        <v>4</v>
      </c>
      <c r="BD24" s="7" t="s">
        <v>4</v>
      </c>
      <c r="BE24" s="7" t="s">
        <v>4</v>
      </c>
      <c r="BF24" s="7" t="s">
        <v>4</v>
      </c>
      <c r="BG24" s="7" t="s">
        <v>4</v>
      </c>
      <c r="BH24" s="7" t="s">
        <v>4</v>
      </c>
    </row>
    <row r="25" spans="1:60">
      <c r="A25">
        <v>88</v>
      </c>
      <c r="B25" t="s">
        <v>50</v>
      </c>
      <c r="C25" t="s">
        <v>51</v>
      </c>
      <c r="D25" s="7">
        <v>17.149999999999999</v>
      </c>
      <c r="E25" s="7">
        <v>29.12</v>
      </c>
      <c r="F25" s="7" t="s">
        <v>5</v>
      </c>
      <c r="G25" s="7" t="s">
        <v>5</v>
      </c>
      <c r="H25" s="7">
        <v>11.92</v>
      </c>
      <c r="I25" s="7">
        <v>8.65</v>
      </c>
      <c r="J25" s="7" t="s">
        <v>4</v>
      </c>
      <c r="K25" s="7" t="s">
        <v>5</v>
      </c>
      <c r="L25" s="7" t="s">
        <v>4</v>
      </c>
      <c r="M25" s="7">
        <v>12.97</v>
      </c>
      <c r="N25" s="7" t="s">
        <v>4</v>
      </c>
      <c r="O25" s="7">
        <v>166.26</v>
      </c>
      <c r="P25">
        <v>82.8</v>
      </c>
      <c r="Q25" s="7" t="s">
        <v>4</v>
      </c>
      <c r="R25" s="7">
        <v>283.29000000000002</v>
      </c>
      <c r="S25" s="7" t="s">
        <v>4</v>
      </c>
      <c r="T25" s="7">
        <v>2.25</v>
      </c>
      <c r="U25" s="7" t="s">
        <v>4</v>
      </c>
      <c r="V25">
        <v>39.46</v>
      </c>
      <c r="W25" s="7">
        <v>2.62</v>
      </c>
      <c r="X25" s="7">
        <v>1551.66</v>
      </c>
      <c r="Y25" s="7">
        <v>366.48</v>
      </c>
      <c r="Z25" s="7">
        <v>2.4300000000000002</v>
      </c>
      <c r="AA25" s="7">
        <v>28.42</v>
      </c>
      <c r="AB25" s="7">
        <v>451.44</v>
      </c>
      <c r="AC25">
        <v>72.86</v>
      </c>
      <c r="AD25" s="7">
        <v>1.21</v>
      </c>
      <c r="AE25" s="7" t="s">
        <v>4</v>
      </c>
      <c r="AF25">
        <v>334.32</v>
      </c>
      <c r="AG25" s="7">
        <v>821.84</v>
      </c>
      <c r="AH25" s="7">
        <v>40.67</v>
      </c>
      <c r="AI25" s="7" t="s">
        <v>4</v>
      </c>
      <c r="AJ25">
        <v>657.43</v>
      </c>
      <c r="AK25" s="7" t="s">
        <v>4</v>
      </c>
      <c r="AL25" s="7">
        <v>8.0399999999999991</v>
      </c>
      <c r="AM25" s="7" t="s">
        <v>4</v>
      </c>
      <c r="AN25" s="7">
        <v>74.8</v>
      </c>
      <c r="AO25" s="7">
        <v>136.12</v>
      </c>
      <c r="AP25" s="7" t="s">
        <v>4</v>
      </c>
      <c r="AQ25" s="7" t="s">
        <v>4</v>
      </c>
      <c r="AR25" s="7" t="s">
        <v>4</v>
      </c>
      <c r="AS25">
        <v>127.49</v>
      </c>
      <c r="AT25" s="7">
        <v>345.69</v>
      </c>
      <c r="AU25" s="7" t="s">
        <v>4</v>
      </c>
      <c r="AV25" s="7" t="s">
        <v>4</v>
      </c>
      <c r="AW25" s="7">
        <v>91.63</v>
      </c>
      <c r="AX25" s="7" t="s">
        <v>4</v>
      </c>
      <c r="AY25" s="7" t="s">
        <v>4</v>
      </c>
      <c r="AZ25" s="7" t="s">
        <v>4</v>
      </c>
      <c r="BA25" s="7" t="s">
        <v>4</v>
      </c>
      <c r="BB25" s="7" t="s">
        <v>4</v>
      </c>
      <c r="BC25">
        <v>81.03</v>
      </c>
      <c r="BD25" s="7">
        <v>2.66</v>
      </c>
      <c r="BE25" s="7" t="s">
        <v>4</v>
      </c>
      <c r="BF25" s="7" t="s">
        <v>4</v>
      </c>
      <c r="BG25" s="7">
        <v>12.43</v>
      </c>
      <c r="BH25" s="7" t="s">
        <v>4</v>
      </c>
    </row>
    <row r="26" spans="1:60">
      <c r="A26">
        <v>7</v>
      </c>
      <c r="B26" t="s">
        <v>52</v>
      </c>
      <c r="C26" t="s">
        <v>53</v>
      </c>
      <c r="D26" s="7" t="s">
        <v>4</v>
      </c>
      <c r="E26" s="7">
        <v>5.66</v>
      </c>
      <c r="F26" s="7" t="s">
        <v>5</v>
      </c>
      <c r="G26" s="7" t="s">
        <v>5</v>
      </c>
      <c r="H26" s="7">
        <v>23.95</v>
      </c>
      <c r="I26" s="7">
        <v>10.5</v>
      </c>
      <c r="J26" s="7" t="s">
        <v>4</v>
      </c>
      <c r="K26" s="7" t="s">
        <v>5</v>
      </c>
      <c r="L26" s="7" t="s">
        <v>4</v>
      </c>
      <c r="M26" s="7">
        <v>6.68</v>
      </c>
      <c r="N26" s="7">
        <v>10.42</v>
      </c>
      <c r="O26" s="7">
        <v>36.700000000000003</v>
      </c>
      <c r="P26">
        <v>50.59</v>
      </c>
      <c r="Q26" s="7" t="s">
        <v>4</v>
      </c>
      <c r="R26" s="7">
        <v>56.19</v>
      </c>
      <c r="S26" s="7" t="s">
        <v>4</v>
      </c>
      <c r="T26" s="7">
        <v>3.16</v>
      </c>
      <c r="U26" s="7" t="s">
        <v>4</v>
      </c>
      <c r="V26">
        <v>42.29</v>
      </c>
      <c r="W26" s="7" t="s">
        <v>4</v>
      </c>
      <c r="X26" s="7">
        <v>492.24</v>
      </c>
      <c r="Y26" s="7">
        <v>185.06</v>
      </c>
      <c r="Z26" s="7" t="s">
        <v>4</v>
      </c>
      <c r="AA26" s="7" t="s">
        <v>4</v>
      </c>
      <c r="AB26" s="7">
        <v>47.92</v>
      </c>
      <c r="AC26">
        <v>5.25</v>
      </c>
      <c r="AD26" s="7" t="s">
        <v>4</v>
      </c>
      <c r="AE26" s="7" t="s">
        <v>4</v>
      </c>
      <c r="AF26">
        <v>189.99</v>
      </c>
      <c r="AG26" s="7">
        <v>109.91</v>
      </c>
      <c r="AH26" s="7">
        <v>20.67</v>
      </c>
      <c r="AI26" s="7" t="s">
        <v>4</v>
      </c>
      <c r="AJ26">
        <v>234.1</v>
      </c>
      <c r="AK26" s="7" t="s">
        <v>4</v>
      </c>
      <c r="AL26" s="7" t="s">
        <v>4</v>
      </c>
      <c r="AM26" s="7" t="s">
        <v>4</v>
      </c>
      <c r="AN26" s="7">
        <v>19.97</v>
      </c>
      <c r="AO26" s="7">
        <v>6.83</v>
      </c>
      <c r="AP26" s="7" t="s">
        <v>4</v>
      </c>
      <c r="AQ26" s="7" t="s">
        <v>4</v>
      </c>
      <c r="AR26" s="7" t="s">
        <v>4</v>
      </c>
      <c r="AS26">
        <v>24.92</v>
      </c>
      <c r="AT26" s="7">
        <v>33.74</v>
      </c>
      <c r="AU26" s="7" t="s">
        <v>4</v>
      </c>
      <c r="AV26" s="7" t="s">
        <v>4</v>
      </c>
      <c r="AW26" s="7">
        <v>16.34</v>
      </c>
      <c r="AX26" s="7" t="s">
        <v>4</v>
      </c>
      <c r="AY26" s="7" t="s">
        <v>4</v>
      </c>
      <c r="AZ26" s="7" t="s">
        <v>4</v>
      </c>
      <c r="BA26" s="7" t="s">
        <v>4</v>
      </c>
      <c r="BB26" s="7" t="s">
        <v>4</v>
      </c>
      <c r="BC26">
        <v>11.24</v>
      </c>
      <c r="BD26" s="7" t="s">
        <v>4</v>
      </c>
      <c r="BE26" s="7" t="s">
        <v>4</v>
      </c>
      <c r="BF26" s="7" t="s">
        <v>4</v>
      </c>
      <c r="BG26" s="7">
        <v>2.6</v>
      </c>
      <c r="BH26" s="7" t="s">
        <v>4</v>
      </c>
    </row>
    <row r="27" spans="1:60">
      <c r="A27">
        <v>59</v>
      </c>
      <c r="B27" t="s">
        <v>54</v>
      </c>
      <c r="C27" t="s">
        <v>55</v>
      </c>
      <c r="D27" s="7" t="s">
        <v>4</v>
      </c>
      <c r="E27" s="7" t="s">
        <v>5</v>
      </c>
      <c r="F27" s="7" t="s">
        <v>5</v>
      </c>
      <c r="G27" s="7">
        <v>4.17</v>
      </c>
      <c r="H27" s="7" t="s">
        <v>4</v>
      </c>
      <c r="I27" s="7">
        <v>6.28</v>
      </c>
      <c r="J27" s="7" t="s">
        <v>4</v>
      </c>
      <c r="K27" s="7">
        <v>29.72</v>
      </c>
      <c r="L27" s="7" t="s">
        <v>4</v>
      </c>
      <c r="M27" s="7">
        <v>94.25</v>
      </c>
      <c r="N27" s="7" t="s">
        <v>4</v>
      </c>
      <c r="O27" s="7">
        <v>149.94999999999999</v>
      </c>
      <c r="P27">
        <v>98.58</v>
      </c>
      <c r="Q27" s="7" t="s">
        <v>4</v>
      </c>
      <c r="R27" s="7">
        <v>13.66</v>
      </c>
      <c r="S27" s="7" t="s">
        <v>4</v>
      </c>
      <c r="T27" s="7">
        <v>1.07</v>
      </c>
      <c r="U27" s="7" t="s">
        <v>4</v>
      </c>
      <c r="V27">
        <v>14.82</v>
      </c>
      <c r="W27" s="7">
        <v>142.81</v>
      </c>
      <c r="X27" s="7" t="s">
        <v>5</v>
      </c>
      <c r="Y27" s="7" t="s">
        <v>5</v>
      </c>
      <c r="Z27" s="7" t="s">
        <v>4</v>
      </c>
      <c r="AA27" s="7">
        <v>105.53</v>
      </c>
      <c r="AB27" s="7" t="s">
        <v>5</v>
      </c>
      <c r="AC27">
        <v>258.13</v>
      </c>
      <c r="AD27" s="7">
        <v>1.98</v>
      </c>
      <c r="AE27" s="7" t="s">
        <v>4</v>
      </c>
      <c r="AF27">
        <v>518.42999999999995</v>
      </c>
      <c r="AG27" s="7">
        <v>41.95</v>
      </c>
      <c r="AH27" s="7">
        <v>95.53</v>
      </c>
      <c r="AI27" s="7" t="s">
        <v>4</v>
      </c>
      <c r="AJ27">
        <v>277.64</v>
      </c>
      <c r="AK27" s="7">
        <v>6.32</v>
      </c>
      <c r="AL27" s="7">
        <v>96.4</v>
      </c>
      <c r="AM27" s="7" t="s">
        <v>4</v>
      </c>
      <c r="AN27" s="7">
        <v>195.02</v>
      </c>
      <c r="AO27" s="7">
        <v>9.5399999999999991</v>
      </c>
      <c r="AP27" s="7" t="s">
        <v>4</v>
      </c>
      <c r="AQ27" s="7">
        <v>19.84</v>
      </c>
      <c r="AR27" s="7" t="s">
        <v>4</v>
      </c>
      <c r="AS27">
        <v>95.73</v>
      </c>
      <c r="AT27" s="7">
        <v>872.97</v>
      </c>
      <c r="AU27" s="7" t="s">
        <v>4</v>
      </c>
      <c r="AV27" s="7">
        <v>153.6</v>
      </c>
      <c r="AW27" s="7">
        <v>923.76</v>
      </c>
      <c r="AX27" s="7" t="s">
        <v>5</v>
      </c>
      <c r="AY27" s="7">
        <v>309.81</v>
      </c>
      <c r="AZ27" s="7">
        <v>70.94</v>
      </c>
      <c r="BA27" s="7">
        <v>36.01</v>
      </c>
      <c r="BB27" s="7">
        <v>4.97</v>
      </c>
      <c r="BC27">
        <v>189.31</v>
      </c>
      <c r="BD27" s="7">
        <v>10.41</v>
      </c>
      <c r="BE27" s="7" t="s">
        <v>4</v>
      </c>
      <c r="BF27" s="7">
        <v>29.11</v>
      </c>
      <c r="BG27" s="7">
        <v>19.350000000000001</v>
      </c>
      <c r="BH27" s="7">
        <v>3.44</v>
      </c>
    </row>
    <row r="28" spans="1:60">
      <c r="A28">
        <v>142</v>
      </c>
      <c r="B28" t="s">
        <v>56</v>
      </c>
      <c r="C28" t="s">
        <v>57</v>
      </c>
      <c r="D28" s="7" t="s">
        <v>4</v>
      </c>
      <c r="E28" s="7" t="s">
        <v>5</v>
      </c>
      <c r="F28" s="7" t="s">
        <v>5</v>
      </c>
      <c r="G28" s="7">
        <v>5.0199999999999996</v>
      </c>
      <c r="H28" s="7">
        <v>7.62</v>
      </c>
      <c r="I28" s="7">
        <v>18.95</v>
      </c>
      <c r="J28" s="7" t="s">
        <v>4</v>
      </c>
      <c r="K28" s="7" t="s">
        <v>5</v>
      </c>
      <c r="L28" s="7" t="s">
        <v>4</v>
      </c>
      <c r="M28" s="7" t="s">
        <v>5</v>
      </c>
      <c r="N28" s="7" t="s">
        <v>4</v>
      </c>
      <c r="O28" s="7" t="s">
        <v>5</v>
      </c>
      <c r="P28" t="s">
        <v>5</v>
      </c>
      <c r="Q28" s="7" t="s">
        <v>4</v>
      </c>
      <c r="R28" s="7">
        <v>76.42</v>
      </c>
      <c r="S28" s="7" t="s">
        <v>4</v>
      </c>
      <c r="T28" s="7">
        <v>69.69</v>
      </c>
      <c r="U28" s="7" t="s">
        <v>4</v>
      </c>
      <c r="V28">
        <v>36.94</v>
      </c>
      <c r="W28" s="7">
        <v>198.08</v>
      </c>
      <c r="X28" s="7" t="s">
        <v>5</v>
      </c>
      <c r="Y28" s="7" t="s">
        <v>5</v>
      </c>
      <c r="Z28" s="7">
        <v>11.02</v>
      </c>
      <c r="AA28" s="7">
        <v>60.67</v>
      </c>
      <c r="AB28" s="7" t="s">
        <v>5</v>
      </c>
      <c r="AC28">
        <v>158.11000000000001</v>
      </c>
      <c r="AD28" s="7">
        <v>1.24</v>
      </c>
      <c r="AE28" s="7" t="s">
        <v>4</v>
      </c>
      <c r="AF28">
        <v>973.94</v>
      </c>
      <c r="AG28" s="7">
        <v>1220.7</v>
      </c>
      <c r="AH28" s="7">
        <v>136.07</v>
      </c>
      <c r="AI28" s="7" t="s">
        <v>4</v>
      </c>
      <c r="AJ28">
        <v>325.24</v>
      </c>
      <c r="AK28" s="7" t="s">
        <v>4</v>
      </c>
      <c r="AL28" s="7">
        <v>3.64</v>
      </c>
      <c r="AM28" s="7" t="s">
        <v>4</v>
      </c>
      <c r="AN28" s="7">
        <v>28.02</v>
      </c>
      <c r="AO28" s="7">
        <v>22.63</v>
      </c>
      <c r="AP28" s="7" t="s">
        <v>4</v>
      </c>
      <c r="AQ28" s="7" t="s">
        <v>4</v>
      </c>
      <c r="AR28" s="7" t="s">
        <v>4</v>
      </c>
      <c r="AS28">
        <v>8.66</v>
      </c>
      <c r="AT28" s="7" t="s">
        <v>5</v>
      </c>
      <c r="AU28" s="7" t="s">
        <v>4</v>
      </c>
      <c r="AV28" s="7">
        <v>107.6</v>
      </c>
      <c r="AW28" s="7" t="s">
        <v>5</v>
      </c>
      <c r="AX28" s="7">
        <v>751.13</v>
      </c>
      <c r="AY28" s="7">
        <v>849.26</v>
      </c>
      <c r="AZ28" s="7">
        <v>5.04</v>
      </c>
      <c r="BA28" s="7" t="s">
        <v>4</v>
      </c>
      <c r="BB28" s="7" t="s">
        <v>4</v>
      </c>
      <c r="BC28">
        <v>419.14</v>
      </c>
      <c r="BD28" s="7" t="s">
        <v>4</v>
      </c>
      <c r="BE28" s="7" t="s">
        <v>4</v>
      </c>
      <c r="BF28" s="7" t="s">
        <v>4</v>
      </c>
      <c r="BG28" s="7">
        <v>23.09</v>
      </c>
      <c r="BH28" s="7" t="s">
        <v>4</v>
      </c>
    </row>
    <row r="29" spans="1:60">
      <c r="A29">
        <v>126</v>
      </c>
      <c r="B29" t="s">
        <v>58</v>
      </c>
      <c r="C29" t="s">
        <v>59</v>
      </c>
      <c r="D29" s="7">
        <v>2.99</v>
      </c>
      <c r="E29" s="7" t="s">
        <v>4</v>
      </c>
      <c r="F29" s="7" t="s">
        <v>5</v>
      </c>
      <c r="G29" s="7" t="s">
        <v>5</v>
      </c>
      <c r="H29" s="7">
        <v>1.1299999999999999</v>
      </c>
      <c r="I29" s="7">
        <v>18.23</v>
      </c>
      <c r="J29" s="7" t="s">
        <v>4</v>
      </c>
      <c r="K29" s="7" t="s">
        <v>5</v>
      </c>
      <c r="L29" s="7" t="s">
        <v>4</v>
      </c>
      <c r="M29" s="7">
        <v>3.56</v>
      </c>
      <c r="N29" s="7" t="s">
        <v>4</v>
      </c>
      <c r="O29" s="7">
        <v>28.31</v>
      </c>
      <c r="P29">
        <v>17.86</v>
      </c>
      <c r="Q29" s="7" t="s">
        <v>4</v>
      </c>
      <c r="R29" s="7">
        <v>12.47</v>
      </c>
      <c r="S29" s="7" t="s">
        <v>4</v>
      </c>
      <c r="T29" s="7">
        <v>7.07</v>
      </c>
      <c r="U29" s="7" t="s">
        <v>4</v>
      </c>
      <c r="V29">
        <v>9.77</v>
      </c>
      <c r="W29" s="7" t="s">
        <v>4</v>
      </c>
      <c r="X29" s="7">
        <v>349.07</v>
      </c>
      <c r="Y29" s="7">
        <v>24.69</v>
      </c>
      <c r="Z29" s="7" t="s">
        <v>4</v>
      </c>
      <c r="AA29" s="7">
        <v>3.71</v>
      </c>
      <c r="AB29" s="7">
        <v>31.61</v>
      </c>
      <c r="AC29">
        <v>8.15</v>
      </c>
      <c r="AD29" s="7" t="s">
        <v>4</v>
      </c>
      <c r="AE29" s="7" t="s">
        <v>4</v>
      </c>
      <c r="AF29">
        <v>52.74</v>
      </c>
      <c r="AG29" s="7">
        <v>61.97</v>
      </c>
      <c r="AH29" s="7">
        <v>3.93</v>
      </c>
      <c r="AI29" s="7" t="s">
        <v>4</v>
      </c>
      <c r="AJ29">
        <v>40.880000000000003</v>
      </c>
      <c r="AK29" s="7" t="s">
        <v>4</v>
      </c>
      <c r="AL29" s="7" t="s">
        <v>4</v>
      </c>
      <c r="AM29" s="7" t="s">
        <v>4</v>
      </c>
      <c r="AN29" s="7">
        <v>6.32</v>
      </c>
      <c r="AO29" s="7">
        <v>4.83</v>
      </c>
      <c r="AP29" s="7" t="s">
        <v>4</v>
      </c>
      <c r="AQ29" s="7" t="s">
        <v>4</v>
      </c>
      <c r="AR29" s="7" t="s">
        <v>4</v>
      </c>
      <c r="AS29">
        <v>4.49</v>
      </c>
      <c r="AT29" s="7">
        <v>561.45000000000005</v>
      </c>
      <c r="AU29" s="7" t="s">
        <v>4</v>
      </c>
      <c r="AV29" s="7">
        <v>220.06</v>
      </c>
      <c r="AW29" s="7" t="s">
        <v>5</v>
      </c>
      <c r="AX29" s="7">
        <v>431.15</v>
      </c>
      <c r="AY29" s="7">
        <v>246.66</v>
      </c>
      <c r="AZ29" s="7" t="s">
        <v>4</v>
      </c>
      <c r="BA29" s="7" t="s">
        <v>4</v>
      </c>
      <c r="BB29" s="7" t="s">
        <v>4</v>
      </c>
      <c r="BC29">
        <v>11.01</v>
      </c>
      <c r="BD29" s="7" t="s">
        <v>4</v>
      </c>
      <c r="BE29" s="7" t="s">
        <v>4</v>
      </c>
      <c r="BF29" s="7" t="s">
        <v>4</v>
      </c>
      <c r="BG29" s="7">
        <v>3.31</v>
      </c>
      <c r="BH29" s="7" t="s">
        <v>4</v>
      </c>
    </row>
    <row r="30" spans="1:60">
      <c r="A30">
        <v>15</v>
      </c>
      <c r="B30" t="s">
        <v>60</v>
      </c>
      <c r="C30" t="s">
        <v>61</v>
      </c>
      <c r="D30" s="7" t="s">
        <v>4</v>
      </c>
      <c r="E30" s="7" t="s">
        <v>4</v>
      </c>
      <c r="F30" s="7" t="s">
        <v>4</v>
      </c>
      <c r="G30" s="7" t="s">
        <v>4</v>
      </c>
      <c r="H30" s="7" t="s">
        <v>4</v>
      </c>
      <c r="I30" s="7" t="s">
        <v>4</v>
      </c>
      <c r="J30" s="7" t="s">
        <v>4</v>
      </c>
      <c r="K30" s="7" t="s">
        <v>4</v>
      </c>
      <c r="L30" s="7" t="s">
        <v>4</v>
      </c>
      <c r="M30" s="7" t="s">
        <v>4</v>
      </c>
      <c r="N30" s="7" t="s">
        <v>4</v>
      </c>
      <c r="O30" s="7" t="s">
        <v>4</v>
      </c>
      <c r="P30">
        <v>20.079999999999998</v>
      </c>
      <c r="Q30" s="7" t="s">
        <v>4</v>
      </c>
      <c r="R30" s="7" t="s">
        <v>4</v>
      </c>
      <c r="S30" s="7" t="s">
        <v>4</v>
      </c>
      <c r="T30" s="7" t="s">
        <v>4</v>
      </c>
      <c r="U30" s="7" t="s">
        <v>4</v>
      </c>
      <c r="V30" t="s">
        <v>4</v>
      </c>
      <c r="W30" s="7" t="s">
        <v>4</v>
      </c>
      <c r="X30" s="7" t="s">
        <v>4</v>
      </c>
      <c r="Y30" s="7">
        <v>2.98</v>
      </c>
      <c r="Z30" s="7" t="s">
        <v>4</v>
      </c>
      <c r="AA30" s="7" t="s">
        <v>4</v>
      </c>
      <c r="AB30" s="7">
        <v>13.85</v>
      </c>
      <c r="AC30" t="s">
        <v>4</v>
      </c>
      <c r="AD30" s="7" t="s">
        <v>4</v>
      </c>
      <c r="AE30" s="7" t="s">
        <v>4</v>
      </c>
      <c r="AF30">
        <v>7.92</v>
      </c>
      <c r="AG30" s="7" t="s">
        <v>4</v>
      </c>
      <c r="AH30" s="7" t="s">
        <v>4</v>
      </c>
      <c r="AI30" s="7" t="s">
        <v>4</v>
      </c>
      <c r="AJ30">
        <v>3.42</v>
      </c>
      <c r="AK30" s="7" t="s">
        <v>4</v>
      </c>
      <c r="AL30" s="7" t="s">
        <v>4</v>
      </c>
      <c r="AM30" s="7" t="s">
        <v>4</v>
      </c>
      <c r="AN30" s="7" t="s">
        <v>4</v>
      </c>
      <c r="AO30" s="7" t="s">
        <v>4</v>
      </c>
      <c r="AP30" s="7" t="s">
        <v>4</v>
      </c>
      <c r="AQ30" s="7" t="s">
        <v>4</v>
      </c>
      <c r="AR30" s="7" t="s">
        <v>4</v>
      </c>
      <c r="AS30" t="s">
        <v>4</v>
      </c>
      <c r="AT30" s="7" t="s">
        <v>4</v>
      </c>
      <c r="AU30" s="7" t="s">
        <v>4</v>
      </c>
      <c r="AV30" s="7" t="s">
        <v>4</v>
      </c>
      <c r="AW30" s="7" t="s">
        <v>4</v>
      </c>
      <c r="AX30" s="7" t="s">
        <v>4</v>
      </c>
      <c r="AY30" s="7" t="s">
        <v>4</v>
      </c>
      <c r="AZ30" s="7" t="s">
        <v>4</v>
      </c>
      <c r="BA30" s="7" t="s">
        <v>4</v>
      </c>
      <c r="BB30" s="7" t="s">
        <v>4</v>
      </c>
      <c r="BC30" t="s">
        <v>4</v>
      </c>
      <c r="BD30" s="7" t="s">
        <v>4</v>
      </c>
      <c r="BE30" s="7" t="s">
        <v>4</v>
      </c>
      <c r="BF30" s="7" t="s">
        <v>4</v>
      </c>
      <c r="BG30" s="7" t="s">
        <v>4</v>
      </c>
      <c r="BH30" s="7" t="s">
        <v>4</v>
      </c>
    </row>
    <row r="31" spans="1:60">
      <c r="A31">
        <v>121</v>
      </c>
      <c r="B31" t="s">
        <v>62</v>
      </c>
      <c r="C31" t="s">
        <v>63</v>
      </c>
      <c r="D31" s="7" t="s">
        <v>4</v>
      </c>
      <c r="E31" s="7">
        <v>39.299999999999997</v>
      </c>
      <c r="F31" s="7" t="s">
        <v>5</v>
      </c>
      <c r="G31" s="7">
        <v>10.029999999999999</v>
      </c>
      <c r="H31" s="7">
        <v>3.71</v>
      </c>
      <c r="I31" s="7">
        <v>18.670000000000002</v>
      </c>
      <c r="J31" s="7" t="s">
        <v>4</v>
      </c>
      <c r="K31" s="7" t="s">
        <v>5</v>
      </c>
      <c r="L31" s="7" t="s">
        <v>4</v>
      </c>
      <c r="M31" s="7">
        <v>122.54</v>
      </c>
      <c r="N31" s="7" t="s">
        <v>4</v>
      </c>
      <c r="O31" s="7">
        <v>399.54</v>
      </c>
      <c r="P31">
        <v>256.48</v>
      </c>
      <c r="Q31" s="7" t="s">
        <v>4</v>
      </c>
      <c r="R31" s="7">
        <v>133.43</v>
      </c>
      <c r="S31" s="7" t="s">
        <v>4</v>
      </c>
      <c r="T31" s="7">
        <v>18.28</v>
      </c>
      <c r="U31" s="7" t="s">
        <v>4</v>
      </c>
      <c r="V31">
        <v>22.37</v>
      </c>
      <c r="W31" s="7">
        <v>49.06</v>
      </c>
      <c r="X31" s="7" t="s">
        <v>5</v>
      </c>
      <c r="Y31" s="7" t="s">
        <v>5</v>
      </c>
      <c r="Z31" s="7" t="s">
        <v>4</v>
      </c>
      <c r="AA31" s="7">
        <v>6.44</v>
      </c>
      <c r="AB31" s="7" t="s">
        <v>5</v>
      </c>
      <c r="AC31">
        <v>44.8</v>
      </c>
      <c r="AD31" s="7">
        <v>1.68</v>
      </c>
      <c r="AE31" s="7" t="s">
        <v>4</v>
      </c>
      <c r="AF31">
        <v>1902.11</v>
      </c>
      <c r="AG31" s="7">
        <v>608.11</v>
      </c>
      <c r="AH31" s="7">
        <v>266.69</v>
      </c>
      <c r="AI31" s="7" t="s">
        <v>4</v>
      </c>
      <c r="AJ31">
        <v>1801.06</v>
      </c>
      <c r="AK31" s="7">
        <v>3.82</v>
      </c>
      <c r="AL31" s="7">
        <v>66.28</v>
      </c>
      <c r="AM31" s="7" t="s">
        <v>4</v>
      </c>
      <c r="AN31" s="7">
        <v>314.04000000000002</v>
      </c>
      <c r="AO31" s="7">
        <v>73.64</v>
      </c>
      <c r="AP31" s="7" t="s">
        <v>4</v>
      </c>
      <c r="AQ31" s="7" t="s">
        <v>4</v>
      </c>
      <c r="AR31" s="7" t="s">
        <v>4</v>
      </c>
      <c r="AS31">
        <v>259.83999999999997</v>
      </c>
      <c r="AT31" s="7">
        <v>107.98</v>
      </c>
      <c r="AU31" s="7" t="s">
        <v>4</v>
      </c>
      <c r="AV31" s="7" t="s">
        <v>4</v>
      </c>
      <c r="AW31" s="7">
        <v>14.02</v>
      </c>
      <c r="AX31" s="7" t="s">
        <v>4</v>
      </c>
      <c r="AY31" s="7">
        <v>21.04</v>
      </c>
      <c r="AZ31" s="7">
        <v>16.829999999999998</v>
      </c>
      <c r="BA31" s="7" t="s">
        <v>4</v>
      </c>
      <c r="BB31" s="7">
        <v>1.7</v>
      </c>
      <c r="BC31">
        <v>362.62</v>
      </c>
      <c r="BD31" s="7">
        <v>4.55</v>
      </c>
      <c r="BE31" s="7" t="s">
        <v>4</v>
      </c>
      <c r="BF31" s="7">
        <v>4.79</v>
      </c>
      <c r="BG31" s="7">
        <v>36.4</v>
      </c>
      <c r="BH31" s="7" t="s">
        <v>4</v>
      </c>
    </row>
    <row r="32" spans="1:60">
      <c r="A32">
        <v>47</v>
      </c>
      <c r="B32" t="s">
        <v>64</v>
      </c>
      <c r="C32" t="s">
        <v>65</v>
      </c>
      <c r="D32" s="7">
        <v>2.91</v>
      </c>
      <c r="E32" s="7">
        <v>8.5</v>
      </c>
      <c r="F32" s="7" t="s">
        <v>5</v>
      </c>
      <c r="G32" s="7">
        <v>27.03</v>
      </c>
      <c r="H32" s="7" t="s">
        <v>4</v>
      </c>
      <c r="I32" s="7">
        <v>4.09</v>
      </c>
      <c r="J32" s="7" t="s">
        <v>4</v>
      </c>
      <c r="K32" s="7">
        <v>85.5</v>
      </c>
      <c r="L32" s="7" t="s">
        <v>4</v>
      </c>
      <c r="M32" s="7">
        <v>5.75</v>
      </c>
      <c r="N32" s="7" t="s">
        <v>4</v>
      </c>
      <c r="O32" s="7">
        <v>5.82</v>
      </c>
      <c r="P32">
        <v>38.83</v>
      </c>
      <c r="Q32" s="7" t="s">
        <v>4</v>
      </c>
      <c r="R32" s="7">
        <v>5.24</v>
      </c>
      <c r="S32" s="7" t="s">
        <v>4</v>
      </c>
      <c r="T32" s="7" t="s">
        <v>4</v>
      </c>
      <c r="U32" s="7" t="s">
        <v>4</v>
      </c>
      <c r="V32">
        <v>5.45</v>
      </c>
      <c r="W32" s="7" t="s">
        <v>4</v>
      </c>
      <c r="X32" s="7">
        <v>223.83</v>
      </c>
      <c r="Y32" s="7">
        <v>16.079999999999998</v>
      </c>
      <c r="Z32" s="7" t="s">
        <v>4</v>
      </c>
      <c r="AA32" s="7" t="s">
        <v>4</v>
      </c>
      <c r="AB32" s="7">
        <v>50.33</v>
      </c>
      <c r="AC32">
        <v>1.08</v>
      </c>
      <c r="AD32" s="7" t="s">
        <v>4</v>
      </c>
      <c r="AE32" s="7" t="s">
        <v>4</v>
      </c>
      <c r="AF32">
        <v>126.31</v>
      </c>
      <c r="AG32" s="7">
        <v>17.22</v>
      </c>
      <c r="AH32" s="7">
        <v>3.36</v>
      </c>
      <c r="AI32" s="7" t="s">
        <v>4</v>
      </c>
      <c r="AJ32">
        <v>97.89</v>
      </c>
      <c r="AK32" s="7" t="s">
        <v>4</v>
      </c>
      <c r="AL32" s="7" t="s">
        <v>4</v>
      </c>
      <c r="AM32" s="7" t="s">
        <v>4</v>
      </c>
      <c r="AN32" s="7">
        <v>20.52</v>
      </c>
      <c r="AO32" s="7" t="s">
        <v>4</v>
      </c>
      <c r="AP32" s="7" t="s">
        <v>4</v>
      </c>
      <c r="AQ32" s="7" t="s">
        <v>4</v>
      </c>
      <c r="AR32" s="7" t="s">
        <v>4</v>
      </c>
      <c r="AS32">
        <v>10.71</v>
      </c>
      <c r="AT32" s="7">
        <v>1.99</v>
      </c>
      <c r="AU32" s="7" t="s">
        <v>4</v>
      </c>
      <c r="AV32" s="7" t="s">
        <v>4</v>
      </c>
      <c r="AW32" s="7" t="s">
        <v>4</v>
      </c>
      <c r="AX32" s="7" t="s">
        <v>4</v>
      </c>
      <c r="AY32" s="7" t="s">
        <v>4</v>
      </c>
      <c r="AZ32" s="7" t="s">
        <v>4</v>
      </c>
      <c r="BA32" s="7" t="s">
        <v>4</v>
      </c>
      <c r="BB32" s="7" t="s">
        <v>4</v>
      </c>
      <c r="BC32">
        <v>7.93</v>
      </c>
      <c r="BD32" s="7" t="s">
        <v>4</v>
      </c>
      <c r="BE32" s="7" t="s">
        <v>4</v>
      </c>
      <c r="BF32" s="7" t="s">
        <v>4</v>
      </c>
      <c r="BG32" s="7" t="s">
        <v>4</v>
      </c>
      <c r="BH32" s="7" t="s">
        <v>4</v>
      </c>
    </row>
    <row r="33" spans="1:60">
      <c r="A33">
        <v>31</v>
      </c>
      <c r="B33" t="s">
        <v>66</v>
      </c>
      <c r="C33" t="s">
        <v>67</v>
      </c>
      <c r="D33" s="7">
        <v>4.16</v>
      </c>
      <c r="E33" s="7">
        <v>23.57</v>
      </c>
      <c r="F33" s="7" t="s">
        <v>5</v>
      </c>
      <c r="G33" s="7" t="s">
        <v>5</v>
      </c>
      <c r="H33" s="7" t="s">
        <v>4</v>
      </c>
      <c r="I33" s="7">
        <v>6.24</v>
      </c>
      <c r="J33" s="7" t="s">
        <v>4</v>
      </c>
      <c r="K33" s="7">
        <v>76.97</v>
      </c>
      <c r="L33" s="7" t="s">
        <v>4</v>
      </c>
      <c r="M33" s="7">
        <v>15.04</v>
      </c>
      <c r="N33" s="7" t="s">
        <v>4</v>
      </c>
      <c r="O33" s="7">
        <v>7.69</v>
      </c>
      <c r="P33">
        <v>26.25</v>
      </c>
      <c r="Q33" s="7" t="s">
        <v>4</v>
      </c>
      <c r="R33" s="7">
        <v>15.6</v>
      </c>
      <c r="S33" s="7" t="s">
        <v>4</v>
      </c>
      <c r="T33" s="7">
        <v>2.99</v>
      </c>
      <c r="U33" s="7" t="s">
        <v>4</v>
      </c>
      <c r="V33">
        <v>15</v>
      </c>
      <c r="W33" s="7" t="s">
        <v>4</v>
      </c>
      <c r="X33" s="7" t="s">
        <v>4</v>
      </c>
      <c r="Y33" s="7">
        <v>6.87</v>
      </c>
      <c r="Z33" s="7" t="s">
        <v>4</v>
      </c>
      <c r="AA33" s="7" t="s">
        <v>4</v>
      </c>
      <c r="AB33" s="7">
        <v>15.05</v>
      </c>
      <c r="AC33">
        <v>7.02</v>
      </c>
      <c r="AD33" s="7" t="s">
        <v>4</v>
      </c>
      <c r="AE33" s="7" t="s">
        <v>4</v>
      </c>
      <c r="AF33">
        <v>19.27</v>
      </c>
      <c r="AG33" s="7" t="s">
        <v>4</v>
      </c>
      <c r="AH33" s="7" t="s">
        <v>4</v>
      </c>
      <c r="AI33" s="7" t="s">
        <v>4</v>
      </c>
      <c r="AJ33">
        <v>16.66</v>
      </c>
      <c r="AK33" s="7" t="s">
        <v>4</v>
      </c>
      <c r="AL33" s="7" t="s">
        <v>4</v>
      </c>
      <c r="AM33" s="7" t="s">
        <v>4</v>
      </c>
      <c r="AN33" s="7">
        <v>11.13</v>
      </c>
      <c r="AO33" s="7" t="s">
        <v>4</v>
      </c>
      <c r="AP33" s="7" t="s">
        <v>4</v>
      </c>
      <c r="AQ33" s="7" t="s">
        <v>4</v>
      </c>
      <c r="AR33" s="7" t="s">
        <v>4</v>
      </c>
      <c r="AS33">
        <v>8.56</v>
      </c>
      <c r="AT33" s="7">
        <v>2.09</v>
      </c>
      <c r="AU33" s="7" t="s">
        <v>4</v>
      </c>
      <c r="AV33" s="7" t="s">
        <v>4</v>
      </c>
      <c r="AW33" s="7" t="s">
        <v>4</v>
      </c>
      <c r="AX33" s="7" t="s">
        <v>4</v>
      </c>
      <c r="AY33" s="7" t="s">
        <v>4</v>
      </c>
      <c r="AZ33" s="7" t="s">
        <v>4</v>
      </c>
      <c r="BA33" s="7" t="s">
        <v>4</v>
      </c>
      <c r="BB33" s="7" t="s">
        <v>4</v>
      </c>
      <c r="BC33">
        <v>2.87</v>
      </c>
      <c r="BD33" s="7" t="s">
        <v>4</v>
      </c>
      <c r="BE33" s="7" t="s">
        <v>4</v>
      </c>
      <c r="BF33" s="7" t="s">
        <v>4</v>
      </c>
      <c r="BG33" s="7" t="s">
        <v>4</v>
      </c>
      <c r="BH33" s="7" t="s">
        <v>4</v>
      </c>
    </row>
    <row r="34" spans="1:60">
      <c r="A34">
        <v>151</v>
      </c>
      <c r="B34" t="s">
        <v>68</v>
      </c>
      <c r="C34" t="s">
        <v>69</v>
      </c>
      <c r="D34" s="7">
        <v>3.42</v>
      </c>
      <c r="E34" s="7" t="s">
        <v>4</v>
      </c>
      <c r="F34" s="7" t="s">
        <v>5</v>
      </c>
      <c r="G34" s="7" t="s">
        <v>5</v>
      </c>
      <c r="H34" s="7">
        <v>3.71</v>
      </c>
      <c r="I34" s="7">
        <v>13.77</v>
      </c>
      <c r="J34" s="7" t="s">
        <v>4</v>
      </c>
      <c r="K34" s="7">
        <v>468.97</v>
      </c>
      <c r="L34" s="7">
        <v>3.27</v>
      </c>
      <c r="M34" s="7" t="s">
        <v>4</v>
      </c>
      <c r="N34" s="7">
        <v>27.85</v>
      </c>
      <c r="O34" s="7">
        <v>21.67</v>
      </c>
      <c r="P34" t="s">
        <v>5</v>
      </c>
      <c r="Q34" s="7" t="s">
        <v>4</v>
      </c>
      <c r="R34" s="7">
        <v>62.66</v>
      </c>
      <c r="S34" s="7" t="s">
        <v>4</v>
      </c>
      <c r="T34" s="7" t="s">
        <v>4</v>
      </c>
      <c r="U34" s="7" t="s">
        <v>4</v>
      </c>
      <c r="V34">
        <v>4.7300000000000004</v>
      </c>
      <c r="W34" s="7" t="s">
        <v>4</v>
      </c>
      <c r="X34" s="7">
        <v>320.43</v>
      </c>
      <c r="Y34" s="7">
        <v>321.20999999999998</v>
      </c>
      <c r="Z34" s="7" t="s">
        <v>4</v>
      </c>
      <c r="AA34" s="7">
        <v>11.49</v>
      </c>
      <c r="AB34" s="7">
        <v>13.85</v>
      </c>
      <c r="AC34">
        <v>1.39</v>
      </c>
      <c r="AD34" s="7" t="s">
        <v>4</v>
      </c>
      <c r="AE34" s="7" t="s">
        <v>4</v>
      </c>
      <c r="AF34">
        <v>12.42</v>
      </c>
      <c r="AG34" s="7">
        <v>24.51</v>
      </c>
      <c r="AH34" s="7">
        <v>59.91</v>
      </c>
      <c r="AI34" s="7" t="s">
        <v>4</v>
      </c>
      <c r="AJ34">
        <v>58.21</v>
      </c>
      <c r="AK34" s="7" t="s">
        <v>4</v>
      </c>
      <c r="AL34" s="7">
        <v>8.2899999999999991</v>
      </c>
      <c r="AM34" s="7" t="s">
        <v>4</v>
      </c>
      <c r="AN34" s="7" t="s">
        <v>4</v>
      </c>
      <c r="AO34" s="7" t="s">
        <v>4</v>
      </c>
      <c r="AP34" s="7" t="s">
        <v>4</v>
      </c>
      <c r="AQ34" s="7" t="s">
        <v>4</v>
      </c>
      <c r="AR34" s="7" t="s">
        <v>4</v>
      </c>
      <c r="AS34">
        <v>11.56</v>
      </c>
      <c r="AT34" s="7">
        <v>15.53</v>
      </c>
      <c r="AU34" s="7" t="s">
        <v>4</v>
      </c>
      <c r="AV34" s="7" t="s">
        <v>4</v>
      </c>
      <c r="AW34" s="7" t="s">
        <v>4</v>
      </c>
      <c r="AX34" s="7" t="s">
        <v>4</v>
      </c>
      <c r="AY34" s="7">
        <v>18.78</v>
      </c>
      <c r="AZ34" s="7" t="s">
        <v>4</v>
      </c>
      <c r="BA34" s="7" t="s">
        <v>4</v>
      </c>
      <c r="BB34" s="7" t="s">
        <v>4</v>
      </c>
      <c r="BC34">
        <v>9.5500000000000007</v>
      </c>
      <c r="BD34" s="7" t="s">
        <v>4</v>
      </c>
      <c r="BE34" s="7" t="s">
        <v>4</v>
      </c>
      <c r="BF34" s="7">
        <v>2.65</v>
      </c>
      <c r="BG34" s="7">
        <v>2.15</v>
      </c>
      <c r="BH34" s="7" t="s">
        <v>4</v>
      </c>
    </row>
    <row r="35" spans="1:60">
      <c r="A35">
        <v>130</v>
      </c>
      <c r="B35" t="s">
        <v>70</v>
      </c>
      <c r="C35" t="s">
        <v>71</v>
      </c>
      <c r="D35" s="7" t="s">
        <v>4</v>
      </c>
      <c r="E35" s="7" t="s">
        <v>5</v>
      </c>
      <c r="F35" s="7" t="s">
        <v>5</v>
      </c>
      <c r="G35" s="7" t="s">
        <v>4</v>
      </c>
      <c r="H35" s="7" t="s">
        <v>4</v>
      </c>
      <c r="I35" s="7">
        <v>1.34</v>
      </c>
      <c r="J35" s="7" t="s">
        <v>4</v>
      </c>
      <c r="K35" s="7">
        <v>15.79</v>
      </c>
      <c r="L35" s="7" t="s">
        <v>4</v>
      </c>
      <c r="M35" s="7">
        <v>34.85</v>
      </c>
      <c r="N35" s="7" t="s">
        <v>4</v>
      </c>
      <c r="O35" s="7">
        <v>436.72</v>
      </c>
      <c r="P35">
        <v>216.95</v>
      </c>
      <c r="Q35" s="7" t="s">
        <v>4</v>
      </c>
      <c r="R35" s="7" t="s">
        <v>4</v>
      </c>
      <c r="S35" s="7" t="s">
        <v>4</v>
      </c>
      <c r="T35" s="7">
        <v>10.55</v>
      </c>
      <c r="U35" s="7" t="s">
        <v>4</v>
      </c>
      <c r="V35">
        <v>8.77</v>
      </c>
      <c r="W35" s="7">
        <v>16.940000000000001</v>
      </c>
      <c r="X35" s="7" t="s">
        <v>5</v>
      </c>
      <c r="Y35" s="7">
        <v>379.42</v>
      </c>
      <c r="Z35" s="7" t="s">
        <v>4</v>
      </c>
      <c r="AA35" s="7">
        <v>7.4</v>
      </c>
      <c r="AB35" s="7" t="s">
        <v>5</v>
      </c>
      <c r="AC35">
        <v>23.36</v>
      </c>
      <c r="AD35" s="7" t="s">
        <v>4</v>
      </c>
      <c r="AE35" s="7" t="s">
        <v>4</v>
      </c>
      <c r="AF35">
        <v>156.06</v>
      </c>
      <c r="AG35" s="7">
        <v>59.73</v>
      </c>
      <c r="AH35" s="7">
        <v>4.1900000000000004</v>
      </c>
      <c r="AI35" s="7" t="s">
        <v>4</v>
      </c>
      <c r="AJ35">
        <v>113.34</v>
      </c>
      <c r="AK35" s="7" t="s">
        <v>4</v>
      </c>
      <c r="AL35" s="7">
        <v>9.7200000000000006</v>
      </c>
      <c r="AM35" s="7" t="s">
        <v>4</v>
      </c>
      <c r="AN35" s="7">
        <v>129.58000000000001</v>
      </c>
      <c r="AO35" s="7">
        <v>77.12</v>
      </c>
      <c r="AP35" s="7" t="s">
        <v>4</v>
      </c>
      <c r="AQ35" s="7">
        <v>4.63</v>
      </c>
      <c r="AR35" s="7" t="s">
        <v>4</v>
      </c>
      <c r="AS35">
        <v>259.58</v>
      </c>
      <c r="AT35" s="7" t="s">
        <v>5</v>
      </c>
      <c r="AU35" s="7" t="s">
        <v>4</v>
      </c>
      <c r="AV35" s="7" t="s">
        <v>4</v>
      </c>
      <c r="AW35" s="7">
        <v>122</v>
      </c>
      <c r="AX35" s="7">
        <v>126.2</v>
      </c>
      <c r="AY35" s="7">
        <v>40.729999999999997</v>
      </c>
      <c r="AZ35" s="7">
        <v>6.14</v>
      </c>
      <c r="BA35" s="7">
        <v>11.27</v>
      </c>
      <c r="BB35" s="7" t="s">
        <v>4</v>
      </c>
      <c r="BC35">
        <v>300.73</v>
      </c>
      <c r="BD35" s="7">
        <v>27.73</v>
      </c>
      <c r="BE35" s="7" t="s">
        <v>4</v>
      </c>
      <c r="BF35" s="7" t="s">
        <v>4</v>
      </c>
      <c r="BG35" s="7">
        <v>15.85</v>
      </c>
      <c r="BH35" s="7">
        <v>5.88</v>
      </c>
    </row>
    <row r="36" spans="1:60">
      <c r="A36">
        <v>65</v>
      </c>
      <c r="B36" t="s">
        <v>72</v>
      </c>
      <c r="C36" t="s">
        <v>73</v>
      </c>
      <c r="D36" s="7" t="s">
        <v>4</v>
      </c>
      <c r="E36" s="7">
        <v>16.72</v>
      </c>
      <c r="F36" s="7" t="s">
        <v>5</v>
      </c>
      <c r="G36" s="7">
        <v>40.270000000000003</v>
      </c>
      <c r="H36" s="7" t="s">
        <v>4</v>
      </c>
      <c r="I36" s="7">
        <v>6.22</v>
      </c>
      <c r="J36" s="7" t="s">
        <v>4</v>
      </c>
      <c r="K36" s="7" t="s">
        <v>5</v>
      </c>
      <c r="L36" s="7" t="s">
        <v>4</v>
      </c>
      <c r="M36" s="7">
        <v>5.49</v>
      </c>
      <c r="N36" s="7" t="s">
        <v>4</v>
      </c>
      <c r="O36" s="7">
        <v>241.39</v>
      </c>
      <c r="P36">
        <v>68.680000000000007</v>
      </c>
      <c r="Q36" s="7" t="s">
        <v>4</v>
      </c>
      <c r="R36" s="7" t="s">
        <v>4</v>
      </c>
      <c r="S36" s="7" t="s">
        <v>4</v>
      </c>
      <c r="T36" s="7">
        <v>22.98</v>
      </c>
      <c r="U36" s="7" t="s">
        <v>4</v>
      </c>
      <c r="V36">
        <v>54.61</v>
      </c>
      <c r="W36" s="7">
        <v>6.83</v>
      </c>
      <c r="X36" s="7" t="s">
        <v>5</v>
      </c>
      <c r="Y36" s="7">
        <v>343.87</v>
      </c>
      <c r="Z36" s="7">
        <v>28.18</v>
      </c>
      <c r="AA36" s="7">
        <v>18.71</v>
      </c>
      <c r="AB36" s="7">
        <v>135.24</v>
      </c>
      <c r="AC36">
        <v>51.86</v>
      </c>
      <c r="AD36" s="7" t="s">
        <v>4</v>
      </c>
      <c r="AE36" s="7" t="s">
        <v>4</v>
      </c>
      <c r="AF36">
        <v>302.45</v>
      </c>
      <c r="AG36" s="7">
        <v>90.3</v>
      </c>
      <c r="AH36" s="7">
        <v>60.27</v>
      </c>
      <c r="AI36" s="7" t="s">
        <v>4</v>
      </c>
      <c r="AJ36">
        <v>227.68</v>
      </c>
      <c r="AK36" s="7" t="s">
        <v>4</v>
      </c>
      <c r="AL36" s="7">
        <v>5.64</v>
      </c>
      <c r="AM36" s="7" t="s">
        <v>4</v>
      </c>
      <c r="AN36" s="7">
        <v>24.08</v>
      </c>
      <c r="AO36" s="7">
        <v>50.17</v>
      </c>
      <c r="AP36" s="7" t="s">
        <v>4</v>
      </c>
      <c r="AQ36" s="7" t="s">
        <v>4</v>
      </c>
      <c r="AR36" s="7">
        <v>4.49</v>
      </c>
      <c r="AS36">
        <v>16.920000000000002</v>
      </c>
      <c r="AT36" s="7">
        <v>107.97</v>
      </c>
      <c r="AU36" s="7" t="s">
        <v>4</v>
      </c>
      <c r="AV36" s="7">
        <v>704.71</v>
      </c>
      <c r="AW36" s="7" t="s">
        <v>5</v>
      </c>
      <c r="AX36" s="7" t="s">
        <v>5</v>
      </c>
      <c r="AY36" s="7" t="s">
        <v>5</v>
      </c>
      <c r="AZ36" s="7" t="s">
        <v>4</v>
      </c>
      <c r="BA36" s="7">
        <v>8.14</v>
      </c>
      <c r="BB36" s="7">
        <v>1</v>
      </c>
      <c r="BC36">
        <v>5.6</v>
      </c>
      <c r="BD36" s="7">
        <v>22.26</v>
      </c>
      <c r="BE36" s="7" t="s">
        <v>4</v>
      </c>
      <c r="BF36" s="7">
        <v>3.11</v>
      </c>
      <c r="BG36" s="7">
        <v>7.18</v>
      </c>
      <c r="BH36" s="7">
        <v>4.37</v>
      </c>
    </row>
    <row r="37" spans="1:60">
      <c r="A37">
        <v>140</v>
      </c>
      <c r="B37" t="s">
        <v>74</v>
      </c>
      <c r="C37" t="s">
        <v>75</v>
      </c>
      <c r="D37" s="7" t="s">
        <v>4</v>
      </c>
      <c r="E37" s="7">
        <v>13.58</v>
      </c>
      <c r="F37" s="7" t="s">
        <v>5</v>
      </c>
      <c r="G37" s="7">
        <v>4.67</v>
      </c>
      <c r="H37" s="7">
        <v>1.96</v>
      </c>
      <c r="I37" s="7">
        <v>27.42</v>
      </c>
      <c r="J37" s="7" t="s">
        <v>4</v>
      </c>
      <c r="K37" s="7" t="s">
        <v>5</v>
      </c>
      <c r="L37" s="7">
        <v>5.28</v>
      </c>
      <c r="M37" s="7">
        <v>46.47</v>
      </c>
      <c r="N37" s="7" t="s">
        <v>4</v>
      </c>
      <c r="O37" s="7">
        <v>709.25</v>
      </c>
      <c r="P37" t="s">
        <v>5</v>
      </c>
      <c r="Q37" s="7" t="s">
        <v>4</v>
      </c>
      <c r="R37" s="7">
        <v>98.93</v>
      </c>
      <c r="S37" s="7" t="s">
        <v>4</v>
      </c>
      <c r="T37" s="7">
        <v>3.76</v>
      </c>
      <c r="U37" s="7" t="s">
        <v>4</v>
      </c>
      <c r="V37">
        <v>48.17</v>
      </c>
      <c r="W37" s="7">
        <v>6.39</v>
      </c>
      <c r="X37" s="7" t="s">
        <v>5</v>
      </c>
      <c r="Y37" s="7" t="s">
        <v>5</v>
      </c>
      <c r="Z37" s="7">
        <v>3.79</v>
      </c>
      <c r="AA37" s="7">
        <v>17.5</v>
      </c>
      <c r="AB37" s="7">
        <v>798.2</v>
      </c>
      <c r="AC37">
        <v>96.97</v>
      </c>
      <c r="AD37" s="7">
        <v>6.73</v>
      </c>
      <c r="AE37" s="7" t="s">
        <v>4</v>
      </c>
      <c r="AF37">
        <v>184.67</v>
      </c>
      <c r="AG37" s="7">
        <v>885.67</v>
      </c>
      <c r="AH37" s="7">
        <v>22.96</v>
      </c>
      <c r="AI37" s="7" t="s">
        <v>4</v>
      </c>
      <c r="AJ37">
        <v>217.35</v>
      </c>
      <c r="AK37" s="7" t="s">
        <v>4</v>
      </c>
      <c r="AL37" s="7" t="s">
        <v>4</v>
      </c>
      <c r="AM37" s="7" t="s">
        <v>4</v>
      </c>
      <c r="AN37" s="7" t="s">
        <v>4</v>
      </c>
      <c r="AO37" s="7">
        <v>4.9400000000000004</v>
      </c>
      <c r="AP37" s="7" t="s">
        <v>4</v>
      </c>
      <c r="AQ37" s="7" t="s">
        <v>4</v>
      </c>
      <c r="AR37" s="7" t="s">
        <v>4</v>
      </c>
      <c r="AS37">
        <v>3.64</v>
      </c>
      <c r="AT37" s="7" t="s">
        <v>5</v>
      </c>
      <c r="AU37" s="7" t="s">
        <v>4</v>
      </c>
      <c r="AV37" s="7">
        <v>598.76</v>
      </c>
      <c r="AW37" s="7" t="s">
        <v>5</v>
      </c>
      <c r="AX37" s="7">
        <v>932.29</v>
      </c>
      <c r="AY37" s="7">
        <v>585.03</v>
      </c>
      <c r="AZ37" s="7">
        <v>11.21</v>
      </c>
      <c r="BA37" s="7" t="s">
        <v>4</v>
      </c>
      <c r="BB37" s="7">
        <v>2.16</v>
      </c>
      <c r="BC37">
        <v>84.64</v>
      </c>
      <c r="BD37" s="7" t="s">
        <v>4</v>
      </c>
      <c r="BE37" s="7" t="s">
        <v>4</v>
      </c>
      <c r="BF37" s="7">
        <v>2.56</v>
      </c>
      <c r="BG37" s="7">
        <v>44</v>
      </c>
      <c r="BH37" s="7" t="s">
        <v>4</v>
      </c>
    </row>
    <row r="38" spans="1:60">
      <c r="A38">
        <v>30</v>
      </c>
      <c r="B38" t="s">
        <v>76</v>
      </c>
      <c r="C38" t="s">
        <v>77</v>
      </c>
      <c r="D38" s="7" t="s">
        <v>4</v>
      </c>
      <c r="E38" s="7" t="s">
        <v>5</v>
      </c>
      <c r="F38" s="7">
        <v>46.11</v>
      </c>
      <c r="G38" s="7" t="s">
        <v>4</v>
      </c>
      <c r="H38" s="7" t="s">
        <v>4</v>
      </c>
      <c r="I38" s="7" t="s">
        <v>4</v>
      </c>
      <c r="J38" s="7" t="s">
        <v>4</v>
      </c>
      <c r="K38" s="7">
        <v>13.34</v>
      </c>
      <c r="L38" s="7" t="s">
        <v>4</v>
      </c>
      <c r="M38" s="7">
        <v>40.98</v>
      </c>
      <c r="N38" s="7" t="s">
        <v>4</v>
      </c>
      <c r="O38" s="7">
        <v>335.32</v>
      </c>
      <c r="P38">
        <v>87.14</v>
      </c>
      <c r="Q38" s="7" t="s">
        <v>4</v>
      </c>
      <c r="R38" s="7" t="s">
        <v>4</v>
      </c>
      <c r="S38" s="7" t="s">
        <v>4</v>
      </c>
      <c r="T38" s="7">
        <v>3.57</v>
      </c>
      <c r="U38" s="7" t="s">
        <v>4</v>
      </c>
      <c r="V38">
        <v>7.67</v>
      </c>
      <c r="W38" s="7">
        <v>14.01</v>
      </c>
      <c r="X38" s="7" t="s">
        <v>5</v>
      </c>
      <c r="Y38" s="7" t="s">
        <v>5</v>
      </c>
      <c r="Z38" s="7" t="s">
        <v>4</v>
      </c>
      <c r="AA38" s="7">
        <v>9.3699999999999992</v>
      </c>
      <c r="AB38" s="7" t="s">
        <v>5</v>
      </c>
      <c r="AC38">
        <v>102.57</v>
      </c>
      <c r="AD38" s="7" t="s">
        <v>4</v>
      </c>
      <c r="AE38" s="7" t="s">
        <v>4</v>
      </c>
      <c r="AF38">
        <v>82.58</v>
      </c>
      <c r="AG38" s="7">
        <v>10.67</v>
      </c>
      <c r="AH38" s="7">
        <v>8.39</v>
      </c>
      <c r="AI38" s="7" t="s">
        <v>4</v>
      </c>
      <c r="AJ38">
        <v>63.29</v>
      </c>
      <c r="AK38" s="7" t="s">
        <v>4</v>
      </c>
      <c r="AL38" s="7">
        <v>5.24</v>
      </c>
      <c r="AM38" s="7" t="s">
        <v>4</v>
      </c>
      <c r="AN38" s="7">
        <v>34.700000000000003</v>
      </c>
      <c r="AO38" s="7">
        <v>4.09</v>
      </c>
      <c r="AP38" s="7" t="s">
        <v>4</v>
      </c>
      <c r="AQ38" s="7" t="s">
        <v>4</v>
      </c>
      <c r="AR38" s="7" t="s">
        <v>4</v>
      </c>
      <c r="AS38">
        <v>25.77</v>
      </c>
      <c r="AT38" s="7">
        <v>60.75</v>
      </c>
      <c r="AU38" s="7" t="s">
        <v>4</v>
      </c>
      <c r="AV38" s="7" t="s">
        <v>4</v>
      </c>
      <c r="AW38" s="7" t="s">
        <v>4</v>
      </c>
      <c r="AX38" s="7">
        <v>13.4</v>
      </c>
      <c r="AY38" s="7">
        <v>43.26</v>
      </c>
      <c r="AZ38" s="7">
        <v>9.32</v>
      </c>
      <c r="BA38" s="7">
        <v>11.31</v>
      </c>
      <c r="BB38" s="7">
        <v>1.64</v>
      </c>
      <c r="BC38">
        <v>10.16</v>
      </c>
      <c r="BD38" s="7">
        <v>11.5</v>
      </c>
      <c r="BE38" s="7" t="s">
        <v>4</v>
      </c>
      <c r="BF38" s="7">
        <v>6.01</v>
      </c>
      <c r="BG38" s="7">
        <v>5.4</v>
      </c>
      <c r="BH38" s="7">
        <v>3.26</v>
      </c>
    </row>
    <row r="39" spans="1:60">
      <c r="A39">
        <v>34</v>
      </c>
      <c r="B39" t="s">
        <v>78</v>
      </c>
      <c r="C39" t="s">
        <v>79</v>
      </c>
      <c r="D39" s="7" t="s">
        <v>4</v>
      </c>
      <c r="E39" s="7" t="s">
        <v>5</v>
      </c>
      <c r="F39" s="7">
        <v>7.01</v>
      </c>
      <c r="G39" s="7" t="s">
        <v>4</v>
      </c>
      <c r="H39" s="7" t="s">
        <v>4</v>
      </c>
      <c r="I39" s="7" t="s">
        <v>4</v>
      </c>
      <c r="J39" s="7" t="s">
        <v>4</v>
      </c>
      <c r="K39" s="7" t="s">
        <v>4</v>
      </c>
      <c r="L39" s="7" t="s">
        <v>4</v>
      </c>
      <c r="M39" s="7">
        <v>167.26</v>
      </c>
      <c r="N39" s="7" t="s">
        <v>4</v>
      </c>
      <c r="O39" s="7">
        <v>76.12</v>
      </c>
      <c r="P39">
        <v>150.5</v>
      </c>
      <c r="Q39" s="7" t="s">
        <v>4</v>
      </c>
      <c r="R39" s="7" t="s">
        <v>4</v>
      </c>
      <c r="S39" s="7" t="s">
        <v>4</v>
      </c>
      <c r="T39" s="7">
        <v>1.04</v>
      </c>
      <c r="U39" s="7" t="s">
        <v>4</v>
      </c>
      <c r="V39">
        <v>5.48</v>
      </c>
      <c r="W39" s="7">
        <v>104.31</v>
      </c>
      <c r="X39" s="7">
        <v>650.85</v>
      </c>
      <c r="Y39" s="7">
        <v>742.23</v>
      </c>
      <c r="Z39" s="7" t="s">
        <v>4</v>
      </c>
      <c r="AA39" s="7">
        <v>11.87</v>
      </c>
      <c r="AB39" s="7" t="s">
        <v>5</v>
      </c>
      <c r="AC39">
        <v>265.95</v>
      </c>
      <c r="AD39" s="7" t="s">
        <v>4</v>
      </c>
      <c r="AE39" s="7" t="s">
        <v>4</v>
      </c>
      <c r="AF39">
        <v>150.59</v>
      </c>
      <c r="AG39" s="7" t="s">
        <v>4</v>
      </c>
      <c r="AH39" s="7">
        <v>4.9000000000000004</v>
      </c>
      <c r="AI39" s="7" t="s">
        <v>4</v>
      </c>
      <c r="AJ39">
        <v>42.14</v>
      </c>
      <c r="AK39" s="7" t="s">
        <v>4</v>
      </c>
      <c r="AL39" s="7">
        <v>116.92</v>
      </c>
      <c r="AM39" s="7" t="s">
        <v>4</v>
      </c>
      <c r="AN39" s="7">
        <v>615.23</v>
      </c>
      <c r="AO39" s="7" t="s">
        <v>4</v>
      </c>
      <c r="AP39" s="7" t="s">
        <v>4</v>
      </c>
      <c r="AQ39" s="7">
        <v>64.06</v>
      </c>
      <c r="AR39" s="7">
        <v>6.18</v>
      </c>
      <c r="AS39">
        <v>310.70999999999998</v>
      </c>
      <c r="AT39" s="7">
        <v>48.25</v>
      </c>
      <c r="AU39" s="7" t="s">
        <v>4</v>
      </c>
      <c r="AV39" s="7" t="s">
        <v>4</v>
      </c>
      <c r="AW39" s="7" t="s">
        <v>4</v>
      </c>
      <c r="AX39" s="7">
        <v>979.21</v>
      </c>
      <c r="AY39" s="7">
        <v>443</v>
      </c>
      <c r="AZ39" s="7" t="s">
        <v>4</v>
      </c>
      <c r="BA39" s="7">
        <v>543.02</v>
      </c>
      <c r="BB39" s="7" t="s">
        <v>4</v>
      </c>
      <c r="BC39" t="s">
        <v>4</v>
      </c>
      <c r="BD39" s="7" t="s">
        <v>4</v>
      </c>
      <c r="BE39" s="7">
        <v>67.67</v>
      </c>
      <c r="BF39" s="7" t="s">
        <v>4</v>
      </c>
      <c r="BG39" s="7" t="s">
        <v>4</v>
      </c>
      <c r="BH39" s="7">
        <v>33.97</v>
      </c>
    </row>
    <row r="40" spans="1:60">
      <c r="A40">
        <v>185</v>
      </c>
      <c r="B40" t="s">
        <v>80</v>
      </c>
      <c r="C40" t="s">
        <v>81</v>
      </c>
      <c r="D40" s="7" t="s">
        <v>4</v>
      </c>
      <c r="E40" s="7">
        <v>21.96</v>
      </c>
      <c r="F40" s="7" t="s">
        <v>5</v>
      </c>
      <c r="G40" s="7" t="s">
        <v>5</v>
      </c>
      <c r="H40" s="7">
        <v>6.89</v>
      </c>
      <c r="I40" s="7">
        <v>16.34</v>
      </c>
      <c r="J40" s="7" t="s">
        <v>4</v>
      </c>
      <c r="K40" s="7" t="s">
        <v>5</v>
      </c>
      <c r="L40" s="7" t="s">
        <v>4</v>
      </c>
      <c r="M40" s="7">
        <v>4.62</v>
      </c>
      <c r="N40" s="7">
        <v>3.17</v>
      </c>
      <c r="O40" s="7">
        <v>82.34</v>
      </c>
      <c r="P40">
        <v>37.17</v>
      </c>
      <c r="Q40" s="7" t="s">
        <v>4</v>
      </c>
      <c r="R40" s="7">
        <v>73.02</v>
      </c>
      <c r="S40" s="7" t="s">
        <v>4</v>
      </c>
      <c r="T40" s="7">
        <v>12.96</v>
      </c>
      <c r="U40" s="7" t="s">
        <v>4</v>
      </c>
      <c r="V40">
        <v>20.12</v>
      </c>
      <c r="W40" s="7" t="s">
        <v>4</v>
      </c>
      <c r="X40" s="7">
        <v>1524.77</v>
      </c>
      <c r="Y40" s="7">
        <v>266.91000000000003</v>
      </c>
      <c r="Z40" s="7" t="s">
        <v>4</v>
      </c>
      <c r="AA40" s="7">
        <v>5.1100000000000003</v>
      </c>
      <c r="AB40" s="7">
        <v>53.19</v>
      </c>
      <c r="AC40">
        <v>23.68</v>
      </c>
      <c r="AD40" s="7" t="s">
        <v>4</v>
      </c>
      <c r="AE40" s="7" t="s">
        <v>4</v>
      </c>
      <c r="AF40">
        <v>104.98</v>
      </c>
      <c r="AG40" s="7">
        <v>166.63</v>
      </c>
      <c r="AH40" s="7" t="s">
        <v>4</v>
      </c>
      <c r="AI40" s="7" t="s">
        <v>4</v>
      </c>
      <c r="AJ40">
        <v>90.83</v>
      </c>
      <c r="AK40" s="7" t="s">
        <v>4</v>
      </c>
      <c r="AL40" s="7" t="s">
        <v>4</v>
      </c>
      <c r="AM40" s="7" t="s">
        <v>4</v>
      </c>
      <c r="AN40" s="7">
        <v>23.98</v>
      </c>
      <c r="AO40" s="7">
        <v>23.94</v>
      </c>
      <c r="AP40" s="7" t="s">
        <v>4</v>
      </c>
      <c r="AQ40" s="7" t="s">
        <v>4</v>
      </c>
      <c r="AR40" s="7" t="s">
        <v>4</v>
      </c>
      <c r="AS40">
        <v>17.489999999999998</v>
      </c>
      <c r="AT40" s="7">
        <v>90.07</v>
      </c>
      <c r="AU40" s="7" t="s">
        <v>4</v>
      </c>
      <c r="AV40" s="7" t="s">
        <v>4</v>
      </c>
      <c r="AW40" s="7">
        <v>18</v>
      </c>
      <c r="AX40" s="7" t="s">
        <v>4</v>
      </c>
      <c r="AY40" s="7" t="s">
        <v>4</v>
      </c>
      <c r="AZ40" s="7" t="s">
        <v>4</v>
      </c>
      <c r="BA40" s="7" t="s">
        <v>4</v>
      </c>
      <c r="BB40" s="7" t="s">
        <v>4</v>
      </c>
      <c r="BC40">
        <v>45.87</v>
      </c>
      <c r="BD40" s="7" t="s">
        <v>4</v>
      </c>
      <c r="BE40" s="7" t="s">
        <v>4</v>
      </c>
      <c r="BF40" s="7" t="s">
        <v>4</v>
      </c>
      <c r="BG40" s="7">
        <v>3.78</v>
      </c>
      <c r="BH40" s="7" t="s">
        <v>4</v>
      </c>
    </row>
    <row r="41" spans="1:60">
      <c r="A41">
        <v>90</v>
      </c>
      <c r="B41" t="s">
        <v>82</v>
      </c>
      <c r="C41" t="s">
        <v>83</v>
      </c>
      <c r="D41" s="7" t="s">
        <v>4</v>
      </c>
      <c r="E41" s="7" t="s">
        <v>5</v>
      </c>
      <c r="F41" s="7" t="s">
        <v>5</v>
      </c>
      <c r="G41" s="7">
        <v>6.58</v>
      </c>
      <c r="H41" s="7">
        <v>22.07</v>
      </c>
      <c r="I41" s="7">
        <v>38.119999999999997</v>
      </c>
      <c r="J41" s="7" t="s">
        <v>4</v>
      </c>
      <c r="K41" s="7">
        <v>75.34</v>
      </c>
      <c r="L41" s="7">
        <v>3.8</v>
      </c>
      <c r="M41" s="7">
        <v>35.6</v>
      </c>
      <c r="N41" s="7">
        <v>2.02</v>
      </c>
      <c r="O41" s="7">
        <v>390.79</v>
      </c>
      <c r="P41">
        <v>223.24</v>
      </c>
      <c r="Q41" s="7" t="s">
        <v>4</v>
      </c>
      <c r="R41" s="7">
        <v>174.08</v>
      </c>
      <c r="S41" s="7" t="s">
        <v>4</v>
      </c>
      <c r="T41" s="7">
        <v>7.55</v>
      </c>
      <c r="U41" s="7" t="s">
        <v>4</v>
      </c>
      <c r="V41">
        <v>48.22</v>
      </c>
      <c r="W41" s="7">
        <v>26.85</v>
      </c>
      <c r="X41" s="7" t="s">
        <v>5</v>
      </c>
      <c r="Y41" s="7" t="s">
        <v>5</v>
      </c>
      <c r="Z41" s="7" t="s">
        <v>4</v>
      </c>
      <c r="AA41" s="7">
        <v>17.54</v>
      </c>
      <c r="AB41" s="7" t="s">
        <v>5</v>
      </c>
      <c r="AC41">
        <v>79.38</v>
      </c>
      <c r="AD41" s="7">
        <v>1.57</v>
      </c>
      <c r="AE41" s="7" t="s">
        <v>4</v>
      </c>
      <c r="AF41">
        <v>270.36</v>
      </c>
      <c r="AG41" s="7">
        <v>238.75</v>
      </c>
      <c r="AH41" s="7">
        <v>16.43</v>
      </c>
      <c r="AI41" s="7" t="s">
        <v>4</v>
      </c>
      <c r="AJ41">
        <v>158.79</v>
      </c>
      <c r="AK41" s="7" t="s">
        <v>4</v>
      </c>
      <c r="AL41" s="7">
        <v>4.0999999999999996</v>
      </c>
      <c r="AM41" s="7" t="s">
        <v>4</v>
      </c>
      <c r="AN41" s="7">
        <v>73.930000000000007</v>
      </c>
      <c r="AO41" s="7">
        <v>52.6</v>
      </c>
      <c r="AP41" s="7" t="s">
        <v>4</v>
      </c>
      <c r="AQ41" s="7" t="s">
        <v>4</v>
      </c>
      <c r="AR41" s="7" t="s">
        <v>4</v>
      </c>
      <c r="AS41">
        <v>26.82</v>
      </c>
      <c r="AT41" s="7" t="s">
        <v>5</v>
      </c>
      <c r="AU41" s="7" t="s">
        <v>4</v>
      </c>
      <c r="AV41" s="7" t="s">
        <v>4</v>
      </c>
      <c r="AW41" s="7">
        <v>867.79</v>
      </c>
      <c r="AX41" s="7">
        <v>128.37</v>
      </c>
      <c r="AY41" s="7">
        <v>302.45999999999998</v>
      </c>
      <c r="AZ41" s="7">
        <v>6.02</v>
      </c>
      <c r="BA41" s="7" t="s">
        <v>4</v>
      </c>
      <c r="BB41" s="7" t="s">
        <v>4</v>
      </c>
      <c r="BC41">
        <v>149.94</v>
      </c>
      <c r="BD41" s="7">
        <v>8.07</v>
      </c>
      <c r="BE41" s="7" t="s">
        <v>4</v>
      </c>
      <c r="BF41" s="7" t="s">
        <v>4</v>
      </c>
      <c r="BG41" s="7">
        <v>21.96</v>
      </c>
      <c r="BH41" s="7" t="s">
        <v>4</v>
      </c>
    </row>
    <row r="42" spans="1:60">
      <c r="A42">
        <v>42</v>
      </c>
      <c r="B42" t="s">
        <v>84</v>
      </c>
      <c r="C42" t="s">
        <v>85</v>
      </c>
      <c r="D42" s="7" t="s">
        <v>4</v>
      </c>
      <c r="E42" s="7">
        <v>9.5</v>
      </c>
      <c r="F42" s="7" t="s">
        <v>5</v>
      </c>
      <c r="G42" s="7">
        <v>10.34</v>
      </c>
      <c r="H42" s="7">
        <v>9.48</v>
      </c>
      <c r="I42" s="7">
        <v>7.61</v>
      </c>
      <c r="J42" s="7" t="s">
        <v>4</v>
      </c>
      <c r="K42" s="7">
        <v>388.98</v>
      </c>
      <c r="L42" s="7" t="s">
        <v>4</v>
      </c>
      <c r="M42" s="7">
        <v>6.81</v>
      </c>
      <c r="N42" s="7">
        <v>10.76</v>
      </c>
      <c r="O42" s="7">
        <v>7.49</v>
      </c>
      <c r="P42">
        <v>45.69</v>
      </c>
      <c r="Q42" s="7" t="s">
        <v>4</v>
      </c>
      <c r="R42" s="7">
        <v>19.260000000000002</v>
      </c>
      <c r="S42" s="7" t="s">
        <v>4</v>
      </c>
      <c r="T42" s="7" t="s">
        <v>4</v>
      </c>
      <c r="U42" s="7" t="s">
        <v>4</v>
      </c>
      <c r="V42">
        <v>8.17</v>
      </c>
      <c r="W42" s="7" t="s">
        <v>4</v>
      </c>
      <c r="X42" s="7">
        <v>393.82</v>
      </c>
      <c r="Y42" s="7">
        <v>285.44</v>
      </c>
      <c r="Z42" s="7" t="s">
        <v>4</v>
      </c>
      <c r="AA42" s="7">
        <v>2.2799999999999998</v>
      </c>
      <c r="AB42" s="7">
        <v>50.84</v>
      </c>
      <c r="AC42">
        <v>9.3000000000000007</v>
      </c>
      <c r="AD42" s="7" t="s">
        <v>4</v>
      </c>
      <c r="AE42" s="7" t="s">
        <v>4</v>
      </c>
      <c r="AF42">
        <v>78.55</v>
      </c>
      <c r="AG42" s="7">
        <v>79.989999999999995</v>
      </c>
      <c r="AH42" s="7">
        <v>4.51</v>
      </c>
      <c r="AI42" s="7" t="s">
        <v>4</v>
      </c>
      <c r="AJ42">
        <v>144.9</v>
      </c>
      <c r="AK42" s="7" t="s">
        <v>4</v>
      </c>
      <c r="AL42" s="7" t="s">
        <v>4</v>
      </c>
      <c r="AM42" s="7" t="s">
        <v>4</v>
      </c>
      <c r="AN42" s="7">
        <v>7.19</v>
      </c>
      <c r="AO42" s="7">
        <v>4.5999999999999996</v>
      </c>
      <c r="AP42" s="7" t="s">
        <v>4</v>
      </c>
      <c r="AQ42" s="7" t="s">
        <v>4</v>
      </c>
      <c r="AR42" s="7" t="s">
        <v>4</v>
      </c>
      <c r="AS42">
        <v>8.49</v>
      </c>
      <c r="AT42" s="7">
        <v>4.72</v>
      </c>
      <c r="AU42" s="7" t="s">
        <v>4</v>
      </c>
      <c r="AV42" s="7" t="s">
        <v>4</v>
      </c>
      <c r="AW42" s="7" t="s">
        <v>4</v>
      </c>
      <c r="AX42" s="7" t="s">
        <v>4</v>
      </c>
      <c r="AY42" s="7" t="s">
        <v>4</v>
      </c>
      <c r="AZ42" s="7" t="s">
        <v>4</v>
      </c>
      <c r="BA42" s="7" t="s">
        <v>4</v>
      </c>
      <c r="BB42" s="7" t="s">
        <v>4</v>
      </c>
      <c r="BC42">
        <v>9.34</v>
      </c>
      <c r="BD42" s="7" t="s">
        <v>4</v>
      </c>
      <c r="BE42" s="7" t="s">
        <v>4</v>
      </c>
      <c r="BF42" s="7" t="s">
        <v>4</v>
      </c>
      <c r="BG42" s="7">
        <v>1.57</v>
      </c>
      <c r="BH42" s="7" t="s">
        <v>4</v>
      </c>
    </row>
    <row r="43" spans="1:60">
      <c r="A43">
        <v>118</v>
      </c>
      <c r="B43" t="s">
        <v>86</v>
      </c>
      <c r="C43" t="s">
        <v>87</v>
      </c>
      <c r="D43" s="7" t="s">
        <v>4</v>
      </c>
      <c r="E43" s="7" t="s">
        <v>5</v>
      </c>
      <c r="F43" s="7" t="s">
        <v>5</v>
      </c>
      <c r="G43" s="7" t="s">
        <v>4</v>
      </c>
      <c r="H43" s="7" t="s">
        <v>4</v>
      </c>
      <c r="I43" s="7" t="s">
        <v>4</v>
      </c>
      <c r="J43" s="7" t="s">
        <v>4</v>
      </c>
      <c r="K43" s="7">
        <v>11.42</v>
      </c>
      <c r="L43" s="7" t="s">
        <v>4</v>
      </c>
      <c r="M43" s="7">
        <v>806.79</v>
      </c>
      <c r="N43" s="7" t="s">
        <v>4</v>
      </c>
      <c r="O43" s="7" t="s">
        <v>5</v>
      </c>
      <c r="P43" t="s">
        <v>5</v>
      </c>
      <c r="Q43" s="7" t="s">
        <v>4</v>
      </c>
      <c r="R43" s="7" t="s">
        <v>4</v>
      </c>
      <c r="S43" s="7" t="s">
        <v>4</v>
      </c>
      <c r="T43" s="7">
        <v>42.84</v>
      </c>
      <c r="U43" s="7" t="s">
        <v>4</v>
      </c>
      <c r="V43">
        <v>25.89</v>
      </c>
      <c r="W43" s="7" t="s">
        <v>5</v>
      </c>
      <c r="X43" s="7" t="s">
        <v>5</v>
      </c>
      <c r="Y43" s="7" t="s">
        <v>5</v>
      </c>
      <c r="Z43" s="7" t="s">
        <v>4</v>
      </c>
      <c r="AA43" s="7">
        <v>231.6</v>
      </c>
      <c r="AB43" s="7" t="s">
        <v>5</v>
      </c>
      <c r="AC43">
        <v>149.68</v>
      </c>
      <c r="AD43" s="7">
        <v>1.71</v>
      </c>
      <c r="AE43" s="7" t="s">
        <v>4</v>
      </c>
      <c r="AF43">
        <v>970.32</v>
      </c>
      <c r="AG43" s="7">
        <v>165.26</v>
      </c>
      <c r="AH43" s="7">
        <v>27.65</v>
      </c>
      <c r="AI43" s="7" t="s">
        <v>4</v>
      </c>
      <c r="AJ43">
        <v>361.13</v>
      </c>
      <c r="AK43" s="7" t="s">
        <v>4</v>
      </c>
      <c r="AL43" s="7">
        <v>34.299999999999997</v>
      </c>
      <c r="AM43" s="7" t="s">
        <v>4</v>
      </c>
      <c r="AN43" s="7">
        <v>275.33999999999997</v>
      </c>
      <c r="AO43" s="7">
        <v>30.26</v>
      </c>
      <c r="AP43" s="7" t="s">
        <v>4</v>
      </c>
      <c r="AQ43" s="7">
        <v>2.8</v>
      </c>
      <c r="AR43" s="7">
        <v>6.82</v>
      </c>
      <c r="AS43">
        <v>141.37</v>
      </c>
      <c r="AT43" s="7">
        <v>578.5</v>
      </c>
      <c r="AU43" s="7" t="s">
        <v>4</v>
      </c>
      <c r="AV43" s="7">
        <v>94.94</v>
      </c>
      <c r="AW43" s="7">
        <v>249.93</v>
      </c>
      <c r="AX43" s="7">
        <v>564.16</v>
      </c>
      <c r="AY43" s="7">
        <v>571.23</v>
      </c>
      <c r="AZ43" s="7">
        <v>39.590000000000003</v>
      </c>
      <c r="BA43" s="7">
        <v>13.14</v>
      </c>
      <c r="BB43" s="7">
        <v>8.49</v>
      </c>
      <c r="BC43">
        <v>268.05</v>
      </c>
      <c r="BD43" s="7">
        <v>4.71</v>
      </c>
      <c r="BE43" s="7" t="s">
        <v>4</v>
      </c>
      <c r="BF43" s="7">
        <v>17.75</v>
      </c>
      <c r="BG43" s="7">
        <v>14.68</v>
      </c>
      <c r="BH43" s="7">
        <v>8.1199999999999992</v>
      </c>
    </row>
    <row r="44" spans="1:60">
      <c r="A44">
        <v>108</v>
      </c>
      <c r="B44" t="s">
        <v>88</v>
      </c>
      <c r="C44" t="s">
        <v>89</v>
      </c>
      <c r="D44" s="7" t="s">
        <v>4</v>
      </c>
      <c r="E44" s="7" t="s">
        <v>5</v>
      </c>
      <c r="F44" s="7">
        <v>47.09</v>
      </c>
      <c r="G44" s="7">
        <v>3.57</v>
      </c>
      <c r="H44" s="7" t="s">
        <v>4</v>
      </c>
      <c r="I44" s="7">
        <v>14.92</v>
      </c>
      <c r="J44" s="7" t="s">
        <v>4</v>
      </c>
      <c r="K44" s="7">
        <v>106.49</v>
      </c>
      <c r="L44" s="7" t="s">
        <v>4</v>
      </c>
      <c r="M44" s="7" t="s">
        <v>5</v>
      </c>
      <c r="N44" s="7" t="s">
        <v>4</v>
      </c>
      <c r="O44" s="7" t="s">
        <v>5</v>
      </c>
      <c r="P44">
        <v>616.46</v>
      </c>
      <c r="Q44" s="7" t="s">
        <v>4</v>
      </c>
      <c r="R44" s="7" t="s">
        <v>4</v>
      </c>
      <c r="S44" s="7">
        <v>10.41</v>
      </c>
      <c r="T44" s="7">
        <v>287.88</v>
      </c>
      <c r="U44" s="7" t="s">
        <v>4</v>
      </c>
      <c r="V44">
        <v>18.52</v>
      </c>
      <c r="W44" s="7" t="s">
        <v>5</v>
      </c>
      <c r="X44" s="7" t="s">
        <v>5</v>
      </c>
      <c r="Y44" s="7" t="s">
        <v>5</v>
      </c>
      <c r="Z44" s="7" t="s">
        <v>4</v>
      </c>
      <c r="AA44" s="7">
        <v>154.30000000000001</v>
      </c>
      <c r="AB44" s="7" t="s">
        <v>5</v>
      </c>
      <c r="AC44">
        <v>112.58</v>
      </c>
      <c r="AD44" s="7" t="s">
        <v>4</v>
      </c>
      <c r="AE44" s="7" t="s">
        <v>4</v>
      </c>
      <c r="AF44">
        <v>104.66</v>
      </c>
      <c r="AG44" s="7" t="s">
        <v>4</v>
      </c>
      <c r="AH44" s="7">
        <v>3.3</v>
      </c>
      <c r="AI44" s="7" t="s">
        <v>4</v>
      </c>
      <c r="AJ44">
        <v>146.03</v>
      </c>
      <c r="AK44" s="7" t="s">
        <v>4</v>
      </c>
      <c r="AL44" s="7" t="s">
        <v>4</v>
      </c>
      <c r="AM44" s="7" t="s">
        <v>4</v>
      </c>
      <c r="AN44" s="7">
        <v>25.47</v>
      </c>
      <c r="AO44" s="7" t="s">
        <v>4</v>
      </c>
      <c r="AP44" s="7" t="s">
        <v>4</v>
      </c>
      <c r="AQ44" s="7" t="s">
        <v>4</v>
      </c>
      <c r="AR44" s="7" t="s">
        <v>4</v>
      </c>
      <c r="AS44">
        <v>33.22</v>
      </c>
      <c r="AT44" s="7">
        <v>84.24</v>
      </c>
      <c r="AU44" s="7" t="s">
        <v>4</v>
      </c>
      <c r="AV44" s="7" t="s">
        <v>5</v>
      </c>
      <c r="AW44" s="7">
        <v>40.31</v>
      </c>
      <c r="AX44" s="7" t="s">
        <v>5</v>
      </c>
      <c r="AY44" s="7">
        <v>203.51</v>
      </c>
      <c r="AZ44" s="7">
        <v>51.2</v>
      </c>
      <c r="BA44" s="7">
        <v>11.61</v>
      </c>
      <c r="BB44" s="7">
        <v>10.28</v>
      </c>
      <c r="BC44">
        <v>14.01</v>
      </c>
      <c r="BD44" s="7" t="s">
        <v>4</v>
      </c>
      <c r="BE44" s="7" t="s">
        <v>4</v>
      </c>
      <c r="BF44" s="7">
        <v>4.16</v>
      </c>
      <c r="BG44" s="7" t="s">
        <v>4</v>
      </c>
      <c r="BH44" s="7">
        <v>3.99</v>
      </c>
    </row>
    <row r="45" spans="1:60">
      <c r="A45">
        <v>52</v>
      </c>
      <c r="B45" t="s">
        <v>90</v>
      </c>
      <c r="C45" t="s">
        <v>91</v>
      </c>
      <c r="D45" s="7" t="s">
        <v>4</v>
      </c>
      <c r="E45" s="7">
        <v>12.77</v>
      </c>
      <c r="F45" s="7" t="s">
        <v>5</v>
      </c>
      <c r="G45" s="7">
        <v>28.8</v>
      </c>
      <c r="H45" s="7">
        <v>7.95</v>
      </c>
      <c r="I45" s="7">
        <v>15.29</v>
      </c>
      <c r="J45" s="7" t="s">
        <v>4</v>
      </c>
      <c r="K45" s="7" t="s">
        <v>5</v>
      </c>
      <c r="L45" s="7" t="s">
        <v>4</v>
      </c>
      <c r="M45" s="7">
        <v>14.37</v>
      </c>
      <c r="N45" s="7" t="s">
        <v>4</v>
      </c>
      <c r="O45" s="7">
        <v>67.05</v>
      </c>
      <c r="P45">
        <v>43.32</v>
      </c>
      <c r="Q45" s="7" t="s">
        <v>4</v>
      </c>
      <c r="R45" s="7">
        <v>21.96</v>
      </c>
      <c r="S45" s="7" t="s">
        <v>4</v>
      </c>
      <c r="T45" s="7">
        <v>1.88</v>
      </c>
      <c r="U45" s="7" t="s">
        <v>4</v>
      </c>
      <c r="V45">
        <v>25.97</v>
      </c>
      <c r="W45" s="7" t="s">
        <v>4</v>
      </c>
      <c r="X45" s="7">
        <v>617.39</v>
      </c>
      <c r="Y45" s="7">
        <v>163.78</v>
      </c>
      <c r="Z45" s="7" t="s">
        <v>4</v>
      </c>
      <c r="AA45" s="7">
        <v>4.1500000000000004</v>
      </c>
      <c r="AB45" s="7">
        <v>186.59</v>
      </c>
      <c r="AC45">
        <v>15.24</v>
      </c>
      <c r="AD45" s="7" t="s">
        <v>4</v>
      </c>
      <c r="AE45" s="7" t="s">
        <v>4</v>
      </c>
      <c r="AF45">
        <v>175.67</v>
      </c>
      <c r="AG45" s="7">
        <v>104.03</v>
      </c>
      <c r="AH45" s="7">
        <v>18.170000000000002</v>
      </c>
      <c r="AI45" s="7" t="s">
        <v>4</v>
      </c>
      <c r="AJ45">
        <v>199.14</v>
      </c>
      <c r="AK45" s="7" t="s">
        <v>4</v>
      </c>
      <c r="AL45" s="7" t="s">
        <v>4</v>
      </c>
      <c r="AM45" s="7" t="s">
        <v>4</v>
      </c>
      <c r="AN45" s="7">
        <v>17.600000000000001</v>
      </c>
      <c r="AO45" s="7">
        <v>6.88</v>
      </c>
      <c r="AP45" s="7" t="s">
        <v>4</v>
      </c>
      <c r="AQ45" s="7" t="s">
        <v>4</v>
      </c>
      <c r="AR45" s="7" t="s">
        <v>4</v>
      </c>
      <c r="AS45">
        <v>15.2</v>
      </c>
      <c r="AT45" s="7">
        <v>8.48</v>
      </c>
      <c r="AU45" s="7" t="s">
        <v>4</v>
      </c>
      <c r="AV45" s="7" t="s">
        <v>4</v>
      </c>
      <c r="AW45" s="7" t="s">
        <v>4</v>
      </c>
      <c r="AX45" s="7" t="s">
        <v>4</v>
      </c>
      <c r="AY45" s="7" t="s">
        <v>4</v>
      </c>
      <c r="AZ45" s="7" t="s">
        <v>4</v>
      </c>
      <c r="BA45" s="7" t="s">
        <v>4</v>
      </c>
      <c r="BB45" s="7" t="s">
        <v>4</v>
      </c>
      <c r="BC45">
        <v>18.39</v>
      </c>
      <c r="BD45" s="7" t="s">
        <v>4</v>
      </c>
      <c r="BE45" s="7" t="s">
        <v>4</v>
      </c>
      <c r="BF45" s="7" t="s">
        <v>4</v>
      </c>
      <c r="BG45" s="7">
        <v>2.27</v>
      </c>
      <c r="BH45" s="7" t="s">
        <v>4</v>
      </c>
    </row>
    <row r="46" spans="1:60">
      <c r="A46">
        <v>89</v>
      </c>
      <c r="B46" t="s">
        <v>92</v>
      </c>
      <c r="C46" t="s">
        <v>93</v>
      </c>
      <c r="D46" s="7">
        <v>9.19</v>
      </c>
      <c r="E46" s="7">
        <v>25.7</v>
      </c>
      <c r="F46" s="7" t="s">
        <v>5</v>
      </c>
      <c r="G46" s="7">
        <v>5.44</v>
      </c>
      <c r="H46" s="7">
        <v>2.09</v>
      </c>
      <c r="I46" s="7">
        <v>3.32</v>
      </c>
      <c r="J46" s="7" t="s">
        <v>4</v>
      </c>
      <c r="K46" s="7" t="s">
        <v>5</v>
      </c>
      <c r="L46" s="7" t="s">
        <v>4</v>
      </c>
      <c r="M46" s="7">
        <v>7.54</v>
      </c>
      <c r="N46" s="7" t="s">
        <v>4</v>
      </c>
      <c r="O46" s="7">
        <v>136.63999999999999</v>
      </c>
      <c r="P46">
        <v>105.46</v>
      </c>
      <c r="Q46" s="7" t="s">
        <v>4</v>
      </c>
      <c r="R46" s="7">
        <v>102.97</v>
      </c>
      <c r="S46" s="7" t="s">
        <v>4</v>
      </c>
      <c r="T46" s="7">
        <v>15.53</v>
      </c>
      <c r="U46" s="7" t="s">
        <v>4</v>
      </c>
      <c r="V46">
        <v>8.89</v>
      </c>
      <c r="W46" s="7" t="s">
        <v>4</v>
      </c>
      <c r="X46" s="7">
        <v>1717.34</v>
      </c>
      <c r="Y46" s="7">
        <v>315.39</v>
      </c>
      <c r="Z46" s="7">
        <v>1.88</v>
      </c>
      <c r="AA46" s="7">
        <v>4.79</v>
      </c>
      <c r="AB46" s="7">
        <v>326.13</v>
      </c>
      <c r="AC46">
        <v>15.77</v>
      </c>
      <c r="AD46" s="7" t="s">
        <v>4</v>
      </c>
      <c r="AE46" s="7" t="s">
        <v>4</v>
      </c>
      <c r="AF46">
        <v>121.93</v>
      </c>
      <c r="AG46" s="7">
        <v>204.18</v>
      </c>
      <c r="AH46" s="7">
        <v>24.97</v>
      </c>
      <c r="AI46" s="7" t="s">
        <v>4</v>
      </c>
      <c r="AJ46">
        <v>155.13999999999999</v>
      </c>
      <c r="AK46" s="7" t="s">
        <v>4</v>
      </c>
      <c r="AL46" s="7">
        <v>5.26</v>
      </c>
      <c r="AM46" s="7" t="s">
        <v>4</v>
      </c>
      <c r="AN46" s="7">
        <v>24.61</v>
      </c>
      <c r="AO46" s="7">
        <v>36.950000000000003</v>
      </c>
      <c r="AP46" s="7" t="s">
        <v>4</v>
      </c>
      <c r="AQ46" s="7" t="s">
        <v>4</v>
      </c>
      <c r="AR46" s="7" t="s">
        <v>4</v>
      </c>
      <c r="AS46">
        <v>56.63</v>
      </c>
      <c r="AT46" s="7" t="s">
        <v>5</v>
      </c>
      <c r="AU46" s="7" t="s">
        <v>4</v>
      </c>
      <c r="AV46" s="7">
        <v>60.73</v>
      </c>
      <c r="AW46" s="7" t="s">
        <v>5</v>
      </c>
      <c r="AX46" s="7">
        <v>334.56</v>
      </c>
      <c r="AY46" s="7">
        <v>181.86</v>
      </c>
      <c r="AZ46" s="7" t="s">
        <v>4</v>
      </c>
      <c r="BA46" s="7" t="s">
        <v>4</v>
      </c>
      <c r="BB46" s="7" t="s">
        <v>4</v>
      </c>
      <c r="BC46">
        <v>32.479999999999997</v>
      </c>
      <c r="BD46" s="7" t="s">
        <v>4</v>
      </c>
      <c r="BE46" s="7" t="s">
        <v>4</v>
      </c>
      <c r="BF46" s="7" t="s">
        <v>4</v>
      </c>
      <c r="BG46" s="7">
        <v>3.11</v>
      </c>
      <c r="BH46" s="7" t="s">
        <v>4</v>
      </c>
    </row>
    <row r="47" spans="1:60">
      <c r="A47">
        <v>145</v>
      </c>
      <c r="B47" t="s">
        <v>94</v>
      </c>
      <c r="C47" t="s">
        <v>95</v>
      </c>
      <c r="D47" s="7" t="s">
        <v>4</v>
      </c>
      <c r="E47" s="7" t="s">
        <v>5</v>
      </c>
      <c r="F47" s="7" t="s">
        <v>5</v>
      </c>
      <c r="G47" s="7" t="s">
        <v>4</v>
      </c>
      <c r="H47" s="7" t="s">
        <v>4</v>
      </c>
      <c r="I47" s="7">
        <v>1.52</v>
      </c>
      <c r="J47" s="7" t="s">
        <v>4</v>
      </c>
      <c r="K47" s="7">
        <v>105.72</v>
      </c>
      <c r="L47" s="7" t="s">
        <v>4</v>
      </c>
      <c r="M47" s="7">
        <v>6.77</v>
      </c>
      <c r="N47" s="7">
        <v>1.67</v>
      </c>
      <c r="O47" s="7">
        <v>33.69</v>
      </c>
      <c r="P47">
        <v>47.11</v>
      </c>
      <c r="Q47" s="7" t="s">
        <v>4</v>
      </c>
      <c r="R47" s="7" t="s">
        <v>4</v>
      </c>
      <c r="S47" s="7" t="s">
        <v>4</v>
      </c>
      <c r="T47" s="7" t="s">
        <v>4</v>
      </c>
      <c r="U47" s="7" t="s">
        <v>4</v>
      </c>
      <c r="V47">
        <v>7.51</v>
      </c>
      <c r="W47" s="7" t="s">
        <v>4</v>
      </c>
      <c r="X47" s="7">
        <v>272.41000000000003</v>
      </c>
      <c r="Y47" s="7">
        <v>97.85</v>
      </c>
      <c r="Z47" s="7" t="s">
        <v>4</v>
      </c>
      <c r="AA47" s="7" t="s">
        <v>4</v>
      </c>
      <c r="AB47" s="7">
        <v>126.17</v>
      </c>
      <c r="AC47">
        <v>14.92</v>
      </c>
      <c r="AD47" s="7" t="s">
        <v>4</v>
      </c>
      <c r="AE47" s="7" t="s">
        <v>4</v>
      </c>
      <c r="AF47">
        <v>141.72</v>
      </c>
      <c r="AG47" s="7">
        <v>55.08</v>
      </c>
      <c r="AH47" s="7">
        <v>3.25</v>
      </c>
      <c r="AI47" s="7" t="s">
        <v>4</v>
      </c>
      <c r="AJ47">
        <v>321.89</v>
      </c>
      <c r="AK47" s="7" t="s">
        <v>4</v>
      </c>
      <c r="AL47" s="7" t="s">
        <v>4</v>
      </c>
      <c r="AM47" s="7" t="s">
        <v>4</v>
      </c>
      <c r="AN47" s="7">
        <v>18.690000000000001</v>
      </c>
      <c r="AO47" s="7">
        <v>11</v>
      </c>
      <c r="AP47" s="7" t="s">
        <v>4</v>
      </c>
      <c r="AQ47" s="7" t="s">
        <v>4</v>
      </c>
      <c r="AR47" s="7" t="s">
        <v>4</v>
      </c>
      <c r="AS47">
        <v>22.31</v>
      </c>
      <c r="AT47" s="7">
        <v>36.229999999999997</v>
      </c>
      <c r="AU47" s="7" t="s">
        <v>4</v>
      </c>
      <c r="AV47" s="7" t="s">
        <v>4</v>
      </c>
      <c r="AW47" s="7" t="s">
        <v>4</v>
      </c>
      <c r="AX47" s="7" t="s">
        <v>4</v>
      </c>
      <c r="AY47" s="7" t="s">
        <v>4</v>
      </c>
      <c r="AZ47" s="7">
        <v>7.08</v>
      </c>
      <c r="BA47" s="7" t="s">
        <v>4</v>
      </c>
      <c r="BB47" s="7">
        <v>1.25</v>
      </c>
      <c r="BC47">
        <v>101.89</v>
      </c>
      <c r="BD47" s="7">
        <v>1.66</v>
      </c>
      <c r="BE47" s="7" t="s">
        <v>4</v>
      </c>
      <c r="BF47" s="7" t="s">
        <v>4</v>
      </c>
      <c r="BG47" s="7">
        <v>19.34</v>
      </c>
      <c r="BH47" s="7" t="s">
        <v>4</v>
      </c>
    </row>
    <row r="48" spans="1:60">
      <c r="A48">
        <v>6</v>
      </c>
      <c r="B48" t="s">
        <v>96</v>
      </c>
      <c r="C48" t="s">
        <v>97</v>
      </c>
      <c r="D48" s="7" t="s">
        <v>4</v>
      </c>
      <c r="E48" s="7">
        <v>2.95</v>
      </c>
      <c r="F48" s="7" t="s">
        <v>5</v>
      </c>
      <c r="G48" s="7" t="s">
        <v>5</v>
      </c>
      <c r="H48" s="7">
        <v>12.76</v>
      </c>
      <c r="I48" s="7">
        <v>10.35</v>
      </c>
      <c r="J48" s="7" t="s">
        <v>4</v>
      </c>
      <c r="K48" s="7" t="s">
        <v>5</v>
      </c>
      <c r="L48" s="7" t="s">
        <v>4</v>
      </c>
      <c r="M48" s="7">
        <v>5.97</v>
      </c>
      <c r="N48" s="7">
        <v>8.7200000000000006</v>
      </c>
      <c r="O48" s="7">
        <v>14.35</v>
      </c>
      <c r="P48">
        <v>43.9</v>
      </c>
      <c r="Q48" s="7" t="s">
        <v>4</v>
      </c>
      <c r="R48" s="7">
        <v>60.1</v>
      </c>
      <c r="S48" s="7" t="s">
        <v>4</v>
      </c>
      <c r="T48" s="7" t="s">
        <v>4</v>
      </c>
      <c r="U48" s="7" t="s">
        <v>4</v>
      </c>
      <c r="V48">
        <v>33.26</v>
      </c>
      <c r="W48" s="7" t="s">
        <v>4</v>
      </c>
      <c r="X48" s="7">
        <v>383.33</v>
      </c>
      <c r="Y48" s="7">
        <v>86.63</v>
      </c>
      <c r="Z48" s="7" t="s">
        <v>4</v>
      </c>
      <c r="AA48" s="7" t="s">
        <v>4</v>
      </c>
      <c r="AB48" s="7">
        <v>64.150000000000006</v>
      </c>
      <c r="AC48">
        <v>3.93</v>
      </c>
      <c r="AD48" s="7" t="s">
        <v>4</v>
      </c>
      <c r="AE48" s="7" t="s">
        <v>4</v>
      </c>
      <c r="AF48">
        <v>137.84</v>
      </c>
      <c r="AG48" s="7">
        <v>53.68</v>
      </c>
      <c r="AH48" s="7">
        <v>8.2899999999999991</v>
      </c>
      <c r="AI48" s="7" t="s">
        <v>4</v>
      </c>
      <c r="AJ48">
        <v>305.12</v>
      </c>
      <c r="AK48" s="7" t="s">
        <v>4</v>
      </c>
      <c r="AL48" s="7">
        <v>3.33</v>
      </c>
      <c r="AM48" s="7" t="s">
        <v>4</v>
      </c>
      <c r="AN48" s="7">
        <v>67.41</v>
      </c>
      <c r="AO48" s="7">
        <v>19.39</v>
      </c>
      <c r="AP48" s="7" t="s">
        <v>4</v>
      </c>
      <c r="AQ48" s="7" t="s">
        <v>4</v>
      </c>
      <c r="AR48" s="7" t="s">
        <v>4</v>
      </c>
      <c r="AS48">
        <v>145.09</v>
      </c>
      <c r="AT48" s="7">
        <v>7.1</v>
      </c>
      <c r="AU48" s="7" t="s">
        <v>4</v>
      </c>
      <c r="AV48" s="7" t="s">
        <v>4</v>
      </c>
      <c r="AW48" s="7" t="s">
        <v>4</v>
      </c>
      <c r="AX48" s="7" t="s">
        <v>4</v>
      </c>
      <c r="AY48" s="7" t="s">
        <v>4</v>
      </c>
      <c r="AZ48" s="7" t="s">
        <v>4</v>
      </c>
      <c r="BA48" s="7" t="s">
        <v>4</v>
      </c>
      <c r="BB48" s="7" t="s">
        <v>4</v>
      </c>
      <c r="BC48">
        <v>7.09</v>
      </c>
      <c r="BD48" s="7" t="s">
        <v>4</v>
      </c>
      <c r="BE48" s="7" t="s">
        <v>4</v>
      </c>
      <c r="BF48" s="7" t="s">
        <v>4</v>
      </c>
      <c r="BG48" s="7">
        <v>1.78</v>
      </c>
      <c r="BH48" s="7" t="s">
        <v>4</v>
      </c>
    </row>
    <row r="49" spans="1:60">
      <c r="A49">
        <v>173</v>
      </c>
      <c r="B49" t="s">
        <v>98</v>
      </c>
      <c r="C49" t="s">
        <v>99</v>
      </c>
      <c r="D49" s="7" t="s">
        <v>4</v>
      </c>
      <c r="E49" s="7" t="s">
        <v>5</v>
      </c>
      <c r="F49" s="7" t="s">
        <v>5</v>
      </c>
      <c r="G49" s="7">
        <v>21.19</v>
      </c>
      <c r="H49" s="7" t="s">
        <v>4</v>
      </c>
      <c r="I49" s="7">
        <v>16.64</v>
      </c>
      <c r="J49" s="7" t="s">
        <v>4</v>
      </c>
      <c r="K49" s="7">
        <v>460.19</v>
      </c>
      <c r="L49" s="7" t="s">
        <v>4</v>
      </c>
      <c r="M49" s="7">
        <v>21.1</v>
      </c>
      <c r="N49" s="7" t="s">
        <v>4</v>
      </c>
      <c r="O49" s="7">
        <v>77.650000000000006</v>
      </c>
      <c r="P49">
        <v>81.599999999999994</v>
      </c>
      <c r="Q49" s="7" t="s">
        <v>4</v>
      </c>
      <c r="R49" s="7">
        <v>107.46</v>
      </c>
      <c r="S49" s="7" t="s">
        <v>4</v>
      </c>
      <c r="T49" s="7">
        <v>4.63</v>
      </c>
      <c r="U49" s="7" t="s">
        <v>4</v>
      </c>
      <c r="V49">
        <v>34.159999999999997</v>
      </c>
      <c r="W49" s="7" t="s">
        <v>4</v>
      </c>
      <c r="X49" s="7">
        <v>820.36</v>
      </c>
      <c r="Y49" s="7">
        <v>220.07</v>
      </c>
      <c r="Z49" s="7">
        <v>9.4700000000000006</v>
      </c>
      <c r="AA49" s="7">
        <v>5.52</v>
      </c>
      <c r="AB49" s="7">
        <v>52.74</v>
      </c>
      <c r="AC49">
        <v>13.66</v>
      </c>
      <c r="AD49" s="7" t="s">
        <v>4</v>
      </c>
      <c r="AE49" s="7" t="s">
        <v>4</v>
      </c>
      <c r="AF49">
        <v>285.99</v>
      </c>
      <c r="AG49" s="7">
        <v>74.61</v>
      </c>
      <c r="AH49" s="7">
        <v>16.96</v>
      </c>
      <c r="AI49" s="7" t="s">
        <v>4</v>
      </c>
      <c r="AJ49">
        <v>268.24</v>
      </c>
      <c r="AK49" s="7" t="s">
        <v>4</v>
      </c>
      <c r="AL49" s="7" t="s">
        <v>4</v>
      </c>
      <c r="AM49" s="7" t="s">
        <v>4</v>
      </c>
      <c r="AN49" s="7">
        <v>38</v>
      </c>
      <c r="AO49" s="7">
        <v>9.02</v>
      </c>
      <c r="AP49" s="7" t="s">
        <v>4</v>
      </c>
      <c r="AQ49" s="7" t="s">
        <v>4</v>
      </c>
      <c r="AR49" s="7" t="s">
        <v>4</v>
      </c>
      <c r="AS49">
        <v>26.69</v>
      </c>
      <c r="AT49" s="7">
        <v>142.31</v>
      </c>
      <c r="AU49" s="7" t="s">
        <v>4</v>
      </c>
      <c r="AV49" s="7" t="s">
        <v>4</v>
      </c>
      <c r="AW49" s="7">
        <v>11.87</v>
      </c>
      <c r="AX49" s="7" t="s">
        <v>4</v>
      </c>
      <c r="AY49" s="7">
        <v>308.82</v>
      </c>
      <c r="AZ49" s="7" t="s">
        <v>4</v>
      </c>
      <c r="BA49" s="7" t="s">
        <v>4</v>
      </c>
      <c r="BB49" s="7" t="s">
        <v>4</v>
      </c>
      <c r="BC49">
        <v>22.29</v>
      </c>
      <c r="BD49" s="7" t="s">
        <v>4</v>
      </c>
      <c r="BE49" s="7" t="s">
        <v>4</v>
      </c>
      <c r="BF49" s="7" t="s">
        <v>4</v>
      </c>
      <c r="BG49" s="7">
        <v>2</v>
      </c>
      <c r="BH49" s="7" t="s">
        <v>4</v>
      </c>
    </row>
    <row r="50" spans="1:60">
      <c r="A50">
        <v>149</v>
      </c>
      <c r="B50" t="s">
        <v>100</v>
      </c>
      <c r="C50" t="s">
        <v>101</v>
      </c>
      <c r="D50" s="7" t="s">
        <v>4</v>
      </c>
      <c r="E50" s="7">
        <v>7.11</v>
      </c>
      <c r="F50" s="7" t="s">
        <v>5</v>
      </c>
      <c r="G50" s="7" t="s">
        <v>5</v>
      </c>
      <c r="H50" s="7">
        <v>9.89</v>
      </c>
      <c r="I50" s="7">
        <v>19.600000000000001</v>
      </c>
      <c r="J50" s="7" t="s">
        <v>4</v>
      </c>
      <c r="K50" s="7" t="s">
        <v>5</v>
      </c>
      <c r="L50" s="7">
        <v>7.22</v>
      </c>
      <c r="M50" s="7">
        <v>3.86</v>
      </c>
      <c r="N50" s="7">
        <v>13.65</v>
      </c>
      <c r="O50" s="7">
        <v>42.83</v>
      </c>
      <c r="P50">
        <v>210.76</v>
      </c>
      <c r="Q50" s="7" t="s">
        <v>4</v>
      </c>
      <c r="R50" s="7">
        <v>158.6</v>
      </c>
      <c r="S50" s="7" t="s">
        <v>4</v>
      </c>
      <c r="T50" s="7">
        <v>5.53</v>
      </c>
      <c r="U50" s="7" t="s">
        <v>4</v>
      </c>
      <c r="V50">
        <v>17.899999999999999</v>
      </c>
      <c r="W50" s="7" t="s">
        <v>4</v>
      </c>
      <c r="X50" s="7">
        <v>1242.8699999999999</v>
      </c>
      <c r="Y50" s="7">
        <v>478.98</v>
      </c>
      <c r="Z50" s="7">
        <v>17.649999999999999</v>
      </c>
      <c r="AA50" s="7">
        <v>47.4</v>
      </c>
      <c r="AB50" s="7">
        <v>86.95</v>
      </c>
      <c r="AC50">
        <v>8.19</v>
      </c>
      <c r="AD50" s="7" t="s">
        <v>4</v>
      </c>
      <c r="AE50" s="7" t="s">
        <v>4</v>
      </c>
      <c r="AF50">
        <v>125.09</v>
      </c>
      <c r="AG50" s="7">
        <v>169.8</v>
      </c>
      <c r="AH50" s="7">
        <v>210.64</v>
      </c>
      <c r="AI50" s="7" t="s">
        <v>4</v>
      </c>
      <c r="AJ50">
        <v>722.83</v>
      </c>
      <c r="AK50" s="7" t="s">
        <v>4</v>
      </c>
      <c r="AL50" s="7">
        <v>12.26</v>
      </c>
      <c r="AM50" s="7" t="s">
        <v>4</v>
      </c>
      <c r="AN50" s="7">
        <v>8.7899999999999991</v>
      </c>
      <c r="AO50" s="7">
        <v>7.04</v>
      </c>
      <c r="AP50" s="7" t="s">
        <v>4</v>
      </c>
      <c r="AQ50" s="7" t="s">
        <v>4</v>
      </c>
      <c r="AR50" s="7" t="s">
        <v>4</v>
      </c>
      <c r="AS50">
        <v>31.63</v>
      </c>
      <c r="AT50" s="7">
        <v>41.43</v>
      </c>
      <c r="AU50" s="7" t="s">
        <v>4</v>
      </c>
      <c r="AV50" s="7" t="s">
        <v>4</v>
      </c>
      <c r="AW50" s="7">
        <v>16.8</v>
      </c>
      <c r="AX50" s="7" t="s">
        <v>4</v>
      </c>
      <c r="AY50" s="7">
        <v>26.81</v>
      </c>
      <c r="AZ50" s="7" t="s">
        <v>4</v>
      </c>
      <c r="BA50" s="7" t="s">
        <v>4</v>
      </c>
      <c r="BB50" s="7">
        <v>1.27</v>
      </c>
      <c r="BC50">
        <v>20.04</v>
      </c>
      <c r="BD50" s="7" t="s">
        <v>4</v>
      </c>
      <c r="BE50" s="7" t="s">
        <v>4</v>
      </c>
      <c r="BF50" s="7">
        <v>6.99</v>
      </c>
      <c r="BG50" s="7">
        <v>7.66</v>
      </c>
      <c r="BH50" s="7" t="s">
        <v>4</v>
      </c>
    </row>
    <row r="51" spans="1:60">
      <c r="A51">
        <v>131</v>
      </c>
      <c r="B51" t="s">
        <v>102</v>
      </c>
      <c r="C51" t="s">
        <v>103</v>
      </c>
      <c r="D51" s="7" t="s">
        <v>4</v>
      </c>
      <c r="E51" s="7">
        <v>15.69</v>
      </c>
      <c r="F51" s="7" t="s">
        <v>5</v>
      </c>
      <c r="G51" s="7" t="s">
        <v>5</v>
      </c>
      <c r="H51" s="7" t="s">
        <v>4</v>
      </c>
      <c r="I51" s="7">
        <v>4.1500000000000004</v>
      </c>
      <c r="J51" s="7" t="s">
        <v>4</v>
      </c>
      <c r="K51" s="7" t="s">
        <v>5</v>
      </c>
      <c r="L51" s="7" t="s">
        <v>4</v>
      </c>
      <c r="M51" s="7">
        <v>7.77</v>
      </c>
      <c r="N51" s="7" t="s">
        <v>4</v>
      </c>
      <c r="O51" s="7">
        <v>52.82</v>
      </c>
      <c r="P51">
        <v>66.14</v>
      </c>
      <c r="Q51" s="7" t="s">
        <v>4</v>
      </c>
      <c r="R51" s="7">
        <v>376.59</v>
      </c>
      <c r="S51" s="7" t="s">
        <v>4</v>
      </c>
      <c r="T51" s="7">
        <v>11.98</v>
      </c>
      <c r="U51" s="7" t="s">
        <v>4</v>
      </c>
      <c r="V51">
        <v>29.03</v>
      </c>
      <c r="W51" s="7" t="s">
        <v>4</v>
      </c>
      <c r="X51" s="7">
        <v>1793.98</v>
      </c>
      <c r="Y51" s="7">
        <v>42.26</v>
      </c>
      <c r="Z51" s="7">
        <v>5.28</v>
      </c>
      <c r="AA51" s="7">
        <v>11.02</v>
      </c>
      <c r="AB51" s="7">
        <v>93.49</v>
      </c>
      <c r="AC51">
        <v>26.94</v>
      </c>
      <c r="AD51" s="7" t="s">
        <v>4</v>
      </c>
      <c r="AE51" s="7" t="s">
        <v>4</v>
      </c>
      <c r="AF51">
        <v>154.85</v>
      </c>
      <c r="AG51" s="7">
        <v>105.48</v>
      </c>
      <c r="AH51" s="7">
        <v>16.760000000000002</v>
      </c>
      <c r="AI51" s="7" t="s">
        <v>4</v>
      </c>
      <c r="AJ51">
        <v>315.24</v>
      </c>
      <c r="AK51" s="7" t="s">
        <v>4</v>
      </c>
      <c r="AL51" s="7">
        <v>5.79</v>
      </c>
      <c r="AM51" s="7" t="s">
        <v>4</v>
      </c>
      <c r="AN51" s="7">
        <v>85.52</v>
      </c>
      <c r="AO51" s="7">
        <v>45.71</v>
      </c>
      <c r="AP51" s="7" t="s">
        <v>4</v>
      </c>
      <c r="AQ51" s="7" t="s">
        <v>4</v>
      </c>
      <c r="AR51" s="7" t="s">
        <v>4</v>
      </c>
      <c r="AS51">
        <v>142.86000000000001</v>
      </c>
      <c r="AT51" s="7">
        <v>51.63</v>
      </c>
      <c r="AU51" s="7" t="s">
        <v>4</v>
      </c>
      <c r="AV51" s="7" t="s">
        <v>4</v>
      </c>
      <c r="AW51" s="7">
        <v>15.09</v>
      </c>
      <c r="AX51" s="7" t="s">
        <v>4</v>
      </c>
      <c r="AY51" s="7" t="s">
        <v>4</v>
      </c>
      <c r="AZ51" s="7" t="s">
        <v>4</v>
      </c>
      <c r="BA51" s="7" t="s">
        <v>4</v>
      </c>
      <c r="BB51" s="7" t="s">
        <v>4</v>
      </c>
      <c r="BC51">
        <v>68.400000000000006</v>
      </c>
      <c r="BD51" s="7">
        <v>5.34</v>
      </c>
      <c r="BE51" s="7" t="s">
        <v>4</v>
      </c>
      <c r="BF51" s="7" t="s">
        <v>4</v>
      </c>
      <c r="BG51" s="7">
        <v>15.58</v>
      </c>
      <c r="BH51" s="7" t="s">
        <v>4</v>
      </c>
    </row>
    <row r="52" spans="1:60">
      <c r="A52">
        <v>141</v>
      </c>
      <c r="B52" t="s">
        <v>104</v>
      </c>
      <c r="C52" t="s">
        <v>105</v>
      </c>
      <c r="D52" s="7" t="s">
        <v>4</v>
      </c>
      <c r="E52" s="7" t="s">
        <v>5</v>
      </c>
      <c r="F52" s="7" t="s">
        <v>5</v>
      </c>
      <c r="G52" s="7" t="s">
        <v>4</v>
      </c>
      <c r="H52" s="7" t="s">
        <v>4</v>
      </c>
      <c r="I52" s="7">
        <v>7.13</v>
      </c>
      <c r="J52" s="7" t="s">
        <v>4</v>
      </c>
      <c r="K52" s="7">
        <v>439.13</v>
      </c>
      <c r="L52" s="7" t="s">
        <v>4</v>
      </c>
      <c r="M52" s="7" t="s">
        <v>5</v>
      </c>
      <c r="N52" s="7" t="s">
        <v>4</v>
      </c>
      <c r="O52" s="7" t="s">
        <v>5</v>
      </c>
      <c r="P52" t="s">
        <v>5</v>
      </c>
      <c r="Q52" s="7" t="s">
        <v>4</v>
      </c>
      <c r="R52" s="7">
        <v>6.42</v>
      </c>
      <c r="S52" s="7">
        <v>2.98</v>
      </c>
      <c r="T52" s="7">
        <v>541.25</v>
      </c>
      <c r="U52" s="7" t="s">
        <v>4</v>
      </c>
      <c r="V52">
        <v>33.26</v>
      </c>
      <c r="W52" s="7" t="s">
        <v>5</v>
      </c>
      <c r="X52" s="7" t="s">
        <v>5</v>
      </c>
      <c r="Y52" s="7" t="s">
        <v>5</v>
      </c>
      <c r="Z52" s="7">
        <v>5.41</v>
      </c>
      <c r="AA52" s="7">
        <v>224.16</v>
      </c>
      <c r="AB52" s="7" t="s">
        <v>5</v>
      </c>
      <c r="AC52">
        <v>400.01</v>
      </c>
      <c r="AD52" s="7" t="s">
        <v>4</v>
      </c>
      <c r="AE52" s="7" t="s">
        <v>4</v>
      </c>
      <c r="AF52">
        <v>583.35</v>
      </c>
      <c r="AG52" s="7">
        <v>329.71</v>
      </c>
      <c r="AH52" s="7">
        <v>71</v>
      </c>
      <c r="AI52" s="7" t="s">
        <v>4</v>
      </c>
      <c r="AJ52">
        <v>357.2</v>
      </c>
      <c r="AK52" s="7" t="s">
        <v>4</v>
      </c>
      <c r="AL52" s="7">
        <v>40.049999999999997</v>
      </c>
      <c r="AM52" s="7" t="s">
        <v>4</v>
      </c>
      <c r="AN52" s="7">
        <v>73.239999999999995</v>
      </c>
      <c r="AO52" s="7">
        <v>95.14</v>
      </c>
      <c r="AP52" s="7" t="s">
        <v>4</v>
      </c>
      <c r="AQ52" s="7" t="s">
        <v>4</v>
      </c>
      <c r="AR52" s="7">
        <v>7.56</v>
      </c>
      <c r="AS52">
        <v>122.04</v>
      </c>
      <c r="AT52" s="7" t="s">
        <v>5</v>
      </c>
      <c r="AU52" s="7" t="s">
        <v>4</v>
      </c>
      <c r="AV52" s="7">
        <v>288.51</v>
      </c>
      <c r="AW52" s="7" t="s">
        <v>5</v>
      </c>
      <c r="AX52" s="7" t="s">
        <v>5</v>
      </c>
      <c r="AY52" s="7" t="s">
        <v>5</v>
      </c>
      <c r="AZ52" s="7" t="s">
        <v>4</v>
      </c>
      <c r="BA52" s="7" t="s">
        <v>4</v>
      </c>
      <c r="BB52" s="7" t="s">
        <v>4</v>
      </c>
      <c r="BC52">
        <v>27.6</v>
      </c>
      <c r="BD52" s="7">
        <v>9.2200000000000006</v>
      </c>
      <c r="BE52" s="7" t="s">
        <v>4</v>
      </c>
      <c r="BF52" s="7" t="s">
        <v>4</v>
      </c>
      <c r="BG52" s="7">
        <v>6.05</v>
      </c>
      <c r="BH52" s="7" t="s">
        <v>4</v>
      </c>
    </row>
    <row r="53" spans="1:60">
      <c r="A53">
        <v>79</v>
      </c>
      <c r="B53" t="s">
        <v>106</v>
      </c>
      <c r="C53" t="s">
        <v>107</v>
      </c>
      <c r="D53" s="7" t="s">
        <v>4</v>
      </c>
      <c r="E53" s="7" t="s">
        <v>5</v>
      </c>
      <c r="F53" s="7" t="s">
        <v>5</v>
      </c>
      <c r="G53" s="7">
        <v>5.12</v>
      </c>
      <c r="H53" s="7" t="s">
        <v>4</v>
      </c>
      <c r="I53" s="7">
        <v>20.95</v>
      </c>
      <c r="J53" s="7" t="s">
        <v>4</v>
      </c>
      <c r="K53" s="7" t="s">
        <v>5</v>
      </c>
      <c r="L53" s="7" t="s">
        <v>4</v>
      </c>
      <c r="M53" s="7">
        <v>132.05000000000001</v>
      </c>
      <c r="N53" s="7" t="s">
        <v>4</v>
      </c>
      <c r="O53" s="7">
        <v>493.9</v>
      </c>
      <c r="P53">
        <v>107.76</v>
      </c>
      <c r="Q53" s="7" t="s">
        <v>4</v>
      </c>
      <c r="R53" s="7">
        <v>24.34</v>
      </c>
      <c r="S53" s="7">
        <v>5.14</v>
      </c>
      <c r="T53" s="7">
        <v>61.92</v>
      </c>
      <c r="U53" s="7" t="s">
        <v>4</v>
      </c>
      <c r="V53">
        <v>61.57</v>
      </c>
      <c r="W53" s="7">
        <v>12.65</v>
      </c>
      <c r="X53" s="7" t="s">
        <v>5</v>
      </c>
      <c r="Y53" s="7">
        <v>402.63</v>
      </c>
      <c r="Z53" s="7">
        <v>2.6</v>
      </c>
      <c r="AA53" s="7">
        <v>5.96</v>
      </c>
      <c r="AB53" s="7">
        <v>316.76</v>
      </c>
      <c r="AC53">
        <v>65.92</v>
      </c>
      <c r="AD53" s="7">
        <v>1.76</v>
      </c>
      <c r="AE53" s="7" t="s">
        <v>4</v>
      </c>
      <c r="AF53">
        <v>84.59</v>
      </c>
      <c r="AG53" s="7">
        <v>28.83</v>
      </c>
      <c r="AH53" s="7">
        <v>2.88</v>
      </c>
      <c r="AI53" s="7" t="s">
        <v>4</v>
      </c>
      <c r="AJ53">
        <v>137.82</v>
      </c>
      <c r="AK53" s="7" t="s">
        <v>4</v>
      </c>
      <c r="AL53" s="7" t="s">
        <v>4</v>
      </c>
      <c r="AM53" s="7" t="s">
        <v>4</v>
      </c>
      <c r="AN53" s="7">
        <v>38.630000000000003</v>
      </c>
      <c r="AO53" s="7">
        <v>8.36</v>
      </c>
      <c r="AP53" s="7" t="s">
        <v>4</v>
      </c>
      <c r="AQ53" s="7" t="s">
        <v>4</v>
      </c>
      <c r="AR53" s="7" t="s">
        <v>4</v>
      </c>
      <c r="AS53">
        <v>58.01</v>
      </c>
      <c r="AT53" s="7" t="s">
        <v>5</v>
      </c>
      <c r="AU53" s="7" t="s">
        <v>4</v>
      </c>
      <c r="AV53" s="7" t="s">
        <v>5</v>
      </c>
      <c r="AW53" s="7" t="s">
        <v>5</v>
      </c>
      <c r="AX53" s="7" t="s">
        <v>5</v>
      </c>
      <c r="AY53" s="7">
        <v>943.78</v>
      </c>
      <c r="AZ53" s="7">
        <v>11.36</v>
      </c>
      <c r="BA53" s="7">
        <v>5.12</v>
      </c>
      <c r="BB53" s="7">
        <v>2.59</v>
      </c>
      <c r="BC53">
        <v>7.02</v>
      </c>
      <c r="BD53" s="7">
        <v>5.59</v>
      </c>
      <c r="BE53" s="7" t="s">
        <v>4</v>
      </c>
      <c r="BF53" s="7" t="s">
        <v>4</v>
      </c>
      <c r="BG53" s="7">
        <v>7.81</v>
      </c>
      <c r="BH53" s="7" t="s">
        <v>4</v>
      </c>
    </row>
    <row r="54" spans="1:60">
      <c r="A54">
        <v>127</v>
      </c>
      <c r="B54" t="s">
        <v>108</v>
      </c>
      <c r="C54" t="s">
        <v>109</v>
      </c>
      <c r="D54" s="7" t="s">
        <v>4</v>
      </c>
      <c r="E54" s="7">
        <v>24.25</v>
      </c>
      <c r="F54" s="7" t="s">
        <v>5</v>
      </c>
      <c r="G54" s="7">
        <v>14.82</v>
      </c>
      <c r="H54" s="7">
        <v>8</v>
      </c>
      <c r="I54" s="7" t="s">
        <v>5</v>
      </c>
      <c r="J54" s="7" t="s">
        <v>4</v>
      </c>
      <c r="K54" s="7" t="s">
        <v>5</v>
      </c>
      <c r="L54" s="7" t="s">
        <v>4</v>
      </c>
      <c r="M54" s="7">
        <v>10.87</v>
      </c>
      <c r="N54" s="7">
        <v>3.62</v>
      </c>
      <c r="O54" s="7">
        <v>228.25</v>
      </c>
      <c r="P54">
        <v>87.38</v>
      </c>
      <c r="Q54" s="7" t="s">
        <v>4</v>
      </c>
      <c r="R54" s="7">
        <v>83.64</v>
      </c>
      <c r="S54" s="7">
        <v>4.1100000000000003</v>
      </c>
      <c r="T54" s="7">
        <v>41.02</v>
      </c>
      <c r="U54" s="7" t="s">
        <v>4</v>
      </c>
      <c r="V54">
        <v>77.14</v>
      </c>
      <c r="W54" s="7">
        <v>9.8000000000000007</v>
      </c>
      <c r="X54" s="7" t="s">
        <v>5</v>
      </c>
      <c r="Y54" s="7" t="s">
        <v>5</v>
      </c>
      <c r="Z54" s="7" t="s">
        <v>4</v>
      </c>
      <c r="AA54" s="7">
        <v>23.33</v>
      </c>
      <c r="AB54" s="7" t="s">
        <v>5</v>
      </c>
      <c r="AC54">
        <v>86.14</v>
      </c>
      <c r="AD54" s="7">
        <v>6.68</v>
      </c>
      <c r="AE54" s="7" t="s">
        <v>4</v>
      </c>
      <c r="AF54">
        <v>197.88</v>
      </c>
      <c r="AG54" s="7">
        <v>344.86</v>
      </c>
      <c r="AH54" s="7">
        <v>29.72</v>
      </c>
      <c r="AI54" s="7" t="s">
        <v>4</v>
      </c>
      <c r="AJ54">
        <v>126.59</v>
      </c>
      <c r="AK54" s="7" t="s">
        <v>4</v>
      </c>
      <c r="AL54" s="7">
        <v>3.93</v>
      </c>
      <c r="AM54" s="7" t="s">
        <v>4</v>
      </c>
      <c r="AN54" s="7">
        <v>60.84</v>
      </c>
      <c r="AO54" s="7">
        <v>48.61</v>
      </c>
      <c r="AP54" s="7" t="s">
        <v>4</v>
      </c>
      <c r="AQ54" s="7" t="s">
        <v>4</v>
      </c>
      <c r="AR54" s="7" t="s">
        <v>4</v>
      </c>
      <c r="AS54">
        <v>28.1</v>
      </c>
      <c r="AT54" s="7" t="s">
        <v>5</v>
      </c>
      <c r="AU54" s="7" t="s">
        <v>4</v>
      </c>
      <c r="AV54" s="7" t="s">
        <v>5</v>
      </c>
      <c r="AW54" s="7" t="s">
        <v>5</v>
      </c>
      <c r="AX54" s="7" t="s">
        <v>5</v>
      </c>
      <c r="AY54" s="7" t="s">
        <v>5</v>
      </c>
      <c r="AZ54" s="7">
        <v>11.23</v>
      </c>
      <c r="BA54" s="7" t="s">
        <v>4</v>
      </c>
      <c r="BB54" s="7">
        <v>1.7</v>
      </c>
      <c r="BC54">
        <v>98.82</v>
      </c>
      <c r="BD54" s="7">
        <v>5.51</v>
      </c>
      <c r="BE54" s="7" t="s">
        <v>4</v>
      </c>
      <c r="BF54" s="7">
        <v>3.95</v>
      </c>
      <c r="BG54" s="7">
        <v>30.68</v>
      </c>
      <c r="BH54" s="7" t="s">
        <v>4</v>
      </c>
    </row>
    <row r="55" spans="1:60">
      <c r="A55">
        <v>17</v>
      </c>
      <c r="B55" t="s">
        <v>110</v>
      </c>
      <c r="C55" t="s">
        <v>111</v>
      </c>
      <c r="D55" s="7" t="s">
        <v>4</v>
      </c>
      <c r="E55" s="7">
        <v>3.54</v>
      </c>
      <c r="F55" s="7" t="s">
        <v>5</v>
      </c>
      <c r="G55" s="7" t="s">
        <v>5</v>
      </c>
      <c r="H55" s="7">
        <v>4.1500000000000004</v>
      </c>
      <c r="I55" s="7">
        <v>6.38</v>
      </c>
      <c r="J55" s="7" t="s">
        <v>4</v>
      </c>
      <c r="K55" s="7" t="s">
        <v>5</v>
      </c>
      <c r="L55" s="7" t="s">
        <v>4</v>
      </c>
      <c r="M55" s="7" t="s">
        <v>4</v>
      </c>
      <c r="N55" s="7">
        <v>7.17</v>
      </c>
      <c r="O55" s="7">
        <v>12.38</v>
      </c>
      <c r="P55">
        <v>43.64</v>
      </c>
      <c r="Q55" s="7" t="s">
        <v>4</v>
      </c>
      <c r="R55" s="7">
        <v>39.67</v>
      </c>
      <c r="S55" s="7" t="s">
        <v>4</v>
      </c>
      <c r="T55" s="7">
        <v>4.29</v>
      </c>
      <c r="U55" s="7" t="s">
        <v>4</v>
      </c>
      <c r="V55">
        <v>27.09</v>
      </c>
      <c r="W55" s="7" t="s">
        <v>4</v>
      </c>
      <c r="X55" s="7">
        <v>400.7</v>
      </c>
      <c r="Y55" s="7">
        <v>327.27</v>
      </c>
      <c r="Z55" s="7" t="s">
        <v>4</v>
      </c>
      <c r="AA55" s="7">
        <v>2.63</v>
      </c>
      <c r="AB55" s="7">
        <v>24.97</v>
      </c>
      <c r="AC55">
        <v>4.42</v>
      </c>
      <c r="AD55" s="7" t="s">
        <v>4</v>
      </c>
      <c r="AE55" s="7" t="s">
        <v>4</v>
      </c>
      <c r="AF55">
        <v>73.959999999999994</v>
      </c>
      <c r="AG55" s="7">
        <v>74.25</v>
      </c>
      <c r="AH55" s="7">
        <v>4.51</v>
      </c>
      <c r="AI55" s="7" t="s">
        <v>4</v>
      </c>
      <c r="AJ55">
        <v>62.24</v>
      </c>
      <c r="AK55" s="7" t="s">
        <v>4</v>
      </c>
      <c r="AL55" s="7" t="s">
        <v>4</v>
      </c>
      <c r="AM55" s="7" t="s">
        <v>4</v>
      </c>
      <c r="AN55" s="7">
        <v>14.48</v>
      </c>
      <c r="AO55" s="7">
        <v>7.38</v>
      </c>
      <c r="AP55" s="7" t="s">
        <v>4</v>
      </c>
      <c r="AQ55" s="7" t="s">
        <v>4</v>
      </c>
      <c r="AR55" s="7" t="s">
        <v>4</v>
      </c>
      <c r="AS55">
        <v>9.2799999999999994</v>
      </c>
      <c r="AT55" s="7">
        <v>7.98</v>
      </c>
      <c r="AU55" s="7" t="s">
        <v>4</v>
      </c>
      <c r="AV55" s="7" t="s">
        <v>4</v>
      </c>
      <c r="AW55" s="7" t="s">
        <v>4</v>
      </c>
      <c r="AX55" s="7" t="s">
        <v>4</v>
      </c>
      <c r="AY55" s="7" t="s">
        <v>4</v>
      </c>
      <c r="AZ55" s="7" t="s">
        <v>4</v>
      </c>
      <c r="BA55" s="7" t="s">
        <v>4</v>
      </c>
      <c r="BB55" s="7" t="s">
        <v>4</v>
      </c>
      <c r="BC55">
        <v>2.94</v>
      </c>
      <c r="BD55" s="7" t="s">
        <v>4</v>
      </c>
      <c r="BE55" s="7" t="s">
        <v>4</v>
      </c>
      <c r="BF55" s="7" t="s">
        <v>4</v>
      </c>
      <c r="BG55" s="7" t="s">
        <v>4</v>
      </c>
      <c r="BH55" s="7" t="s">
        <v>4</v>
      </c>
    </row>
    <row r="56" spans="1:60">
      <c r="A56">
        <v>45</v>
      </c>
      <c r="B56" t="s">
        <v>112</v>
      </c>
      <c r="C56" t="s">
        <v>113</v>
      </c>
      <c r="D56" s="7" t="s">
        <v>4</v>
      </c>
      <c r="E56" s="7">
        <v>18.95</v>
      </c>
      <c r="F56" s="7" t="s">
        <v>5</v>
      </c>
      <c r="G56" s="7" t="s">
        <v>5</v>
      </c>
      <c r="H56" s="7" t="s">
        <v>4</v>
      </c>
      <c r="I56" s="7">
        <v>3.33</v>
      </c>
      <c r="J56" s="7" t="s">
        <v>4</v>
      </c>
      <c r="K56" s="7">
        <v>253.2</v>
      </c>
      <c r="L56" s="7" t="s">
        <v>4</v>
      </c>
      <c r="M56" s="7">
        <v>5.15</v>
      </c>
      <c r="N56" s="7" t="s">
        <v>4</v>
      </c>
      <c r="O56" s="7">
        <v>6.85</v>
      </c>
      <c r="P56">
        <v>21.99</v>
      </c>
      <c r="Q56" s="7" t="s">
        <v>4</v>
      </c>
      <c r="R56" s="7">
        <v>11.73</v>
      </c>
      <c r="S56" s="7" t="s">
        <v>4</v>
      </c>
      <c r="T56" s="7">
        <v>2.19</v>
      </c>
      <c r="U56" s="7" t="s">
        <v>4</v>
      </c>
      <c r="V56">
        <v>10.32</v>
      </c>
      <c r="W56" s="7" t="s">
        <v>4</v>
      </c>
      <c r="X56" s="7">
        <v>183</v>
      </c>
      <c r="Y56" s="7">
        <v>12.21</v>
      </c>
      <c r="Z56" s="7" t="s">
        <v>4</v>
      </c>
      <c r="AA56" s="7" t="s">
        <v>4</v>
      </c>
      <c r="AB56" s="7">
        <v>28.02</v>
      </c>
      <c r="AC56">
        <v>2.1</v>
      </c>
      <c r="AD56" s="7" t="s">
        <v>4</v>
      </c>
      <c r="AE56" s="7" t="s">
        <v>4</v>
      </c>
      <c r="AF56">
        <v>207.88</v>
      </c>
      <c r="AG56" s="7">
        <v>40.450000000000003</v>
      </c>
      <c r="AH56" s="7">
        <v>4.4800000000000004</v>
      </c>
      <c r="AI56" s="7" t="s">
        <v>4</v>
      </c>
      <c r="AJ56">
        <v>121.03</v>
      </c>
      <c r="AK56" s="7" t="s">
        <v>4</v>
      </c>
      <c r="AL56" s="7" t="s">
        <v>4</v>
      </c>
      <c r="AM56" s="7" t="s">
        <v>4</v>
      </c>
      <c r="AN56" s="7">
        <v>34.590000000000003</v>
      </c>
      <c r="AO56" s="7">
        <v>3.13</v>
      </c>
      <c r="AP56" s="7" t="s">
        <v>4</v>
      </c>
      <c r="AQ56" s="7" t="s">
        <v>4</v>
      </c>
      <c r="AR56" s="7" t="s">
        <v>4</v>
      </c>
      <c r="AS56">
        <v>14.79</v>
      </c>
      <c r="AT56" s="7">
        <v>1.32</v>
      </c>
      <c r="AU56" s="7" t="s">
        <v>4</v>
      </c>
      <c r="AV56" s="7" t="s">
        <v>4</v>
      </c>
      <c r="AW56" s="7" t="s">
        <v>4</v>
      </c>
      <c r="AX56" s="7" t="s">
        <v>4</v>
      </c>
      <c r="AY56" s="7" t="s">
        <v>4</v>
      </c>
      <c r="AZ56" s="7" t="s">
        <v>4</v>
      </c>
      <c r="BA56" s="7" t="s">
        <v>4</v>
      </c>
      <c r="BB56" s="7" t="s">
        <v>4</v>
      </c>
      <c r="BC56">
        <v>25.47</v>
      </c>
      <c r="BD56" s="7" t="s">
        <v>4</v>
      </c>
      <c r="BE56" s="7" t="s">
        <v>4</v>
      </c>
      <c r="BF56" s="7" t="s">
        <v>4</v>
      </c>
      <c r="BG56" s="7" t="s">
        <v>4</v>
      </c>
      <c r="BH56" s="7" t="s">
        <v>4</v>
      </c>
    </row>
    <row r="57" spans="1:60">
      <c r="A57">
        <v>60</v>
      </c>
      <c r="B57" t="s">
        <v>114</v>
      </c>
      <c r="C57" t="s">
        <v>115</v>
      </c>
      <c r="D57" s="7" t="s">
        <v>4</v>
      </c>
      <c r="E57" s="7" t="s">
        <v>5</v>
      </c>
      <c r="F57" s="7">
        <v>29.83</v>
      </c>
      <c r="G57" s="7" t="s">
        <v>4</v>
      </c>
      <c r="H57" s="7" t="s">
        <v>4</v>
      </c>
      <c r="I57" s="7">
        <v>4.76</v>
      </c>
      <c r="J57" s="7" t="s">
        <v>4</v>
      </c>
      <c r="K57" s="7">
        <v>1.51</v>
      </c>
      <c r="L57" s="7" t="s">
        <v>4</v>
      </c>
      <c r="M57" s="7">
        <v>32.479999999999997</v>
      </c>
      <c r="N57" s="7" t="s">
        <v>4</v>
      </c>
      <c r="O57" s="7">
        <v>96.82</v>
      </c>
      <c r="P57">
        <v>88.42</v>
      </c>
      <c r="Q57" s="7" t="s">
        <v>4</v>
      </c>
      <c r="R57" s="7">
        <v>5.75</v>
      </c>
      <c r="S57" s="7" t="s">
        <v>4</v>
      </c>
      <c r="T57" s="7">
        <v>1.17</v>
      </c>
      <c r="U57" s="7" t="s">
        <v>4</v>
      </c>
      <c r="V57">
        <v>7.99</v>
      </c>
      <c r="W57" s="7">
        <v>52.38</v>
      </c>
      <c r="X57" s="7" t="s">
        <v>5</v>
      </c>
      <c r="Y57" s="7" t="s">
        <v>5</v>
      </c>
      <c r="Z57" s="7" t="s">
        <v>4</v>
      </c>
      <c r="AA57" s="7">
        <v>64.260000000000005</v>
      </c>
      <c r="AB57" s="7" t="s">
        <v>5</v>
      </c>
      <c r="AC57">
        <v>183.53</v>
      </c>
      <c r="AD57" s="7" t="s">
        <v>4</v>
      </c>
      <c r="AE57" s="7" t="s">
        <v>4</v>
      </c>
      <c r="AF57">
        <v>121.39</v>
      </c>
      <c r="AG57" s="7">
        <v>31.92</v>
      </c>
      <c r="AH57" s="7">
        <v>9.56</v>
      </c>
      <c r="AI57" s="7" t="s">
        <v>4</v>
      </c>
      <c r="AJ57">
        <v>53.98</v>
      </c>
      <c r="AK57" s="7" t="s">
        <v>4</v>
      </c>
      <c r="AL57" s="7">
        <v>9.7799999999999994</v>
      </c>
      <c r="AM57" s="7" t="s">
        <v>4</v>
      </c>
      <c r="AN57" s="7">
        <v>129.54</v>
      </c>
      <c r="AO57" s="7">
        <v>29.32</v>
      </c>
      <c r="AP57" s="7" t="s">
        <v>4</v>
      </c>
      <c r="AQ57" s="7">
        <v>9.39</v>
      </c>
      <c r="AR57" s="7" t="s">
        <v>4</v>
      </c>
      <c r="AS57">
        <v>70.349999999999994</v>
      </c>
      <c r="AT57" s="7">
        <v>406.53</v>
      </c>
      <c r="AU57" s="7" t="s">
        <v>4</v>
      </c>
      <c r="AV57" s="7">
        <v>124.38</v>
      </c>
      <c r="AW57" s="7">
        <v>861.8</v>
      </c>
      <c r="AX57" s="7">
        <v>686.73</v>
      </c>
      <c r="AY57" s="7">
        <v>111.83</v>
      </c>
      <c r="AZ57" s="7" t="s">
        <v>4</v>
      </c>
      <c r="BA57" s="7" t="s">
        <v>4</v>
      </c>
      <c r="BB57" s="7" t="s">
        <v>4</v>
      </c>
      <c r="BC57">
        <v>4.95</v>
      </c>
      <c r="BD57" s="7">
        <v>4.93</v>
      </c>
      <c r="BE57" s="7" t="s">
        <v>4</v>
      </c>
      <c r="BF57" s="7" t="s">
        <v>4</v>
      </c>
      <c r="BG57" s="7">
        <v>1.18</v>
      </c>
      <c r="BH57" s="7">
        <v>4.92</v>
      </c>
    </row>
    <row r="58" spans="1:60">
      <c r="A58">
        <v>144</v>
      </c>
      <c r="B58" t="s">
        <v>116</v>
      </c>
      <c r="C58" t="s">
        <v>117</v>
      </c>
      <c r="D58" s="7" t="s">
        <v>4</v>
      </c>
      <c r="E58" s="7" t="s">
        <v>5</v>
      </c>
      <c r="F58" s="7">
        <v>19.78</v>
      </c>
      <c r="G58" s="7" t="s">
        <v>4</v>
      </c>
      <c r="H58" s="7" t="s">
        <v>4</v>
      </c>
      <c r="I58" s="7" t="s">
        <v>4</v>
      </c>
      <c r="J58" s="7" t="s">
        <v>4</v>
      </c>
      <c r="K58" s="7">
        <v>8.27</v>
      </c>
      <c r="L58" s="7" t="s">
        <v>4</v>
      </c>
      <c r="M58" s="7">
        <v>37.47</v>
      </c>
      <c r="N58" s="7" t="s">
        <v>4</v>
      </c>
      <c r="O58" s="7">
        <v>254.96</v>
      </c>
      <c r="P58">
        <v>47.99</v>
      </c>
      <c r="Q58" s="7" t="s">
        <v>4</v>
      </c>
      <c r="R58" s="7" t="s">
        <v>4</v>
      </c>
      <c r="S58" s="7" t="s">
        <v>4</v>
      </c>
      <c r="T58" s="7">
        <v>11.77</v>
      </c>
      <c r="U58" s="7" t="s">
        <v>4</v>
      </c>
      <c r="V58">
        <v>5.75</v>
      </c>
      <c r="W58" s="7">
        <v>54.22</v>
      </c>
      <c r="X58" s="7" t="s">
        <v>5</v>
      </c>
      <c r="Y58" s="7">
        <v>219.92</v>
      </c>
      <c r="Z58" s="7" t="s">
        <v>4</v>
      </c>
      <c r="AA58" s="7">
        <v>10.6</v>
      </c>
      <c r="AB58" s="7" t="s">
        <v>5</v>
      </c>
      <c r="AC58">
        <v>40.22</v>
      </c>
      <c r="AD58" s="7" t="s">
        <v>4</v>
      </c>
      <c r="AE58" s="7" t="s">
        <v>4</v>
      </c>
      <c r="AF58">
        <v>31.61</v>
      </c>
      <c r="AG58" s="7">
        <v>11.74</v>
      </c>
      <c r="AH58" s="7" t="s">
        <v>4</v>
      </c>
      <c r="AI58" s="7" t="s">
        <v>4</v>
      </c>
      <c r="AJ58">
        <v>76.97</v>
      </c>
      <c r="AK58" s="7" t="s">
        <v>4</v>
      </c>
      <c r="AL58" s="7" t="s">
        <v>4</v>
      </c>
      <c r="AM58" s="7" t="s">
        <v>4</v>
      </c>
      <c r="AN58" s="7">
        <v>5</v>
      </c>
      <c r="AO58" s="7">
        <v>3.49</v>
      </c>
      <c r="AP58" s="7" t="s">
        <v>4</v>
      </c>
      <c r="AQ58" s="7" t="s">
        <v>4</v>
      </c>
      <c r="AR58" s="7" t="s">
        <v>4</v>
      </c>
      <c r="AS58">
        <v>7.65</v>
      </c>
      <c r="AT58" s="7">
        <v>9.92</v>
      </c>
      <c r="AU58" s="7" t="s">
        <v>4</v>
      </c>
      <c r="AV58" s="7" t="s">
        <v>4</v>
      </c>
      <c r="AW58" s="7" t="s">
        <v>4</v>
      </c>
      <c r="AX58" s="7" t="s">
        <v>4</v>
      </c>
      <c r="AY58" s="7" t="s">
        <v>4</v>
      </c>
      <c r="AZ58" s="7" t="s">
        <v>4</v>
      </c>
      <c r="BA58" s="7" t="s">
        <v>4</v>
      </c>
      <c r="BB58" s="7">
        <v>2.66</v>
      </c>
      <c r="BC58">
        <v>30.6</v>
      </c>
      <c r="BD58" s="7" t="s">
        <v>4</v>
      </c>
      <c r="BE58" s="7" t="s">
        <v>4</v>
      </c>
      <c r="BF58" s="7" t="s">
        <v>4</v>
      </c>
      <c r="BG58" s="7">
        <v>2.9</v>
      </c>
      <c r="BH58" s="7" t="s">
        <v>4</v>
      </c>
    </row>
    <row r="59" spans="1:60">
      <c r="A59">
        <v>78</v>
      </c>
      <c r="B59" t="s">
        <v>118</v>
      </c>
      <c r="C59" t="s">
        <v>119</v>
      </c>
      <c r="D59" s="7" t="s">
        <v>4</v>
      </c>
      <c r="E59" s="7" t="s">
        <v>5</v>
      </c>
      <c r="F59" s="7" t="s">
        <v>5</v>
      </c>
      <c r="G59" s="7" t="s">
        <v>4</v>
      </c>
      <c r="H59" s="7" t="s">
        <v>4</v>
      </c>
      <c r="I59" s="7">
        <v>17.52</v>
      </c>
      <c r="J59" s="7" t="s">
        <v>4</v>
      </c>
      <c r="K59" s="7">
        <v>131.88999999999999</v>
      </c>
      <c r="L59" s="7" t="s">
        <v>4</v>
      </c>
      <c r="M59" s="7">
        <v>145.47</v>
      </c>
      <c r="N59" s="7" t="s">
        <v>4</v>
      </c>
      <c r="O59" s="7">
        <v>469.59</v>
      </c>
      <c r="P59">
        <v>559.26</v>
      </c>
      <c r="Q59" s="7" t="s">
        <v>4</v>
      </c>
      <c r="R59" s="7">
        <v>7.83</v>
      </c>
      <c r="S59" s="7" t="s">
        <v>4</v>
      </c>
      <c r="T59" s="7">
        <v>31.77</v>
      </c>
      <c r="U59" s="7" t="s">
        <v>4</v>
      </c>
      <c r="V59">
        <v>24.05</v>
      </c>
      <c r="W59" s="7">
        <v>99.57</v>
      </c>
      <c r="X59" s="7" t="s">
        <v>5</v>
      </c>
      <c r="Y59" s="7" t="s">
        <v>5</v>
      </c>
      <c r="Z59" s="7" t="s">
        <v>4</v>
      </c>
      <c r="AA59" s="7">
        <v>10.69</v>
      </c>
      <c r="AB59" s="7" t="s">
        <v>5</v>
      </c>
      <c r="AC59">
        <v>75.08</v>
      </c>
      <c r="AD59" s="7" t="s">
        <v>4</v>
      </c>
      <c r="AE59" s="7" t="s">
        <v>4</v>
      </c>
      <c r="AF59">
        <v>252.76</v>
      </c>
      <c r="AG59" s="7">
        <v>58.45</v>
      </c>
      <c r="AH59" s="7">
        <v>13.97</v>
      </c>
      <c r="AI59" s="7" t="s">
        <v>4</v>
      </c>
      <c r="AJ59">
        <v>184.58</v>
      </c>
      <c r="AK59" s="7" t="s">
        <v>4</v>
      </c>
      <c r="AL59" s="7">
        <v>9.94</v>
      </c>
      <c r="AM59" s="7" t="s">
        <v>4</v>
      </c>
      <c r="AN59" s="7">
        <v>215.13</v>
      </c>
      <c r="AO59" s="7">
        <v>52.72</v>
      </c>
      <c r="AP59" s="7" t="s">
        <v>4</v>
      </c>
      <c r="AQ59" s="7" t="s">
        <v>4</v>
      </c>
      <c r="AR59" s="7">
        <v>3.15</v>
      </c>
      <c r="AS59">
        <v>129.13999999999999</v>
      </c>
      <c r="AT59" s="7" t="s">
        <v>5</v>
      </c>
      <c r="AU59" s="7" t="s">
        <v>4</v>
      </c>
      <c r="AV59" s="7">
        <v>421.17</v>
      </c>
      <c r="AW59" s="7" t="s">
        <v>5</v>
      </c>
      <c r="AX59" s="7" t="s">
        <v>5</v>
      </c>
      <c r="AY59" s="7">
        <v>605.70000000000005</v>
      </c>
      <c r="AZ59" s="7">
        <v>14.2</v>
      </c>
      <c r="BA59" s="7">
        <v>8.31</v>
      </c>
      <c r="BB59" s="7">
        <v>1.1499999999999999</v>
      </c>
      <c r="BC59">
        <v>113.05</v>
      </c>
      <c r="BD59" s="7">
        <v>18.95</v>
      </c>
      <c r="BE59" s="7" t="s">
        <v>4</v>
      </c>
      <c r="BF59" s="7">
        <v>5.15</v>
      </c>
      <c r="BG59" s="7">
        <v>20.53</v>
      </c>
      <c r="BH59" s="7">
        <v>6.66</v>
      </c>
    </row>
    <row r="60" spans="1:60">
      <c r="A60">
        <v>35</v>
      </c>
      <c r="B60" t="s">
        <v>120</v>
      </c>
      <c r="C60" t="s">
        <v>121</v>
      </c>
      <c r="D60" s="7" t="s">
        <v>4</v>
      </c>
      <c r="E60" s="7">
        <v>6.41</v>
      </c>
      <c r="F60" s="7" t="s">
        <v>4</v>
      </c>
      <c r="G60" s="7" t="s">
        <v>4</v>
      </c>
      <c r="H60" s="7" t="s">
        <v>4</v>
      </c>
      <c r="I60" s="7" t="s">
        <v>4</v>
      </c>
      <c r="J60" s="7" t="s">
        <v>4</v>
      </c>
      <c r="K60" s="7" t="s">
        <v>4</v>
      </c>
      <c r="L60" s="7" t="s">
        <v>4</v>
      </c>
      <c r="M60" s="7">
        <v>137.56</v>
      </c>
      <c r="N60" s="7" t="s">
        <v>4</v>
      </c>
      <c r="O60" s="7">
        <v>49.81</v>
      </c>
      <c r="P60">
        <v>37.36</v>
      </c>
      <c r="Q60" s="7" t="s">
        <v>4</v>
      </c>
      <c r="R60" s="7" t="s">
        <v>4</v>
      </c>
      <c r="S60" s="7" t="s">
        <v>4</v>
      </c>
      <c r="T60" s="7">
        <v>2.39</v>
      </c>
      <c r="U60" s="7" t="s">
        <v>4</v>
      </c>
      <c r="V60" t="s">
        <v>4</v>
      </c>
      <c r="W60" s="7">
        <v>39.880000000000003</v>
      </c>
      <c r="X60" s="7">
        <v>507.79</v>
      </c>
      <c r="Y60" s="7">
        <v>130.44</v>
      </c>
      <c r="Z60" s="7" t="s">
        <v>4</v>
      </c>
      <c r="AA60" s="7">
        <v>1.58</v>
      </c>
      <c r="AB60" s="7">
        <v>754.46</v>
      </c>
      <c r="AC60">
        <v>29.73</v>
      </c>
      <c r="AD60" s="7" t="s">
        <v>4</v>
      </c>
      <c r="AE60" s="7" t="s">
        <v>4</v>
      </c>
      <c r="AF60">
        <v>118.18</v>
      </c>
      <c r="AG60" s="7" t="s">
        <v>4</v>
      </c>
      <c r="AH60" s="7">
        <v>21.04</v>
      </c>
      <c r="AI60" s="7" t="s">
        <v>4</v>
      </c>
      <c r="AJ60">
        <v>27.57</v>
      </c>
      <c r="AK60" s="7" t="s">
        <v>4</v>
      </c>
      <c r="AL60" s="7">
        <v>22.5</v>
      </c>
      <c r="AM60" s="7" t="s">
        <v>4</v>
      </c>
      <c r="AN60" s="7">
        <v>169.43</v>
      </c>
      <c r="AO60" s="7" t="s">
        <v>4</v>
      </c>
      <c r="AP60" s="7" t="s">
        <v>4</v>
      </c>
      <c r="AQ60" s="7">
        <v>6.34</v>
      </c>
      <c r="AR60" s="7" t="s">
        <v>4</v>
      </c>
      <c r="AS60">
        <v>52.87</v>
      </c>
      <c r="AT60" s="7">
        <v>2.82</v>
      </c>
      <c r="AU60" s="7" t="s">
        <v>4</v>
      </c>
      <c r="AV60" s="7" t="s">
        <v>4</v>
      </c>
      <c r="AW60" s="7" t="s">
        <v>4</v>
      </c>
      <c r="AX60" s="7">
        <v>39.79</v>
      </c>
      <c r="AY60" s="7">
        <v>45.07</v>
      </c>
      <c r="AZ60" s="7">
        <v>7.1</v>
      </c>
      <c r="BA60" s="7">
        <v>42.26</v>
      </c>
      <c r="BB60" s="7" t="s">
        <v>4</v>
      </c>
      <c r="BC60" t="s">
        <v>4</v>
      </c>
      <c r="BD60" s="7" t="s">
        <v>4</v>
      </c>
      <c r="BE60" s="7" t="s">
        <v>4</v>
      </c>
      <c r="BF60" s="7">
        <v>3.24</v>
      </c>
      <c r="BG60" s="7" t="s">
        <v>4</v>
      </c>
      <c r="BH60" s="7">
        <v>3.97</v>
      </c>
    </row>
    <row r="61" spans="1:60">
      <c r="A61">
        <v>172</v>
      </c>
      <c r="B61" t="s">
        <v>122</v>
      </c>
      <c r="C61" t="s">
        <v>123</v>
      </c>
      <c r="D61" s="7" t="s">
        <v>4</v>
      </c>
      <c r="E61" s="7" t="s">
        <v>5</v>
      </c>
      <c r="F61" s="7" t="s">
        <v>5</v>
      </c>
      <c r="G61" s="7">
        <v>18.03</v>
      </c>
      <c r="H61" s="7">
        <v>1.07</v>
      </c>
      <c r="I61" s="7">
        <v>8.92</v>
      </c>
      <c r="J61" s="7" t="s">
        <v>4</v>
      </c>
      <c r="K61" s="7">
        <v>388.63</v>
      </c>
      <c r="L61" s="7" t="s">
        <v>4</v>
      </c>
      <c r="M61" s="7">
        <v>336.66</v>
      </c>
      <c r="N61" s="7" t="s">
        <v>4</v>
      </c>
      <c r="O61" s="7">
        <v>429.7</v>
      </c>
      <c r="P61">
        <v>107.48</v>
      </c>
      <c r="Q61" s="7" t="s">
        <v>4</v>
      </c>
      <c r="R61" s="7">
        <v>24.46</v>
      </c>
      <c r="S61" s="7" t="s">
        <v>4</v>
      </c>
      <c r="T61" s="7">
        <v>32.54</v>
      </c>
      <c r="U61" s="7" t="s">
        <v>4</v>
      </c>
      <c r="V61">
        <v>30.68</v>
      </c>
      <c r="W61" s="7">
        <v>27.76</v>
      </c>
      <c r="X61" s="7" t="s">
        <v>5</v>
      </c>
      <c r="Y61" s="7">
        <v>498.72</v>
      </c>
      <c r="Z61" s="7" t="s">
        <v>4</v>
      </c>
      <c r="AA61" s="7">
        <v>2.64</v>
      </c>
      <c r="AB61" s="7">
        <v>544.26</v>
      </c>
      <c r="AC61">
        <v>19.190000000000001</v>
      </c>
      <c r="AD61" s="7" t="s">
        <v>4</v>
      </c>
      <c r="AE61" s="7" t="s">
        <v>4</v>
      </c>
      <c r="AF61">
        <v>214.11</v>
      </c>
      <c r="AG61" s="7">
        <v>68.45</v>
      </c>
      <c r="AH61" s="7">
        <v>59.59</v>
      </c>
      <c r="AI61" s="7" t="s">
        <v>4</v>
      </c>
      <c r="AJ61">
        <v>325.41000000000003</v>
      </c>
      <c r="AK61" s="7" t="s">
        <v>4</v>
      </c>
      <c r="AL61" s="7">
        <v>11.81</v>
      </c>
      <c r="AM61" s="7" t="s">
        <v>4</v>
      </c>
      <c r="AN61" s="7">
        <v>54.37</v>
      </c>
      <c r="AO61" s="7">
        <v>8.86</v>
      </c>
      <c r="AP61" s="7" t="s">
        <v>4</v>
      </c>
      <c r="AQ61" s="7" t="s">
        <v>4</v>
      </c>
      <c r="AR61" s="7" t="s">
        <v>4</v>
      </c>
      <c r="AS61">
        <v>26.23</v>
      </c>
      <c r="AT61" s="7">
        <v>53.6</v>
      </c>
      <c r="AU61" s="7" t="s">
        <v>4</v>
      </c>
      <c r="AV61" s="7" t="s">
        <v>4</v>
      </c>
      <c r="AW61" s="7">
        <v>13.11</v>
      </c>
      <c r="AX61" s="7" t="s">
        <v>4</v>
      </c>
      <c r="AY61" s="7">
        <v>44.56</v>
      </c>
      <c r="AZ61" s="7" t="s">
        <v>4</v>
      </c>
      <c r="BA61" s="7" t="s">
        <v>4</v>
      </c>
      <c r="BB61" s="7" t="s">
        <v>4</v>
      </c>
      <c r="BC61">
        <v>10.32</v>
      </c>
      <c r="BD61" s="7" t="s">
        <v>4</v>
      </c>
      <c r="BE61" s="7" t="s">
        <v>4</v>
      </c>
      <c r="BF61" s="7" t="s">
        <v>4</v>
      </c>
      <c r="BG61" s="7">
        <v>2.39</v>
      </c>
      <c r="BH61" s="7" t="s">
        <v>4</v>
      </c>
    </row>
    <row r="62" spans="1:60">
      <c r="A62">
        <v>116</v>
      </c>
      <c r="B62" t="s">
        <v>124</v>
      </c>
      <c r="C62" t="s">
        <v>125</v>
      </c>
      <c r="D62" s="7" t="s">
        <v>4</v>
      </c>
      <c r="E62" s="7" t="s">
        <v>5</v>
      </c>
      <c r="F62" s="7" t="s">
        <v>5</v>
      </c>
      <c r="G62" s="7" t="s">
        <v>4</v>
      </c>
      <c r="H62" s="7" t="s">
        <v>4</v>
      </c>
      <c r="I62" s="7">
        <v>1.1299999999999999</v>
      </c>
      <c r="J62" s="7" t="s">
        <v>4</v>
      </c>
      <c r="K62" s="7">
        <v>163.13999999999999</v>
      </c>
      <c r="L62" s="7" t="s">
        <v>4</v>
      </c>
      <c r="M62" s="7">
        <v>16.940000000000001</v>
      </c>
      <c r="N62" s="7" t="s">
        <v>4</v>
      </c>
      <c r="O62" s="7">
        <v>76.53</v>
      </c>
      <c r="P62">
        <v>81.739999999999995</v>
      </c>
      <c r="Q62" s="7" t="s">
        <v>4</v>
      </c>
      <c r="R62" s="7">
        <v>2.9</v>
      </c>
      <c r="S62" s="7" t="s">
        <v>4</v>
      </c>
      <c r="T62" s="7">
        <v>7.11</v>
      </c>
      <c r="U62" s="7" t="s">
        <v>4</v>
      </c>
      <c r="V62">
        <v>7.18</v>
      </c>
      <c r="W62" s="7">
        <v>5.67</v>
      </c>
      <c r="X62" s="7" t="s">
        <v>5</v>
      </c>
      <c r="Y62" s="7">
        <v>372.59</v>
      </c>
      <c r="Z62" s="7" t="s">
        <v>4</v>
      </c>
      <c r="AA62" s="7">
        <v>6.48</v>
      </c>
      <c r="AB62" s="7" t="s">
        <v>5</v>
      </c>
      <c r="AC62">
        <v>10.029999999999999</v>
      </c>
      <c r="AD62" s="7" t="s">
        <v>4</v>
      </c>
      <c r="AE62" s="7" t="s">
        <v>4</v>
      </c>
      <c r="AF62">
        <v>133.80000000000001</v>
      </c>
      <c r="AG62" s="7">
        <v>43.25</v>
      </c>
      <c r="AH62" s="7">
        <v>13.78</v>
      </c>
      <c r="AI62" s="7" t="s">
        <v>4</v>
      </c>
      <c r="AJ62">
        <v>603.88</v>
      </c>
      <c r="AK62" s="7" t="s">
        <v>4</v>
      </c>
      <c r="AL62" s="7">
        <v>7.12</v>
      </c>
      <c r="AM62" s="7" t="s">
        <v>4</v>
      </c>
      <c r="AN62" s="7">
        <v>34.479999999999997</v>
      </c>
      <c r="AO62" s="7">
        <v>7.57</v>
      </c>
      <c r="AP62" s="7" t="s">
        <v>4</v>
      </c>
      <c r="AQ62" s="7" t="s">
        <v>4</v>
      </c>
      <c r="AR62" s="7" t="s">
        <v>4</v>
      </c>
      <c r="AS62">
        <v>82.37</v>
      </c>
      <c r="AT62" s="7" t="s">
        <v>4</v>
      </c>
      <c r="AU62" s="7" t="s">
        <v>4</v>
      </c>
      <c r="AV62" s="7" t="s">
        <v>4</v>
      </c>
      <c r="AW62" s="7" t="s">
        <v>4</v>
      </c>
      <c r="AX62" s="7" t="s">
        <v>4</v>
      </c>
      <c r="AY62" s="7" t="s">
        <v>4</v>
      </c>
      <c r="AZ62" s="7" t="s">
        <v>4</v>
      </c>
      <c r="BA62" s="7" t="s">
        <v>4</v>
      </c>
      <c r="BB62" s="7">
        <v>1.35</v>
      </c>
      <c r="BC62">
        <v>5.2</v>
      </c>
      <c r="BD62" s="7">
        <v>1.34</v>
      </c>
      <c r="BE62" s="7" t="s">
        <v>4</v>
      </c>
      <c r="BF62" s="7" t="s">
        <v>4</v>
      </c>
      <c r="BG62" s="7">
        <v>5.1100000000000003</v>
      </c>
      <c r="BH62" s="7" t="s">
        <v>4</v>
      </c>
    </row>
    <row r="63" spans="1:60">
      <c r="A63">
        <v>87</v>
      </c>
      <c r="B63" t="s">
        <v>126</v>
      </c>
      <c r="C63" t="s">
        <v>127</v>
      </c>
      <c r="D63" s="7">
        <v>6.92</v>
      </c>
      <c r="E63" s="7">
        <v>2.61</v>
      </c>
      <c r="F63" s="7" t="s">
        <v>5</v>
      </c>
      <c r="G63" s="7">
        <v>9.0399999999999991</v>
      </c>
      <c r="H63" s="7" t="s">
        <v>4</v>
      </c>
      <c r="I63" s="7">
        <v>1.32</v>
      </c>
      <c r="J63" s="7" t="s">
        <v>4</v>
      </c>
      <c r="K63" s="7">
        <v>357.96</v>
      </c>
      <c r="L63" s="7" t="s">
        <v>4</v>
      </c>
      <c r="M63" s="7" t="s">
        <v>4</v>
      </c>
      <c r="N63" s="7" t="s">
        <v>4</v>
      </c>
      <c r="O63" s="7">
        <v>14.11</v>
      </c>
      <c r="P63">
        <v>29.32</v>
      </c>
      <c r="Q63" s="7" t="s">
        <v>4</v>
      </c>
      <c r="R63" s="7">
        <v>13.37</v>
      </c>
      <c r="S63" s="7" t="s">
        <v>4</v>
      </c>
      <c r="T63" s="7" t="s">
        <v>4</v>
      </c>
      <c r="U63" s="7" t="s">
        <v>4</v>
      </c>
      <c r="V63">
        <v>5.77</v>
      </c>
      <c r="W63" s="7" t="s">
        <v>4</v>
      </c>
      <c r="X63" s="7">
        <v>415.48</v>
      </c>
      <c r="Y63" s="7">
        <v>39.04</v>
      </c>
      <c r="Z63" s="7">
        <v>1.68</v>
      </c>
      <c r="AA63" s="7">
        <v>4.46</v>
      </c>
      <c r="AB63" s="7">
        <v>86.16</v>
      </c>
      <c r="AC63">
        <v>5.26</v>
      </c>
      <c r="AD63" s="7" t="s">
        <v>4</v>
      </c>
      <c r="AE63" s="7" t="s">
        <v>4</v>
      </c>
      <c r="AF63">
        <v>46.61</v>
      </c>
      <c r="AG63" s="7">
        <v>62.88</v>
      </c>
      <c r="AH63" s="7">
        <v>4.24</v>
      </c>
      <c r="AI63" s="7" t="s">
        <v>4</v>
      </c>
      <c r="AJ63">
        <v>29.47</v>
      </c>
      <c r="AK63" s="7" t="s">
        <v>4</v>
      </c>
      <c r="AL63" s="7" t="s">
        <v>4</v>
      </c>
      <c r="AM63" s="7" t="s">
        <v>4</v>
      </c>
      <c r="AN63" s="7">
        <v>12.17</v>
      </c>
      <c r="AO63" s="7">
        <v>15.2</v>
      </c>
      <c r="AP63" s="7" t="s">
        <v>4</v>
      </c>
      <c r="AQ63" s="7" t="s">
        <v>4</v>
      </c>
      <c r="AR63" s="7" t="s">
        <v>4</v>
      </c>
      <c r="AS63">
        <v>13.04</v>
      </c>
      <c r="AT63" s="7">
        <v>289.91000000000003</v>
      </c>
      <c r="AU63" s="7" t="s">
        <v>4</v>
      </c>
      <c r="AV63" s="7">
        <v>77.67</v>
      </c>
      <c r="AW63" s="7" t="s">
        <v>5</v>
      </c>
      <c r="AX63" s="7">
        <v>237.29</v>
      </c>
      <c r="AY63" s="7">
        <v>106.46</v>
      </c>
      <c r="AZ63" s="7" t="s">
        <v>4</v>
      </c>
      <c r="BA63" s="7" t="s">
        <v>4</v>
      </c>
      <c r="BB63" s="7" t="s">
        <v>4</v>
      </c>
      <c r="BC63">
        <v>10.130000000000001</v>
      </c>
      <c r="BD63" s="7">
        <v>9.84</v>
      </c>
      <c r="BE63" s="7" t="s">
        <v>4</v>
      </c>
      <c r="BF63" s="7" t="s">
        <v>4</v>
      </c>
      <c r="BG63" s="7">
        <v>1.19</v>
      </c>
      <c r="BH63" s="7" t="s">
        <v>4</v>
      </c>
    </row>
    <row r="64" spans="1:60">
      <c r="A64">
        <v>146</v>
      </c>
      <c r="B64" t="s">
        <v>128</v>
      </c>
      <c r="C64" t="s">
        <v>129</v>
      </c>
      <c r="D64" s="7" t="s">
        <v>4</v>
      </c>
      <c r="E64" s="7" t="s">
        <v>5</v>
      </c>
      <c r="F64" s="7" t="s">
        <v>4</v>
      </c>
      <c r="G64" s="7" t="s">
        <v>4</v>
      </c>
      <c r="H64" s="7" t="s">
        <v>4</v>
      </c>
      <c r="I64" s="7" t="s">
        <v>4</v>
      </c>
      <c r="J64" s="7" t="s">
        <v>4</v>
      </c>
      <c r="K64" s="7" t="s">
        <v>4</v>
      </c>
      <c r="L64" s="7" t="s">
        <v>4</v>
      </c>
      <c r="M64" s="7">
        <v>3.83</v>
      </c>
      <c r="N64" s="7" t="s">
        <v>4</v>
      </c>
      <c r="O64" s="7">
        <v>302.22000000000003</v>
      </c>
      <c r="P64">
        <v>13.91</v>
      </c>
      <c r="Q64" s="7" t="s">
        <v>4</v>
      </c>
      <c r="R64" s="7" t="s">
        <v>4</v>
      </c>
      <c r="S64" s="7" t="s">
        <v>4</v>
      </c>
      <c r="T64" s="7">
        <v>2.99</v>
      </c>
      <c r="U64" s="7" t="s">
        <v>4</v>
      </c>
      <c r="V64" t="s">
        <v>4</v>
      </c>
      <c r="W64" s="7">
        <v>7.66</v>
      </c>
      <c r="X64" s="7" t="s">
        <v>5</v>
      </c>
      <c r="Y64" s="7">
        <v>15.06</v>
      </c>
      <c r="Z64" s="7" t="s">
        <v>4</v>
      </c>
      <c r="AA64" s="7">
        <v>61.25</v>
      </c>
      <c r="AB64" s="7" t="s">
        <v>5</v>
      </c>
      <c r="AC64">
        <v>13.13</v>
      </c>
      <c r="AD64" s="7" t="s">
        <v>4</v>
      </c>
      <c r="AE64" s="7" t="s">
        <v>4</v>
      </c>
      <c r="AF64">
        <v>562.61</v>
      </c>
      <c r="AG64" s="7" t="s">
        <v>4</v>
      </c>
      <c r="AH64" s="7">
        <v>5.15</v>
      </c>
      <c r="AI64" s="7" t="s">
        <v>4</v>
      </c>
      <c r="AJ64" t="s">
        <v>5</v>
      </c>
      <c r="AK64" s="7">
        <v>17.059999999999999</v>
      </c>
      <c r="AL64" s="7" t="s">
        <v>4</v>
      </c>
      <c r="AM64" s="7" t="s">
        <v>4</v>
      </c>
      <c r="AN64" s="7">
        <v>36.700000000000003</v>
      </c>
      <c r="AO64" s="7" t="s">
        <v>4</v>
      </c>
      <c r="AP64" s="7" t="s">
        <v>4</v>
      </c>
      <c r="AQ64" s="7" t="s">
        <v>4</v>
      </c>
      <c r="AR64" s="7" t="s">
        <v>4</v>
      </c>
      <c r="AS64">
        <v>250.71</v>
      </c>
      <c r="AT64" s="7">
        <v>7.07</v>
      </c>
      <c r="AU64" s="7" t="s">
        <v>4</v>
      </c>
      <c r="AV64" s="7">
        <v>520.86</v>
      </c>
      <c r="AW64" s="7" t="s">
        <v>4</v>
      </c>
      <c r="AX64" s="7">
        <v>457.47</v>
      </c>
      <c r="AY64" s="7" t="s">
        <v>4</v>
      </c>
      <c r="AZ64" s="7">
        <v>1075.3599999999999</v>
      </c>
      <c r="BA64" s="7">
        <v>19.12</v>
      </c>
      <c r="BB64" s="7">
        <v>1602.42</v>
      </c>
      <c r="BC64">
        <v>15.58</v>
      </c>
      <c r="BD64" s="7" t="s">
        <v>4</v>
      </c>
      <c r="BE64" s="7" t="s">
        <v>4</v>
      </c>
      <c r="BF64" s="7">
        <v>58.58</v>
      </c>
      <c r="BG64" s="7">
        <v>3.36</v>
      </c>
      <c r="BH64" s="7">
        <v>18.48</v>
      </c>
    </row>
    <row r="65" spans="1:60">
      <c r="A65">
        <v>148</v>
      </c>
      <c r="B65" t="s">
        <v>130</v>
      </c>
      <c r="C65" t="s">
        <v>131</v>
      </c>
      <c r="D65" s="7" t="s">
        <v>4</v>
      </c>
      <c r="E65" s="7" t="s">
        <v>5</v>
      </c>
      <c r="F65" s="7" t="s">
        <v>4</v>
      </c>
      <c r="G65" s="7" t="s">
        <v>4</v>
      </c>
      <c r="H65" s="7" t="s">
        <v>4</v>
      </c>
      <c r="I65" s="7">
        <v>1.94</v>
      </c>
      <c r="J65" s="7" t="s">
        <v>4</v>
      </c>
      <c r="K65" s="7">
        <v>1.22</v>
      </c>
      <c r="L65" s="7" t="s">
        <v>4</v>
      </c>
      <c r="M65" s="7">
        <v>281.06</v>
      </c>
      <c r="N65" s="7" t="s">
        <v>4</v>
      </c>
      <c r="O65" s="7">
        <v>283.11</v>
      </c>
      <c r="P65">
        <v>17.68</v>
      </c>
      <c r="Q65" s="7" t="s">
        <v>4</v>
      </c>
      <c r="R65" s="7" t="s">
        <v>4</v>
      </c>
      <c r="S65" s="7" t="s">
        <v>4</v>
      </c>
      <c r="T65" s="7">
        <v>30.22</v>
      </c>
      <c r="U65" s="7" t="s">
        <v>4</v>
      </c>
      <c r="V65">
        <v>6.94</v>
      </c>
      <c r="W65" s="7">
        <v>808.48</v>
      </c>
      <c r="X65" s="7" t="s">
        <v>5</v>
      </c>
      <c r="Y65" s="7">
        <v>23.98</v>
      </c>
      <c r="Z65" s="7" t="s">
        <v>4</v>
      </c>
      <c r="AA65" s="7">
        <v>59.53</v>
      </c>
      <c r="AB65" s="7" t="s">
        <v>5</v>
      </c>
      <c r="AC65">
        <v>73.709999999999994</v>
      </c>
      <c r="AD65" s="7" t="s">
        <v>4</v>
      </c>
      <c r="AE65" s="7" t="s">
        <v>4</v>
      </c>
      <c r="AF65">
        <v>179.86</v>
      </c>
      <c r="AG65" s="7" t="s">
        <v>4</v>
      </c>
      <c r="AH65" s="7" t="s">
        <v>4</v>
      </c>
      <c r="AI65" s="7" t="s">
        <v>4</v>
      </c>
      <c r="AJ65">
        <v>1012.88</v>
      </c>
      <c r="AK65" s="7">
        <v>2.82</v>
      </c>
      <c r="AL65" s="7" t="s">
        <v>4</v>
      </c>
      <c r="AM65" s="7" t="s">
        <v>4</v>
      </c>
      <c r="AN65" s="7" t="s">
        <v>4</v>
      </c>
      <c r="AO65" s="7" t="s">
        <v>4</v>
      </c>
      <c r="AP65" s="7" t="s">
        <v>4</v>
      </c>
      <c r="AQ65" s="7" t="s">
        <v>4</v>
      </c>
      <c r="AR65" s="7" t="s">
        <v>4</v>
      </c>
      <c r="AS65">
        <v>15.11</v>
      </c>
      <c r="AT65" s="7">
        <v>26.18</v>
      </c>
      <c r="AU65" s="7" t="s">
        <v>4</v>
      </c>
      <c r="AV65" s="7">
        <v>486.38</v>
      </c>
      <c r="AW65" s="7" t="s">
        <v>4</v>
      </c>
      <c r="AX65" s="7">
        <v>630.79999999999995</v>
      </c>
      <c r="AY65" s="7">
        <v>16.59</v>
      </c>
      <c r="AZ65" s="7">
        <v>9.44</v>
      </c>
      <c r="BA65" s="7" t="s">
        <v>4</v>
      </c>
      <c r="BB65" s="7">
        <v>5.33</v>
      </c>
      <c r="BC65" t="s">
        <v>4</v>
      </c>
      <c r="BD65" s="7" t="s">
        <v>4</v>
      </c>
      <c r="BE65" s="7" t="s">
        <v>4</v>
      </c>
      <c r="BF65" s="7" t="s">
        <v>4</v>
      </c>
      <c r="BG65" s="7" t="s">
        <v>4</v>
      </c>
      <c r="BH65" s="7" t="s">
        <v>4</v>
      </c>
    </row>
    <row r="66" spans="1:60">
      <c r="A66">
        <v>104</v>
      </c>
      <c r="B66" t="s">
        <v>132</v>
      </c>
      <c r="C66" t="s">
        <v>133</v>
      </c>
      <c r="D66" s="7" t="s">
        <v>4</v>
      </c>
      <c r="E66" s="7" t="s">
        <v>5</v>
      </c>
      <c r="F66" s="7" t="s">
        <v>5</v>
      </c>
      <c r="G66" s="7">
        <v>4.91</v>
      </c>
      <c r="H66" s="7">
        <v>1.99</v>
      </c>
      <c r="I66" s="7">
        <v>14.53</v>
      </c>
      <c r="J66" s="7" t="s">
        <v>4</v>
      </c>
      <c r="K66" s="7" t="s">
        <v>5</v>
      </c>
      <c r="L66" s="7" t="s">
        <v>4</v>
      </c>
      <c r="M66" s="7">
        <v>120.03</v>
      </c>
      <c r="N66" s="7">
        <v>1.21</v>
      </c>
      <c r="O66" s="7">
        <v>684.24</v>
      </c>
      <c r="P66">
        <v>280.72000000000003</v>
      </c>
      <c r="Q66" s="7" t="s">
        <v>4</v>
      </c>
      <c r="R66" s="7">
        <v>121.22</v>
      </c>
      <c r="S66" s="7" t="s">
        <v>4</v>
      </c>
      <c r="T66" s="7">
        <v>18.989999999999998</v>
      </c>
      <c r="U66" s="7" t="s">
        <v>4</v>
      </c>
      <c r="V66">
        <v>137.34</v>
      </c>
      <c r="W66" s="7">
        <v>22.71</v>
      </c>
      <c r="X66" s="7" t="s">
        <v>5</v>
      </c>
      <c r="Y66" s="7">
        <v>759.49</v>
      </c>
      <c r="Z66" s="7">
        <v>4.93</v>
      </c>
      <c r="AA66" s="7">
        <v>7.51</v>
      </c>
      <c r="AB66" s="7">
        <v>387.01</v>
      </c>
      <c r="AC66" t="s">
        <v>5</v>
      </c>
      <c r="AD66" s="7">
        <v>3.41</v>
      </c>
      <c r="AE66" s="7" t="s">
        <v>4</v>
      </c>
      <c r="AF66">
        <v>132.81</v>
      </c>
      <c r="AG66" s="7">
        <v>35.44</v>
      </c>
      <c r="AH66" s="7">
        <v>8.07</v>
      </c>
      <c r="AI66" s="7" t="s">
        <v>4</v>
      </c>
      <c r="AJ66">
        <v>103.44</v>
      </c>
      <c r="AK66" s="7" t="s">
        <v>4</v>
      </c>
      <c r="AL66" s="7" t="s">
        <v>4</v>
      </c>
      <c r="AM66" s="7" t="s">
        <v>4</v>
      </c>
      <c r="AN66" s="7">
        <v>46.63</v>
      </c>
      <c r="AO66" s="7">
        <v>6.11</v>
      </c>
      <c r="AP66" s="7" t="s">
        <v>4</v>
      </c>
      <c r="AQ66" s="7" t="s">
        <v>4</v>
      </c>
      <c r="AR66" s="7" t="s">
        <v>4</v>
      </c>
      <c r="AS66">
        <v>26.28</v>
      </c>
      <c r="AT66" s="7">
        <v>4.09</v>
      </c>
      <c r="AU66" s="7" t="s">
        <v>4</v>
      </c>
      <c r="AV66" s="7" t="s">
        <v>4</v>
      </c>
      <c r="AW66" s="7" t="s">
        <v>4</v>
      </c>
      <c r="AX66" s="7" t="s">
        <v>4</v>
      </c>
      <c r="AY66" s="7" t="s">
        <v>4</v>
      </c>
      <c r="AZ66" s="7" t="s">
        <v>4</v>
      </c>
      <c r="BA66" s="7" t="s">
        <v>4</v>
      </c>
      <c r="BB66" s="7" t="s">
        <v>4</v>
      </c>
      <c r="BC66">
        <v>6.46</v>
      </c>
      <c r="BD66" s="7">
        <v>1.05</v>
      </c>
      <c r="BE66" s="7" t="s">
        <v>4</v>
      </c>
      <c r="BF66" s="7" t="s">
        <v>4</v>
      </c>
      <c r="BG66" s="7">
        <v>2.44</v>
      </c>
      <c r="BH66" s="7" t="s">
        <v>4</v>
      </c>
    </row>
    <row r="67" spans="1:60">
      <c r="A67">
        <v>117</v>
      </c>
      <c r="B67" t="s">
        <v>134</v>
      </c>
      <c r="C67" t="s">
        <v>135</v>
      </c>
      <c r="D67" s="7" t="s">
        <v>4</v>
      </c>
      <c r="E67" s="7" t="s">
        <v>5</v>
      </c>
      <c r="F67" s="7" t="s">
        <v>5</v>
      </c>
      <c r="G67" s="7">
        <v>4.51</v>
      </c>
      <c r="H67" s="7" t="s">
        <v>4</v>
      </c>
      <c r="I67" s="7">
        <v>3.53</v>
      </c>
      <c r="J67" s="7" t="s">
        <v>4</v>
      </c>
      <c r="K67" s="7" t="s">
        <v>5</v>
      </c>
      <c r="L67" s="7" t="s">
        <v>4</v>
      </c>
      <c r="M67" s="7">
        <v>17.670000000000002</v>
      </c>
      <c r="N67" s="7" t="s">
        <v>4</v>
      </c>
      <c r="O67" s="7">
        <v>206.41</v>
      </c>
      <c r="P67">
        <v>66.78</v>
      </c>
      <c r="Q67" s="7" t="s">
        <v>4</v>
      </c>
      <c r="R67" s="7">
        <v>7.67</v>
      </c>
      <c r="S67" s="7" t="s">
        <v>4</v>
      </c>
      <c r="T67" s="7">
        <v>13.94</v>
      </c>
      <c r="U67" s="7" t="s">
        <v>4</v>
      </c>
      <c r="V67">
        <v>19.059999999999999</v>
      </c>
      <c r="W67" s="7">
        <v>3.22</v>
      </c>
      <c r="X67" s="7">
        <v>2175.11</v>
      </c>
      <c r="Y67" s="7">
        <v>320.83999999999997</v>
      </c>
      <c r="Z67" s="7" t="s">
        <v>4</v>
      </c>
      <c r="AA67" s="7">
        <v>2.5299999999999998</v>
      </c>
      <c r="AB67" s="7">
        <v>391.04</v>
      </c>
      <c r="AC67">
        <v>8.15</v>
      </c>
      <c r="AD67" s="7" t="s">
        <v>4</v>
      </c>
      <c r="AE67" s="7" t="s">
        <v>4</v>
      </c>
      <c r="AF67">
        <v>257.77</v>
      </c>
      <c r="AG67" s="7">
        <v>79.930000000000007</v>
      </c>
      <c r="AH67" s="7">
        <v>10.95</v>
      </c>
      <c r="AI67" s="7" t="s">
        <v>4</v>
      </c>
      <c r="AJ67">
        <v>397.52</v>
      </c>
      <c r="AK67" s="7" t="s">
        <v>4</v>
      </c>
      <c r="AL67" s="7">
        <v>3.56</v>
      </c>
      <c r="AM67" s="7" t="s">
        <v>4</v>
      </c>
      <c r="AN67" s="7">
        <v>36.75</v>
      </c>
      <c r="AO67" s="7">
        <v>32.9</v>
      </c>
      <c r="AP67" s="7" t="s">
        <v>4</v>
      </c>
      <c r="AQ67" s="7" t="s">
        <v>4</v>
      </c>
      <c r="AR67" s="7">
        <v>7.41</v>
      </c>
      <c r="AS67">
        <v>84.4</v>
      </c>
      <c r="AT67" s="7">
        <v>49.11</v>
      </c>
      <c r="AU67" s="7" t="s">
        <v>4</v>
      </c>
      <c r="AV67" s="7" t="s">
        <v>4</v>
      </c>
      <c r="AW67" s="7" t="s">
        <v>4</v>
      </c>
      <c r="AX67" s="7" t="s">
        <v>4</v>
      </c>
      <c r="AY67" s="7" t="s">
        <v>4</v>
      </c>
      <c r="AZ67" s="7">
        <v>5.81</v>
      </c>
      <c r="BA67" s="7" t="s">
        <v>4</v>
      </c>
      <c r="BB67" s="7" t="s">
        <v>4</v>
      </c>
      <c r="BC67">
        <v>131.49</v>
      </c>
      <c r="BD67" s="7">
        <v>1.1399999999999999</v>
      </c>
      <c r="BE67" s="7" t="s">
        <v>4</v>
      </c>
      <c r="BF67" s="7" t="s">
        <v>4</v>
      </c>
      <c r="BG67" s="7">
        <v>6.74</v>
      </c>
      <c r="BH67" s="7" t="s">
        <v>4</v>
      </c>
    </row>
    <row r="68" spans="1:60">
      <c r="A68">
        <v>11</v>
      </c>
      <c r="B68" t="s">
        <v>136</v>
      </c>
      <c r="C68" t="s">
        <v>137</v>
      </c>
      <c r="D68" s="7" t="s">
        <v>4</v>
      </c>
      <c r="E68" s="7">
        <v>9.6300000000000008</v>
      </c>
      <c r="F68" s="7" t="s">
        <v>5</v>
      </c>
      <c r="G68" s="7">
        <v>43.52</v>
      </c>
      <c r="H68" s="7">
        <v>14.24</v>
      </c>
      <c r="I68" s="7" t="s">
        <v>5</v>
      </c>
      <c r="J68" s="7" t="s">
        <v>4</v>
      </c>
      <c r="K68" s="7" t="s">
        <v>5</v>
      </c>
      <c r="L68" s="7" t="s">
        <v>4</v>
      </c>
      <c r="M68" s="7">
        <v>140.82</v>
      </c>
      <c r="N68" s="7" t="s">
        <v>4</v>
      </c>
      <c r="O68" s="7">
        <v>284.5</v>
      </c>
      <c r="P68">
        <v>124.01</v>
      </c>
      <c r="Q68" s="7" t="s">
        <v>4</v>
      </c>
      <c r="R68" s="7">
        <v>23.66</v>
      </c>
      <c r="S68" s="7" t="s">
        <v>4</v>
      </c>
      <c r="T68" s="7">
        <v>17.62</v>
      </c>
      <c r="U68" s="7" t="s">
        <v>4</v>
      </c>
      <c r="V68">
        <v>37</v>
      </c>
      <c r="W68" s="7">
        <v>63.96</v>
      </c>
      <c r="X68" s="7" t="s">
        <v>5</v>
      </c>
      <c r="Y68" s="7" t="s">
        <v>5</v>
      </c>
      <c r="Z68" s="7" t="s">
        <v>4</v>
      </c>
      <c r="AA68" s="7">
        <v>11.06</v>
      </c>
      <c r="AB68" s="7" t="s">
        <v>5</v>
      </c>
      <c r="AC68">
        <v>20.57</v>
      </c>
      <c r="AD68" s="7">
        <v>2.94</v>
      </c>
      <c r="AE68" s="7" t="s">
        <v>4</v>
      </c>
      <c r="AF68" t="s">
        <v>5</v>
      </c>
      <c r="AG68" s="7" t="s">
        <v>5</v>
      </c>
      <c r="AH68" s="7">
        <v>105.02</v>
      </c>
      <c r="AI68" s="7" t="s">
        <v>4</v>
      </c>
      <c r="AJ68" t="s">
        <v>5</v>
      </c>
      <c r="AK68" s="7">
        <v>2.74</v>
      </c>
      <c r="AL68" s="7">
        <v>12.53</v>
      </c>
      <c r="AM68" s="7" t="s">
        <v>4</v>
      </c>
      <c r="AN68" s="7">
        <v>425.11</v>
      </c>
      <c r="AO68" s="7">
        <v>284.02</v>
      </c>
      <c r="AP68" s="7" t="s">
        <v>4</v>
      </c>
      <c r="AQ68" s="7" t="s">
        <v>4</v>
      </c>
      <c r="AR68" s="7" t="s">
        <v>4</v>
      </c>
      <c r="AS68">
        <v>554.33000000000004</v>
      </c>
      <c r="AT68" s="7">
        <v>39.840000000000003</v>
      </c>
      <c r="AU68" s="7" t="s">
        <v>4</v>
      </c>
      <c r="AV68" s="7" t="s">
        <v>4</v>
      </c>
      <c r="AW68" s="7" t="s">
        <v>4</v>
      </c>
      <c r="AX68" s="7" t="s">
        <v>4</v>
      </c>
      <c r="AY68" s="7" t="s">
        <v>4</v>
      </c>
      <c r="AZ68" s="7">
        <v>15.03</v>
      </c>
      <c r="BA68" s="7" t="s">
        <v>4</v>
      </c>
      <c r="BB68" s="7">
        <v>1.07</v>
      </c>
      <c r="BC68">
        <v>405.08</v>
      </c>
      <c r="BD68" s="7">
        <v>5.51</v>
      </c>
      <c r="BE68" s="7" t="s">
        <v>4</v>
      </c>
      <c r="BF68" s="7" t="s">
        <v>4</v>
      </c>
      <c r="BG68" s="7">
        <v>67.55</v>
      </c>
      <c r="BH68" s="7" t="s">
        <v>4</v>
      </c>
    </row>
    <row r="69" spans="1:60">
      <c r="A69">
        <v>167</v>
      </c>
      <c r="B69" t="s">
        <v>138</v>
      </c>
      <c r="C69" t="s">
        <v>139</v>
      </c>
      <c r="D69" s="7" t="s">
        <v>4</v>
      </c>
      <c r="E69" s="7">
        <v>14.63</v>
      </c>
      <c r="F69" s="7" t="s">
        <v>5</v>
      </c>
      <c r="G69" s="7" t="s">
        <v>5</v>
      </c>
      <c r="H69" s="7" t="s">
        <v>4</v>
      </c>
      <c r="I69" s="7">
        <v>7.72</v>
      </c>
      <c r="J69" s="7" t="s">
        <v>4</v>
      </c>
      <c r="K69" s="7" t="s">
        <v>5</v>
      </c>
      <c r="L69" s="7" t="s">
        <v>4</v>
      </c>
      <c r="M69" s="7">
        <v>3.92</v>
      </c>
      <c r="N69" s="7">
        <v>1.1399999999999999</v>
      </c>
      <c r="O69" s="7">
        <v>42.37</v>
      </c>
      <c r="P69">
        <v>37.22</v>
      </c>
      <c r="Q69" s="7" t="s">
        <v>4</v>
      </c>
      <c r="R69" s="7">
        <v>76.09</v>
      </c>
      <c r="S69" s="7" t="s">
        <v>4</v>
      </c>
      <c r="T69" s="7">
        <v>8.14</v>
      </c>
      <c r="U69" s="7" t="s">
        <v>4</v>
      </c>
      <c r="V69">
        <v>40.74</v>
      </c>
      <c r="W69" s="7" t="s">
        <v>4</v>
      </c>
      <c r="X69" s="7">
        <v>1088.27</v>
      </c>
      <c r="Y69" s="7">
        <v>67.44</v>
      </c>
      <c r="Z69" s="7" t="s">
        <v>4</v>
      </c>
      <c r="AA69" s="7">
        <v>15.64</v>
      </c>
      <c r="AB69" s="7">
        <v>90.31</v>
      </c>
      <c r="AC69">
        <v>7.02</v>
      </c>
      <c r="AD69" s="7" t="s">
        <v>4</v>
      </c>
      <c r="AE69" s="7" t="s">
        <v>4</v>
      </c>
      <c r="AF69">
        <v>335.38</v>
      </c>
      <c r="AG69" s="7">
        <v>93.38</v>
      </c>
      <c r="AH69" s="7">
        <v>49.75</v>
      </c>
      <c r="AI69" s="7" t="s">
        <v>4</v>
      </c>
      <c r="AJ69">
        <v>377.07</v>
      </c>
      <c r="AK69" s="7" t="s">
        <v>4</v>
      </c>
      <c r="AL69" s="7">
        <v>2.62</v>
      </c>
      <c r="AM69" s="7" t="s">
        <v>4</v>
      </c>
      <c r="AN69" s="7">
        <v>27.58</v>
      </c>
      <c r="AO69" s="7">
        <v>5.34</v>
      </c>
      <c r="AP69" s="7" t="s">
        <v>4</v>
      </c>
      <c r="AQ69" s="7" t="s">
        <v>4</v>
      </c>
      <c r="AR69" s="7" t="s">
        <v>4</v>
      </c>
      <c r="AS69">
        <v>21.94</v>
      </c>
      <c r="AT69" s="7">
        <v>52.2</v>
      </c>
      <c r="AU69" s="7" t="s">
        <v>4</v>
      </c>
      <c r="AV69" s="7" t="s">
        <v>4</v>
      </c>
      <c r="AW69" s="7" t="s">
        <v>4</v>
      </c>
      <c r="AX69" s="7" t="s">
        <v>4</v>
      </c>
      <c r="AY69" s="7">
        <v>377.11</v>
      </c>
      <c r="AZ69" s="7" t="s">
        <v>4</v>
      </c>
      <c r="BA69" s="7" t="s">
        <v>4</v>
      </c>
      <c r="BB69" s="7" t="s">
        <v>4</v>
      </c>
      <c r="BC69">
        <v>31.97</v>
      </c>
      <c r="BD69" s="7" t="s">
        <v>4</v>
      </c>
      <c r="BE69" s="7" t="s">
        <v>4</v>
      </c>
      <c r="BF69" s="7" t="s">
        <v>4</v>
      </c>
      <c r="BG69" s="7">
        <v>2.91</v>
      </c>
      <c r="BH69" s="7" t="s">
        <v>4</v>
      </c>
    </row>
    <row r="70" spans="1:60">
      <c r="A70">
        <v>64</v>
      </c>
      <c r="B70" t="s">
        <v>140</v>
      </c>
      <c r="C70" t="s">
        <v>141</v>
      </c>
      <c r="D70" s="7" t="s">
        <v>4</v>
      </c>
      <c r="E70" s="7">
        <v>12.44</v>
      </c>
      <c r="F70" s="7" t="s">
        <v>5</v>
      </c>
      <c r="G70" s="7">
        <v>4.3600000000000003</v>
      </c>
      <c r="H70" s="7">
        <v>1.67</v>
      </c>
      <c r="I70" s="7">
        <v>39.729999999999997</v>
      </c>
      <c r="J70" s="7" t="s">
        <v>4</v>
      </c>
      <c r="K70" s="7" t="s">
        <v>5</v>
      </c>
      <c r="L70" s="7" t="s">
        <v>4</v>
      </c>
      <c r="M70" s="7">
        <v>3.92</v>
      </c>
      <c r="N70" s="7" t="s">
        <v>4</v>
      </c>
      <c r="O70" s="7">
        <v>165.97</v>
      </c>
      <c r="P70">
        <v>100.18</v>
      </c>
      <c r="Q70" s="7" t="s">
        <v>4</v>
      </c>
      <c r="R70" s="7">
        <v>8.64</v>
      </c>
      <c r="S70" s="7" t="s">
        <v>4</v>
      </c>
      <c r="T70" s="7">
        <v>10.01</v>
      </c>
      <c r="U70" s="7" t="s">
        <v>4</v>
      </c>
      <c r="V70">
        <v>37.93</v>
      </c>
      <c r="W70" s="7">
        <v>4.45</v>
      </c>
      <c r="X70" s="7">
        <v>1812.74</v>
      </c>
      <c r="Y70" s="7">
        <v>492.19</v>
      </c>
      <c r="Z70" s="7">
        <v>11.03</v>
      </c>
      <c r="AA70" s="7">
        <v>23.94</v>
      </c>
      <c r="AB70" s="7">
        <v>322.95999999999998</v>
      </c>
      <c r="AC70">
        <v>26.92</v>
      </c>
      <c r="AD70" s="7" t="s">
        <v>4</v>
      </c>
      <c r="AE70" s="7" t="s">
        <v>4</v>
      </c>
      <c r="AF70">
        <v>534.03</v>
      </c>
      <c r="AG70" s="7">
        <v>321.83</v>
      </c>
      <c r="AH70" s="7">
        <v>34.94</v>
      </c>
      <c r="AI70" s="7" t="s">
        <v>4</v>
      </c>
      <c r="AJ70">
        <v>449.87</v>
      </c>
      <c r="AK70" s="7" t="s">
        <v>4</v>
      </c>
      <c r="AL70" s="7">
        <v>3.53</v>
      </c>
      <c r="AM70" s="7" t="s">
        <v>4</v>
      </c>
      <c r="AN70" s="7">
        <v>47.49</v>
      </c>
      <c r="AO70" s="7">
        <v>61.57</v>
      </c>
      <c r="AP70" s="7" t="s">
        <v>4</v>
      </c>
      <c r="AQ70" s="7" t="s">
        <v>4</v>
      </c>
      <c r="AR70" s="7">
        <v>2.95</v>
      </c>
      <c r="AS70">
        <v>33.67</v>
      </c>
      <c r="AT70" s="7" t="s">
        <v>5</v>
      </c>
      <c r="AU70" s="7" t="s">
        <v>4</v>
      </c>
      <c r="AV70" s="7">
        <v>398.18</v>
      </c>
      <c r="AW70" s="7" t="s">
        <v>5</v>
      </c>
      <c r="AX70" s="7" t="s">
        <v>5</v>
      </c>
      <c r="AY70" s="7" t="s">
        <v>5</v>
      </c>
      <c r="AZ70" s="7" t="s">
        <v>4</v>
      </c>
      <c r="BA70" s="7" t="s">
        <v>4</v>
      </c>
      <c r="BB70" s="7" t="s">
        <v>4</v>
      </c>
      <c r="BC70">
        <v>49.13</v>
      </c>
      <c r="BD70" s="7">
        <v>13.56</v>
      </c>
      <c r="BE70" s="7" t="s">
        <v>4</v>
      </c>
      <c r="BF70" s="7" t="s">
        <v>4</v>
      </c>
      <c r="BG70" s="7">
        <v>7.73</v>
      </c>
      <c r="BH70" s="7" t="s">
        <v>4</v>
      </c>
    </row>
    <row r="71" spans="1:60">
      <c r="A71">
        <v>190</v>
      </c>
      <c r="B71" t="s">
        <v>142</v>
      </c>
      <c r="C71" t="s">
        <v>143</v>
      </c>
      <c r="D71" s="7" t="s">
        <v>4</v>
      </c>
      <c r="E71" s="7" t="s">
        <v>5</v>
      </c>
      <c r="F71" s="7" t="s">
        <v>5</v>
      </c>
      <c r="G71" s="7">
        <v>37.39</v>
      </c>
      <c r="H71" s="7">
        <v>2.6</v>
      </c>
      <c r="I71" s="7">
        <v>6.39</v>
      </c>
      <c r="J71" s="7" t="s">
        <v>4</v>
      </c>
      <c r="K71" s="7">
        <v>288.79000000000002</v>
      </c>
      <c r="L71" s="7" t="s">
        <v>4</v>
      </c>
      <c r="M71" s="7">
        <v>132.38999999999999</v>
      </c>
      <c r="N71" s="7" t="s">
        <v>4</v>
      </c>
      <c r="O71" s="7">
        <v>280.58999999999997</v>
      </c>
      <c r="P71">
        <v>34.880000000000003</v>
      </c>
      <c r="Q71" s="7" t="s">
        <v>4</v>
      </c>
      <c r="R71" s="7">
        <v>112.89</v>
      </c>
      <c r="S71" s="7" t="s">
        <v>4</v>
      </c>
      <c r="T71" s="7">
        <v>33.159999999999997</v>
      </c>
      <c r="U71" s="7" t="s">
        <v>4</v>
      </c>
      <c r="V71">
        <v>36.369999999999997</v>
      </c>
      <c r="W71" s="7">
        <v>21.05</v>
      </c>
      <c r="X71" s="7">
        <v>2489.63</v>
      </c>
      <c r="Y71" s="7">
        <v>211.85</v>
      </c>
      <c r="Z71" s="7" t="s">
        <v>4</v>
      </c>
      <c r="AA71" s="7">
        <v>7.16</v>
      </c>
      <c r="AB71" s="7">
        <v>351.51</v>
      </c>
      <c r="AC71">
        <v>16.62</v>
      </c>
      <c r="AD71" s="7" t="s">
        <v>4</v>
      </c>
      <c r="AE71" s="7" t="s">
        <v>4</v>
      </c>
      <c r="AF71">
        <v>724.12</v>
      </c>
      <c r="AG71" s="7">
        <v>163.86</v>
      </c>
      <c r="AH71" s="7">
        <v>13.82</v>
      </c>
      <c r="AI71" s="7" t="s">
        <v>4</v>
      </c>
      <c r="AJ71">
        <v>184.96</v>
      </c>
      <c r="AK71" s="7" t="s">
        <v>4</v>
      </c>
      <c r="AL71" s="7">
        <v>7.52</v>
      </c>
      <c r="AM71" s="7" t="s">
        <v>4</v>
      </c>
      <c r="AN71" s="7">
        <v>296.58</v>
      </c>
      <c r="AO71" s="7">
        <v>75.12</v>
      </c>
      <c r="AP71" s="7" t="s">
        <v>4</v>
      </c>
      <c r="AQ71" s="7" t="s">
        <v>4</v>
      </c>
      <c r="AR71" s="7" t="s">
        <v>4</v>
      </c>
      <c r="AS71">
        <v>78.23</v>
      </c>
      <c r="AT71" s="7" t="s">
        <v>5</v>
      </c>
      <c r="AU71" s="7" t="s">
        <v>4</v>
      </c>
      <c r="AV71" s="7">
        <v>213.18</v>
      </c>
      <c r="AW71" s="7" t="s">
        <v>5</v>
      </c>
      <c r="AX71" s="7" t="s">
        <v>5</v>
      </c>
      <c r="AY71" s="7">
        <v>559.98</v>
      </c>
      <c r="AZ71" s="7">
        <v>94.01</v>
      </c>
      <c r="BA71" s="7">
        <v>32.74</v>
      </c>
      <c r="BB71" s="7">
        <v>2.2999999999999998</v>
      </c>
      <c r="BC71">
        <v>896.09</v>
      </c>
      <c r="BD71" s="7">
        <v>79.33</v>
      </c>
      <c r="BE71" s="7" t="s">
        <v>4</v>
      </c>
      <c r="BF71" s="7">
        <v>11.65</v>
      </c>
      <c r="BG71" s="7">
        <v>157.31</v>
      </c>
      <c r="BH71" s="7" t="s">
        <v>4</v>
      </c>
    </row>
    <row r="72" spans="1:60">
      <c r="A72">
        <v>54</v>
      </c>
      <c r="B72" t="s">
        <v>144</v>
      </c>
      <c r="C72" t="s">
        <v>145</v>
      </c>
      <c r="D72" s="7" t="s">
        <v>4</v>
      </c>
      <c r="E72" s="7">
        <v>19.61</v>
      </c>
      <c r="F72" s="7" t="s">
        <v>5</v>
      </c>
      <c r="G72" s="7">
        <v>23.34</v>
      </c>
      <c r="H72" s="7">
        <v>3.73</v>
      </c>
      <c r="I72" s="7">
        <v>17.149999999999999</v>
      </c>
      <c r="J72" s="7" t="s">
        <v>4</v>
      </c>
      <c r="K72" s="7">
        <v>147.9</v>
      </c>
      <c r="L72" s="7" t="s">
        <v>4</v>
      </c>
      <c r="M72" s="7">
        <v>39.25</v>
      </c>
      <c r="N72" s="7">
        <v>1.94</v>
      </c>
      <c r="O72" s="7">
        <v>308.10000000000002</v>
      </c>
      <c r="P72">
        <v>65.75</v>
      </c>
      <c r="Q72" s="7" t="s">
        <v>4</v>
      </c>
      <c r="R72" s="7">
        <v>22.83</v>
      </c>
      <c r="S72" s="7" t="s">
        <v>4</v>
      </c>
      <c r="T72" s="7">
        <v>10.45</v>
      </c>
      <c r="U72" s="7" t="s">
        <v>4</v>
      </c>
      <c r="V72">
        <v>20.9</v>
      </c>
      <c r="W72" s="7">
        <v>36.79</v>
      </c>
      <c r="X72" s="7" t="s">
        <v>5</v>
      </c>
      <c r="Y72" s="7">
        <v>592.04999999999995</v>
      </c>
      <c r="Z72" s="7" t="s">
        <v>4</v>
      </c>
      <c r="AA72" s="7">
        <v>8.49</v>
      </c>
      <c r="AB72" s="7" t="s">
        <v>5</v>
      </c>
      <c r="AC72">
        <v>19.38</v>
      </c>
      <c r="AD72" s="7" t="s">
        <v>4</v>
      </c>
      <c r="AE72" s="7" t="s">
        <v>4</v>
      </c>
      <c r="AF72">
        <v>1496.62</v>
      </c>
      <c r="AG72" s="7">
        <v>775.12</v>
      </c>
      <c r="AH72" s="7">
        <v>102.57</v>
      </c>
      <c r="AI72" s="7" t="s">
        <v>4</v>
      </c>
      <c r="AJ72">
        <v>994.96</v>
      </c>
      <c r="AK72" s="7" t="s">
        <v>4</v>
      </c>
      <c r="AL72" s="7">
        <v>26.43</v>
      </c>
      <c r="AM72" s="7" t="s">
        <v>4</v>
      </c>
      <c r="AN72" s="7">
        <v>382.54</v>
      </c>
      <c r="AO72" s="7">
        <v>155.56</v>
      </c>
      <c r="AP72" s="7" t="s">
        <v>4</v>
      </c>
      <c r="AQ72" s="7" t="s">
        <v>4</v>
      </c>
      <c r="AR72" s="7" t="s">
        <v>4</v>
      </c>
      <c r="AS72">
        <v>336.53</v>
      </c>
      <c r="AT72" s="7">
        <v>78.510000000000005</v>
      </c>
      <c r="AU72" s="7" t="s">
        <v>4</v>
      </c>
      <c r="AV72" s="7" t="s">
        <v>4</v>
      </c>
      <c r="AW72" s="7">
        <v>60.53</v>
      </c>
      <c r="AX72" s="7">
        <v>16</v>
      </c>
      <c r="AY72" s="7" t="s">
        <v>4</v>
      </c>
      <c r="AZ72" s="7">
        <v>11.23</v>
      </c>
      <c r="BA72" s="7" t="s">
        <v>4</v>
      </c>
      <c r="BB72" s="7" t="s">
        <v>4</v>
      </c>
      <c r="BC72">
        <v>48.4</v>
      </c>
      <c r="BD72" s="7">
        <v>6.98</v>
      </c>
      <c r="BE72" s="7" t="s">
        <v>4</v>
      </c>
      <c r="BF72" s="7" t="s">
        <v>4</v>
      </c>
      <c r="BG72" s="7">
        <v>21.29</v>
      </c>
      <c r="BH72" s="7" t="s">
        <v>4</v>
      </c>
    </row>
    <row r="73" spans="1:60">
      <c r="A73">
        <v>80</v>
      </c>
      <c r="B73" t="s">
        <v>146</v>
      </c>
      <c r="C73" t="s">
        <v>147</v>
      </c>
      <c r="D73" s="7">
        <v>3.63</v>
      </c>
      <c r="E73" s="7" t="s">
        <v>5</v>
      </c>
      <c r="F73" s="7" t="s">
        <v>5</v>
      </c>
      <c r="G73" s="7">
        <v>4.2699999999999996</v>
      </c>
      <c r="H73" s="7" t="s">
        <v>4</v>
      </c>
      <c r="I73" s="7">
        <v>4.84</v>
      </c>
      <c r="J73" s="7" t="s">
        <v>4</v>
      </c>
      <c r="K73" s="7">
        <v>195.36</v>
      </c>
      <c r="L73" s="7" t="s">
        <v>4</v>
      </c>
      <c r="M73" s="7">
        <v>65.56</v>
      </c>
      <c r="N73" s="7" t="s">
        <v>4</v>
      </c>
      <c r="O73" s="7">
        <v>155.5</v>
      </c>
      <c r="P73">
        <v>121.54</v>
      </c>
      <c r="Q73" s="7" t="s">
        <v>4</v>
      </c>
      <c r="R73" s="7">
        <v>6.64</v>
      </c>
      <c r="S73" s="7" t="s">
        <v>4</v>
      </c>
      <c r="T73" s="7">
        <v>21.14</v>
      </c>
      <c r="U73" s="7" t="s">
        <v>4</v>
      </c>
      <c r="V73">
        <v>10.220000000000001</v>
      </c>
      <c r="W73" s="7">
        <v>70.72</v>
      </c>
      <c r="X73" s="7" t="s">
        <v>5</v>
      </c>
      <c r="Y73" s="7">
        <v>322.13</v>
      </c>
      <c r="Z73" s="7" t="s">
        <v>4</v>
      </c>
      <c r="AA73" s="7">
        <v>4.7</v>
      </c>
      <c r="AB73" s="7" t="s">
        <v>5</v>
      </c>
      <c r="AC73">
        <v>10.31</v>
      </c>
      <c r="AD73" s="7" t="s">
        <v>4</v>
      </c>
      <c r="AE73" s="7" t="s">
        <v>4</v>
      </c>
      <c r="AF73">
        <v>22.26</v>
      </c>
      <c r="AG73" s="7">
        <v>7.92</v>
      </c>
      <c r="AH73" s="7">
        <v>2.87</v>
      </c>
      <c r="AI73" s="7" t="s">
        <v>4</v>
      </c>
      <c r="AJ73">
        <v>46.18</v>
      </c>
      <c r="AK73" s="7" t="s">
        <v>4</v>
      </c>
      <c r="AL73" s="7">
        <v>4.22</v>
      </c>
      <c r="AM73" s="7" t="s">
        <v>4</v>
      </c>
      <c r="AN73" s="7">
        <v>12.11</v>
      </c>
      <c r="AO73" s="7">
        <v>5.16</v>
      </c>
      <c r="AP73" s="7" t="s">
        <v>4</v>
      </c>
      <c r="AQ73" s="7" t="s">
        <v>4</v>
      </c>
      <c r="AR73" s="7" t="s">
        <v>4</v>
      </c>
      <c r="AS73">
        <v>21.35</v>
      </c>
      <c r="AT73" s="7">
        <v>25.41</v>
      </c>
      <c r="AU73" s="7" t="s">
        <v>4</v>
      </c>
      <c r="AV73" s="7">
        <v>105.08</v>
      </c>
      <c r="AW73" s="7">
        <v>65.989999999999995</v>
      </c>
      <c r="AX73" s="7" t="s">
        <v>4</v>
      </c>
      <c r="AY73" s="7">
        <v>104.77</v>
      </c>
      <c r="AZ73" s="7" t="s">
        <v>4</v>
      </c>
      <c r="BA73" s="7" t="s">
        <v>4</v>
      </c>
      <c r="BB73" s="7" t="s">
        <v>4</v>
      </c>
      <c r="BC73">
        <v>2.67</v>
      </c>
      <c r="BD73" s="7" t="s">
        <v>4</v>
      </c>
      <c r="BE73" s="7" t="s">
        <v>4</v>
      </c>
      <c r="BF73" s="7" t="s">
        <v>4</v>
      </c>
      <c r="BG73" s="7" t="s">
        <v>4</v>
      </c>
      <c r="BH73" s="7" t="s">
        <v>4</v>
      </c>
    </row>
    <row r="74" spans="1:60">
      <c r="A74">
        <v>150</v>
      </c>
      <c r="B74" t="s">
        <v>148</v>
      </c>
      <c r="C74" t="s">
        <v>149</v>
      </c>
      <c r="D74" s="7" t="s">
        <v>4</v>
      </c>
      <c r="E74" s="7">
        <v>43.28</v>
      </c>
      <c r="F74" s="7" t="s">
        <v>5</v>
      </c>
      <c r="G74" s="7" t="s">
        <v>5</v>
      </c>
      <c r="H74" s="7">
        <v>6.5</v>
      </c>
      <c r="I74" s="7">
        <v>16.329999999999998</v>
      </c>
      <c r="J74" s="7" t="s">
        <v>4</v>
      </c>
      <c r="K74" s="7" t="s">
        <v>5</v>
      </c>
      <c r="L74" s="7">
        <v>12.92</v>
      </c>
      <c r="M74" s="7">
        <v>5.57</v>
      </c>
      <c r="N74" s="7">
        <v>20.16</v>
      </c>
      <c r="O74" s="7">
        <v>53.53</v>
      </c>
      <c r="P74">
        <v>180.05</v>
      </c>
      <c r="Q74" s="7" t="s">
        <v>4</v>
      </c>
      <c r="R74" s="7">
        <v>597.82000000000005</v>
      </c>
      <c r="S74" s="7" t="s">
        <v>4</v>
      </c>
      <c r="T74" s="7">
        <v>2.19</v>
      </c>
      <c r="U74" s="7" t="s">
        <v>4</v>
      </c>
      <c r="V74">
        <v>19.3</v>
      </c>
      <c r="W74" s="7" t="s">
        <v>4</v>
      </c>
      <c r="X74" s="7">
        <v>543.16999999999996</v>
      </c>
      <c r="Y74" s="7">
        <v>268.73</v>
      </c>
      <c r="Z74" s="7">
        <v>133.21</v>
      </c>
      <c r="AA74" s="7">
        <v>202.37</v>
      </c>
      <c r="AB74" s="7">
        <v>62.09</v>
      </c>
      <c r="AC74">
        <v>6.22</v>
      </c>
      <c r="AD74" s="7">
        <v>1.02</v>
      </c>
      <c r="AE74" s="7" t="s">
        <v>4</v>
      </c>
      <c r="AF74">
        <v>67.14</v>
      </c>
      <c r="AG74" s="7">
        <v>77.16</v>
      </c>
      <c r="AH74" s="7">
        <v>112.85</v>
      </c>
      <c r="AI74" s="7" t="s">
        <v>4</v>
      </c>
      <c r="AJ74">
        <v>138.18</v>
      </c>
      <c r="AK74" s="7" t="s">
        <v>4</v>
      </c>
      <c r="AL74" s="7">
        <v>6.74</v>
      </c>
      <c r="AM74" s="7" t="s">
        <v>4</v>
      </c>
      <c r="AN74" s="7">
        <v>6.79</v>
      </c>
      <c r="AO74" s="7">
        <v>3.11</v>
      </c>
      <c r="AP74" s="7" t="s">
        <v>4</v>
      </c>
      <c r="AQ74" s="7" t="s">
        <v>4</v>
      </c>
      <c r="AR74" s="7" t="s">
        <v>4</v>
      </c>
      <c r="AS74">
        <v>8.65</v>
      </c>
      <c r="AT74" s="7">
        <v>142.72</v>
      </c>
      <c r="AU74" s="7" t="s">
        <v>4</v>
      </c>
      <c r="AV74" s="7" t="s">
        <v>4</v>
      </c>
      <c r="AW74" s="7">
        <v>20.57</v>
      </c>
      <c r="AX74" s="7" t="s">
        <v>4</v>
      </c>
      <c r="AY74" s="7">
        <v>118.97</v>
      </c>
      <c r="AZ74" s="7" t="s">
        <v>4</v>
      </c>
      <c r="BA74" s="7" t="s">
        <v>4</v>
      </c>
      <c r="BB74" s="7" t="s">
        <v>4</v>
      </c>
      <c r="BC74">
        <v>18.16</v>
      </c>
      <c r="BD74" s="7" t="s">
        <v>4</v>
      </c>
      <c r="BE74" s="7" t="s">
        <v>4</v>
      </c>
      <c r="BF74" s="7">
        <v>4.67</v>
      </c>
      <c r="BG74" s="7">
        <v>3.79</v>
      </c>
      <c r="BH74" s="7" t="s">
        <v>4</v>
      </c>
    </row>
    <row r="75" spans="1:60">
      <c r="A75">
        <v>180</v>
      </c>
      <c r="B75" t="s">
        <v>150</v>
      </c>
      <c r="C75" t="s">
        <v>151</v>
      </c>
      <c r="D75" s="7" t="s">
        <v>4</v>
      </c>
      <c r="E75" s="7">
        <v>16.600000000000001</v>
      </c>
      <c r="F75" s="7" t="s">
        <v>5</v>
      </c>
      <c r="G75" s="7" t="s">
        <v>5</v>
      </c>
      <c r="H75" s="7">
        <v>3.33</v>
      </c>
      <c r="I75" s="7">
        <v>14.05</v>
      </c>
      <c r="J75" s="7" t="s">
        <v>4</v>
      </c>
      <c r="K75" s="7" t="s">
        <v>5</v>
      </c>
      <c r="L75" s="7" t="s">
        <v>4</v>
      </c>
      <c r="M75" s="7">
        <v>4.1900000000000004</v>
      </c>
      <c r="N75" s="7">
        <v>1.87</v>
      </c>
      <c r="O75" s="7">
        <v>70.84</v>
      </c>
      <c r="P75">
        <v>28.14</v>
      </c>
      <c r="Q75" s="7" t="s">
        <v>4</v>
      </c>
      <c r="R75" s="7">
        <v>85.77</v>
      </c>
      <c r="S75" s="7" t="s">
        <v>4</v>
      </c>
      <c r="T75" s="7">
        <v>3.11</v>
      </c>
      <c r="U75" s="7" t="s">
        <v>4</v>
      </c>
      <c r="V75">
        <v>36.700000000000003</v>
      </c>
      <c r="W75" s="7" t="s">
        <v>4</v>
      </c>
      <c r="X75" s="7" t="s">
        <v>5</v>
      </c>
      <c r="Y75" s="7">
        <v>218.19</v>
      </c>
      <c r="Z75" s="7" t="s">
        <v>4</v>
      </c>
      <c r="AA75" s="7">
        <v>6.19</v>
      </c>
      <c r="AB75" s="7" t="s">
        <v>5</v>
      </c>
      <c r="AC75">
        <v>21.99</v>
      </c>
      <c r="AD75" s="7" t="s">
        <v>4</v>
      </c>
      <c r="AE75" s="7" t="s">
        <v>4</v>
      </c>
      <c r="AF75">
        <v>404.35</v>
      </c>
      <c r="AG75" s="7">
        <v>271.86</v>
      </c>
      <c r="AH75" s="7">
        <v>24.44</v>
      </c>
      <c r="AI75" s="7" t="s">
        <v>4</v>
      </c>
      <c r="AJ75">
        <v>662.65</v>
      </c>
      <c r="AK75" s="7" t="s">
        <v>4</v>
      </c>
      <c r="AL75" s="7">
        <v>5.52</v>
      </c>
      <c r="AM75" s="7" t="s">
        <v>4</v>
      </c>
      <c r="AN75" s="7">
        <v>94.35</v>
      </c>
      <c r="AO75" s="7">
        <v>52.26</v>
      </c>
      <c r="AP75" s="7" t="s">
        <v>4</v>
      </c>
      <c r="AQ75" s="7" t="s">
        <v>4</v>
      </c>
      <c r="AR75" s="7" t="s">
        <v>4</v>
      </c>
      <c r="AS75">
        <v>162.86000000000001</v>
      </c>
      <c r="AT75" s="7">
        <v>137.41</v>
      </c>
      <c r="AU75" s="7" t="s">
        <v>4</v>
      </c>
      <c r="AV75" s="7" t="s">
        <v>4</v>
      </c>
      <c r="AW75" s="7">
        <v>50.78</v>
      </c>
      <c r="AX75" s="7" t="s">
        <v>4</v>
      </c>
      <c r="AY75" s="7" t="s">
        <v>4</v>
      </c>
      <c r="AZ75" s="7">
        <v>5.78</v>
      </c>
      <c r="BA75" s="7" t="s">
        <v>4</v>
      </c>
      <c r="BB75" s="7" t="s">
        <v>4</v>
      </c>
      <c r="BC75">
        <v>104.21</v>
      </c>
      <c r="BD75" s="7">
        <v>3.48</v>
      </c>
      <c r="BE75" s="7" t="s">
        <v>4</v>
      </c>
      <c r="BF75" s="7" t="s">
        <v>4</v>
      </c>
      <c r="BG75" s="7">
        <v>15.62</v>
      </c>
      <c r="BH75" s="7" t="s">
        <v>4</v>
      </c>
    </row>
    <row r="76" spans="1:60">
      <c r="A76">
        <v>33</v>
      </c>
      <c r="B76" t="s">
        <v>152</v>
      </c>
      <c r="C76" t="s">
        <v>153</v>
      </c>
      <c r="D76" s="7" t="s">
        <v>4</v>
      </c>
      <c r="E76" s="7" t="s">
        <v>5</v>
      </c>
      <c r="F76" s="7" t="s">
        <v>5</v>
      </c>
      <c r="G76" s="7" t="s">
        <v>5</v>
      </c>
      <c r="H76" s="7">
        <v>26.75</v>
      </c>
      <c r="I76" s="7">
        <v>34.119999999999997</v>
      </c>
      <c r="J76" s="7" t="s">
        <v>4</v>
      </c>
      <c r="K76" s="7" t="s">
        <v>5</v>
      </c>
      <c r="L76" s="7">
        <v>11.63</v>
      </c>
      <c r="M76" s="7">
        <v>41.75</v>
      </c>
      <c r="N76" s="7">
        <v>6.41</v>
      </c>
      <c r="O76" s="7">
        <v>356.7</v>
      </c>
      <c r="P76">
        <v>83.52</v>
      </c>
      <c r="Q76" s="7" t="s">
        <v>4</v>
      </c>
      <c r="R76" s="7">
        <v>71.709999999999994</v>
      </c>
      <c r="S76" s="7" t="s">
        <v>4</v>
      </c>
      <c r="T76" s="7">
        <v>8.81</v>
      </c>
      <c r="U76" s="7" t="s">
        <v>4</v>
      </c>
      <c r="V76">
        <v>39.950000000000003</v>
      </c>
      <c r="W76" s="7" t="s">
        <v>4</v>
      </c>
      <c r="X76" s="7">
        <v>2083.52</v>
      </c>
      <c r="Y76" s="7" t="s">
        <v>5</v>
      </c>
      <c r="Z76" s="7" t="s">
        <v>4</v>
      </c>
      <c r="AA76" s="7">
        <v>7.35</v>
      </c>
      <c r="AB76" s="7">
        <v>442.23</v>
      </c>
      <c r="AC76">
        <v>15.23</v>
      </c>
      <c r="AD76" s="7">
        <v>2.56</v>
      </c>
      <c r="AE76" s="7" t="s">
        <v>4</v>
      </c>
      <c r="AF76">
        <v>305.74</v>
      </c>
      <c r="AG76" s="7">
        <v>208.37</v>
      </c>
      <c r="AH76" s="7">
        <v>3.09</v>
      </c>
      <c r="AI76" s="7" t="s">
        <v>4</v>
      </c>
      <c r="AJ76">
        <v>193.85</v>
      </c>
      <c r="AK76" s="7" t="s">
        <v>4</v>
      </c>
      <c r="AL76" s="7" t="s">
        <v>4</v>
      </c>
      <c r="AM76" s="7" t="s">
        <v>4</v>
      </c>
      <c r="AN76" s="7">
        <v>40.67</v>
      </c>
      <c r="AO76" s="7">
        <v>17.91</v>
      </c>
      <c r="AP76" s="7" t="s">
        <v>4</v>
      </c>
      <c r="AQ76" s="7" t="s">
        <v>4</v>
      </c>
      <c r="AR76" s="7" t="s">
        <v>4</v>
      </c>
      <c r="AS76">
        <v>28.37</v>
      </c>
      <c r="AT76" s="7" t="s">
        <v>5</v>
      </c>
      <c r="AU76" s="7" t="s">
        <v>4</v>
      </c>
      <c r="AV76" s="7" t="s">
        <v>4</v>
      </c>
      <c r="AW76" s="7">
        <v>178.6</v>
      </c>
      <c r="AX76" s="7">
        <v>39.21</v>
      </c>
      <c r="AY76" s="7" t="s">
        <v>4</v>
      </c>
      <c r="AZ76" s="7" t="s">
        <v>4</v>
      </c>
      <c r="BA76" s="7" t="s">
        <v>4</v>
      </c>
      <c r="BB76" s="7" t="s">
        <v>4</v>
      </c>
      <c r="BC76">
        <v>106.11</v>
      </c>
      <c r="BD76" s="7" t="s">
        <v>4</v>
      </c>
      <c r="BE76" s="7" t="s">
        <v>4</v>
      </c>
      <c r="BF76" s="7" t="s">
        <v>4</v>
      </c>
      <c r="BG76" s="7">
        <v>3.35</v>
      </c>
      <c r="BH76" s="7" t="s">
        <v>4</v>
      </c>
    </row>
    <row r="77" spans="1:60">
      <c r="A77">
        <v>58</v>
      </c>
      <c r="B77" t="s">
        <v>154</v>
      </c>
      <c r="C77" t="s">
        <v>155</v>
      </c>
      <c r="D77" s="7" t="s">
        <v>4</v>
      </c>
      <c r="E77" s="7" t="s">
        <v>5</v>
      </c>
      <c r="F77" s="7" t="s">
        <v>5</v>
      </c>
      <c r="G77" s="7">
        <v>3.88</v>
      </c>
      <c r="H77" s="7" t="s">
        <v>4</v>
      </c>
      <c r="I77" s="7">
        <v>8.66</v>
      </c>
      <c r="J77" s="7" t="s">
        <v>4</v>
      </c>
      <c r="K77" s="7">
        <v>1.87</v>
      </c>
      <c r="L77" s="7" t="s">
        <v>4</v>
      </c>
      <c r="M77" s="7">
        <v>44.68</v>
      </c>
      <c r="N77" s="7" t="s">
        <v>4</v>
      </c>
      <c r="O77" s="7">
        <v>63.97</v>
      </c>
      <c r="P77">
        <v>41.52</v>
      </c>
      <c r="Q77" s="7" t="s">
        <v>4</v>
      </c>
      <c r="R77" s="7">
        <v>18.59</v>
      </c>
      <c r="S77" s="7" t="s">
        <v>4</v>
      </c>
      <c r="T77" s="7" t="s">
        <v>4</v>
      </c>
      <c r="U77" s="7" t="s">
        <v>4</v>
      </c>
      <c r="V77">
        <v>9.31</v>
      </c>
      <c r="W77" s="7">
        <v>25.95</v>
      </c>
      <c r="X77" s="7">
        <v>2085.6</v>
      </c>
      <c r="Y77" s="7">
        <v>300.82</v>
      </c>
      <c r="Z77" s="7" t="s">
        <v>4</v>
      </c>
      <c r="AA77" s="7">
        <v>13.77</v>
      </c>
      <c r="AB77" s="7" t="s">
        <v>5</v>
      </c>
      <c r="AC77">
        <v>68.349999999999994</v>
      </c>
      <c r="AD77" s="7" t="s">
        <v>4</v>
      </c>
      <c r="AE77" s="7" t="s">
        <v>4</v>
      </c>
      <c r="AF77">
        <v>139.34</v>
      </c>
      <c r="AG77" s="7">
        <v>18.87</v>
      </c>
      <c r="AH77" s="7">
        <v>5.99</v>
      </c>
      <c r="AI77" s="7" t="s">
        <v>4</v>
      </c>
      <c r="AJ77">
        <v>63.66</v>
      </c>
      <c r="AK77" s="7" t="s">
        <v>4</v>
      </c>
      <c r="AL77" s="7" t="s">
        <v>4</v>
      </c>
      <c r="AM77" s="7" t="s">
        <v>4</v>
      </c>
      <c r="AN77" s="7">
        <v>40.11</v>
      </c>
      <c r="AO77" s="7">
        <v>6.59</v>
      </c>
      <c r="AP77" s="7" t="s">
        <v>4</v>
      </c>
      <c r="AQ77" s="7" t="s">
        <v>4</v>
      </c>
      <c r="AR77" s="7" t="s">
        <v>4</v>
      </c>
      <c r="AS77">
        <v>12.8</v>
      </c>
      <c r="AT77" s="7">
        <v>772.46</v>
      </c>
      <c r="AU77" s="7" t="s">
        <v>4</v>
      </c>
      <c r="AV77" s="7">
        <v>60.62</v>
      </c>
      <c r="AW77" s="7">
        <v>484.69</v>
      </c>
      <c r="AX77" s="7">
        <v>224.37</v>
      </c>
      <c r="AY77" s="7">
        <v>108.05</v>
      </c>
      <c r="AZ77" s="7">
        <v>5.47</v>
      </c>
      <c r="BA77" s="7" t="s">
        <v>4</v>
      </c>
      <c r="BB77" s="7" t="s">
        <v>4</v>
      </c>
      <c r="BC77">
        <v>34.93</v>
      </c>
      <c r="BD77" s="7">
        <v>1.62</v>
      </c>
      <c r="BE77" s="7" t="s">
        <v>4</v>
      </c>
      <c r="BF77" s="7" t="s">
        <v>4</v>
      </c>
      <c r="BG77" s="7">
        <v>3.27</v>
      </c>
      <c r="BH77" s="7" t="s">
        <v>4</v>
      </c>
    </row>
    <row r="78" spans="1:60">
      <c r="A78">
        <v>48</v>
      </c>
      <c r="B78" t="s">
        <v>156</v>
      </c>
      <c r="C78" t="s">
        <v>157</v>
      </c>
      <c r="D78" s="7">
        <v>2.9</v>
      </c>
      <c r="E78" s="7" t="s">
        <v>4</v>
      </c>
      <c r="F78" s="7" t="s">
        <v>5</v>
      </c>
      <c r="G78" s="7">
        <v>37.64</v>
      </c>
      <c r="H78" s="7" t="s">
        <v>4</v>
      </c>
      <c r="I78" s="7">
        <v>1.25</v>
      </c>
      <c r="J78" s="7" t="s">
        <v>4</v>
      </c>
      <c r="K78" s="7">
        <v>144.47999999999999</v>
      </c>
      <c r="L78" s="7" t="s">
        <v>4</v>
      </c>
      <c r="M78" s="7">
        <v>3.06</v>
      </c>
      <c r="N78" s="7" t="s">
        <v>4</v>
      </c>
      <c r="O78" s="7">
        <v>12.71</v>
      </c>
      <c r="P78">
        <v>24.68</v>
      </c>
      <c r="Q78" s="7" t="s">
        <v>4</v>
      </c>
      <c r="R78" s="7">
        <v>7</v>
      </c>
      <c r="S78" s="7" t="s">
        <v>4</v>
      </c>
      <c r="T78" s="7" t="s">
        <v>4</v>
      </c>
      <c r="U78" s="7" t="s">
        <v>4</v>
      </c>
      <c r="V78">
        <v>4.59</v>
      </c>
      <c r="W78" s="7" t="s">
        <v>4</v>
      </c>
      <c r="X78" s="7">
        <v>361.34</v>
      </c>
      <c r="Y78" s="7">
        <v>16.670000000000002</v>
      </c>
      <c r="Z78" s="7" t="s">
        <v>4</v>
      </c>
      <c r="AA78" s="7" t="s">
        <v>4</v>
      </c>
      <c r="AB78" s="7">
        <v>31.69</v>
      </c>
      <c r="AC78">
        <v>1.42</v>
      </c>
      <c r="AD78" s="7" t="s">
        <v>4</v>
      </c>
      <c r="AE78" s="7" t="s">
        <v>4</v>
      </c>
      <c r="AF78">
        <v>112.05</v>
      </c>
      <c r="AG78" s="7">
        <v>27.32</v>
      </c>
      <c r="AH78" s="7">
        <v>2.5</v>
      </c>
      <c r="AI78" s="7" t="s">
        <v>4</v>
      </c>
      <c r="AJ78">
        <v>89.84</v>
      </c>
      <c r="AK78" s="7" t="s">
        <v>4</v>
      </c>
      <c r="AL78" s="7" t="s">
        <v>4</v>
      </c>
      <c r="AM78" s="7" t="s">
        <v>4</v>
      </c>
      <c r="AN78" s="7">
        <v>24.52</v>
      </c>
      <c r="AO78" s="7">
        <v>4.34</v>
      </c>
      <c r="AP78" s="7" t="s">
        <v>4</v>
      </c>
      <c r="AQ78" s="7" t="s">
        <v>4</v>
      </c>
      <c r="AR78" s="7" t="s">
        <v>4</v>
      </c>
      <c r="AS78">
        <v>14.16</v>
      </c>
      <c r="AT78" s="7">
        <v>3.13</v>
      </c>
      <c r="AU78" s="7" t="s">
        <v>4</v>
      </c>
      <c r="AV78" s="7" t="s">
        <v>4</v>
      </c>
      <c r="AW78" s="7" t="s">
        <v>4</v>
      </c>
      <c r="AX78" s="7" t="s">
        <v>4</v>
      </c>
      <c r="AY78" s="7" t="s">
        <v>4</v>
      </c>
      <c r="AZ78" s="7" t="s">
        <v>4</v>
      </c>
      <c r="BA78" s="7" t="s">
        <v>4</v>
      </c>
      <c r="BB78" s="7" t="s">
        <v>4</v>
      </c>
      <c r="BC78">
        <v>7.7</v>
      </c>
      <c r="BD78" s="7" t="s">
        <v>4</v>
      </c>
      <c r="BE78" s="7" t="s">
        <v>4</v>
      </c>
      <c r="BF78" s="7" t="s">
        <v>4</v>
      </c>
      <c r="BG78" s="7" t="s">
        <v>4</v>
      </c>
      <c r="BH78" s="7" t="s">
        <v>4</v>
      </c>
    </row>
    <row r="79" spans="1:60">
      <c r="A79">
        <v>120</v>
      </c>
      <c r="B79" t="s">
        <v>158</v>
      </c>
      <c r="C79" t="s">
        <v>159</v>
      </c>
      <c r="D79" s="7" t="s">
        <v>4</v>
      </c>
      <c r="E79" s="7" t="s">
        <v>5</v>
      </c>
      <c r="F79" s="7" t="s">
        <v>5</v>
      </c>
      <c r="G79" s="7">
        <v>4.1500000000000004</v>
      </c>
      <c r="H79" s="7" t="s">
        <v>4</v>
      </c>
      <c r="I79" s="7">
        <v>10.8</v>
      </c>
      <c r="J79" s="7" t="s">
        <v>4</v>
      </c>
      <c r="K79" s="7">
        <v>116.29</v>
      </c>
      <c r="L79" s="7" t="s">
        <v>4</v>
      </c>
      <c r="M79" s="7">
        <v>84.91</v>
      </c>
      <c r="N79" s="7" t="s">
        <v>4</v>
      </c>
      <c r="O79" s="7">
        <v>642.62</v>
      </c>
      <c r="P79">
        <v>293.17</v>
      </c>
      <c r="Q79" s="7" t="s">
        <v>4</v>
      </c>
      <c r="R79" s="7">
        <v>63.69</v>
      </c>
      <c r="S79" s="7" t="s">
        <v>4</v>
      </c>
      <c r="T79" s="7">
        <v>14.89</v>
      </c>
      <c r="U79" s="7" t="s">
        <v>4</v>
      </c>
      <c r="V79">
        <v>21.79</v>
      </c>
      <c r="W79" s="7">
        <v>37.020000000000003</v>
      </c>
      <c r="X79" s="7" t="s">
        <v>5</v>
      </c>
      <c r="Y79" s="7" t="s">
        <v>5</v>
      </c>
      <c r="Z79" s="7" t="s">
        <v>4</v>
      </c>
      <c r="AA79" s="7">
        <v>5.67</v>
      </c>
      <c r="AB79" s="7" t="s">
        <v>5</v>
      </c>
      <c r="AC79">
        <v>67.16</v>
      </c>
      <c r="AD79" s="7" t="s">
        <v>4</v>
      </c>
      <c r="AE79" s="7" t="s">
        <v>4</v>
      </c>
      <c r="AF79">
        <v>475.69</v>
      </c>
      <c r="AG79" s="7">
        <v>52.96</v>
      </c>
      <c r="AH79" s="7">
        <v>23.16</v>
      </c>
      <c r="AI79" s="7" t="s">
        <v>4</v>
      </c>
      <c r="AJ79">
        <v>385.5</v>
      </c>
      <c r="AK79" s="7" t="s">
        <v>4</v>
      </c>
      <c r="AL79" s="7" t="s">
        <v>4</v>
      </c>
      <c r="AM79" s="7" t="s">
        <v>4</v>
      </c>
      <c r="AN79" s="7">
        <v>39.67</v>
      </c>
      <c r="AO79" s="7">
        <v>5.48</v>
      </c>
      <c r="AP79" s="7" t="s">
        <v>4</v>
      </c>
      <c r="AQ79" s="7" t="s">
        <v>4</v>
      </c>
      <c r="AR79" s="7" t="s">
        <v>4</v>
      </c>
      <c r="AS79">
        <v>42.77</v>
      </c>
      <c r="AT79" s="7">
        <v>22.07</v>
      </c>
      <c r="AU79" s="7" t="s">
        <v>4</v>
      </c>
      <c r="AV79" s="7" t="s">
        <v>4</v>
      </c>
      <c r="AW79" s="7" t="s">
        <v>4</v>
      </c>
      <c r="AX79" s="7" t="s">
        <v>4</v>
      </c>
      <c r="AY79" s="7" t="s">
        <v>4</v>
      </c>
      <c r="AZ79" s="7" t="s">
        <v>4</v>
      </c>
      <c r="BA79" s="7" t="s">
        <v>4</v>
      </c>
      <c r="BB79" s="7" t="s">
        <v>4</v>
      </c>
      <c r="BC79">
        <v>25.93</v>
      </c>
      <c r="BD79" s="7" t="s">
        <v>4</v>
      </c>
      <c r="BE79" s="7" t="s">
        <v>4</v>
      </c>
      <c r="BF79" s="7" t="s">
        <v>4</v>
      </c>
      <c r="BG79" s="7">
        <v>2.38</v>
      </c>
      <c r="BH79" s="7" t="s">
        <v>4</v>
      </c>
    </row>
    <row r="80" spans="1:60">
      <c r="A80">
        <v>174</v>
      </c>
      <c r="B80" t="s">
        <v>160</v>
      </c>
      <c r="C80" t="s">
        <v>161</v>
      </c>
      <c r="D80" s="7" t="s">
        <v>4</v>
      </c>
      <c r="E80" s="7" t="s">
        <v>5</v>
      </c>
      <c r="F80" s="7" t="s">
        <v>5</v>
      </c>
      <c r="G80" s="7">
        <v>6.44</v>
      </c>
      <c r="H80" s="7" t="s">
        <v>4</v>
      </c>
      <c r="I80" s="7">
        <v>9.3000000000000007</v>
      </c>
      <c r="J80" s="7" t="s">
        <v>4</v>
      </c>
      <c r="K80" s="7">
        <v>80.069999999999993</v>
      </c>
      <c r="L80" s="7" t="s">
        <v>4</v>
      </c>
      <c r="M80" s="7">
        <v>78.489999999999995</v>
      </c>
      <c r="N80" s="7" t="s">
        <v>4</v>
      </c>
      <c r="O80" s="7">
        <v>268.72000000000003</v>
      </c>
      <c r="P80">
        <v>214.3</v>
      </c>
      <c r="Q80" s="7" t="s">
        <v>4</v>
      </c>
      <c r="R80" s="7">
        <v>144.88999999999999</v>
      </c>
      <c r="S80" s="7" t="s">
        <v>4</v>
      </c>
      <c r="T80" s="7">
        <v>9.0500000000000007</v>
      </c>
      <c r="U80" s="7" t="s">
        <v>4</v>
      </c>
      <c r="V80">
        <v>28.99</v>
      </c>
      <c r="W80" s="7">
        <v>6.5</v>
      </c>
      <c r="X80" s="7" t="s">
        <v>5</v>
      </c>
      <c r="Y80" s="7">
        <v>867.87</v>
      </c>
      <c r="Z80" s="7">
        <v>3.46</v>
      </c>
      <c r="AA80" s="7">
        <v>5.58</v>
      </c>
      <c r="AB80" s="7">
        <v>329.91</v>
      </c>
      <c r="AC80">
        <v>51.67</v>
      </c>
      <c r="AD80" s="7" t="s">
        <v>4</v>
      </c>
      <c r="AE80" s="7" t="s">
        <v>4</v>
      </c>
      <c r="AF80">
        <v>128.13</v>
      </c>
      <c r="AG80" s="7">
        <v>20.5</v>
      </c>
      <c r="AH80" s="7">
        <v>29.04</v>
      </c>
      <c r="AI80" s="7" t="s">
        <v>4</v>
      </c>
      <c r="AJ80">
        <v>51.05</v>
      </c>
      <c r="AK80" s="7" t="s">
        <v>4</v>
      </c>
      <c r="AL80" s="7">
        <v>25.43</v>
      </c>
      <c r="AM80" s="7" t="s">
        <v>4</v>
      </c>
      <c r="AN80" s="7">
        <v>177.14</v>
      </c>
      <c r="AO80" s="7">
        <v>44.6</v>
      </c>
      <c r="AP80" s="7" t="s">
        <v>4</v>
      </c>
      <c r="AQ80" s="7" t="s">
        <v>4</v>
      </c>
      <c r="AR80" s="7" t="s">
        <v>4</v>
      </c>
      <c r="AS80">
        <v>28.3</v>
      </c>
      <c r="AT80" s="7" t="s">
        <v>5</v>
      </c>
      <c r="AU80" s="7" t="s">
        <v>4</v>
      </c>
      <c r="AV80" s="7">
        <v>343.41</v>
      </c>
      <c r="AW80" s="7" t="s">
        <v>5</v>
      </c>
      <c r="AX80" s="7">
        <v>935.01</v>
      </c>
      <c r="AY80" s="7">
        <v>498.96</v>
      </c>
      <c r="AZ80" s="7" t="s">
        <v>4</v>
      </c>
      <c r="BA80" s="7">
        <v>7.13</v>
      </c>
      <c r="BB80" s="7" t="s">
        <v>4</v>
      </c>
      <c r="BC80">
        <v>48.18</v>
      </c>
      <c r="BD80" s="7">
        <v>10.55</v>
      </c>
      <c r="BE80" s="7" t="s">
        <v>4</v>
      </c>
      <c r="BF80" s="7" t="s">
        <v>4</v>
      </c>
      <c r="BG80" s="7">
        <v>3.04</v>
      </c>
      <c r="BH80" s="7" t="s">
        <v>4</v>
      </c>
    </row>
    <row r="81" spans="1:60">
      <c r="A81">
        <v>99</v>
      </c>
      <c r="B81" t="s">
        <v>162</v>
      </c>
      <c r="C81" t="s">
        <v>163</v>
      </c>
      <c r="D81" s="7" t="s">
        <v>4</v>
      </c>
      <c r="E81" s="7" t="s">
        <v>5</v>
      </c>
      <c r="F81" s="7">
        <v>3.26</v>
      </c>
      <c r="G81" s="7" t="s">
        <v>4</v>
      </c>
      <c r="H81" s="7" t="s">
        <v>4</v>
      </c>
      <c r="I81" s="7">
        <v>2.4900000000000002</v>
      </c>
      <c r="J81" s="7" t="s">
        <v>4</v>
      </c>
      <c r="K81" s="7">
        <v>391.49</v>
      </c>
      <c r="L81" s="7" t="s">
        <v>4</v>
      </c>
      <c r="M81" s="7" t="s">
        <v>5</v>
      </c>
      <c r="N81" s="7" t="s">
        <v>4</v>
      </c>
      <c r="O81" s="7" t="s">
        <v>5</v>
      </c>
      <c r="P81" t="s">
        <v>5</v>
      </c>
      <c r="Q81" s="7" t="s">
        <v>4</v>
      </c>
      <c r="R81" s="7" t="s">
        <v>4</v>
      </c>
      <c r="S81" s="7">
        <v>21.62</v>
      </c>
      <c r="T81" s="7" t="s">
        <v>5</v>
      </c>
      <c r="U81" s="7" t="s">
        <v>4</v>
      </c>
      <c r="V81">
        <v>8.7200000000000006</v>
      </c>
      <c r="W81" s="7" t="s">
        <v>5</v>
      </c>
      <c r="X81" s="7" t="s">
        <v>5</v>
      </c>
      <c r="Y81" s="7" t="s">
        <v>5</v>
      </c>
      <c r="Z81" s="7" t="s">
        <v>4</v>
      </c>
      <c r="AA81" s="7">
        <v>143.01</v>
      </c>
      <c r="AB81" s="7" t="s">
        <v>5</v>
      </c>
      <c r="AC81">
        <v>65.84</v>
      </c>
      <c r="AD81" s="7" t="s">
        <v>4</v>
      </c>
      <c r="AE81" s="7" t="s">
        <v>4</v>
      </c>
      <c r="AF81">
        <v>293.35000000000002</v>
      </c>
      <c r="AG81" s="7" t="s">
        <v>4</v>
      </c>
      <c r="AH81" s="7">
        <v>56.62</v>
      </c>
      <c r="AI81" s="7" t="s">
        <v>4</v>
      </c>
      <c r="AJ81">
        <v>93.95</v>
      </c>
      <c r="AK81" s="7" t="s">
        <v>4</v>
      </c>
      <c r="AL81" s="7">
        <v>14.45</v>
      </c>
      <c r="AM81" s="7" t="s">
        <v>4</v>
      </c>
      <c r="AN81" s="7">
        <v>14.55</v>
      </c>
      <c r="AO81" s="7" t="s">
        <v>4</v>
      </c>
      <c r="AP81" s="7" t="s">
        <v>4</v>
      </c>
      <c r="AQ81" s="7" t="s">
        <v>4</v>
      </c>
      <c r="AR81" s="7">
        <v>5.44</v>
      </c>
      <c r="AS81">
        <v>152.97</v>
      </c>
      <c r="AT81" s="7">
        <v>58.56</v>
      </c>
      <c r="AU81" s="7" t="s">
        <v>4</v>
      </c>
      <c r="AV81" s="7">
        <v>63.6</v>
      </c>
      <c r="AW81" s="7" t="s">
        <v>4</v>
      </c>
      <c r="AX81" s="7">
        <v>734.85</v>
      </c>
      <c r="AY81" s="7">
        <v>832.93</v>
      </c>
      <c r="AZ81" s="7" t="s">
        <v>4</v>
      </c>
      <c r="BA81" s="7" t="s">
        <v>4</v>
      </c>
      <c r="BB81" s="7" t="s">
        <v>4</v>
      </c>
      <c r="BC81" t="s">
        <v>4</v>
      </c>
      <c r="BD81" s="7" t="s">
        <v>4</v>
      </c>
      <c r="BE81" s="7" t="s">
        <v>4</v>
      </c>
      <c r="BF81" s="7" t="s">
        <v>4</v>
      </c>
      <c r="BG81" s="7" t="s">
        <v>4</v>
      </c>
      <c r="BH81" s="7" t="s">
        <v>4</v>
      </c>
    </row>
    <row r="82" spans="1:60">
      <c r="A82">
        <v>193</v>
      </c>
      <c r="B82" t="s">
        <v>164</v>
      </c>
      <c r="C82" t="s">
        <v>165</v>
      </c>
      <c r="D82" s="7" t="s">
        <v>4</v>
      </c>
      <c r="E82" s="7" t="s">
        <v>5</v>
      </c>
      <c r="F82" s="7" t="s">
        <v>5</v>
      </c>
      <c r="G82" s="7" t="s">
        <v>5</v>
      </c>
      <c r="H82" s="7">
        <v>35.590000000000003</v>
      </c>
      <c r="I82" s="7">
        <v>31.28</v>
      </c>
      <c r="J82" s="7" t="s">
        <v>4</v>
      </c>
      <c r="K82" s="7" t="s">
        <v>5</v>
      </c>
      <c r="L82" s="7">
        <v>4.43</v>
      </c>
      <c r="M82" s="7">
        <v>54.07</v>
      </c>
      <c r="N82" s="7">
        <v>3.87</v>
      </c>
      <c r="O82" s="7">
        <v>310.29000000000002</v>
      </c>
      <c r="P82">
        <v>75.540000000000006</v>
      </c>
      <c r="Q82" s="7" t="s">
        <v>4</v>
      </c>
      <c r="R82" s="7">
        <v>381.28</v>
      </c>
      <c r="S82" s="7" t="s">
        <v>4</v>
      </c>
      <c r="T82" s="7" t="s">
        <v>4</v>
      </c>
      <c r="U82" s="7" t="s">
        <v>4</v>
      </c>
      <c r="V82">
        <v>151.47</v>
      </c>
      <c r="W82" s="7" t="s">
        <v>4</v>
      </c>
      <c r="X82" s="7">
        <v>864.79</v>
      </c>
      <c r="Y82" s="7">
        <v>448.25</v>
      </c>
      <c r="Z82" s="7" t="s">
        <v>4</v>
      </c>
      <c r="AA82" s="7">
        <v>32.15</v>
      </c>
      <c r="AB82" s="7">
        <v>218.58</v>
      </c>
      <c r="AC82">
        <v>64.8</v>
      </c>
      <c r="AD82" s="7" t="s">
        <v>4</v>
      </c>
      <c r="AE82" s="7" t="s">
        <v>4</v>
      </c>
      <c r="AF82">
        <v>463.28</v>
      </c>
      <c r="AG82" s="7">
        <v>219.9</v>
      </c>
      <c r="AH82" s="7">
        <v>9.77</v>
      </c>
      <c r="AI82" s="7" t="s">
        <v>4</v>
      </c>
      <c r="AJ82">
        <v>339.97</v>
      </c>
      <c r="AK82" s="7" t="s">
        <v>4</v>
      </c>
      <c r="AL82" s="7">
        <v>3.19</v>
      </c>
      <c r="AM82" s="7" t="s">
        <v>4</v>
      </c>
      <c r="AN82" s="7">
        <v>145.79</v>
      </c>
      <c r="AO82" s="7">
        <v>61.76</v>
      </c>
      <c r="AP82" s="7" t="s">
        <v>4</v>
      </c>
      <c r="AQ82" s="7" t="s">
        <v>4</v>
      </c>
      <c r="AR82" s="7" t="s">
        <v>4</v>
      </c>
      <c r="AS82">
        <v>111.37</v>
      </c>
      <c r="AT82" s="7">
        <v>119</v>
      </c>
      <c r="AU82" s="7" t="s">
        <v>4</v>
      </c>
      <c r="AV82" s="7" t="s">
        <v>4</v>
      </c>
      <c r="AW82" s="7">
        <v>43.65</v>
      </c>
      <c r="AX82" s="7">
        <v>14.67</v>
      </c>
      <c r="AY82" s="7" t="s">
        <v>4</v>
      </c>
      <c r="AZ82" s="7">
        <v>5.8</v>
      </c>
      <c r="BA82" s="7" t="s">
        <v>4</v>
      </c>
      <c r="BB82" s="7" t="s">
        <v>4</v>
      </c>
      <c r="BC82">
        <v>77.05</v>
      </c>
      <c r="BD82" s="7">
        <v>3.85</v>
      </c>
      <c r="BE82" s="7" t="s">
        <v>4</v>
      </c>
      <c r="BF82" s="7" t="s">
        <v>4</v>
      </c>
      <c r="BG82" s="7">
        <v>12.75</v>
      </c>
      <c r="BH82" s="7" t="s">
        <v>4</v>
      </c>
    </row>
    <row r="83" spans="1:60">
      <c r="A83">
        <v>159</v>
      </c>
      <c r="B83" t="s">
        <v>166</v>
      </c>
      <c r="C83" t="s">
        <v>167</v>
      </c>
      <c r="D83" s="7" t="s">
        <v>4</v>
      </c>
      <c r="E83" s="7" t="s">
        <v>5</v>
      </c>
      <c r="F83" s="7">
        <v>8</v>
      </c>
      <c r="G83" s="7" t="s">
        <v>4</v>
      </c>
      <c r="H83" s="7" t="s">
        <v>4</v>
      </c>
      <c r="I83" s="7">
        <v>4.26</v>
      </c>
      <c r="J83" s="7" t="s">
        <v>4</v>
      </c>
      <c r="K83" s="7">
        <v>5.49</v>
      </c>
      <c r="L83" s="7" t="s">
        <v>4</v>
      </c>
      <c r="M83" s="7">
        <v>46.9</v>
      </c>
      <c r="N83" s="7" t="s">
        <v>4</v>
      </c>
      <c r="O83" s="7">
        <v>448.24</v>
      </c>
      <c r="P83">
        <v>58.61</v>
      </c>
      <c r="Q83" s="7" t="s">
        <v>4</v>
      </c>
      <c r="R83" s="7" t="s">
        <v>4</v>
      </c>
      <c r="S83" s="7" t="s">
        <v>4</v>
      </c>
      <c r="T83" s="7">
        <v>9.43</v>
      </c>
      <c r="U83" s="7" t="s">
        <v>4</v>
      </c>
      <c r="V83">
        <v>14.96</v>
      </c>
      <c r="W83" s="7">
        <v>71.069999999999993</v>
      </c>
      <c r="X83" s="7" t="s">
        <v>5</v>
      </c>
      <c r="Y83" s="7" t="s">
        <v>5</v>
      </c>
      <c r="Z83" s="7" t="s">
        <v>4</v>
      </c>
      <c r="AA83" s="7">
        <v>17.45</v>
      </c>
      <c r="AB83" s="7" t="s">
        <v>5</v>
      </c>
      <c r="AC83">
        <v>82.78</v>
      </c>
      <c r="AD83" s="7" t="s">
        <v>4</v>
      </c>
      <c r="AE83" s="7" t="s">
        <v>4</v>
      </c>
      <c r="AF83">
        <v>330.22</v>
      </c>
      <c r="AG83" s="7">
        <v>7.01</v>
      </c>
      <c r="AH83" s="7">
        <v>50.31</v>
      </c>
      <c r="AI83" s="7" t="s">
        <v>4</v>
      </c>
      <c r="AJ83">
        <v>229.44</v>
      </c>
      <c r="AK83" s="7" t="s">
        <v>4</v>
      </c>
      <c r="AL83" s="7">
        <v>29.47</v>
      </c>
      <c r="AM83" s="7" t="s">
        <v>4</v>
      </c>
      <c r="AN83" s="7">
        <v>116.26</v>
      </c>
      <c r="AO83" s="7" t="s">
        <v>4</v>
      </c>
      <c r="AP83" s="7" t="s">
        <v>4</v>
      </c>
      <c r="AQ83" s="7" t="s">
        <v>4</v>
      </c>
      <c r="AR83" s="7" t="s">
        <v>4</v>
      </c>
      <c r="AS83">
        <v>38.47</v>
      </c>
      <c r="AT83" s="7">
        <v>34.35</v>
      </c>
      <c r="AU83" s="7" t="s">
        <v>4</v>
      </c>
      <c r="AV83" s="7" t="s">
        <v>4</v>
      </c>
      <c r="AW83" s="7">
        <v>94.35</v>
      </c>
      <c r="AX83" s="7">
        <v>29.56</v>
      </c>
      <c r="AY83" s="7">
        <v>48.74</v>
      </c>
      <c r="AZ83" s="7" t="s">
        <v>4</v>
      </c>
      <c r="BA83" s="7">
        <v>5.24</v>
      </c>
      <c r="BB83" s="7">
        <v>1.1299999999999999</v>
      </c>
      <c r="BC83" t="s">
        <v>4</v>
      </c>
      <c r="BD83" s="7" t="s">
        <v>4</v>
      </c>
      <c r="BE83" s="7" t="s">
        <v>4</v>
      </c>
      <c r="BF83" s="7" t="s">
        <v>4</v>
      </c>
      <c r="BG83" s="7" t="s">
        <v>4</v>
      </c>
      <c r="BH83" s="7">
        <v>9.52</v>
      </c>
    </row>
    <row r="84" spans="1:60">
      <c r="A84">
        <v>105</v>
      </c>
      <c r="B84" t="s">
        <v>168</v>
      </c>
      <c r="C84" t="s">
        <v>169</v>
      </c>
      <c r="D84" s="7" t="s">
        <v>4</v>
      </c>
      <c r="E84" s="7">
        <v>45.95</v>
      </c>
      <c r="F84" s="7" t="s">
        <v>5</v>
      </c>
      <c r="G84" s="7">
        <v>22.68</v>
      </c>
      <c r="H84" s="7">
        <v>4.4800000000000004</v>
      </c>
      <c r="I84" s="7">
        <v>7.36</v>
      </c>
      <c r="J84" s="7" t="s">
        <v>4</v>
      </c>
      <c r="K84" s="7" t="s">
        <v>5</v>
      </c>
      <c r="L84" s="7">
        <v>3.16</v>
      </c>
      <c r="M84" s="7">
        <v>5.45</v>
      </c>
      <c r="N84" s="7">
        <v>3.29</v>
      </c>
      <c r="O84" s="7">
        <v>56.2</v>
      </c>
      <c r="P84">
        <v>83.41</v>
      </c>
      <c r="Q84" s="7" t="s">
        <v>4</v>
      </c>
      <c r="R84" s="7">
        <v>588.35</v>
      </c>
      <c r="S84" s="7" t="s">
        <v>4</v>
      </c>
      <c r="T84" s="7" t="s">
        <v>4</v>
      </c>
      <c r="U84" s="7" t="s">
        <v>4</v>
      </c>
      <c r="V84">
        <v>93.55</v>
      </c>
      <c r="W84" s="7">
        <v>2.88</v>
      </c>
      <c r="X84" s="7">
        <v>677.06</v>
      </c>
      <c r="Y84" s="7">
        <v>170.22</v>
      </c>
      <c r="Z84" s="7">
        <v>21.47</v>
      </c>
      <c r="AA84" s="7">
        <v>17.12</v>
      </c>
      <c r="AB84" s="7">
        <v>133.54</v>
      </c>
      <c r="AC84">
        <v>248.35</v>
      </c>
      <c r="AD84" s="7">
        <v>1.55</v>
      </c>
      <c r="AE84" s="7" t="s">
        <v>4</v>
      </c>
      <c r="AF84">
        <v>121.56</v>
      </c>
      <c r="AG84" s="7">
        <v>71.88</v>
      </c>
      <c r="AH84" s="7">
        <v>10.87</v>
      </c>
      <c r="AI84" s="7" t="s">
        <v>4</v>
      </c>
      <c r="AJ84">
        <v>152.52000000000001</v>
      </c>
      <c r="AK84" s="7" t="s">
        <v>4</v>
      </c>
      <c r="AL84" s="7" t="s">
        <v>4</v>
      </c>
      <c r="AM84" s="7" t="s">
        <v>4</v>
      </c>
      <c r="AN84" s="7">
        <v>38.57</v>
      </c>
      <c r="AO84" s="7">
        <v>7.33</v>
      </c>
      <c r="AP84" s="7" t="s">
        <v>4</v>
      </c>
      <c r="AQ84" s="7" t="s">
        <v>4</v>
      </c>
      <c r="AR84" s="7" t="s">
        <v>4</v>
      </c>
      <c r="AS84">
        <v>31.21</v>
      </c>
      <c r="AT84" s="7">
        <v>27.3</v>
      </c>
      <c r="AU84" s="7" t="s">
        <v>4</v>
      </c>
      <c r="AV84" s="7" t="s">
        <v>4</v>
      </c>
      <c r="AW84" s="7" t="s">
        <v>4</v>
      </c>
      <c r="AX84" s="7" t="s">
        <v>4</v>
      </c>
      <c r="AY84" s="7" t="s">
        <v>4</v>
      </c>
      <c r="AZ84" s="7" t="s">
        <v>4</v>
      </c>
      <c r="BA84" s="7" t="s">
        <v>4</v>
      </c>
      <c r="BB84" s="7" t="s">
        <v>4</v>
      </c>
      <c r="BC84">
        <v>14.49</v>
      </c>
      <c r="BD84" s="7">
        <v>1.33</v>
      </c>
      <c r="BE84" s="7" t="s">
        <v>4</v>
      </c>
      <c r="BF84" s="7" t="s">
        <v>4</v>
      </c>
      <c r="BG84" s="7">
        <v>1.33</v>
      </c>
      <c r="BH84" s="7" t="s">
        <v>4</v>
      </c>
    </row>
    <row r="85" spans="1:60">
      <c r="A85">
        <v>124</v>
      </c>
      <c r="B85" t="s">
        <v>170</v>
      </c>
      <c r="C85" t="s">
        <v>171</v>
      </c>
      <c r="D85" s="7">
        <v>4.17</v>
      </c>
      <c r="E85" s="7" t="s">
        <v>4</v>
      </c>
      <c r="F85" s="7" t="s">
        <v>5</v>
      </c>
      <c r="G85" s="7" t="s">
        <v>5</v>
      </c>
      <c r="H85" s="7">
        <v>3.28</v>
      </c>
      <c r="I85" s="7">
        <v>8.2100000000000009</v>
      </c>
      <c r="J85" s="7" t="s">
        <v>4</v>
      </c>
      <c r="K85" s="7">
        <v>34.950000000000003</v>
      </c>
      <c r="L85" s="7" t="s">
        <v>4</v>
      </c>
      <c r="M85" s="7" t="s">
        <v>4</v>
      </c>
      <c r="N85" s="7" t="s">
        <v>4</v>
      </c>
      <c r="O85" s="7">
        <v>3.96</v>
      </c>
      <c r="P85">
        <v>15.54</v>
      </c>
      <c r="Q85" s="7" t="s">
        <v>4</v>
      </c>
      <c r="R85" s="7">
        <v>49.07</v>
      </c>
      <c r="S85" s="7" t="s">
        <v>4</v>
      </c>
      <c r="T85" s="7" t="s">
        <v>4</v>
      </c>
      <c r="U85" s="7" t="s">
        <v>4</v>
      </c>
      <c r="V85">
        <v>45.09</v>
      </c>
      <c r="W85" s="7" t="s">
        <v>4</v>
      </c>
      <c r="X85" s="7">
        <v>113.34</v>
      </c>
      <c r="Y85" s="7">
        <v>137.56</v>
      </c>
      <c r="Z85" s="7">
        <v>1.55</v>
      </c>
      <c r="AA85" s="7">
        <v>13.2</v>
      </c>
      <c r="AB85" s="7">
        <v>34.409999999999997</v>
      </c>
      <c r="AC85">
        <v>19.73</v>
      </c>
      <c r="AD85" s="7" t="s">
        <v>4</v>
      </c>
      <c r="AE85" s="7" t="s">
        <v>4</v>
      </c>
      <c r="AF85">
        <v>70.48</v>
      </c>
      <c r="AG85" s="7">
        <v>60.93</v>
      </c>
      <c r="AH85" s="7">
        <v>7.25</v>
      </c>
      <c r="AI85" s="7" t="s">
        <v>4</v>
      </c>
      <c r="AJ85">
        <v>63.46</v>
      </c>
      <c r="AK85" s="7" t="s">
        <v>4</v>
      </c>
      <c r="AL85" s="7" t="s">
        <v>4</v>
      </c>
      <c r="AM85" s="7" t="s">
        <v>4</v>
      </c>
      <c r="AN85" s="7">
        <v>12.37</v>
      </c>
      <c r="AO85" s="7">
        <v>7.86</v>
      </c>
      <c r="AP85" s="7" t="s">
        <v>4</v>
      </c>
      <c r="AQ85" s="7" t="s">
        <v>4</v>
      </c>
      <c r="AR85" s="7" t="s">
        <v>4</v>
      </c>
      <c r="AS85">
        <v>8.49</v>
      </c>
      <c r="AT85" s="7" t="s">
        <v>5</v>
      </c>
      <c r="AU85" s="7" t="s">
        <v>4</v>
      </c>
      <c r="AV85" s="7">
        <v>576.03</v>
      </c>
      <c r="AW85" s="7" t="s">
        <v>5</v>
      </c>
      <c r="AX85" s="7" t="s">
        <v>5</v>
      </c>
      <c r="AY85" s="7">
        <v>424.78</v>
      </c>
      <c r="AZ85" s="7" t="s">
        <v>4</v>
      </c>
      <c r="BA85" s="7" t="s">
        <v>4</v>
      </c>
      <c r="BB85" s="7" t="s">
        <v>4</v>
      </c>
      <c r="BC85">
        <v>20.43</v>
      </c>
      <c r="BD85" s="7">
        <v>1.04</v>
      </c>
      <c r="BE85" s="7" t="s">
        <v>4</v>
      </c>
      <c r="BF85" s="7" t="s">
        <v>4</v>
      </c>
      <c r="BG85" s="7">
        <v>8.51</v>
      </c>
      <c r="BH85" s="7" t="s">
        <v>4</v>
      </c>
    </row>
    <row r="86" spans="1:60">
      <c r="A86">
        <v>169</v>
      </c>
      <c r="B86" t="s">
        <v>172</v>
      </c>
      <c r="C86" t="s">
        <v>173</v>
      </c>
      <c r="D86" s="7">
        <v>9.93</v>
      </c>
      <c r="E86" s="7" t="s">
        <v>5</v>
      </c>
      <c r="F86" s="7" t="s">
        <v>5</v>
      </c>
      <c r="G86" s="7">
        <v>11.48</v>
      </c>
      <c r="H86" s="7">
        <v>1.37</v>
      </c>
      <c r="I86" s="7">
        <v>3.25</v>
      </c>
      <c r="J86" s="7" t="s">
        <v>4</v>
      </c>
      <c r="K86" s="7">
        <v>372.48</v>
      </c>
      <c r="L86" s="7" t="s">
        <v>4</v>
      </c>
      <c r="M86" s="7">
        <v>27.91</v>
      </c>
      <c r="N86" s="7" t="s">
        <v>4</v>
      </c>
      <c r="O86" s="7">
        <v>97.96</v>
      </c>
      <c r="P86">
        <v>59.92</v>
      </c>
      <c r="Q86" s="7" t="s">
        <v>4</v>
      </c>
      <c r="R86" s="7">
        <v>16.14</v>
      </c>
      <c r="S86" s="7" t="s">
        <v>4</v>
      </c>
      <c r="T86" s="7">
        <v>29.97</v>
      </c>
      <c r="U86" s="7" t="s">
        <v>4</v>
      </c>
      <c r="V86">
        <v>13.09</v>
      </c>
      <c r="W86" s="7">
        <v>21.26</v>
      </c>
      <c r="X86" s="7" t="s">
        <v>5</v>
      </c>
      <c r="Y86" s="7">
        <v>150.63999999999999</v>
      </c>
      <c r="Z86" s="7" t="s">
        <v>4</v>
      </c>
      <c r="AA86" s="7">
        <v>6.55</v>
      </c>
      <c r="AB86" s="7">
        <v>195.78</v>
      </c>
      <c r="AC86">
        <v>10.48</v>
      </c>
      <c r="AD86" s="7" t="s">
        <v>4</v>
      </c>
      <c r="AE86" s="7" t="s">
        <v>4</v>
      </c>
      <c r="AF86">
        <v>28.43</v>
      </c>
      <c r="AG86" s="7">
        <v>33.53</v>
      </c>
      <c r="AH86" s="7">
        <v>3.68</v>
      </c>
      <c r="AI86" s="7" t="s">
        <v>4</v>
      </c>
      <c r="AJ86">
        <v>67.12</v>
      </c>
      <c r="AK86" s="7" t="s">
        <v>4</v>
      </c>
      <c r="AL86" s="7" t="s">
        <v>4</v>
      </c>
      <c r="AM86" s="7" t="s">
        <v>4</v>
      </c>
      <c r="AN86" s="7">
        <v>9.9600000000000009</v>
      </c>
      <c r="AO86" s="7">
        <v>16.59</v>
      </c>
      <c r="AP86" s="7" t="s">
        <v>4</v>
      </c>
      <c r="AQ86" s="7" t="s">
        <v>4</v>
      </c>
      <c r="AR86" s="7" t="s">
        <v>4</v>
      </c>
      <c r="AS86">
        <v>15.14</v>
      </c>
      <c r="AT86" s="7" t="s">
        <v>5</v>
      </c>
      <c r="AU86" s="7" t="s">
        <v>4</v>
      </c>
      <c r="AV86" s="7">
        <v>346.08</v>
      </c>
      <c r="AW86" s="7" t="s">
        <v>5</v>
      </c>
      <c r="AX86" s="7">
        <v>286.45</v>
      </c>
      <c r="AY86" s="7">
        <v>81.86</v>
      </c>
      <c r="AZ86" s="7" t="s">
        <v>4</v>
      </c>
      <c r="BA86" s="7" t="s">
        <v>4</v>
      </c>
      <c r="BB86" s="7" t="s">
        <v>4</v>
      </c>
      <c r="BC86">
        <v>54.26</v>
      </c>
      <c r="BD86" s="7">
        <v>12.37</v>
      </c>
      <c r="BE86" s="7" t="s">
        <v>4</v>
      </c>
      <c r="BF86" s="7" t="s">
        <v>4</v>
      </c>
      <c r="BG86" s="7">
        <v>17.53</v>
      </c>
      <c r="BH86" s="7" t="s">
        <v>4</v>
      </c>
    </row>
    <row r="87" spans="1:60">
      <c r="A87">
        <v>68</v>
      </c>
      <c r="B87" t="s">
        <v>174</v>
      </c>
      <c r="C87" t="s">
        <v>175</v>
      </c>
      <c r="D87" s="7" t="s">
        <v>4</v>
      </c>
      <c r="E87" s="7">
        <v>22.33</v>
      </c>
      <c r="F87" s="7" t="s">
        <v>5</v>
      </c>
      <c r="G87" s="7" t="s">
        <v>5</v>
      </c>
      <c r="H87" s="7">
        <v>3.22</v>
      </c>
      <c r="I87" s="7">
        <v>7.62</v>
      </c>
      <c r="J87" s="7" t="s">
        <v>4</v>
      </c>
      <c r="K87" s="7" t="s">
        <v>5</v>
      </c>
      <c r="L87" s="7" t="s">
        <v>4</v>
      </c>
      <c r="M87" s="7">
        <v>4.1500000000000004</v>
      </c>
      <c r="N87" s="7">
        <v>4.76</v>
      </c>
      <c r="O87" s="7">
        <v>28.53</v>
      </c>
      <c r="P87">
        <v>41.01</v>
      </c>
      <c r="Q87" s="7" t="s">
        <v>4</v>
      </c>
      <c r="R87" s="7">
        <v>56.85</v>
      </c>
      <c r="S87" s="7" t="s">
        <v>4</v>
      </c>
      <c r="T87" s="7">
        <v>1</v>
      </c>
      <c r="U87" s="7" t="s">
        <v>4</v>
      </c>
      <c r="V87">
        <v>40.79</v>
      </c>
      <c r="W87" s="7" t="s">
        <v>4</v>
      </c>
      <c r="X87" s="7">
        <v>667.1</v>
      </c>
      <c r="Y87" s="7">
        <v>191.72</v>
      </c>
      <c r="Z87" s="7" t="s">
        <v>4</v>
      </c>
      <c r="AA87" s="7" t="s">
        <v>4</v>
      </c>
      <c r="AB87" s="7">
        <v>83.66</v>
      </c>
      <c r="AC87">
        <v>11.02</v>
      </c>
      <c r="AD87" s="7" t="s">
        <v>4</v>
      </c>
      <c r="AE87" s="7" t="s">
        <v>4</v>
      </c>
      <c r="AF87">
        <v>71.599999999999994</v>
      </c>
      <c r="AG87" s="7">
        <v>60.27</v>
      </c>
      <c r="AH87" s="7">
        <v>6.77</v>
      </c>
      <c r="AI87" s="7" t="s">
        <v>4</v>
      </c>
      <c r="AJ87">
        <v>97.95</v>
      </c>
      <c r="AK87" s="7" t="s">
        <v>4</v>
      </c>
      <c r="AL87" s="7" t="s">
        <v>4</v>
      </c>
      <c r="AM87" s="7" t="s">
        <v>4</v>
      </c>
      <c r="AN87" s="7">
        <v>16.21</v>
      </c>
      <c r="AO87" s="7">
        <v>8.66</v>
      </c>
      <c r="AP87" s="7" t="s">
        <v>4</v>
      </c>
      <c r="AQ87" s="7" t="s">
        <v>4</v>
      </c>
      <c r="AR87" s="7" t="s">
        <v>4</v>
      </c>
      <c r="AS87">
        <v>15.17</v>
      </c>
      <c r="AT87" s="7">
        <v>15.53</v>
      </c>
      <c r="AU87" s="7" t="s">
        <v>4</v>
      </c>
      <c r="AV87" s="7" t="s">
        <v>4</v>
      </c>
      <c r="AW87" s="7">
        <v>13.64</v>
      </c>
      <c r="AX87" s="7" t="s">
        <v>4</v>
      </c>
      <c r="AY87" s="7" t="s">
        <v>4</v>
      </c>
      <c r="AZ87" s="7" t="s">
        <v>4</v>
      </c>
      <c r="BA87" s="7" t="s">
        <v>4</v>
      </c>
      <c r="BB87" s="7" t="s">
        <v>4</v>
      </c>
      <c r="BC87">
        <v>11.85</v>
      </c>
      <c r="BD87" s="7" t="s">
        <v>4</v>
      </c>
      <c r="BE87" s="7" t="s">
        <v>4</v>
      </c>
      <c r="BF87" s="7" t="s">
        <v>4</v>
      </c>
      <c r="BG87" s="7">
        <v>2.38</v>
      </c>
      <c r="BH87" s="7" t="s">
        <v>4</v>
      </c>
    </row>
    <row r="88" spans="1:60">
      <c r="A88">
        <v>38</v>
      </c>
      <c r="B88" t="s">
        <v>176</v>
      </c>
      <c r="C88" t="s">
        <v>177</v>
      </c>
      <c r="D88" s="7" t="s">
        <v>4</v>
      </c>
      <c r="E88" s="7" t="s">
        <v>5</v>
      </c>
      <c r="F88" s="7" t="s">
        <v>5</v>
      </c>
      <c r="G88" s="7">
        <v>5.13</v>
      </c>
      <c r="H88" s="7">
        <v>1.06</v>
      </c>
      <c r="I88" s="7">
        <v>15.5</v>
      </c>
      <c r="J88" s="7" t="s">
        <v>4</v>
      </c>
      <c r="K88" s="7">
        <v>343.04</v>
      </c>
      <c r="L88" s="7" t="s">
        <v>4</v>
      </c>
      <c r="M88" s="7">
        <v>92.24</v>
      </c>
      <c r="N88" s="7" t="s">
        <v>4</v>
      </c>
      <c r="O88" s="7">
        <v>639.98</v>
      </c>
      <c r="P88">
        <v>612.82000000000005</v>
      </c>
      <c r="Q88" s="7" t="s">
        <v>4</v>
      </c>
      <c r="R88" s="7">
        <v>140.08000000000001</v>
      </c>
      <c r="S88" s="7" t="s">
        <v>4</v>
      </c>
      <c r="T88" s="7">
        <v>17.86</v>
      </c>
      <c r="U88" s="7" t="s">
        <v>4</v>
      </c>
      <c r="V88">
        <v>36.15</v>
      </c>
      <c r="W88" s="7">
        <v>18.43</v>
      </c>
      <c r="X88" s="7" t="s">
        <v>5</v>
      </c>
      <c r="Y88" s="7" t="s">
        <v>5</v>
      </c>
      <c r="Z88" s="7">
        <v>3.06</v>
      </c>
      <c r="AA88" s="7">
        <v>7.45</v>
      </c>
      <c r="AB88" s="7">
        <v>529.84</v>
      </c>
      <c r="AC88">
        <v>50.25</v>
      </c>
      <c r="AD88" s="7">
        <v>2.27</v>
      </c>
      <c r="AE88" s="7" t="s">
        <v>4</v>
      </c>
      <c r="AF88">
        <v>132.72</v>
      </c>
      <c r="AG88" s="7">
        <v>59.55</v>
      </c>
      <c r="AH88" s="7">
        <v>10.28</v>
      </c>
      <c r="AI88" s="7" t="s">
        <v>4</v>
      </c>
      <c r="AJ88">
        <v>138.85</v>
      </c>
      <c r="AK88" s="7" t="s">
        <v>4</v>
      </c>
      <c r="AL88" s="7" t="s">
        <v>4</v>
      </c>
      <c r="AM88" s="7" t="s">
        <v>4</v>
      </c>
      <c r="AN88" s="7">
        <v>28.08</v>
      </c>
      <c r="AO88" s="7">
        <v>11.43</v>
      </c>
      <c r="AP88" s="7" t="s">
        <v>4</v>
      </c>
      <c r="AQ88" s="7" t="s">
        <v>4</v>
      </c>
      <c r="AR88" s="7" t="s">
        <v>4</v>
      </c>
      <c r="AS88">
        <v>21.98</v>
      </c>
      <c r="AT88" s="7">
        <v>11.77</v>
      </c>
      <c r="AU88" s="7" t="s">
        <v>4</v>
      </c>
      <c r="AV88" s="7" t="s">
        <v>4</v>
      </c>
      <c r="AW88" s="7" t="s">
        <v>4</v>
      </c>
      <c r="AX88" s="7" t="s">
        <v>4</v>
      </c>
      <c r="AY88" s="7" t="s">
        <v>4</v>
      </c>
      <c r="AZ88" s="7" t="s">
        <v>4</v>
      </c>
      <c r="BA88" s="7" t="s">
        <v>4</v>
      </c>
      <c r="BB88" s="7" t="s">
        <v>4</v>
      </c>
      <c r="BC88">
        <v>14.87</v>
      </c>
      <c r="BD88" s="7" t="s">
        <v>4</v>
      </c>
      <c r="BE88" s="7" t="s">
        <v>4</v>
      </c>
      <c r="BF88" s="7" t="s">
        <v>4</v>
      </c>
      <c r="BG88" s="7" t="s">
        <v>4</v>
      </c>
      <c r="BH88" s="7" t="s">
        <v>4</v>
      </c>
    </row>
    <row r="89" spans="1:60">
      <c r="A89">
        <v>182</v>
      </c>
      <c r="B89" t="s">
        <v>178</v>
      </c>
      <c r="C89" t="s">
        <v>179</v>
      </c>
      <c r="D89" s="7" t="s">
        <v>4</v>
      </c>
      <c r="E89" s="7">
        <v>8.59</v>
      </c>
      <c r="F89" s="7" t="s">
        <v>5</v>
      </c>
      <c r="G89" s="7">
        <v>4.78</v>
      </c>
      <c r="H89" s="7">
        <v>41.31</v>
      </c>
      <c r="I89" s="7">
        <v>24.37</v>
      </c>
      <c r="J89" s="7" t="s">
        <v>4</v>
      </c>
      <c r="K89" s="7" t="s">
        <v>5</v>
      </c>
      <c r="L89" s="7">
        <v>29.52</v>
      </c>
      <c r="M89" s="7">
        <v>9.43</v>
      </c>
      <c r="N89" s="7">
        <v>36.409999999999997</v>
      </c>
      <c r="O89" s="7">
        <v>588.13</v>
      </c>
      <c r="P89">
        <v>517.59</v>
      </c>
      <c r="Q89" s="7" t="s">
        <v>4</v>
      </c>
      <c r="R89" s="7">
        <v>866.12</v>
      </c>
      <c r="S89" s="7" t="s">
        <v>4</v>
      </c>
      <c r="T89" s="7" t="s">
        <v>4</v>
      </c>
      <c r="U89" s="7" t="s">
        <v>4</v>
      </c>
      <c r="V89">
        <v>105.87</v>
      </c>
      <c r="W89" s="7" t="s">
        <v>4</v>
      </c>
      <c r="X89" s="7">
        <v>1539.41</v>
      </c>
      <c r="Y89" s="7" t="s">
        <v>5</v>
      </c>
      <c r="Z89" s="7">
        <v>47.44</v>
      </c>
      <c r="AA89" s="7">
        <v>70.59</v>
      </c>
      <c r="AB89" s="7">
        <v>193.23</v>
      </c>
      <c r="AC89">
        <v>325.63</v>
      </c>
      <c r="AD89" s="7">
        <v>5.31</v>
      </c>
      <c r="AE89" s="7" t="s">
        <v>4</v>
      </c>
      <c r="AF89">
        <v>336.38</v>
      </c>
      <c r="AG89" s="7">
        <v>501.97</v>
      </c>
      <c r="AH89" s="7">
        <v>41.11</v>
      </c>
      <c r="AI89" s="7" t="s">
        <v>4</v>
      </c>
      <c r="AJ89">
        <v>155.9</v>
      </c>
      <c r="AK89" s="7" t="s">
        <v>4</v>
      </c>
      <c r="AL89" s="7" t="s">
        <v>4</v>
      </c>
      <c r="AM89" s="7" t="s">
        <v>4</v>
      </c>
      <c r="AN89" s="7">
        <v>66.19</v>
      </c>
      <c r="AO89" s="7">
        <v>13.48</v>
      </c>
      <c r="AP89" s="7" t="s">
        <v>4</v>
      </c>
      <c r="AQ89" s="7" t="s">
        <v>4</v>
      </c>
      <c r="AR89" s="7" t="s">
        <v>4</v>
      </c>
      <c r="AS89">
        <v>17.13</v>
      </c>
      <c r="AT89" s="7" t="s">
        <v>5</v>
      </c>
      <c r="AU89" s="7" t="s">
        <v>4</v>
      </c>
      <c r="AV89" s="7">
        <v>70.599999999999994</v>
      </c>
      <c r="AW89" s="7">
        <v>853.62</v>
      </c>
      <c r="AX89" s="7">
        <v>239.66</v>
      </c>
      <c r="AY89" s="7" t="s">
        <v>5</v>
      </c>
      <c r="AZ89" s="7">
        <v>7.04</v>
      </c>
      <c r="BA89" s="7" t="s">
        <v>4</v>
      </c>
      <c r="BB89" s="7">
        <v>1.0900000000000001</v>
      </c>
      <c r="BC89">
        <v>56.38</v>
      </c>
      <c r="BD89" s="7" t="s">
        <v>4</v>
      </c>
      <c r="BE89" s="7" t="s">
        <v>4</v>
      </c>
      <c r="BF89" s="7" t="s">
        <v>4</v>
      </c>
      <c r="BG89" s="7">
        <v>5.22</v>
      </c>
      <c r="BH89" s="7" t="s">
        <v>4</v>
      </c>
    </row>
    <row r="90" spans="1:60">
      <c r="A90">
        <v>23</v>
      </c>
      <c r="B90" t="s">
        <v>180</v>
      </c>
      <c r="C90" t="s">
        <v>181</v>
      </c>
      <c r="D90" s="7">
        <v>2.84</v>
      </c>
      <c r="E90" s="7">
        <v>17.87</v>
      </c>
      <c r="F90" s="7" t="s">
        <v>5</v>
      </c>
      <c r="G90" s="7" t="s">
        <v>5</v>
      </c>
      <c r="H90" s="7" t="s">
        <v>4</v>
      </c>
      <c r="I90" s="7">
        <v>2.52</v>
      </c>
      <c r="J90" s="7" t="s">
        <v>4</v>
      </c>
      <c r="K90" s="7">
        <v>92.74</v>
      </c>
      <c r="L90" s="7" t="s">
        <v>4</v>
      </c>
      <c r="M90" s="7">
        <v>37.83</v>
      </c>
      <c r="N90" s="7">
        <v>1.01</v>
      </c>
      <c r="O90" s="7">
        <v>90.69</v>
      </c>
      <c r="P90">
        <v>73.88</v>
      </c>
      <c r="Q90" s="7" t="s">
        <v>4</v>
      </c>
      <c r="R90" s="7">
        <v>14.99</v>
      </c>
      <c r="S90" s="7">
        <v>8.82</v>
      </c>
      <c r="T90" s="7">
        <v>16.420000000000002</v>
      </c>
      <c r="U90" s="7" t="s">
        <v>4</v>
      </c>
      <c r="V90">
        <v>40.18</v>
      </c>
      <c r="W90" s="7">
        <v>44.55</v>
      </c>
      <c r="X90" s="7" t="s">
        <v>5</v>
      </c>
      <c r="Y90" s="7">
        <v>189.12</v>
      </c>
      <c r="Z90" s="7" t="s">
        <v>4</v>
      </c>
      <c r="AA90" s="7" t="s">
        <v>4</v>
      </c>
      <c r="AB90" s="7" t="s">
        <v>5</v>
      </c>
      <c r="AC90">
        <v>6.67</v>
      </c>
      <c r="AD90" s="7" t="s">
        <v>4</v>
      </c>
      <c r="AE90" s="7" t="s">
        <v>4</v>
      </c>
      <c r="AF90">
        <v>561.41999999999996</v>
      </c>
      <c r="AG90" s="7">
        <v>123.7</v>
      </c>
      <c r="AH90" s="7">
        <v>18.690000000000001</v>
      </c>
      <c r="AI90" s="7" t="s">
        <v>4</v>
      </c>
      <c r="AJ90">
        <v>700.46</v>
      </c>
      <c r="AK90" s="7" t="s">
        <v>4</v>
      </c>
      <c r="AL90" s="7">
        <v>4.25</v>
      </c>
      <c r="AM90" s="7" t="s">
        <v>4</v>
      </c>
      <c r="AN90" s="7">
        <v>110.65</v>
      </c>
      <c r="AO90" s="7">
        <v>14.7</v>
      </c>
      <c r="AP90" s="7" t="s">
        <v>4</v>
      </c>
      <c r="AQ90" s="7" t="s">
        <v>4</v>
      </c>
      <c r="AR90" s="7" t="s">
        <v>4</v>
      </c>
      <c r="AS90">
        <v>103.09</v>
      </c>
      <c r="AT90" s="7">
        <v>76.739999999999995</v>
      </c>
      <c r="AU90" s="7" t="s">
        <v>4</v>
      </c>
      <c r="AV90" s="7" t="s">
        <v>4</v>
      </c>
      <c r="AW90" s="7">
        <v>47.29</v>
      </c>
      <c r="AX90" s="7" t="s">
        <v>4</v>
      </c>
      <c r="AY90" s="7" t="s">
        <v>4</v>
      </c>
      <c r="AZ90" s="7" t="s">
        <v>4</v>
      </c>
      <c r="BA90" s="7" t="s">
        <v>4</v>
      </c>
      <c r="BB90" s="7" t="s">
        <v>4</v>
      </c>
      <c r="BC90">
        <v>42.42</v>
      </c>
      <c r="BD90" s="7" t="s">
        <v>4</v>
      </c>
      <c r="BE90" s="7" t="s">
        <v>4</v>
      </c>
      <c r="BF90" s="7" t="s">
        <v>4</v>
      </c>
      <c r="BG90" s="7">
        <v>3.56</v>
      </c>
      <c r="BH90" s="7" t="s">
        <v>4</v>
      </c>
    </row>
    <row r="91" spans="1:60">
      <c r="A91">
        <v>67</v>
      </c>
      <c r="B91" t="s">
        <v>182</v>
      </c>
      <c r="C91" t="s">
        <v>183</v>
      </c>
      <c r="D91" s="7" t="s">
        <v>4</v>
      </c>
      <c r="E91" s="7" t="s">
        <v>4</v>
      </c>
      <c r="F91" s="7" t="s">
        <v>5</v>
      </c>
      <c r="G91" s="7">
        <v>30.24</v>
      </c>
      <c r="H91" s="7">
        <v>2.64</v>
      </c>
      <c r="I91" s="7">
        <v>14.5</v>
      </c>
      <c r="J91" s="7" t="s">
        <v>4</v>
      </c>
      <c r="K91" s="7" t="s">
        <v>5</v>
      </c>
      <c r="L91" s="7" t="s">
        <v>4</v>
      </c>
      <c r="M91" s="7">
        <v>3</v>
      </c>
      <c r="N91" s="7" t="s">
        <v>4</v>
      </c>
      <c r="O91" s="7">
        <v>31.74</v>
      </c>
      <c r="P91">
        <v>71.650000000000006</v>
      </c>
      <c r="Q91" s="7" t="s">
        <v>4</v>
      </c>
      <c r="R91" s="7">
        <v>98.04</v>
      </c>
      <c r="S91" s="7" t="s">
        <v>4</v>
      </c>
      <c r="T91" s="7">
        <v>2.4300000000000002</v>
      </c>
      <c r="U91" s="7" t="s">
        <v>4</v>
      </c>
      <c r="V91">
        <v>13.32</v>
      </c>
      <c r="W91" s="7" t="s">
        <v>4</v>
      </c>
      <c r="X91" s="7">
        <v>1129.4000000000001</v>
      </c>
      <c r="Y91" s="7">
        <v>166.78</v>
      </c>
      <c r="Z91" s="7" t="s">
        <v>4</v>
      </c>
      <c r="AA91" s="7">
        <v>3.81</v>
      </c>
      <c r="AB91" s="7">
        <v>449.54</v>
      </c>
      <c r="AC91">
        <v>13.51</v>
      </c>
      <c r="AD91" s="7" t="s">
        <v>4</v>
      </c>
      <c r="AE91" s="7" t="s">
        <v>4</v>
      </c>
      <c r="AF91">
        <v>507.38</v>
      </c>
      <c r="AG91" s="7">
        <v>528.02</v>
      </c>
      <c r="AH91" s="7">
        <v>37.770000000000003</v>
      </c>
      <c r="AI91" s="7" t="s">
        <v>4</v>
      </c>
      <c r="AJ91">
        <v>1060.05</v>
      </c>
      <c r="AK91" s="7" t="s">
        <v>4</v>
      </c>
      <c r="AL91" s="7">
        <v>10.57</v>
      </c>
      <c r="AM91" s="7" t="s">
        <v>4</v>
      </c>
      <c r="AN91" s="7">
        <v>112.36</v>
      </c>
      <c r="AO91" s="7">
        <v>85.38</v>
      </c>
      <c r="AP91" s="7" t="s">
        <v>4</v>
      </c>
      <c r="AQ91" s="7" t="s">
        <v>4</v>
      </c>
      <c r="AR91" s="7" t="s">
        <v>4</v>
      </c>
      <c r="AS91">
        <v>182.85</v>
      </c>
      <c r="AT91" s="7">
        <v>10.78</v>
      </c>
      <c r="AU91" s="7" t="s">
        <v>4</v>
      </c>
      <c r="AV91" s="7" t="s">
        <v>4</v>
      </c>
      <c r="AW91" s="7" t="s">
        <v>4</v>
      </c>
      <c r="AX91" s="7" t="s">
        <v>4</v>
      </c>
      <c r="AY91" s="7" t="s">
        <v>4</v>
      </c>
      <c r="AZ91" s="7" t="s">
        <v>4</v>
      </c>
      <c r="BA91" s="7" t="s">
        <v>4</v>
      </c>
      <c r="BB91" s="7" t="s">
        <v>4</v>
      </c>
      <c r="BC91">
        <v>36.159999999999997</v>
      </c>
      <c r="BD91" s="7">
        <v>1.33</v>
      </c>
      <c r="BE91" s="7" t="s">
        <v>4</v>
      </c>
      <c r="BF91" s="7" t="s">
        <v>4</v>
      </c>
      <c r="BG91" s="7">
        <v>9.41</v>
      </c>
      <c r="BH91" s="7" t="s">
        <v>4</v>
      </c>
    </row>
    <row r="92" spans="1:60">
      <c r="A92">
        <v>122</v>
      </c>
      <c r="B92" t="s">
        <v>184</v>
      </c>
      <c r="C92" t="s">
        <v>185</v>
      </c>
      <c r="D92" s="7" t="s">
        <v>4</v>
      </c>
      <c r="E92" s="7">
        <v>14.07</v>
      </c>
      <c r="F92" s="7" t="s">
        <v>5</v>
      </c>
      <c r="G92" s="7" t="s">
        <v>4</v>
      </c>
      <c r="H92" s="7">
        <v>1.79</v>
      </c>
      <c r="I92" s="7">
        <v>9.02</v>
      </c>
      <c r="J92" s="7" t="s">
        <v>4</v>
      </c>
      <c r="K92" s="7" t="s">
        <v>5</v>
      </c>
      <c r="L92" s="7" t="s">
        <v>4</v>
      </c>
      <c r="M92" s="7">
        <v>85.56</v>
      </c>
      <c r="N92" s="7" t="s">
        <v>4</v>
      </c>
      <c r="O92" s="7">
        <v>606.29</v>
      </c>
      <c r="P92">
        <v>257.63</v>
      </c>
      <c r="Q92" s="7" t="s">
        <v>4</v>
      </c>
      <c r="R92" s="7">
        <v>19.84</v>
      </c>
      <c r="S92" s="7" t="s">
        <v>4</v>
      </c>
      <c r="T92" s="7">
        <v>40.4</v>
      </c>
      <c r="U92" s="7" t="s">
        <v>4</v>
      </c>
      <c r="V92">
        <v>23.44</v>
      </c>
      <c r="W92" s="7">
        <v>61.51</v>
      </c>
      <c r="X92" s="7" t="s">
        <v>5</v>
      </c>
      <c r="Y92" s="7">
        <v>885.9</v>
      </c>
      <c r="Z92" s="7" t="s">
        <v>4</v>
      </c>
      <c r="AA92" s="7">
        <v>6.74</v>
      </c>
      <c r="AB92" s="7" t="s">
        <v>5</v>
      </c>
      <c r="AC92">
        <v>29.2</v>
      </c>
      <c r="AD92" s="7" t="s">
        <v>4</v>
      </c>
      <c r="AE92" s="7" t="s">
        <v>4</v>
      </c>
      <c r="AF92">
        <v>476.37</v>
      </c>
      <c r="AG92" s="7">
        <v>608.04999999999995</v>
      </c>
      <c r="AH92" s="7">
        <v>30.01</v>
      </c>
      <c r="AI92" s="7" t="s">
        <v>4</v>
      </c>
      <c r="AJ92">
        <v>1975.29</v>
      </c>
      <c r="AK92" s="7" t="s">
        <v>4</v>
      </c>
      <c r="AL92" s="7">
        <v>5.08</v>
      </c>
      <c r="AM92" s="7" t="s">
        <v>4</v>
      </c>
      <c r="AN92" s="7">
        <v>37.020000000000003</v>
      </c>
      <c r="AO92" s="7">
        <v>58.42</v>
      </c>
      <c r="AP92" s="7" t="s">
        <v>4</v>
      </c>
      <c r="AQ92" s="7" t="s">
        <v>4</v>
      </c>
      <c r="AR92" s="7" t="s">
        <v>4</v>
      </c>
      <c r="AS92">
        <v>115.82</v>
      </c>
      <c r="AT92" s="7" t="s">
        <v>5</v>
      </c>
      <c r="AU92" s="7" t="s">
        <v>4</v>
      </c>
      <c r="AV92" s="7">
        <v>285.45</v>
      </c>
      <c r="AW92" s="7" t="s">
        <v>5</v>
      </c>
      <c r="AX92" s="7">
        <v>271.74</v>
      </c>
      <c r="AY92" s="7">
        <v>58.75</v>
      </c>
      <c r="AZ92" s="7">
        <v>8.25</v>
      </c>
      <c r="BA92" s="7" t="s">
        <v>4</v>
      </c>
      <c r="BB92" s="7">
        <v>2.89</v>
      </c>
      <c r="BC92">
        <v>101.01</v>
      </c>
      <c r="BD92" s="7">
        <v>14.31</v>
      </c>
      <c r="BE92" s="7" t="s">
        <v>4</v>
      </c>
      <c r="BF92" s="7" t="s">
        <v>4</v>
      </c>
      <c r="BG92" s="7">
        <v>53.38</v>
      </c>
      <c r="BH92" s="7" t="s">
        <v>4</v>
      </c>
    </row>
    <row r="93" spans="1:60">
      <c r="A93">
        <v>133</v>
      </c>
      <c r="B93" t="s">
        <v>186</v>
      </c>
      <c r="C93" t="s">
        <v>187</v>
      </c>
      <c r="D93" s="7" t="s">
        <v>4</v>
      </c>
      <c r="E93" s="7" t="s">
        <v>5</v>
      </c>
      <c r="F93" s="7" t="s">
        <v>5</v>
      </c>
      <c r="G93" s="7">
        <v>10.61</v>
      </c>
      <c r="H93" s="7" t="s">
        <v>4</v>
      </c>
      <c r="I93" s="7">
        <v>6.77</v>
      </c>
      <c r="J93" s="7" t="s">
        <v>4</v>
      </c>
      <c r="K93" s="7" t="s">
        <v>5</v>
      </c>
      <c r="L93" s="7" t="s">
        <v>4</v>
      </c>
      <c r="M93" s="7">
        <v>397.27</v>
      </c>
      <c r="N93" s="7" t="s">
        <v>4</v>
      </c>
      <c r="O93" s="7">
        <v>929.84</v>
      </c>
      <c r="P93">
        <v>361.28</v>
      </c>
      <c r="Q93" s="7" t="s">
        <v>4</v>
      </c>
      <c r="R93" s="7">
        <v>38.29</v>
      </c>
      <c r="S93" s="7" t="s">
        <v>4</v>
      </c>
      <c r="T93" s="7">
        <v>73.53</v>
      </c>
      <c r="U93" s="7" t="s">
        <v>4</v>
      </c>
      <c r="V93">
        <v>19.899999999999999</v>
      </c>
      <c r="W93" s="7">
        <v>112.4</v>
      </c>
      <c r="X93" s="7" t="s">
        <v>5</v>
      </c>
      <c r="Y93" s="7" t="s">
        <v>5</v>
      </c>
      <c r="Z93" s="7" t="s">
        <v>4</v>
      </c>
      <c r="AA93" s="7">
        <v>7.18</v>
      </c>
      <c r="AB93" s="7" t="s">
        <v>5</v>
      </c>
      <c r="AC93">
        <v>46.77</v>
      </c>
      <c r="AD93" s="7" t="s">
        <v>4</v>
      </c>
      <c r="AE93" s="7" t="s">
        <v>4</v>
      </c>
      <c r="AF93">
        <v>753.63</v>
      </c>
      <c r="AG93" s="7">
        <v>567.95000000000005</v>
      </c>
      <c r="AH93" s="7">
        <v>24.3</v>
      </c>
      <c r="AI93" s="7" t="s">
        <v>4</v>
      </c>
      <c r="AJ93">
        <v>607.49</v>
      </c>
      <c r="AK93" s="7" t="s">
        <v>4</v>
      </c>
      <c r="AL93" s="7" t="s">
        <v>4</v>
      </c>
      <c r="AM93" s="7" t="s">
        <v>4</v>
      </c>
      <c r="AN93" s="7">
        <v>30.31</v>
      </c>
      <c r="AO93" s="7">
        <v>16.989999999999998</v>
      </c>
      <c r="AP93" s="7" t="s">
        <v>4</v>
      </c>
      <c r="AQ93" s="7" t="s">
        <v>4</v>
      </c>
      <c r="AR93" s="7" t="s">
        <v>4</v>
      </c>
      <c r="AS93">
        <v>27.61</v>
      </c>
      <c r="AT93" s="7">
        <v>253.84</v>
      </c>
      <c r="AU93" s="7" t="s">
        <v>4</v>
      </c>
      <c r="AV93" s="7" t="s">
        <v>4</v>
      </c>
      <c r="AW93" s="7">
        <v>37.06</v>
      </c>
      <c r="AX93" s="7" t="s">
        <v>4</v>
      </c>
      <c r="AY93" s="7" t="s">
        <v>4</v>
      </c>
      <c r="AZ93" s="7" t="s">
        <v>4</v>
      </c>
      <c r="BA93" s="7" t="s">
        <v>4</v>
      </c>
      <c r="BB93" s="7" t="s">
        <v>4</v>
      </c>
      <c r="BC93">
        <v>108.41</v>
      </c>
      <c r="BD93" s="7" t="s">
        <v>4</v>
      </c>
      <c r="BE93" s="7" t="s">
        <v>4</v>
      </c>
      <c r="BF93" s="7" t="s">
        <v>4</v>
      </c>
      <c r="BG93" s="7">
        <v>9.82</v>
      </c>
      <c r="BH93" s="7" t="s">
        <v>4</v>
      </c>
    </row>
    <row r="94" spans="1:60">
      <c r="A94">
        <v>111</v>
      </c>
      <c r="B94" t="s">
        <v>188</v>
      </c>
      <c r="C94" t="s">
        <v>189</v>
      </c>
      <c r="D94" s="7" t="s">
        <v>4</v>
      </c>
      <c r="E94" s="7" t="s">
        <v>5</v>
      </c>
      <c r="F94" s="7" t="s">
        <v>5</v>
      </c>
      <c r="G94" s="7" t="s">
        <v>5</v>
      </c>
      <c r="H94" s="7">
        <v>1.58</v>
      </c>
      <c r="I94" s="7">
        <v>6.07</v>
      </c>
      <c r="J94" s="7" t="s">
        <v>4</v>
      </c>
      <c r="K94" s="7">
        <v>321.58</v>
      </c>
      <c r="L94" s="7" t="s">
        <v>4</v>
      </c>
      <c r="M94" s="7">
        <v>9.61</v>
      </c>
      <c r="N94" s="7" t="s">
        <v>4</v>
      </c>
      <c r="O94" s="7">
        <v>61.59</v>
      </c>
      <c r="P94">
        <v>26.25</v>
      </c>
      <c r="Q94" s="7" t="s">
        <v>4</v>
      </c>
      <c r="R94" s="7">
        <v>52.87</v>
      </c>
      <c r="S94" s="7" t="s">
        <v>4</v>
      </c>
      <c r="T94" s="7">
        <v>8.16</v>
      </c>
      <c r="U94" s="7" t="s">
        <v>4</v>
      </c>
      <c r="V94">
        <v>61.86</v>
      </c>
      <c r="W94" s="7">
        <v>4.74</v>
      </c>
      <c r="X94" s="7">
        <v>1863.13</v>
      </c>
      <c r="Y94" s="7">
        <v>114.58</v>
      </c>
      <c r="Z94" s="7" t="s">
        <v>4</v>
      </c>
      <c r="AA94" s="7">
        <v>4.05</v>
      </c>
      <c r="AB94" s="7">
        <v>333.82</v>
      </c>
      <c r="AC94">
        <v>4.28</v>
      </c>
      <c r="AD94" s="7" t="s">
        <v>4</v>
      </c>
      <c r="AE94" s="7" t="s">
        <v>4</v>
      </c>
      <c r="AF94">
        <v>137.88999999999999</v>
      </c>
      <c r="AG94" s="7">
        <v>71.22</v>
      </c>
      <c r="AH94" s="7">
        <v>31.97</v>
      </c>
      <c r="AI94" s="7" t="s">
        <v>4</v>
      </c>
      <c r="AJ94">
        <v>406.69</v>
      </c>
      <c r="AK94" s="7" t="s">
        <v>4</v>
      </c>
      <c r="AL94" s="7">
        <v>3.13</v>
      </c>
      <c r="AM94" s="7" t="s">
        <v>4</v>
      </c>
      <c r="AN94" s="7">
        <v>89.14</v>
      </c>
      <c r="AO94" s="7">
        <v>15.39</v>
      </c>
      <c r="AP94" s="7" t="s">
        <v>4</v>
      </c>
      <c r="AQ94" s="7" t="s">
        <v>4</v>
      </c>
      <c r="AR94" s="7" t="s">
        <v>4</v>
      </c>
      <c r="AS94">
        <v>150.41</v>
      </c>
      <c r="AT94" s="7">
        <v>8.27</v>
      </c>
      <c r="AU94" s="7" t="s">
        <v>4</v>
      </c>
      <c r="AV94" s="7" t="s">
        <v>4</v>
      </c>
      <c r="AW94" s="7" t="s">
        <v>4</v>
      </c>
      <c r="AX94" s="7" t="s">
        <v>4</v>
      </c>
      <c r="AY94" s="7" t="s">
        <v>4</v>
      </c>
      <c r="AZ94" s="7" t="s">
        <v>4</v>
      </c>
      <c r="BA94" s="7" t="s">
        <v>4</v>
      </c>
      <c r="BB94" s="7" t="s">
        <v>4</v>
      </c>
      <c r="BC94">
        <v>28.82</v>
      </c>
      <c r="BD94" s="7">
        <v>1.38</v>
      </c>
      <c r="BE94" s="7" t="s">
        <v>4</v>
      </c>
      <c r="BF94" s="7" t="s">
        <v>4</v>
      </c>
      <c r="BG94" s="7">
        <v>6.54</v>
      </c>
      <c r="BH94" s="7" t="s">
        <v>4</v>
      </c>
    </row>
    <row r="95" spans="1:60">
      <c r="A95">
        <v>179</v>
      </c>
      <c r="B95" t="s">
        <v>190</v>
      </c>
      <c r="C95" t="s">
        <v>191</v>
      </c>
      <c r="D95" s="7" t="s">
        <v>4</v>
      </c>
      <c r="E95" s="7" t="s">
        <v>5</v>
      </c>
      <c r="F95" s="7" t="s">
        <v>5</v>
      </c>
      <c r="G95" s="7" t="s">
        <v>4</v>
      </c>
      <c r="H95" s="7">
        <v>5.2</v>
      </c>
      <c r="I95" s="7">
        <v>12.04</v>
      </c>
      <c r="J95" s="7" t="s">
        <v>4</v>
      </c>
      <c r="K95" s="7">
        <v>298.77</v>
      </c>
      <c r="L95" s="7" t="s">
        <v>4</v>
      </c>
      <c r="M95" s="7">
        <v>648.04999999999995</v>
      </c>
      <c r="N95" s="7" t="s">
        <v>4</v>
      </c>
      <c r="O95" s="7" t="s">
        <v>5</v>
      </c>
      <c r="P95">
        <v>999.65</v>
      </c>
      <c r="Q95" s="7" t="s">
        <v>4</v>
      </c>
      <c r="R95" s="7">
        <v>23.15</v>
      </c>
      <c r="S95" s="7">
        <v>7.49</v>
      </c>
      <c r="T95" s="7">
        <v>102.41</v>
      </c>
      <c r="U95" s="7" t="s">
        <v>4</v>
      </c>
      <c r="V95">
        <v>43.31</v>
      </c>
      <c r="W95" s="7">
        <v>380.05</v>
      </c>
      <c r="X95" s="7" t="s">
        <v>5</v>
      </c>
      <c r="Y95" s="7" t="s">
        <v>5</v>
      </c>
      <c r="Z95" s="7">
        <v>6.4</v>
      </c>
      <c r="AA95" s="7">
        <v>49.48</v>
      </c>
      <c r="AB95" s="7" t="s">
        <v>5</v>
      </c>
      <c r="AC95">
        <v>141.22999999999999</v>
      </c>
      <c r="AD95" s="7" t="s">
        <v>4</v>
      </c>
      <c r="AE95" s="7" t="s">
        <v>4</v>
      </c>
      <c r="AF95" t="s">
        <v>5</v>
      </c>
      <c r="AG95" s="7" t="s">
        <v>5</v>
      </c>
      <c r="AH95" s="7" t="s">
        <v>5</v>
      </c>
      <c r="AI95" s="7" t="s">
        <v>4</v>
      </c>
      <c r="AJ95" t="s">
        <v>5</v>
      </c>
      <c r="AK95" s="7">
        <v>40.520000000000003</v>
      </c>
      <c r="AL95" s="7">
        <v>270.37</v>
      </c>
      <c r="AM95" s="7" t="s">
        <v>4</v>
      </c>
      <c r="AN95" s="7" t="s">
        <v>5</v>
      </c>
      <c r="AO95" s="7">
        <v>443.33</v>
      </c>
      <c r="AP95" s="7" t="s">
        <v>4</v>
      </c>
      <c r="AQ95" s="7">
        <v>8.1</v>
      </c>
      <c r="AR95" s="7">
        <v>13.55</v>
      </c>
      <c r="AS95">
        <v>1433.58</v>
      </c>
      <c r="AT95" s="7">
        <v>85.89</v>
      </c>
      <c r="AU95" s="7" t="s">
        <v>4</v>
      </c>
      <c r="AV95" s="7" t="s">
        <v>4</v>
      </c>
      <c r="AW95" s="7">
        <v>137.55000000000001</v>
      </c>
      <c r="AX95" s="7">
        <v>29.94</v>
      </c>
      <c r="AY95" s="7">
        <v>343.99</v>
      </c>
      <c r="AZ95" s="7">
        <v>147.86000000000001</v>
      </c>
      <c r="BA95" s="7">
        <v>21.24</v>
      </c>
      <c r="BB95" s="7">
        <v>42.95</v>
      </c>
      <c r="BC95">
        <v>483.13</v>
      </c>
      <c r="BD95" s="7">
        <v>61.66</v>
      </c>
      <c r="BE95" s="7" t="s">
        <v>4</v>
      </c>
      <c r="BF95" s="7">
        <v>88.55</v>
      </c>
      <c r="BG95" s="7">
        <v>438.4</v>
      </c>
      <c r="BH95" s="7">
        <v>3.36</v>
      </c>
    </row>
    <row r="96" spans="1:60">
      <c r="A96">
        <v>91</v>
      </c>
      <c r="B96" t="s">
        <v>192</v>
      </c>
      <c r="C96" t="s">
        <v>193</v>
      </c>
      <c r="D96" s="7">
        <v>4.1399999999999997</v>
      </c>
      <c r="E96" s="7">
        <v>26.38</v>
      </c>
      <c r="F96" s="7" t="s">
        <v>5</v>
      </c>
      <c r="G96" s="7">
        <v>16.63</v>
      </c>
      <c r="H96" s="7" t="s">
        <v>4</v>
      </c>
      <c r="I96" s="7">
        <v>10.24</v>
      </c>
      <c r="J96" s="7" t="s">
        <v>4</v>
      </c>
      <c r="K96" s="7" t="s">
        <v>5</v>
      </c>
      <c r="L96" s="7" t="s">
        <v>4</v>
      </c>
      <c r="M96" s="7">
        <v>7.59</v>
      </c>
      <c r="N96" s="7" t="s">
        <v>4</v>
      </c>
      <c r="O96" s="7">
        <v>147.74</v>
      </c>
      <c r="P96">
        <v>33.729999999999997</v>
      </c>
      <c r="Q96" s="7" t="s">
        <v>4</v>
      </c>
      <c r="R96" s="7">
        <v>14.22</v>
      </c>
      <c r="S96" s="7">
        <v>4.8</v>
      </c>
      <c r="T96" s="7">
        <v>76.959999999999994</v>
      </c>
      <c r="U96" s="7" t="s">
        <v>4</v>
      </c>
      <c r="V96">
        <v>30.45</v>
      </c>
      <c r="W96" s="7" t="s">
        <v>4</v>
      </c>
      <c r="X96" s="7">
        <v>2098.5</v>
      </c>
      <c r="Y96" s="7">
        <v>53.63</v>
      </c>
      <c r="Z96" s="7">
        <v>1.63</v>
      </c>
      <c r="AA96" s="7">
        <v>3.68</v>
      </c>
      <c r="AB96" s="7">
        <v>45.32</v>
      </c>
      <c r="AC96">
        <v>6.86</v>
      </c>
      <c r="AD96" s="7" t="s">
        <v>4</v>
      </c>
      <c r="AE96" s="7" t="s">
        <v>4</v>
      </c>
      <c r="AF96">
        <v>73.09</v>
      </c>
      <c r="AG96" s="7">
        <v>38.96</v>
      </c>
      <c r="AH96" s="7">
        <v>3.46</v>
      </c>
      <c r="AI96" s="7" t="s">
        <v>4</v>
      </c>
      <c r="AJ96">
        <v>78.36</v>
      </c>
      <c r="AK96" s="7" t="s">
        <v>4</v>
      </c>
      <c r="AL96" s="7" t="s">
        <v>4</v>
      </c>
      <c r="AM96" s="7" t="s">
        <v>4</v>
      </c>
      <c r="AN96" s="7">
        <v>23.18</v>
      </c>
      <c r="AO96" s="7">
        <v>11.96</v>
      </c>
      <c r="AP96" s="7" t="s">
        <v>4</v>
      </c>
      <c r="AQ96" s="7" t="s">
        <v>4</v>
      </c>
      <c r="AR96" s="7" t="s">
        <v>4</v>
      </c>
      <c r="AS96">
        <v>21.04</v>
      </c>
      <c r="AT96" s="7">
        <v>35.99</v>
      </c>
      <c r="AU96" s="7" t="s">
        <v>4</v>
      </c>
      <c r="AV96" s="7">
        <v>416.17</v>
      </c>
      <c r="AW96" s="7" t="s">
        <v>5</v>
      </c>
      <c r="AX96" s="7">
        <v>648.33000000000004</v>
      </c>
      <c r="AY96" s="7">
        <v>122.43</v>
      </c>
      <c r="AZ96" s="7" t="s">
        <v>4</v>
      </c>
      <c r="BA96" s="7" t="s">
        <v>4</v>
      </c>
      <c r="BB96" s="7" t="s">
        <v>4</v>
      </c>
      <c r="BC96">
        <v>4.9800000000000004</v>
      </c>
      <c r="BD96" s="7">
        <v>3.87</v>
      </c>
      <c r="BE96" s="7" t="s">
        <v>4</v>
      </c>
      <c r="BF96" s="7" t="s">
        <v>4</v>
      </c>
      <c r="BG96" s="7">
        <v>2.2999999999999998</v>
      </c>
      <c r="BH96" s="7" t="s">
        <v>4</v>
      </c>
    </row>
    <row r="97" spans="1:60">
      <c r="A97">
        <v>92</v>
      </c>
      <c r="B97" t="s">
        <v>194</v>
      </c>
      <c r="C97" t="s">
        <v>195</v>
      </c>
      <c r="D97" s="7" t="s">
        <v>4</v>
      </c>
      <c r="E97" s="7">
        <v>17.53</v>
      </c>
      <c r="F97" s="7" t="s">
        <v>5</v>
      </c>
      <c r="G97" s="7" t="s">
        <v>4</v>
      </c>
      <c r="H97" s="7" t="s">
        <v>4</v>
      </c>
      <c r="I97" s="7">
        <v>6.56</v>
      </c>
      <c r="J97" s="7" t="s">
        <v>4</v>
      </c>
      <c r="K97" s="7" t="s">
        <v>5</v>
      </c>
      <c r="L97" s="7" t="s">
        <v>4</v>
      </c>
      <c r="M97" s="7">
        <v>13.49</v>
      </c>
      <c r="N97" s="7">
        <v>6.81</v>
      </c>
      <c r="O97" s="7">
        <v>583.78</v>
      </c>
      <c r="P97">
        <v>133.94</v>
      </c>
      <c r="Q97" s="7" t="s">
        <v>4</v>
      </c>
      <c r="R97" s="7">
        <v>3.26</v>
      </c>
      <c r="S97" s="7" t="s">
        <v>4</v>
      </c>
      <c r="T97" s="7">
        <v>34.369999999999997</v>
      </c>
      <c r="U97" s="7" t="s">
        <v>4</v>
      </c>
      <c r="V97">
        <v>13.53</v>
      </c>
      <c r="W97" s="7">
        <v>60.99</v>
      </c>
      <c r="X97" s="7" t="s">
        <v>5</v>
      </c>
      <c r="Y97" s="7" t="s">
        <v>5</v>
      </c>
      <c r="Z97" s="7">
        <v>1.27</v>
      </c>
      <c r="AA97" s="7">
        <v>1.95</v>
      </c>
      <c r="AB97" s="7">
        <v>471.68</v>
      </c>
      <c r="AC97">
        <v>11.78</v>
      </c>
      <c r="AD97" s="7">
        <v>2.27</v>
      </c>
      <c r="AE97" s="7" t="s">
        <v>4</v>
      </c>
      <c r="AF97">
        <v>146.5</v>
      </c>
      <c r="AG97" s="7">
        <v>71.760000000000005</v>
      </c>
      <c r="AH97" s="7">
        <v>8.48</v>
      </c>
      <c r="AI97" s="7" t="s">
        <v>4</v>
      </c>
      <c r="AJ97">
        <v>118.55</v>
      </c>
      <c r="AK97" s="7" t="s">
        <v>4</v>
      </c>
      <c r="AL97" s="7">
        <v>10.07</v>
      </c>
      <c r="AM97" s="7" t="s">
        <v>4</v>
      </c>
      <c r="AN97" s="7">
        <v>98.71</v>
      </c>
      <c r="AO97" s="7">
        <v>102.99</v>
      </c>
      <c r="AP97" s="7" t="s">
        <v>4</v>
      </c>
      <c r="AQ97" s="7" t="s">
        <v>4</v>
      </c>
      <c r="AR97" s="7" t="s">
        <v>4</v>
      </c>
      <c r="AS97">
        <v>101.83</v>
      </c>
      <c r="AT97" s="7" t="s">
        <v>5</v>
      </c>
      <c r="AU97" s="7" t="s">
        <v>4</v>
      </c>
      <c r="AV97" s="7">
        <v>223.62</v>
      </c>
      <c r="AW97" s="7" t="s">
        <v>5</v>
      </c>
      <c r="AX97" s="7" t="s">
        <v>5</v>
      </c>
      <c r="AY97" s="7">
        <v>212.14</v>
      </c>
      <c r="AZ97" s="7" t="s">
        <v>4</v>
      </c>
      <c r="BA97" s="7" t="s">
        <v>4</v>
      </c>
      <c r="BB97" s="7" t="s">
        <v>4</v>
      </c>
      <c r="BC97">
        <v>13.03</v>
      </c>
      <c r="BD97" s="7">
        <v>12.59</v>
      </c>
      <c r="BE97" s="7" t="s">
        <v>4</v>
      </c>
      <c r="BF97" s="7" t="s">
        <v>4</v>
      </c>
      <c r="BG97" s="7">
        <v>1.64</v>
      </c>
      <c r="BH97" s="7">
        <v>10.29</v>
      </c>
    </row>
    <row r="98" spans="1:60">
      <c r="A98">
        <v>37</v>
      </c>
      <c r="B98" t="s">
        <v>196</v>
      </c>
      <c r="C98" t="s">
        <v>197</v>
      </c>
      <c r="D98" s="7" t="s">
        <v>4</v>
      </c>
      <c r="E98" s="7" t="s">
        <v>5</v>
      </c>
      <c r="F98" s="7" t="s">
        <v>5</v>
      </c>
      <c r="G98" s="7">
        <v>43.64</v>
      </c>
      <c r="H98" s="7" t="s">
        <v>4</v>
      </c>
      <c r="I98" s="7">
        <v>8.56</v>
      </c>
      <c r="J98" s="7" t="s">
        <v>4</v>
      </c>
      <c r="K98" s="7">
        <v>81.78</v>
      </c>
      <c r="L98" s="7" t="s">
        <v>4</v>
      </c>
      <c r="M98" s="7">
        <v>72.17</v>
      </c>
      <c r="N98" s="7" t="s">
        <v>4</v>
      </c>
      <c r="O98" s="7">
        <v>319.64999999999998</v>
      </c>
      <c r="P98">
        <v>253.17</v>
      </c>
      <c r="Q98" s="7" t="s">
        <v>4</v>
      </c>
      <c r="R98" s="7">
        <v>70.14</v>
      </c>
      <c r="S98" s="7" t="s">
        <v>4</v>
      </c>
      <c r="T98" s="7">
        <v>33.51</v>
      </c>
      <c r="U98" s="7" t="s">
        <v>4</v>
      </c>
      <c r="V98">
        <v>68.13</v>
      </c>
      <c r="W98" s="7">
        <v>17.86</v>
      </c>
      <c r="X98" s="7" t="s">
        <v>5</v>
      </c>
      <c r="Y98" s="7">
        <v>485.08</v>
      </c>
      <c r="Z98" s="7" t="s">
        <v>4</v>
      </c>
      <c r="AA98" s="7">
        <v>3.29</v>
      </c>
      <c r="AB98" s="7">
        <v>562.89</v>
      </c>
      <c r="AC98">
        <v>23.29</v>
      </c>
      <c r="AD98" s="7" t="s">
        <v>4</v>
      </c>
      <c r="AE98" s="7" t="s">
        <v>4</v>
      </c>
      <c r="AF98">
        <v>150.19</v>
      </c>
      <c r="AG98" s="7">
        <v>21.35</v>
      </c>
      <c r="AH98" s="7">
        <v>11.88</v>
      </c>
      <c r="AI98" s="7" t="s">
        <v>4</v>
      </c>
      <c r="AJ98">
        <v>136.1</v>
      </c>
      <c r="AK98" s="7" t="s">
        <v>4</v>
      </c>
      <c r="AL98" s="7">
        <v>11.3</v>
      </c>
      <c r="AM98" s="7" t="s">
        <v>4</v>
      </c>
      <c r="AN98" s="7">
        <v>127.26</v>
      </c>
      <c r="AO98" s="7">
        <v>13.77</v>
      </c>
      <c r="AP98" s="7" t="s">
        <v>4</v>
      </c>
      <c r="AQ98" s="7" t="s">
        <v>4</v>
      </c>
      <c r="AR98" s="7" t="s">
        <v>4</v>
      </c>
      <c r="AS98">
        <v>129.38999999999999</v>
      </c>
      <c r="AT98" s="7">
        <v>40.64</v>
      </c>
      <c r="AU98" s="7" t="s">
        <v>4</v>
      </c>
      <c r="AV98" s="7" t="s">
        <v>4</v>
      </c>
      <c r="AW98" s="7" t="s">
        <v>4</v>
      </c>
      <c r="AX98" s="7" t="s">
        <v>4</v>
      </c>
      <c r="AY98" s="7" t="s">
        <v>4</v>
      </c>
      <c r="AZ98" s="7" t="s">
        <v>4</v>
      </c>
      <c r="BA98" s="7" t="s">
        <v>4</v>
      </c>
      <c r="BB98" s="7" t="s">
        <v>4</v>
      </c>
      <c r="BC98">
        <v>22.81</v>
      </c>
      <c r="BD98" s="7">
        <v>1.0900000000000001</v>
      </c>
      <c r="BE98" s="7" t="s">
        <v>4</v>
      </c>
      <c r="BF98" s="7" t="s">
        <v>4</v>
      </c>
      <c r="BG98" s="7">
        <v>1.23</v>
      </c>
      <c r="BH98" s="7" t="s">
        <v>4</v>
      </c>
    </row>
    <row r="99" spans="1:60">
      <c r="A99">
        <v>123</v>
      </c>
      <c r="B99" t="s">
        <v>198</v>
      </c>
      <c r="C99" t="s">
        <v>199</v>
      </c>
      <c r="D99" s="7" t="s">
        <v>4</v>
      </c>
      <c r="E99" s="7" t="s">
        <v>5</v>
      </c>
      <c r="F99" s="7" t="s">
        <v>5</v>
      </c>
      <c r="G99" s="7">
        <v>6.25</v>
      </c>
      <c r="H99" s="7">
        <v>2.04</v>
      </c>
      <c r="I99" s="7">
        <v>14.47</v>
      </c>
      <c r="J99" s="7" t="s">
        <v>4</v>
      </c>
      <c r="K99" s="7" t="s">
        <v>5</v>
      </c>
      <c r="L99" s="7" t="s">
        <v>4</v>
      </c>
      <c r="M99" s="7">
        <v>10.64</v>
      </c>
      <c r="N99" s="7" t="s">
        <v>4</v>
      </c>
      <c r="O99" s="7">
        <v>221.44</v>
      </c>
      <c r="P99">
        <v>43.27</v>
      </c>
      <c r="Q99" s="7" t="s">
        <v>4</v>
      </c>
      <c r="R99" s="7">
        <v>29.33</v>
      </c>
      <c r="S99" s="7" t="s">
        <v>4</v>
      </c>
      <c r="T99" s="7">
        <v>1.94</v>
      </c>
      <c r="U99" s="7" t="s">
        <v>4</v>
      </c>
      <c r="V99">
        <v>32.42</v>
      </c>
      <c r="W99" s="7" t="s">
        <v>4</v>
      </c>
      <c r="X99" s="7">
        <v>1099</v>
      </c>
      <c r="Y99" s="7">
        <v>65.489999999999995</v>
      </c>
      <c r="Z99" s="7" t="s">
        <v>4</v>
      </c>
      <c r="AA99" s="7">
        <v>3.37</v>
      </c>
      <c r="AB99" s="7">
        <v>236.89</v>
      </c>
      <c r="AC99">
        <v>38.229999999999997</v>
      </c>
      <c r="AD99" s="7" t="s">
        <v>4</v>
      </c>
      <c r="AE99" s="7" t="s">
        <v>4</v>
      </c>
      <c r="AF99">
        <v>106.95</v>
      </c>
      <c r="AG99" s="7">
        <v>248.85</v>
      </c>
      <c r="AH99" s="7" t="s">
        <v>4</v>
      </c>
      <c r="AI99" s="7" t="s">
        <v>4</v>
      </c>
      <c r="AJ99">
        <v>179.75</v>
      </c>
      <c r="AK99" s="7" t="s">
        <v>4</v>
      </c>
      <c r="AL99" s="7" t="s">
        <v>4</v>
      </c>
      <c r="AM99" s="7" t="s">
        <v>4</v>
      </c>
      <c r="AN99" s="7">
        <v>6.97</v>
      </c>
      <c r="AO99" s="7">
        <v>11.31</v>
      </c>
      <c r="AP99" s="7" t="s">
        <v>4</v>
      </c>
      <c r="AQ99" s="7" t="s">
        <v>4</v>
      </c>
      <c r="AR99" s="7" t="s">
        <v>4</v>
      </c>
      <c r="AS99">
        <v>8.0500000000000007</v>
      </c>
      <c r="AT99" s="7" t="s">
        <v>5</v>
      </c>
      <c r="AU99" s="7" t="s">
        <v>4</v>
      </c>
      <c r="AV99" s="7">
        <v>551.75</v>
      </c>
      <c r="AW99" s="7" t="s">
        <v>5</v>
      </c>
      <c r="AX99" s="7">
        <v>471.43</v>
      </c>
      <c r="AY99" s="7" t="s">
        <v>4</v>
      </c>
      <c r="AZ99" s="7" t="s">
        <v>4</v>
      </c>
      <c r="BA99" s="7" t="s">
        <v>4</v>
      </c>
      <c r="BB99" s="7" t="s">
        <v>4</v>
      </c>
      <c r="BC99">
        <v>36.28</v>
      </c>
      <c r="BD99" s="7">
        <v>10.89</v>
      </c>
      <c r="BE99" s="7" t="s">
        <v>4</v>
      </c>
      <c r="BF99" s="7" t="s">
        <v>4</v>
      </c>
      <c r="BG99" s="7">
        <v>13.53</v>
      </c>
      <c r="BH99" s="7" t="s">
        <v>4</v>
      </c>
    </row>
    <row r="100" spans="1:60">
      <c r="A100">
        <v>170</v>
      </c>
      <c r="B100" t="s">
        <v>200</v>
      </c>
      <c r="C100" t="s">
        <v>201</v>
      </c>
      <c r="D100" s="7">
        <v>9.61</v>
      </c>
      <c r="E100" s="7" t="s">
        <v>5</v>
      </c>
      <c r="F100" s="7" t="s">
        <v>5</v>
      </c>
      <c r="G100" s="7">
        <v>28.98</v>
      </c>
      <c r="H100" s="7">
        <v>2.23</v>
      </c>
      <c r="I100" s="7">
        <v>2.92</v>
      </c>
      <c r="J100" s="7" t="s">
        <v>4</v>
      </c>
      <c r="K100" s="7">
        <v>408.05</v>
      </c>
      <c r="L100" s="7" t="s">
        <v>4</v>
      </c>
      <c r="M100" s="7">
        <v>8.51</v>
      </c>
      <c r="N100" s="7" t="s">
        <v>4</v>
      </c>
      <c r="O100" s="7">
        <v>55.36</v>
      </c>
      <c r="P100">
        <v>30.14</v>
      </c>
      <c r="Q100" s="7" t="s">
        <v>4</v>
      </c>
      <c r="R100" s="7">
        <v>51.25</v>
      </c>
      <c r="S100" s="7" t="s">
        <v>4</v>
      </c>
      <c r="T100" s="7">
        <v>3.1</v>
      </c>
      <c r="U100" s="7" t="s">
        <v>4</v>
      </c>
      <c r="V100">
        <v>21.56</v>
      </c>
      <c r="W100" s="7" t="s">
        <v>4</v>
      </c>
      <c r="X100" s="7">
        <v>514.01</v>
      </c>
      <c r="Y100" s="7">
        <v>182.6</v>
      </c>
      <c r="Z100" s="7" t="s">
        <v>4</v>
      </c>
      <c r="AA100" s="7">
        <v>4.3600000000000003</v>
      </c>
      <c r="AB100" s="7">
        <v>27.58</v>
      </c>
      <c r="AC100">
        <v>13.11</v>
      </c>
      <c r="AD100" s="7">
        <v>1.0900000000000001</v>
      </c>
      <c r="AE100" s="7" t="s">
        <v>4</v>
      </c>
      <c r="AF100">
        <v>31.43</v>
      </c>
      <c r="AG100" s="7">
        <v>35.049999999999997</v>
      </c>
      <c r="AH100" s="7" t="s">
        <v>4</v>
      </c>
      <c r="AI100" s="7" t="s">
        <v>4</v>
      </c>
      <c r="AJ100">
        <v>71.400000000000006</v>
      </c>
      <c r="AK100" s="7" t="s">
        <v>4</v>
      </c>
      <c r="AL100" s="7" t="s">
        <v>4</v>
      </c>
      <c r="AM100" s="7" t="s">
        <v>4</v>
      </c>
      <c r="AN100" s="7" t="s">
        <v>4</v>
      </c>
      <c r="AO100" s="7">
        <v>2.65</v>
      </c>
      <c r="AP100" s="7" t="s">
        <v>4</v>
      </c>
      <c r="AQ100" s="7" t="s">
        <v>4</v>
      </c>
      <c r="AR100" s="7" t="s">
        <v>4</v>
      </c>
      <c r="AS100">
        <v>4.57</v>
      </c>
      <c r="AT100" s="7">
        <v>330.51</v>
      </c>
      <c r="AU100" s="7" t="s">
        <v>4</v>
      </c>
      <c r="AV100" s="7" t="s">
        <v>4</v>
      </c>
      <c r="AW100" s="7">
        <v>167.75</v>
      </c>
      <c r="AX100" s="7">
        <v>13.18</v>
      </c>
      <c r="AY100" s="7">
        <v>30.58</v>
      </c>
      <c r="AZ100" s="7" t="s">
        <v>4</v>
      </c>
      <c r="BA100" s="7" t="s">
        <v>4</v>
      </c>
      <c r="BB100" s="7" t="s">
        <v>4</v>
      </c>
      <c r="BC100">
        <v>36.909999999999997</v>
      </c>
      <c r="BD100" s="7" t="s">
        <v>4</v>
      </c>
      <c r="BE100" s="7" t="s">
        <v>4</v>
      </c>
      <c r="BF100" s="7" t="s">
        <v>4</v>
      </c>
      <c r="BG100" s="7">
        <v>6.35</v>
      </c>
      <c r="BH100" s="7" t="s">
        <v>4</v>
      </c>
    </row>
    <row r="101" spans="1:60">
      <c r="A101">
        <v>19</v>
      </c>
      <c r="B101" t="s">
        <v>202</v>
      </c>
      <c r="C101" t="s">
        <v>203</v>
      </c>
      <c r="D101" s="7" t="s">
        <v>4</v>
      </c>
      <c r="E101" s="7" t="s">
        <v>4</v>
      </c>
      <c r="F101" s="7" t="s">
        <v>5</v>
      </c>
      <c r="G101" s="7" t="s">
        <v>5</v>
      </c>
      <c r="H101" s="7">
        <v>15.02</v>
      </c>
      <c r="I101" s="7">
        <v>19.440000000000001</v>
      </c>
      <c r="J101" s="7" t="s">
        <v>4</v>
      </c>
      <c r="K101" s="7" t="s">
        <v>5</v>
      </c>
      <c r="L101" s="7">
        <v>4.6500000000000004</v>
      </c>
      <c r="M101" s="7">
        <v>12.93</v>
      </c>
      <c r="N101" s="7">
        <v>11.51</v>
      </c>
      <c r="O101" s="7">
        <v>83.13</v>
      </c>
      <c r="P101">
        <v>83.19</v>
      </c>
      <c r="Q101" s="7" t="s">
        <v>4</v>
      </c>
      <c r="R101" s="7">
        <v>145.75</v>
      </c>
      <c r="S101" s="7" t="s">
        <v>4</v>
      </c>
      <c r="T101" s="7">
        <v>9</v>
      </c>
      <c r="U101" s="7" t="s">
        <v>4</v>
      </c>
      <c r="V101">
        <v>76.319999999999993</v>
      </c>
      <c r="W101" s="7" t="s">
        <v>4</v>
      </c>
      <c r="X101" s="7">
        <v>721.1</v>
      </c>
      <c r="Y101" s="7">
        <v>867.78</v>
      </c>
      <c r="Z101" s="7" t="s">
        <v>4</v>
      </c>
      <c r="AA101" s="7">
        <v>2.5499999999999998</v>
      </c>
      <c r="AB101" s="7">
        <v>58.83</v>
      </c>
      <c r="AC101">
        <v>5.23</v>
      </c>
      <c r="AD101" s="7" t="s">
        <v>4</v>
      </c>
      <c r="AE101" s="7" t="s">
        <v>4</v>
      </c>
      <c r="AF101">
        <v>149.72999999999999</v>
      </c>
      <c r="AG101" s="7">
        <v>266.95999999999998</v>
      </c>
      <c r="AH101" s="7">
        <v>13.96</v>
      </c>
      <c r="AI101" s="7" t="s">
        <v>4</v>
      </c>
      <c r="AJ101">
        <v>112.24</v>
      </c>
      <c r="AK101" s="7" t="s">
        <v>4</v>
      </c>
      <c r="AL101" s="7" t="s">
        <v>4</v>
      </c>
      <c r="AM101" s="7" t="s">
        <v>4</v>
      </c>
      <c r="AN101" s="7">
        <v>12.39</v>
      </c>
      <c r="AO101" s="7">
        <v>5.88</v>
      </c>
      <c r="AP101" s="7" t="s">
        <v>4</v>
      </c>
      <c r="AQ101" s="7" t="s">
        <v>4</v>
      </c>
      <c r="AR101" s="7" t="s">
        <v>4</v>
      </c>
      <c r="AS101">
        <v>4.8099999999999996</v>
      </c>
      <c r="AT101" s="7">
        <v>19.97</v>
      </c>
      <c r="AU101" s="7" t="s">
        <v>4</v>
      </c>
      <c r="AV101" s="7" t="s">
        <v>4</v>
      </c>
      <c r="AW101" s="7" t="s">
        <v>4</v>
      </c>
      <c r="AX101" s="7" t="s">
        <v>4</v>
      </c>
      <c r="AY101" s="7" t="s">
        <v>4</v>
      </c>
      <c r="AZ101" s="7" t="s">
        <v>4</v>
      </c>
      <c r="BA101" s="7" t="s">
        <v>4</v>
      </c>
      <c r="BB101" s="7" t="s">
        <v>4</v>
      </c>
      <c r="BC101">
        <v>8.1199999999999992</v>
      </c>
      <c r="BD101" s="7" t="s">
        <v>4</v>
      </c>
      <c r="BE101" s="7">
        <v>61.47</v>
      </c>
      <c r="BF101" s="7" t="s">
        <v>4</v>
      </c>
      <c r="BG101" s="7">
        <v>1.34</v>
      </c>
      <c r="BH101" s="7" t="s">
        <v>4</v>
      </c>
    </row>
    <row r="102" spans="1:60">
      <c r="A102">
        <v>103</v>
      </c>
      <c r="B102" t="s">
        <v>204</v>
      </c>
      <c r="C102" t="s">
        <v>205</v>
      </c>
      <c r="D102" s="7" t="s">
        <v>4</v>
      </c>
      <c r="E102" s="7">
        <v>9.43</v>
      </c>
      <c r="F102" s="7" t="s">
        <v>5</v>
      </c>
      <c r="G102" s="7" t="s">
        <v>5</v>
      </c>
      <c r="H102" s="7" t="s">
        <v>4</v>
      </c>
      <c r="I102" s="7">
        <v>1.25</v>
      </c>
      <c r="J102" s="7" t="s">
        <v>4</v>
      </c>
      <c r="K102" s="7" t="s">
        <v>5</v>
      </c>
      <c r="L102" s="7" t="s">
        <v>4</v>
      </c>
      <c r="M102" s="7">
        <v>3.33</v>
      </c>
      <c r="N102" s="7" t="s">
        <v>4</v>
      </c>
      <c r="O102" s="7">
        <v>24.11</v>
      </c>
      <c r="P102">
        <v>27.29</v>
      </c>
      <c r="Q102" s="7" t="s">
        <v>4</v>
      </c>
      <c r="R102" s="7">
        <v>24.27</v>
      </c>
      <c r="S102" s="7" t="s">
        <v>4</v>
      </c>
      <c r="T102" s="7" t="s">
        <v>4</v>
      </c>
      <c r="U102" s="7" t="s">
        <v>4</v>
      </c>
      <c r="V102">
        <v>14.54</v>
      </c>
      <c r="W102" s="7" t="s">
        <v>4</v>
      </c>
      <c r="X102" s="7">
        <v>250.51</v>
      </c>
      <c r="Y102" s="7">
        <v>41.82</v>
      </c>
      <c r="Z102" s="7" t="s">
        <v>4</v>
      </c>
      <c r="AA102" s="7">
        <v>2.2000000000000002</v>
      </c>
      <c r="AB102" s="7">
        <v>20.67</v>
      </c>
      <c r="AC102">
        <v>20.39</v>
      </c>
      <c r="AD102" s="7" t="s">
        <v>4</v>
      </c>
      <c r="AE102" s="7" t="s">
        <v>4</v>
      </c>
      <c r="AF102">
        <v>13.71</v>
      </c>
      <c r="AG102" s="7">
        <v>14.01</v>
      </c>
      <c r="AH102" s="7" t="s">
        <v>4</v>
      </c>
      <c r="AI102" s="7" t="s">
        <v>4</v>
      </c>
      <c r="AJ102">
        <v>16.34</v>
      </c>
      <c r="AK102" s="7" t="s">
        <v>4</v>
      </c>
      <c r="AL102" s="7" t="s">
        <v>4</v>
      </c>
      <c r="AM102" s="7" t="s">
        <v>4</v>
      </c>
      <c r="AN102" s="7" t="s">
        <v>4</v>
      </c>
      <c r="AO102" s="7">
        <v>4.22</v>
      </c>
      <c r="AP102" s="7" t="s">
        <v>4</v>
      </c>
      <c r="AQ102" s="7" t="s">
        <v>4</v>
      </c>
      <c r="AR102" s="7" t="s">
        <v>4</v>
      </c>
      <c r="AS102" t="s">
        <v>4</v>
      </c>
      <c r="AT102" s="7">
        <v>2.21</v>
      </c>
      <c r="AU102" s="7" t="s">
        <v>4</v>
      </c>
      <c r="AV102" s="7" t="s">
        <v>4</v>
      </c>
      <c r="AW102" s="7" t="s">
        <v>4</v>
      </c>
      <c r="AX102" s="7" t="s">
        <v>4</v>
      </c>
      <c r="AY102" s="7" t="s">
        <v>4</v>
      </c>
      <c r="AZ102" s="7" t="s">
        <v>4</v>
      </c>
      <c r="BA102" s="7" t="s">
        <v>4</v>
      </c>
      <c r="BB102" s="7" t="s">
        <v>4</v>
      </c>
      <c r="BC102" t="s">
        <v>4</v>
      </c>
      <c r="BD102" s="7" t="s">
        <v>4</v>
      </c>
      <c r="BE102" s="7" t="s">
        <v>4</v>
      </c>
      <c r="BF102" s="7" t="s">
        <v>4</v>
      </c>
      <c r="BG102" s="7" t="s">
        <v>4</v>
      </c>
      <c r="BH102" s="7" t="s">
        <v>4</v>
      </c>
    </row>
    <row r="103" spans="1:60">
      <c r="A103">
        <v>112</v>
      </c>
      <c r="B103" t="s">
        <v>206</v>
      </c>
      <c r="C103" t="s">
        <v>207</v>
      </c>
      <c r="D103" s="7" t="s">
        <v>4</v>
      </c>
      <c r="E103" s="7" t="s">
        <v>5</v>
      </c>
      <c r="F103" s="7" t="s">
        <v>5</v>
      </c>
      <c r="G103" s="7">
        <v>7.42</v>
      </c>
      <c r="H103" s="7" t="s">
        <v>4</v>
      </c>
      <c r="I103" s="7">
        <v>26.36</v>
      </c>
      <c r="J103" s="7" t="s">
        <v>4</v>
      </c>
      <c r="K103" s="7">
        <v>248.53</v>
      </c>
      <c r="L103" s="7" t="s">
        <v>4</v>
      </c>
      <c r="M103" s="7">
        <v>240.21</v>
      </c>
      <c r="N103" s="7" t="s">
        <v>4</v>
      </c>
      <c r="O103" s="7">
        <v>997.16</v>
      </c>
      <c r="P103">
        <v>310.24</v>
      </c>
      <c r="Q103" s="7" t="s">
        <v>4</v>
      </c>
      <c r="R103" s="7">
        <v>39.18</v>
      </c>
      <c r="S103" s="7" t="s">
        <v>4</v>
      </c>
      <c r="T103" s="7">
        <v>44.05</v>
      </c>
      <c r="U103" s="7" t="s">
        <v>4</v>
      </c>
      <c r="V103">
        <v>56.87</v>
      </c>
      <c r="W103" s="7">
        <v>81.75</v>
      </c>
      <c r="X103" s="7" t="s">
        <v>5</v>
      </c>
      <c r="Y103" s="7" t="s">
        <v>5</v>
      </c>
      <c r="Z103" s="7">
        <v>1.17</v>
      </c>
      <c r="AA103" s="7">
        <v>13.96</v>
      </c>
      <c r="AB103" s="7" t="s">
        <v>5</v>
      </c>
      <c r="AC103">
        <v>75.040000000000006</v>
      </c>
      <c r="AD103" s="7" t="s">
        <v>4</v>
      </c>
      <c r="AE103" s="7" t="s">
        <v>4</v>
      </c>
      <c r="AF103">
        <v>114.39</v>
      </c>
      <c r="AG103" s="7">
        <v>12.7</v>
      </c>
      <c r="AH103" s="7">
        <v>14.95</v>
      </c>
      <c r="AI103" s="7" t="s">
        <v>4</v>
      </c>
      <c r="AJ103">
        <v>65.739999999999995</v>
      </c>
      <c r="AK103" s="7" t="s">
        <v>4</v>
      </c>
      <c r="AL103" s="7">
        <v>3.03</v>
      </c>
      <c r="AM103" s="7" t="s">
        <v>4</v>
      </c>
      <c r="AN103" s="7">
        <v>11.62</v>
      </c>
      <c r="AO103" s="7">
        <v>13.77</v>
      </c>
      <c r="AP103" s="7" t="s">
        <v>4</v>
      </c>
      <c r="AQ103" s="7" t="s">
        <v>4</v>
      </c>
      <c r="AR103" s="7" t="s">
        <v>4</v>
      </c>
      <c r="AS103">
        <v>7.98</v>
      </c>
      <c r="AT103" s="7">
        <v>11.57</v>
      </c>
      <c r="AU103" s="7" t="s">
        <v>4</v>
      </c>
      <c r="AV103" s="7" t="s">
        <v>4</v>
      </c>
      <c r="AW103" s="7" t="s">
        <v>4</v>
      </c>
      <c r="AX103" s="7" t="s">
        <v>4</v>
      </c>
      <c r="AY103" s="7" t="s">
        <v>4</v>
      </c>
      <c r="AZ103" s="7">
        <v>6.37</v>
      </c>
      <c r="BA103" s="7" t="s">
        <v>4</v>
      </c>
      <c r="BB103" s="7" t="s">
        <v>4</v>
      </c>
      <c r="BC103">
        <v>21.63</v>
      </c>
      <c r="BD103" s="7" t="s">
        <v>4</v>
      </c>
      <c r="BE103" s="7" t="s">
        <v>4</v>
      </c>
      <c r="BF103" s="7">
        <v>3.29</v>
      </c>
      <c r="BG103" s="7">
        <v>2.72</v>
      </c>
      <c r="BH103" s="7" t="s">
        <v>4</v>
      </c>
    </row>
    <row r="104" spans="1:60">
      <c r="A104">
        <v>93</v>
      </c>
      <c r="B104" t="s">
        <v>208</v>
      </c>
      <c r="C104" t="s">
        <v>209</v>
      </c>
      <c r="D104" s="7" t="s">
        <v>4</v>
      </c>
      <c r="E104" s="7">
        <v>11.35</v>
      </c>
      <c r="F104" s="7" t="s">
        <v>5</v>
      </c>
      <c r="G104" s="7">
        <v>13.24</v>
      </c>
      <c r="H104" s="7" t="s">
        <v>4</v>
      </c>
      <c r="I104" s="7" t="s">
        <v>4</v>
      </c>
      <c r="J104" s="7" t="s">
        <v>4</v>
      </c>
      <c r="K104" s="7" t="s">
        <v>5</v>
      </c>
      <c r="L104" s="7" t="s">
        <v>4</v>
      </c>
      <c r="M104" s="7">
        <v>14.15</v>
      </c>
      <c r="N104" s="7" t="s">
        <v>4</v>
      </c>
      <c r="O104" s="7">
        <v>163.63999999999999</v>
      </c>
      <c r="P104">
        <v>177.64</v>
      </c>
      <c r="Q104" s="7" t="s">
        <v>4</v>
      </c>
      <c r="R104" s="7" t="s">
        <v>4</v>
      </c>
      <c r="S104" s="7" t="s">
        <v>4</v>
      </c>
      <c r="T104" s="7">
        <v>7.97</v>
      </c>
      <c r="U104" s="7" t="s">
        <v>4</v>
      </c>
      <c r="V104">
        <v>31.74</v>
      </c>
      <c r="W104" s="7">
        <v>21.43</v>
      </c>
      <c r="X104" s="7">
        <v>2289.9899999999998</v>
      </c>
      <c r="Y104" s="7">
        <v>349.26</v>
      </c>
      <c r="Z104" s="7">
        <v>19.850000000000001</v>
      </c>
      <c r="AA104" s="7">
        <v>4.97</v>
      </c>
      <c r="AB104" s="7">
        <v>66.59</v>
      </c>
      <c r="AC104">
        <v>34.14</v>
      </c>
      <c r="AD104" s="7" t="s">
        <v>4</v>
      </c>
      <c r="AE104" s="7" t="s">
        <v>4</v>
      </c>
      <c r="AF104">
        <v>76.89</v>
      </c>
      <c r="AG104" s="7">
        <v>43.06</v>
      </c>
      <c r="AH104" s="7">
        <v>19.78</v>
      </c>
      <c r="AI104" s="7" t="s">
        <v>4</v>
      </c>
      <c r="AJ104">
        <v>88.22</v>
      </c>
      <c r="AK104" s="7" t="s">
        <v>4</v>
      </c>
      <c r="AL104" s="7">
        <v>8.5299999999999994</v>
      </c>
      <c r="AM104" s="7" t="s">
        <v>4</v>
      </c>
      <c r="AN104" s="7">
        <v>12.29</v>
      </c>
      <c r="AO104" s="7">
        <v>14.51</v>
      </c>
      <c r="AP104" s="7" t="s">
        <v>4</v>
      </c>
      <c r="AQ104" s="7" t="s">
        <v>4</v>
      </c>
      <c r="AR104" s="7">
        <v>3.47</v>
      </c>
      <c r="AS104">
        <v>11.76</v>
      </c>
      <c r="AT104" s="7">
        <v>2.95</v>
      </c>
      <c r="AU104" s="7" t="s">
        <v>4</v>
      </c>
      <c r="AV104" s="7" t="s">
        <v>4</v>
      </c>
      <c r="AW104" s="7" t="s">
        <v>4</v>
      </c>
      <c r="AX104" s="7" t="s">
        <v>4</v>
      </c>
      <c r="AY104" s="7" t="s">
        <v>4</v>
      </c>
      <c r="AZ104" s="7" t="s">
        <v>4</v>
      </c>
      <c r="BA104" s="7" t="s">
        <v>4</v>
      </c>
      <c r="BB104" s="7" t="s">
        <v>4</v>
      </c>
      <c r="BC104">
        <v>4.3600000000000003</v>
      </c>
      <c r="BD104" s="7" t="s">
        <v>4</v>
      </c>
      <c r="BE104" s="7" t="s">
        <v>4</v>
      </c>
      <c r="BF104" s="7" t="s">
        <v>4</v>
      </c>
      <c r="BG104" s="7" t="s">
        <v>4</v>
      </c>
      <c r="BH104" s="7">
        <v>4.1900000000000004</v>
      </c>
    </row>
    <row r="105" spans="1:60">
      <c r="A105">
        <v>113</v>
      </c>
      <c r="B105" t="s">
        <v>210</v>
      </c>
      <c r="C105" t="s">
        <v>211</v>
      </c>
      <c r="D105" s="7">
        <v>3.13</v>
      </c>
      <c r="E105" s="7">
        <v>29.49</v>
      </c>
      <c r="F105" s="7" t="s">
        <v>5</v>
      </c>
      <c r="G105" s="7">
        <v>39.549999999999997</v>
      </c>
      <c r="H105" s="7">
        <v>10.49</v>
      </c>
      <c r="I105" s="7">
        <v>16.690000000000001</v>
      </c>
      <c r="J105" s="7" t="s">
        <v>4</v>
      </c>
      <c r="K105" s="7" t="s">
        <v>5</v>
      </c>
      <c r="L105" s="7" t="s">
        <v>4</v>
      </c>
      <c r="M105" s="7">
        <v>73.52</v>
      </c>
      <c r="N105" s="7" t="s">
        <v>4</v>
      </c>
      <c r="O105" s="7">
        <v>142.44999999999999</v>
      </c>
      <c r="P105">
        <v>38.65</v>
      </c>
      <c r="Q105" s="7" t="s">
        <v>4</v>
      </c>
      <c r="R105" s="7" t="s">
        <v>4</v>
      </c>
      <c r="S105" s="7" t="s">
        <v>4</v>
      </c>
      <c r="T105" s="7">
        <v>9.48</v>
      </c>
      <c r="U105" s="7" t="s">
        <v>4</v>
      </c>
      <c r="V105">
        <v>22.51</v>
      </c>
      <c r="W105" s="7">
        <v>6.04</v>
      </c>
      <c r="X105" s="7">
        <v>1163.7</v>
      </c>
      <c r="Y105" s="7">
        <v>303.77</v>
      </c>
      <c r="Z105" s="7" t="s">
        <v>4</v>
      </c>
      <c r="AA105" s="7">
        <v>2.02</v>
      </c>
      <c r="AB105" s="7">
        <v>204.15</v>
      </c>
      <c r="AC105">
        <v>2.09</v>
      </c>
      <c r="AD105" s="7" t="s">
        <v>4</v>
      </c>
      <c r="AE105" s="7" t="s">
        <v>4</v>
      </c>
      <c r="AF105">
        <v>110.16</v>
      </c>
      <c r="AG105" s="7">
        <v>136.69</v>
      </c>
      <c r="AH105" s="7">
        <v>4.5599999999999996</v>
      </c>
      <c r="AI105" s="7" t="s">
        <v>4</v>
      </c>
      <c r="AJ105">
        <v>79.47</v>
      </c>
      <c r="AK105" s="7" t="s">
        <v>4</v>
      </c>
      <c r="AL105" s="7" t="s">
        <v>4</v>
      </c>
      <c r="AM105" s="7" t="s">
        <v>4</v>
      </c>
      <c r="AN105" s="7">
        <v>35.76</v>
      </c>
      <c r="AO105" s="7">
        <v>30.77</v>
      </c>
      <c r="AP105" s="7" t="s">
        <v>4</v>
      </c>
      <c r="AQ105" s="7" t="s">
        <v>4</v>
      </c>
      <c r="AR105" s="7" t="s">
        <v>4</v>
      </c>
      <c r="AS105">
        <v>13.56</v>
      </c>
      <c r="AT105" s="7">
        <v>37.49</v>
      </c>
      <c r="AU105" s="7" t="s">
        <v>4</v>
      </c>
      <c r="AV105" s="7" t="s">
        <v>4</v>
      </c>
      <c r="AW105" s="7">
        <v>16.16</v>
      </c>
      <c r="AX105" s="7" t="s">
        <v>4</v>
      </c>
      <c r="AY105" s="7" t="s">
        <v>4</v>
      </c>
      <c r="AZ105" s="7" t="s">
        <v>4</v>
      </c>
      <c r="BA105" s="7" t="s">
        <v>4</v>
      </c>
      <c r="BB105" s="7" t="s">
        <v>4</v>
      </c>
      <c r="BC105">
        <v>54.72</v>
      </c>
      <c r="BD105" s="7">
        <v>2</v>
      </c>
      <c r="BE105" s="7" t="s">
        <v>4</v>
      </c>
      <c r="BF105" s="7" t="s">
        <v>4</v>
      </c>
      <c r="BG105" s="7">
        <v>12.76</v>
      </c>
      <c r="BH105" s="7" t="s">
        <v>4</v>
      </c>
    </row>
    <row r="106" spans="1:60">
      <c r="A106">
        <v>183</v>
      </c>
      <c r="B106" t="s">
        <v>212</v>
      </c>
      <c r="C106" t="s">
        <v>213</v>
      </c>
      <c r="D106" s="7" t="s">
        <v>4</v>
      </c>
      <c r="E106" s="7">
        <v>23.42</v>
      </c>
      <c r="F106" s="7" t="s">
        <v>5</v>
      </c>
      <c r="G106" s="7">
        <v>20.8</v>
      </c>
      <c r="H106" s="7" t="s">
        <v>4</v>
      </c>
      <c r="I106" s="7">
        <v>1.03</v>
      </c>
      <c r="J106" s="7" t="s">
        <v>4</v>
      </c>
      <c r="K106" s="7">
        <v>385.14</v>
      </c>
      <c r="L106" s="7" t="s">
        <v>4</v>
      </c>
      <c r="M106" s="7">
        <v>36.020000000000003</v>
      </c>
      <c r="N106" s="7" t="s">
        <v>4</v>
      </c>
      <c r="O106" s="7">
        <v>65.66</v>
      </c>
      <c r="P106">
        <v>48.42</v>
      </c>
      <c r="Q106" s="7" t="s">
        <v>4</v>
      </c>
      <c r="R106" s="7">
        <v>57.79</v>
      </c>
      <c r="S106" s="7" t="s">
        <v>4</v>
      </c>
      <c r="T106" s="7">
        <v>26.52</v>
      </c>
      <c r="U106" s="7" t="s">
        <v>4</v>
      </c>
      <c r="V106">
        <v>43.78</v>
      </c>
      <c r="W106" s="7">
        <v>15.54</v>
      </c>
      <c r="X106" s="7">
        <v>1553.55</v>
      </c>
      <c r="Y106" s="7">
        <v>192.73</v>
      </c>
      <c r="Z106" s="7" t="s">
        <v>4</v>
      </c>
      <c r="AA106" s="7">
        <v>4.3899999999999997</v>
      </c>
      <c r="AB106" s="7">
        <v>847.25</v>
      </c>
      <c r="AC106">
        <v>16.600000000000001</v>
      </c>
      <c r="AD106" s="7" t="s">
        <v>4</v>
      </c>
      <c r="AE106" s="7" t="s">
        <v>4</v>
      </c>
      <c r="AF106">
        <v>213.55</v>
      </c>
      <c r="AG106" s="7">
        <v>171.43</v>
      </c>
      <c r="AH106" s="7">
        <v>6.7</v>
      </c>
      <c r="AI106" s="7" t="s">
        <v>4</v>
      </c>
      <c r="AJ106">
        <v>212.28</v>
      </c>
      <c r="AK106" s="7" t="s">
        <v>4</v>
      </c>
      <c r="AL106" s="7" t="s">
        <v>4</v>
      </c>
      <c r="AM106" s="7" t="s">
        <v>4</v>
      </c>
      <c r="AN106" s="7">
        <v>48.93</v>
      </c>
      <c r="AO106" s="7">
        <v>23.58</v>
      </c>
      <c r="AP106" s="7" t="s">
        <v>4</v>
      </c>
      <c r="AQ106" s="7" t="s">
        <v>4</v>
      </c>
      <c r="AR106" s="7" t="s">
        <v>4</v>
      </c>
      <c r="AS106">
        <v>53.54</v>
      </c>
      <c r="AT106" s="7">
        <v>20.94</v>
      </c>
      <c r="AU106" s="7" t="s">
        <v>4</v>
      </c>
      <c r="AV106" s="7" t="s">
        <v>4</v>
      </c>
      <c r="AW106" s="7">
        <v>14.24</v>
      </c>
      <c r="AX106" s="7" t="s">
        <v>4</v>
      </c>
      <c r="AY106" s="7" t="s">
        <v>4</v>
      </c>
      <c r="AZ106" s="7" t="s">
        <v>4</v>
      </c>
      <c r="BA106" s="7" t="s">
        <v>4</v>
      </c>
      <c r="BB106" s="7" t="s">
        <v>4</v>
      </c>
      <c r="BC106">
        <v>10.48</v>
      </c>
      <c r="BD106" s="7" t="s">
        <v>4</v>
      </c>
      <c r="BE106" s="7" t="s">
        <v>4</v>
      </c>
      <c r="BF106" s="7" t="s">
        <v>4</v>
      </c>
      <c r="BG106" s="7">
        <v>2.2999999999999998</v>
      </c>
      <c r="BH106" s="7" t="s">
        <v>4</v>
      </c>
    </row>
    <row r="107" spans="1:60">
      <c r="A107">
        <v>101</v>
      </c>
      <c r="B107" t="s">
        <v>214</v>
      </c>
      <c r="C107" t="s">
        <v>215</v>
      </c>
      <c r="D107" s="7">
        <v>2.84</v>
      </c>
      <c r="E107" s="7">
        <v>3.61</v>
      </c>
      <c r="F107" s="7" t="s">
        <v>5</v>
      </c>
      <c r="G107" s="7" t="s">
        <v>5</v>
      </c>
      <c r="H107" s="7" t="s">
        <v>4</v>
      </c>
      <c r="I107" s="7">
        <v>2.33</v>
      </c>
      <c r="J107" s="7" t="s">
        <v>4</v>
      </c>
      <c r="K107" s="7">
        <v>163.71</v>
      </c>
      <c r="L107" s="7" t="s">
        <v>4</v>
      </c>
      <c r="M107" s="7">
        <v>7.6</v>
      </c>
      <c r="N107" s="7">
        <v>7.96</v>
      </c>
      <c r="O107" s="7">
        <v>39.130000000000003</v>
      </c>
      <c r="P107">
        <v>36.08</v>
      </c>
      <c r="Q107" s="7" t="s">
        <v>4</v>
      </c>
      <c r="R107" s="7">
        <v>25.56</v>
      </c>
      <c r="S107" s="7" t="s">
        <v>4</v>
      </c>
      <c r="T107" s="7">
        <v>2.3199999999999998</v>
      </c>
      <c r="U107" s="7" t="s">
        <v>4</v>
      </c>
      <c r="V107">
        <v>14.44</v>
      </c>
      <c r="W107" s="7">
        <v>5.54</v>
      </c>
      <c r="X107" s="7">
        <v>827.82</v>
      </c>
      <c r="Y107" s="7">
        <v>108.1</v>
      </c>
      <c r="Z107" s="7" t="s">
        <v>4</v>
      </c>
      <c r="AA107" s="7">
        <v>2.2599999999999998</v>
      </c>
      <c r="AB107" s="7">
        <v>282.38</v>
      </c>
      <c r="AC107">
        <v>7.81</v>
      </c>
      <c r="AD107" s="7" t="s">
        <v>4</v>
      </c>
      <c r="AE107" s="7" t="s">
        <v>4</v>
      </c>
      <c r="AF107">
        <v>35.590000000000003</v>
      </c>
      <c r="AG107" s="7">
        <v>11.3</v>
      </c>
      <c r="AH107" s="7">
        <v>2.68</v>
      </c>
      <c r="AI107" s="7" t="s">
        <v>4</v>
      </c>
      <c r="AJ107">
        <v>54.24</v>
      </c>
      <c r="AK107" s="7" t="s">
        <v>4</v>
      </c>
      <c r="AL107" s="7" t="s">
        <v>4</v>
      </c>
      <c r="AM107" s="7" t="s">
        <v>4</v>
      </c>
      <c r="AN107" s="7">
        <v>15.61</v>
      </c>
      <c r="AO107" s="7">
        <v>7.61</v>
      </c>
      <c r="AP107" s="7" t="s">
        <v>4</v>
      </c>
      <c r="AQ107" s="7" t="s">
        <v>4</v>
      </c>
      <c r="AR107" s="7" t="s">
        <v>4</v>
      </c>
      <c r="AS107">
        <v>22.08</v>
      </c>
      <c r="AT107" s="7">
        <v>24.21</v>
      </c>
      <c r="AU107" s="7" t="s">
        <v>4</v>
      </c>
      <c r="AV107" s="7" t="s">
        <v>4</v>
      </c>
      <c r="AW107" s="7">
        <v>25.01</v>
      </c>
      <c r="AX107" s="7" t="s">
        <v>4</v>
      </c>
      <c r="AY107" s="7" t="s">
        <v>4</v>
      </c>
      <c r="AZ107" s="7" t="s">
        <v>4</v>
      </c>
      <c r="BA107" s="7" t="s">
        <v>4</v>
      </c>
      <c r="BB107" s="7" t="s">
        <v>4</v>
      </c>
      <c r="BC107">
        <v>3.84</v>
      </c>
      <c r="BD107" s="7" t="s">
        <v>4</v>
      </c>
      <c r="BE107" s="7" t="s">
        <v>4</v>
      </c>
      <c r="BF107" s="7" t="s">
        <v>4</v>
      </c>
      <c r="BG107" s="7" t="s">
        <v>4</v>
      </c>
      <c r="BH107" s="7" t="s">
        <v>4</v>
      </c>
    </row>
    <row r="108" spans="1:60">
      <c r="A108">
        <v>72</v>
      </c>
      <c r="B108" t="s">
        <v>216</v>
      </c>
      <c r="C108" t="s">
        <v>217</v>
      </c>
      <c r="D108" s="7">
        <v>2.67</v>
      </c>
      <c r="E108" s="7" t="s">
        <v>5</v>
      </c>
      <c r="F108" s="7" t="s">
        <v>5</v>
      </c>
      <c r="G108" s="7">
        <v>17.62</v>
      </c>
      <c r="H108" s="7" t="s">
        <v>4</v>
      </c>
      <c r="I108" s="7">
        <v>7.31</v>
      </c>
      <c r="J108" s="7" t="s">
        <v>4</v>
      </c>
      <c r="K108" s="7">
        <v>261.83</v>
      </c>
      <c r="L108" s="7" t="s">
        <v>4</v>
      </c>
      <c r="M108" s="7" t="s">
        <v>5</v>
      </c>
      <c r="N108" s="7" t="s">
        <v>4</v>
      </c>
      <c r="O108" s="7" t="s">
        <v>5</v>
      </c>
      <c r="P108" t="s">
        <v>5</v>
      </c>
      <c r="Q108" s="7" t="s">
        <v>4</v>
      </c>
      <c r="R108" s="7" t="s">
        <v>4</v>
      </c>
      <c r="S108" s="7">
        <v>10.67</v>
      </c>
      <c r="T108" s="7">
        <v>583.21</v>
      </c>
      <c r="U108" s="7" t="s">
        <v>4</v>
      </c>
      <c r="V108">
        <v>39.630000000000003</v>
      </c>
      <c r="W108" s="7" t="s">
        <v>5</v>
      </c>
      <c r="X108" s="7" t="s">
        <v>5</v>
      </c>
      <c r="Y108" s="7" t="s">
        <v>5</v>
      </c>
      <c r="Z108" s="7" t="s">
        <v>4</v>
      </c>
      <c r="AA108" s="7">
        <v>357.75</v>
      </c>
      <c r="AB108" s="7" t="s">
        <v>5</v>
      </c>
      <c r="AC108">
        <v>193.18</v>
      </c>
      <c r="AD108" s="7" t="s">
        <v>4</v>
      </c>
      <c r="AE108" s="7" t="s">
        <v>4</v>
      </c>
      <c r="AF108">
        <v>847.37</v>
      </c>
      <c r="AG108" s="7">
        <v>26.8</v>
      </c>
      <c r="AH108" s="7">
        <v>146.86000000000001</v>
      </c>
      <c r="AI108" s="7" t="s">
        <v>4</v>
      </c>
      <c r="AJ108">
        <v>2200.17</v>
      </c>
      <c r="AK108" s="7" t="s">
        <v>4</v>
      </c>
      <c r="AL108" s="7">
        <v>343.96</v>
      </c>
      <c r="AM108" s="7" t="s">
        <v>4</v>
      </c>
      <c r="AN108" s="7">
        <v>321.81</v>
      </c>
      <c r="AO108" s="7">
        <v>4.18</v>
      </c>
      <c r="AP108" s="7" t="s">
        <v>4</v>
      </c>
      <c r="AQ108" s="7">
        <v>10.54</v>
      </c>
      <c r="AR108" s="7">
        <v>117.12</v>
      </c>
      <c r="AS108">
        <v>1303.75</v>
      </c>
      <c r="AT108" s="7">
        <v>13.08</v>
      </c>
      <c r="AU108" s="7" t="s">
        <v>4</v>
      </c>
      <c r="AV108" s="7" t="s">
        <v>4</v>
      </c>
      <c r="AW108" s="7">
        <v>12.06</v>
      </c>
      <c r="AX108" s="7" t="s">
        <v>4</v>
      </c>
      <c r="AY108" s="7">
        <v>30.67</v>
      </c>
      <c r="AZ108" s="7">
        <v>5.95</v>
      </c>
      <c r="BA108" s="7">
        <v>15.34</v>
      </c>
      <c r="BB108" s="7">
        <v>16.79</v>
      </c>
      <c r="BC108" t="s">
        <v>4</v>
      </c>
      <c r="BD108" s="7" t="s">
        <v>4</v>
      </c>
      <c r="BE108" s="7" t="s">
        <v>4</v>
      </c>
      <c r="BF108" s="7">
        <v>5.81</v>
      </c>
      <c r="BG108" s="7" t="s">
        <v>4</v>
      </c>
      <c r="BH108" s="7">
        <v>10.47</v>
      </c>
    </row>
    <row r="109" spans="1:60">
      <c r="A109">
        <v>24</v>
      </c>
      <c r="B109" t="s">
        <v>218</v>
      </c>
      <c r="C109" t="s">
        <v>219</v>
      </c>
      <c r="D109" s="7" t="s">
        <v>4</v>
      </c>
      <c r="E109" s="7">
        <v>2.89</v>
      </c>
      <c r="F109" s="7" t="s">
        <v>5</v>
      </c>
      <c r="G109" s="7" t="s">
        <v>5</v>
      </c>
      <c r="H109" s="7">
        <v>13.74</v>
      </c>
      <c r="I109" s="7">
        <v>23.64</v>
      </c>
      <c r="J109" s="7" t="s">
        <v>4</v>
      </c>
      <c r="K109" s="7" t="s">
        <v>5</v>
      </c>
      <c r="L109" s="7" t="s">
        <v>4</v>
      </c>
      <c r="M109" s="7">
        <v>15.99</v>
      </c>
      <c r="N109" s="7">
        <v>1.52</v>
      </c>
      <c r="O109" s="7">
        <v>54.35</v>
      </c>
      <c r="P109">
        <v>41.08</v>
      </c>
      <c r="Q109" s="7" t="s">
        <v>4</v>
      </c>
      <c r="R109" s="7" t="s">
        <v>4</v>
      </c>
      <c r="S109" s="7" t="s">
        <v>4</v>
      </c>
      <c r="T109" s="7">
        <v>36.08</v>
      </c>
      <c r="U109" s="7" t="s">
        <v>4</v>
      </c>
      <c r="V109">
        <v>26.23</v>
      </c>
      <c r="W109" s="7" t="s">
        <v>4</v>
      </c>
      <c r="X109" s="7">
        <v>1457.4</v>
      </c>
      <c r="Y109" s="7">
        <v>162.53</v>
      </c>
      <c r="Z109" s="7" t="s">
        <v>4</v>
      </c>
      <c r="AA109" s="7">
        <v>1.36</v>
      </c>
      <c r="AB109" s="7">
        <v>94.74</v>
      </c>
      <c r="AC109">
        <v>8.85</v>
      </c>
      <c r="AD109" s="7">
        <v>1.32</v>
      </c>
      <c r="AE109" s="7" t="s">
        <v>4</v>
      </c>
      <c r="AF109">
        <v>101.12</v>
      </c>
      <c r="AG109" s="7">
        <v>197.13</v>
      </c>
      <c r="AH109" s="7" t="s">
        <v>4</v>
      </c>
      <c r="AI109" s="7" t="s">
        <v>4</v>
      </c>
      <c r="AJ109">
        <v>113.08</v>
      </c>
      <c r="AK109" s="7" t="s">
        <v>4</v>
      </c>
      <c r="AL109" s="7" t="s">
        <v>4</v>
      </c>
      <c r="AM109" s="7" t="s">
        <v>4</v>
      </c>
      <c r="AN109" s="7">
        <v>8.34</v>
      </c>
      <c r="AO109" s="7">
        <v>6.41</v>
      </c>
      <c r="AP109" s="7" t="s">
        <v>4</v>
      </c>
      <c r="AQ109" s="7" t="s">
        <v>4</v>
      </c>
      <c r="AR109" s="7" t="s">
        <v>4</v>
      </c>
      <c r="AS109">
        <v>8.4700000000000006</v>
      </c>
      <c r="AT109" s="7">
        <v>3.07</v>
      </c>
      <c r="AU109" s="7" t="s">
        <v>4</v>
      </c>
      <c r="AV109" s="7" t="s">
        <v>4</v>
      </c>
      <c r="AW109" s="7" t="s">
        <v>4</v>
      </c>
      <c r="AX109" s="7" t="s">
        <v>4</v>
      </c>
      <c r="AY109" s="7" t="s">
        <v>4</v>
      </c>
      <c r="AZ109" s="7" t="s">
        <v>4</v>
      </c>
      <c r="BA109" s="7" t="s">
        <v>4</v>
      </c>
      <c r="BB109" s="7" t="s">
        <v>4</v>
      </c>
      <c r="BC109">
        <v>22.33</v>
      </c>
      <c r="BD109" s="7" t="s">
        <v>4</v>
      </c>
      <c r="BE109" s="7" t="s">
        <v>4</v>
      </c>
      <c r="BF109" s="7" t="s">
        <v>4</v>
      </c>
      <c r="BG109" s="7">
        <v>3.02</v>
      </c>
      <c r="BH109" s="7" t="s">
        <v>4</v>
      </c>
    </row>
    <row r="110" spans="1:60">
      <c r="A110">
        <v>18</v>
      </c>
      <c r="B110" t="s">
        <v>220</v>
      </c>
      <c r="C110" t="s">
        <v>221</v>
      </c>
      <c r="D110" s="7" t="s">
        <v>4</v>
      </c>
      <c r="E110" s="7" t="s">
        <v>4</v>
      </c>
      <c r="F110" s="7" t="s">
        <v>5</v>
      </c>
      <c r="G110" s="7" t="s">
        <v>5</v>
      </c>
      <c r="H110" s="7">
        <v>4.43</v>
      </c>
      <c r="I110" s="7">
        <v>9.0500000000000007</v>
      </c>
      <c r="J110" s="7" t="s">
        <v>4</v>
      </c>
      <c r="K110" s="7" t="s">
        <v>5</v>
      </c>
      <c r="L110" s="7" t="s">
        <v>4</v>
      </c>
      <c r="M110" s="7">
        <v>11.32</v>
      </c>
      <c r="N110" s="7" t="s">
        <v>4</v>
      </c>
      <c r="O110" s="7">
        <v>20.79</v>
      </c>
      <c r="P110">
        <v>72.180000000000007</v>
      </c>
      <c r="Q110" s="7" t="s">
        <v>4</v>
      </c>
      <c r="R110" s="7">
        <v>60.19</v>
      </c>
      <c r="S110" s="7" t="s">
        <v>4</v>
      </c>
      <c r="T110" s="7">
        <v>1.32</v>
      </c>
      <c r="U110" s="7" t="s">
        <v>4</v>
      </c>
      <c r="V110">
        <v>19.75</v>
      </c>
      <c r="W110" s="7" t="s">
        <v>4</v>
      </c>
      <c r="X110" s="7">
        <v>236.07</v>
      </c>
      <c r="Y110" s="7">
        <v>86.69</v>
      </c>
      <c r="Z110" s="7">
        <v>5.58</v>
      </c>
      <c r="AA110" s="7">
        <v>9.5299999999999994</v>
      </c>
      <c r="AB110" s="7">
        <v>53.74</v>
      </c>
      <c r="AC110">
        <v>17.09</v>
      </c>
      <c r="AD110" s="7" t="s">
        <v>4</v>
      </c>
      <c r="AE110" s="7" t="s">
        <v>4</v>
      </c>
      <c r="AF110">
        <v>111.14</v>
      </c>
      <c r="AG110" s="7">
        <v>137.55000000000001</v>
      </c>
      <c r="AH110" s="7">
        <v>30.62</v>
      </c>
      <c r="AI110" s="7" t="s">
        <v>4</v>
      </c>
      <c r="AJ110">
        <v>60</v>
      </c>
      <c r="AK110" s="7" t="s">
        <v>4</v>
      </c>
      <c r="AL110" s="7" t="s">
        <v>4</v>
      </c>
      <c r="AM110" s="7" t="s">
        <v>4</v>
      </c>
      <c r="AN110" s="7">
        <v>11.72</v>
      </c>
      <c r="AO110" s="7">
        <v>13.61</v>
      </c>
      <c r="AP110" s="7" t="s">
        <v>4</v>
      </c>
      <c r="AQ110" s="7" t="s">
        <v>4</v>
      </c>
      <c r="AR110" s="7" t="s">
        <v>4</v>
      </c>
      <c r="AS110">
        <v>2.54</v>
      </c>
      <c r="AT110" s="7">
        <v>11.58</v>
      </c>
      <c r="AU110" s="7" t="s">
        <v>4</v>
      </c>
      <c r="AV110" s="7" t="s">
        <v>4</v>
      </c>
      <c r="AW110" s="7" t="s">
        <v>4</v>
      </c>
      <c r="AX110" s="7" t="s">
        <v>4</v>
      </c>
      <c r="AY110" s="7" t="s">
        <v>4</v>
      </c>
      <c r="AZ110" s="7" t="s">
        <v>4</v>
      </c>
      <c r="BA110" s="7" t="s">
        <v>4</v>
      </c>
      <c r="BB110" s="7" t="s">
        <v>4</v>
      </c>
      <c r="BC110">
        <v>22.88</v>
      </c>
      <c r="BD110" s="7" t="s">
        <v>4</v>
      </c>
      <c r="BE110" s="7">
        <v>29.83</v>
      </c>
      <c r="BF110" s="7" t="s">
        <v>4</v>
      </c>
      <c r="BG110" s="7">
        <v>2.17</v>
      </c>
      <c r="BH110" s="7" t="s">
        <v>4</v>
      </c>
    </row>
    <row r="111" spans="1:60">
      <c r="A111">
        <v>177</v>
      </c>
      <c r="B111" t="s">
        <v>222</v>
      </c>
      <c r="C111" t="s">
        <v>223</v>
      </c>
      <c r="D111" s="7" t="s">
        <v>4</v>
      </c>
      <c r="E111" s="7">
        <v>7.56</v>
      </c>
      <c r="F111" s="7" t="s">
        <v>5</v>
      </c>
      <c r="G111" s="7" t="s">
        <v>5</v>
      </c>
      <c r="H111" s="7">
        <v>14.68</v>
      </c>
      <c r="I111" s="7">
        <v>42.37</v>
      </c>
      <c r="J111" s="7" t="s">
        <v>4</v>
      </c>
      <c r="K111" s="7" t="s">
        <v>5</v>
      </c>
      <c r="L111" s="7" t="s">
        <v>4</v>
      </c>
      <c r="M111" s="7">
        <v>4.08</v>
      </c>
      <c r="N111" s="7" t="s">
        <v>4</v>
      </c>
      <c r="O111" s="7">
        <v>69.97</v>
      </c>
      <c r="P111">
        <v>24.03</v>
      </c>
      <c r="Q111" s="7" t="s">
        <v>4</v>
      </c>
      <c r="R111" s="7">
        <v>61.32</v>
      </c>
      <c r="S111" s="7" t="s">
        <v>4</v>
      </c>
      <c r="T111" s="7">
        <v>16.079999999999998</v>
      </c>
      <c r="U111" s="7" t="s">
        <v>4</v>
      </c>
      <c r="V111">
        <v>29.06</v>
      </c>
      <c r="W111" s="7" t="s">
        <v>4</v>
      </c>
      <c r="X111" s="7">
        <v>422.43</v>
      </c>
      <c r="Y111" s="7">
        <v>292.39</v>
      </c>
      <c r="Z111" s="7">
        <v>2.7</v>
      </c>
      <c r="AA111" s="7">
        <v>21.58</v>
      </c>
      <c r="AB111" s="7">
        <v>649.5</v>
      </c>
      <c r="AC111">
        <v>28.2</v>
      </c>
      <c r="AD111" s="7" t="s">
        <v>4</v>
      </c>
      <c r="AE111" s="7" t="s">
        <v>4</v>
      </c>
      <c r="AF111">
        <v>99.87</v>
      </c>
      <c r="AG111" s="7">
        <v>213.7</v>
      </c>
      <c r="AH111" s="7">
        <v>9.84</v>
      </c>
      <c r="AI111" s="7" t="s">
        <v>4</v>
      </c>
      <c r="AJ111">
        <v>63.91</v>
      </c>
      <c r="AK111" s="7" t="s">
        <v>4</v>
      </c>
      <c r="AL111" s="7" t="s">
        <v>4</v>
      </c>
      <c r="AM111" s="7" t="s">
        <v>4</v>
      </c>
      <c r="AN111" s="7">
        <v>10.72</v>
      </c>
      <c r="AO111" s="7">
        <v>10.89</v>
      </c>
      <c r="AP111" s="7" t="s">
        <v>4</v>
      </c>
      <c r="AQ111" s="7" t="s">
        <v>4</v>
      </c>
      <c r="AR111" s="7" t="s">
        <v>4</v>
      </c>
      <c r="AS111">
        <v>5.66</v>
      </c>
      <c r="AT111" s="7">
        <v>729.19</v>
      </c>
      <c r="AU111" s="7" t="s">
        <v>4</v>
      </c>
      <c r="AV111" s="7">
        <v>74.86</v>
      </c>
      <c r="AW111" s="7">
        <v>662.75</v>
      </c>
      <c r="AX111" s="7">
        <v>356.74</v>
      </c>
      <c r="AY111" s="7">
        <v>249.79</v>
      </c>
      <c r="AZ111" s="7" t="s">
        <v>4</v>
      </c>
      <c r="BA111" s="7" t="s">
        <v>4</v>
      </c>
      <c r="BB111" s="7" t="s">
        <v>4</v>
      </c>
      <c r="BC111">
        <v>13.87</v>
      </c>
      <c r="BD111" s="7" t="s">
        <v>4</v>
      </c>
      <c r="BE111" s="7" t="s">
        <v>4</v>
      </c>
      <c r="BF111" s="7" t="s">
        <v>4</v>
      </c>
      <c r="BG111" s="7">
        <v>1.25</v>
      </c>
      <c r="BH111" s="7" t="s">
        <v>4</v>
      </c>
    </row>
    <row r="112" spans="1:60">
      <c r="A112">
        <v>153</v>
      </c>
      <c r="B112" t="s">
        <v>224</v>
      </c>
      <c r="C112" t="s">
        <v>225</v>
      </c>
      <c r="D112" s="7" t="s">
        <v>4</v>
      </c>
      <c r="E112" s="7" t="s">
        <v>4</v>
      </c>
      <c r="F112" s="7" t="s">
        <v>5</v>
      </c>
      <c r="G112" s="7" t="s">
        <v>5</v>
      </c>
      <c r="H112" s="7">
        <v>24.76</v>
      </c>
      <c r="I112" s="7">
        <v>39.25</v>
      </c>
      <c r="J112" s="7" t="s">
        <v>4</v>
      </c>
      <c r="K112" s="7" t="s">
        <v>5</v>
      </c>
      <c r="L112" s="7">
        <v>9.11</v>
      </c>
      <c r="M112" s="7" t="s">
        <v>4</v>
      </c>
      <c r="N112" s="7">
        <v>2.0499999999999998</v>
      </c>
      <c r="O112" s="7">
        <v>40.770000000000003</v>
      </c>
      <c r="P112">
        <v>50.38</v>
      </c>
      <c r="Q112" s="7" t="s">
        <v>4</v>
      </c>
      <c r="R112" s="7">
        <v>95.71</v>
      </c>
      <c r="S112" s="7" t="s">
        <v>4</v>
      </c>
      <c r="T112" s="7">
        <v>9.3699999999999992</v>
      </c>
      <c r="U112" s="7" t="s">
        <v>4</v>
      </c>
      <c r="V112">
        <v>82.9</v>
      </c>
      <c r="W112" s="7" t="s">
        <v>4</v>
      </c>
      <c r="X112" s="7">
        <v>1057.48</v>
      </c>
      <c r="Y112" s="7">
        <v>617.5</v>
      </c>
      <c r="Z112" s="7" t="s">
        <v>4</v>
      </c>
      <c r="AA112" s="7">
        <v>11.18</v>
      </c>
      <c r="AB112" s="7">
        <v>657.69</v>
      </c>
      <c r="AC112">
        <v>22.31</v>
      </c>
      <c r="AD112" s="7">
        <v>2.62</v>
      </c>
      <c r="AE112" s="7" t="s">
        <v>4</v>
      </c>
      <c r="AF112">
        <v>119.35</v>
      </c>
      <c r="AG112" s="7">
        <v>184.98</v>
      </c>
      <c r="AH112" s="7">
        <v>2.52</v>
      </c>
      <c r="AI112" s="7" t="s">
        <v>4</v>
      </c>
      <c r="AJ112">
        <v>91.25</v>
      </c>
      <c r="AK112" s="7" t="s">
        <v>4</v>
      </c>
      <c r="AL112" s="7" t="s">
        <v>4</v>
      </c>
      <c r="AM112" s="7" t="s">
        <v>4</v>
      </c>
      <c r="AN112" s="7">
        <v>14.2</v>
      </c>
      <c r="AO112" s="7">
        <v>147.93</v>
      </c>
      <c r="AP112" s="7" t="s">
        <v>4</v>
      </c>
      <c r="AQ112" s="7" t="s">
        <v>4</v>
      </c>
      <c r="AR112" s="7" t="s">
        <v>4</v>
      </c>
      <c r="AS112">
        <v>7.5</v>
      </c>
      <c r="AT112" s="7">
        <v>118.94</v>
      </c>
      <c r="AU112" s="7" t="s">
        <v>4</v>
      </c>
      <c r="AV112" s="7" t="s">
        <v>4</v>
      </c>
      <c r="AW112" s="7">
        <v>26.18</v>
      </c>
      <c r="AX112" s="7" t="s">
        <v>4</v>
      </c>
      <c r="AY112" s="7" t="s">
        <v>4</v>
      </c>
      <c r="AZ112" s="7" t="s">
        <v>4</v>
      </c>
      <c r="BA112" s="7" t="s">
        <v>4</v>
      </c>
      <c r="BB112" s="7" t="s">
        <v>4</v>
      </c>
      <c r="BC112">
        <v>76.17</v>
      </c>
      <c r="BD112" s="7" t="s">
        <v>4</v>
      </c>
      <c r="BE112" s="7" t="s">
        <v>4</v>
      </c>
      <c r="BF112" s="7" t="s">
        <v>4</v>
      </c>
      <c r="BG112" s="7">
        <v>3.95</v>
      </c>
      <c r="BH112" s="7" t="s">
        <v>4</v>
      </c>
    </row>
    <row r="113" spans="1:60">
      <c r="A113">
        <v>56</v>
      </c>
      <c r="B113" t="s">
        <v>226</v>
      </c>
      <c r="C113" t="s">
        <v>227</v>
      </c>
      <c r="D113" s="7" t="s">
        <v>4</v>
      </c>
      <c r="E113" s="7">
        <v>8.2899999999999991</v>
      </c>
      <c r="F113" s="7" t="s">
        <v>5</v>
      </c>
      <c r="G113" s="7" t="s">
        <v>5</v>
      </c>
      <c r="H113" s="7">
        <v>5.84</v>
      </c>
      <c r="I113" s="7">
        <v>10.53</v>
      </c>
      <c r="J113" s="7" t="s">
        <v>4</v>
      </c>
      <c r="K113" s="7" t="s">
        <v>5</v>
      </c>
      <c r="L113" s="7" t="s">
        <v>4</v>
      </c>
      <c r="M113" s="7" t="s">
        <v>4</v>
      </c>
      <c r="N113" s="7">
        <v>4.84</v>
      </c>
      <c r="O113" s="7">
        <v>46.18</v>
      </c>
      <c r="P113">
        <v>54.54</v>
      </c>
      <c r="Q113" s="7" t="s">
        <v>4</v>
      </c>
      <c r="R113" s="7">
        <v>140.80000000000001</v>
      </c>
      <c r="S113" s="7">
        <v>9.14</v>
      </c>
      <c r="T113" s="7" t="s">
        <v>4</v>
      </c>
      <c r="U113" s="7" t="s">
        <v>4</v>
      </c>
      <c r="V113">
        <v>47.35</v>
      </c>
      <c r="W113" s="7" t="s">
        <v>4</v>
      </c>
      <c r="X113" s="7">
        <v>718.4</v>
      </c>
      <c r="Y113" s="7">
        <v>432.13</v>
      </c>
      <c r="Z113" s="7">
        <v>1.9</v>
      </c>
      <c r="AA113" s="7">
        <v>13.37</v>
      </c>
      <c r="AB113" s="7">
        <v>43.74</v>
      </c>
      <c r="AC113">
        <v>17.55</v>
      </c>
      <c r="AD113" s="7" t="s">
        <v>4</v>
      </c>
      <c r="AE113" s="7" t="s">
        <v>4</v>
      </c>
      <c r="AF113">
        <v>258.93</v>
      </c>
      <c r="AG113" s="7">
        <v>83.27</v>
      </c>
      <c r="AH113" s="7">
        <v>25.29</v>
      </c>
      <c r="AI113" s="7" t="s">
        <v>4</v>
      </c>
      <c r="AJ113">
        <v>117.46</v>
      </c>
      <c r="AK113" s="7" t="s">
        <v>4</v>
      </c>
      <c r="AL113" s="7" t="s">
        <v>4</v>
      </c>
      <c r="AM113" s="7" t="s">
        <v>4</v>
      </c>
      <c r="AN113" s="7">
        <v>35.22</v>
      </c>
      <c r="AO113" s="7">
        <v>5.27</v>
      </c>
      <c r="AP113" s="7" t="s">
        <v>4</v>
      </c>
      <c r="AQ113" s="7" t="s">
        <v>4</v>
      </c>
      <c r="AR113" s="7" t="s">
        <v>4</v>
      </c>
      <c r="AS113">
        <v>11.74</v>
      </c>
      <c r="AT113" s="7">
        <v>24.1</v>
      </c>
      <c r="AU113" s="7" t="s">
        <v>4</v>
      </c>
      <c r="AV113" s="7" t="s">
        <v>4</v>
      </c>
      <c r="AW113" s="7" t="s">
        <v>4</v>
      </c>
      <c r="AX113" s="7" t="s">
        <v>4</v>
      </c>
      <c r="AY113" s="7" t="s">
        <v>4</v>
      </c>
      <c r="AZ113" s="7" t="s">
        <v>4</v>
      </c>
      <c r="BA113" s="7" t="s">
        <v>4</v>
      </c>
      <c r="BB113" s="7" t="s">
        <v>4</v>
      </c>
      <c r="BC113">
        <v>32.6</v>
      </c>
      <c r="BD113" s="7" t="s">
        <v>4</v>
      </c>
      <c r="BE113" s="7" t="s">
        <v>4</v>
      </c>
      <c r="BF113" s="7" t="s">
        <v>4</v>
      </c>
      <c r="BG113" s="7">
        <v>1.56</v>
      </c>
      <c r="BH113" s="7" t="s">
        <v>4</v>
      </c>
    </row>
    <row r="114" spans="1:60">
      <c r="A114">
        <v>21</v>
      </c>
      <c r="B114" t="s">
        <v>228</v>
      </c>
      <c r="C114" t="s">
        <v>229</v>
      </c>
      <c r="D114" s="7">
        <v>4.21</v>
      </c>
      <c r="E114" s="7">
        <v>6.18</v>
      </c>
      <c r="F114" s="7" t="s">
        <v>5</v>
      </c>
      <c r="G114" s="7" t="s">
        <v>5</v>
      </c>
      <c r="H114" s="7" t="s">
        <v>4</v>
      </c>
      <c r="I114" s="7">
        <v>3.83</v>
      </c>
      <c r="J114" s="7" t="s">
        <v>4</v>
      </c>
      <c r="K114" s="7" t="s">
        <v>5</v>
      </c>
      <c r="L114" s="7" t="s">
        <v>4</v>
      </c>
      <c r="M114" s="7">
        <v>4.04</v>
      </c>
      <c r="N114" s="7" t="s">
        <v>4</v>
      </c>
      <c r="O114" s="7">
        <v>30.27</v>
      </c>
      <c r="P114">
        <v>30.61</v>
      </c>
      <c r="Q114" s="7" t="s">
        <v>4</v>
      </c>
      <c r="R114" s="7">
        <v>10.39</v>
      </c>
      <c r="S114" s="7" t="s">
        <v>4</v>
      </c>
      <c r="T114" s="7">
        <v>7.37</v>
      </c>
      <c r="U114" s="7" t="s">
        <v>4</v>
      </c>
      <c r="V114">
        <v>5.51</v>
      </c>
      <c r="W114" s="7">
        <v>4.54</v>
      </c>
      <c r="X114" s="7">
        <v>779.24</v>
      </c>
      <c r="Y114" s="7">
        <v>65.33</v>
      </c>
      <c r="Z114" s="7" t="s">
        <v>4</v>
      </c>
      <c r="AA114" s="7" t="s">
        <v>4</v>
      </c>
      <c r="AB114" s="7">
        <v>167.79</v>
      </c>
      <c r="AC114">
        <v>3.29</v>
      </c>
      <c r="AD114" s="7" t="s">
        <v>4</v>
      </c>
      <c r="AE114" s="7" t="s">
        <v>4</v>
      </c>
      <c r="AF114">
        <v>30.09</v>
      </c>
      <c r="AG114" s="7">
        <v>34.65</v>
      </c>
      <c r="AH114" s="7" t="s">
        <v>4</v>
      </c>
      <c r="AI114" s="7" t="s">
        <v>4</v>
      </c>
      <c r="AJ114">
        <v>54.85</v>
      </c>
      <c r="AK114" s="7" t="s">
        <v>4</v>
      </c>
      <c r="AL114" s="7" t="s">
        <v>4</v>
      </c>
      <c r="AM114" s="7" t="s">
        <v>4</v>
      </c>
      <c r="AN114" s="7">
        <v>5.42</v>
      </c>
      <c r="AO114" s="7">
        <v>8.26</v>
      </c>
      <c r="AP114" s="7" t="s">
        <v>4</v>
      </c>
      <c r="AQ114" s="7" t="s">
        <v>4</v>
      </c>
      <c r="AR114" s="7" t="s">
        <v>4</v>
      </c>
      <c r="AS114">
        <v>9.5299999999999994</v>
      </c>
      <c r="AT114" s="7">
        <v>50.76</v>
      </c>
      <c r="AU114" s="7" t="s">
        <v>4</v>
      </c>
      <c r="AV114" s="7" t="s">
        <v>4</v>
      </c>
      <c r="AW114" s="7">
        <v>93.25</v>
      </c>
      <c r="AX114" s="7">
        <v>12.01</v>
      </c>
      <c r="AY114" s="7">
        <v>19.77</v>
      </c>
      <c r="AZ114" s="7" t="s">
        <v>4</v>
      </c>
      <c r="BA114" s="7" t="s">
        <v>4</v>
      </c>
      <c r="BB114" s="7" t="s">
        <v>4</v>
      </c>
      <c r="BC114">
        <v>2.7</v>
      </c>
      <c r="BD114" s="7" t="s">
        <v>4</v>
      </c>
      <c r="BE114" s="7" t="s">
        <v>4</v>
      </c>
      <c r="BF114" s="7" t="s">
        <v>4</v>
      </c>
      <c r="BG114" s="7" t="s">
        <v>4</v>
      </c>
      <c r="BH114" s="7" t="s">
        <v>4</v>
      </c>
    </row>
    <row r="115" spans="1:60">
      <c r="A115">
        <v>115</v>
      </c>
      <c r="B115" t="s">
        <v>230</v>
      </c>
      <c r="C115" t="s">
        <v>231</v>
      </c>
      <c r="D115" s="7" t="s">
        <v>4</v>
      </c>
      <c r="E115" s="7">
        <v>3.45</v>
      </c>
      <c r="F115" s="7" t="s">
        <v>5</v>
      </c>
      <c r="G115" s="7" t="s">
        <v>5</v>
      </c>
      <c r="H115" s="7">
        <v>6.18</v>
      </c>
      <c r="I115" s="7">
        <v>13.6</v>
      </c>
      <c r="J115" s="7" t="s">
        <v>4</v>
      </c>
      <c r="K115" s="7" t="s">
        <v>5</v>
      </c>
      <c r="L115" s="7" t="s">
        <v>4</v>
      </c>
      <c r="M115" s="7">
        <v>26.32</v>
      </c>
      <c r="N115" s="7" t="s">
        <v>4</v>
      </c>
      <c r="O115" s="7">
        <v>125.86</v>
      </c>
      <c r="P115">
        <v>30.88</v>
      </c>
      <c r="Q115" s="7" t="s">
        <v>4</v>
      </c>
      <c r="R115" s="7">
        <v>16.8</v>
      </c>
      <c r="S115" s="7" t="s">
        <v>4</v>
      </c>
      <c r="T115" s="7">
        <v>4.5999999999999996</v>
      </c>
      <c r="U115" s="7" t="s">
        <v>4</v>
      </c>
      <c r="V115">
        <v>50.13</v>
      </c>
      <c r="W115" s="7" t="s">
        <v>4</v>
      </c>
      <c r="X115" s="7">
        <v>607.78</v>
      </c>
      <c r="Y115" s="7">
        <v>285.33999999999997</v>
      </c>
      <c r="Z115" s="7" t="s">
        <v>4</v>
      </c>
      <c r="AA115" s="7" t="s">
        <v>4</v>
      </c>
      <c r="AB115" s="7">
        <v>156.71</v>
      </c>
      <c r="AC115">
        <v>2.9</v>
      </c>
      <c r="AD115" s="7" t="s">
        <v>4</v>
      </c>
      <c r="AE115" s="7" t="s">
        <v>4</v>
      </c>
      <c r="AF115">
        <v>874.51</v>
      </c>
      <c r="AG115" s="7">
        <v>229.02</v>
      </c>
      <c r="AH115" s="7">
        <v>17.12</v>
      </c>
      <c r="AI115" s="7" t="s">
        <v>4</v>
      </c>
      <c r="AJ115">
        <v>555.59</v>
      </c>
      <c r="AK115" s="7" t="s">
        <v>4</v>
      </c>
      <c r="AL115" s="7" t="s">
        <v>4</v>
      </c>
      <c r="AM115" s="7" t="s">
        <v>4</v>
      </c>
      <c r="AN115" s="7">
        <v>17.38</v>
      </c>
      <c r="AO115" s="7">
        <v>2.71</v>
      </c>
      <c r="AP115" s="7" t="s">
        <v>4</v>
      </c>
      <c r="AQ115" s="7" t="s">
        <v>4</v>
      </c>
      <c r="AR115" s="7" t="s">
        <v>4</v>
      </c>
      <c r="AS115">
        <v>10.43</v>
      </c>
      <c r="AT115" s="7">
        <v>21.99</v>
      </c>
      <c r="AU115" s="7" t="s">
        <v>4</v>
      </c>
      <c r="AV115" s="7" t="s">
        <v>4</v>
      </c>
      <c r="AW115" s="7">
        <v>11.13</v>
      </c>
      <c r="AX115" s="7" t="s">
        <v>4</v>
      </c>
      <c r="AY115" s="7" t="s">
        <v>4</v>
      </c>
      <c r="AZ115" s="7" t="s">
        <v>4</v>
      </c>
      <c r="BA115" s="7" t="s">
        <v>4</v>
      </c>
      <c r="BB115" s="7" t="s">
        <v>4</v>
      </c>
      <c r="BC115">
        <v>11.01</v>
      </c>
      <c r="BD115" s="7" t="s">
        <v>4</v>
      </c>
      <c r="BE115" s="7" t="s">
        <v>4</v>
      </c>
      <c r="BF115" s="7" t="s">
        <v>4</v>
      </c>
      <c r="BG115" s="7">
        <v>6.01</v>
      </c>
      <c r="BH115" s="7" t="s">
        <v>4</v>
      </c>
    </row>
    <row r="116" spans="1:60">
      <c r="A116">
        <v>26</v>
      </c>
      <c r="B116" t="s">
        <v>232</v>
      </c>
      <c r="C116" t="s">
        <v>233</v>
      </c>
      <c r="D116" s="7" t="s">
        <v>4</v>
      </c>
      <c r="E116" s="7">
        <v>18.850000000000001</v>
      </c>
      <c r="F116" s="7" t="s">
        <v>5</v>
      </c>
      <c r="G116" s="7">
        <v>22.58</v>
      </c>
      <c r="H116" s="7">
        <v>4.9400000000000004</v>
      </c>
      <c r="I116" s="7">
        <v>15.22</v>
      </c>
      <c r="J116" s="7" t="s">
        <v>4</v>
      </c>
      <c r="K116" s="7" t="s">
        <v>5</v>
      </c>
      <c r="L116" s="7" t="s">
        <v>4</v>
      </c>
      <c r="M116" s="7">
        <v>44.32</v>
      </c>
      <c r="N116" s="7" t="s">
        <v>4</v>
      </c>
      <c r="O116" s="7">
        <v>603.54999999999995</v>
      </c>
      <c r="P116">
        <v>112.06</v>
      </c>
      <c r="Q116" s="7" t="s">
        <v>4</v>
      </c>
      <c r="R116" s="7">
        <v>210.09</v>
      </c>
      <c r="S116" s="7" t="s">
        <v>4</v>
      </c>
      <c r="T116" s="7">
        <v>24.7</v>
      </c>
      <c r="U116" s="7" t="s">
        <v>4</v>
      </c>
      <c r="V116">
        <v>29.48</v>
      </c>
      <c r="W116" s="7">
        <v>22.43</v>
      </c>
      <c r="X116" s="7" t="s">
        <v>5</v>
      </c>
      <c r="Y116" s="7">
        <v>745.08</v>
      </c>
      <c r="Z116" s="7" t="s">
        <v>4</v>
      </c>
      <c r="AA116" s="7">
        <v>6.56</v>
      </c>
      <c r="AB116" s="7" t="s">
        <v>5</v>
      </c>
      <c r="AC116">
        <v>26.77</v>
      </c>
      <c r="AD116" s="7">
        <v>1.18</v>
      </c>
      <c r="AE116" s="7" t="s">
        <v>4</v>
      </c>
      <c r="AF116">
        <v>324.39</v>
      </c>
      <c r="AG116" s="7">
        <v>122.26</v>
      </c>
      <c r="AH116" s="7">
        <v>18.09</v>
      </c>
      <c r="AI116" s="7" t="s">
        <v>4</v>
      </c>
      <c r="AJ116">
        <v>379.46</v>
      </c>
      <c r="AK116" s="7" t="s">
        <v>4</v>
      </c>
      <c r="AL116" s="7" t="s">
        <v>4</v>
      </c>
      <c r="AM116" s="7" t="s">
        <v>4</v>
      </c>
      <c r="AN116" s="7">
        <v>35.950000000000003</v>
      </c>
      <c r="AO116" s="7">
        <v>25.3</v>
      </c>
      <c r="AP116" s="7" t="s">
        <v>4</v>
      </c>
      <c r="AQ116" s="7" t="s">
        <v>4</v>
      </c>
      <c r="AR116" s="7" t="s">
        <v>4</v>
      </c>
      <c r="AS116">
        <v>25.49</v>
      </c>
      <c r="AT116" s="7">
        <v>160.44</v>
      </c>
      <c r="AU116" s="7" t="s">
        <v>4</v>
      </c>
      <c r="AV116" s="7" t="s">
        <v>4</v>
      </c>
      <c r="AW116" s="7">
        <v>76.73</v>
      </c>
      <c r="AX116" s="7">
        <v>15.27</v>
      </c>
      <c r="AY116" s="7" t="s">
        <v>4</v>
      </c>
      <c r="AZ116" s="7" t="s">
        <v>4</v>
      </c>
      <c r="BA116" s="7" t="s">
        <v>4</v>
      </c>
      <c r="BB116" s="7" t="s">
        <v>4</v>
      </c>
      <c r="BC116">
        <v>42.62</v>
      </c>
      <c r="BD116" s="7" t="s">
        <v>4</v>
      </c>
      <c r="BE116" s="7" t="s">
        <v>4</v>
      </c>
      <c r="BF116" s="7" t="s">
        <v>4</v>
      </c>
      <c r="BG116" s="7">
        <v>1.49</v>
      </c>
      <c r="BH116" s="7" t="s">
        <v>4</v>
      </c>
    </row>
    <row r="117" spans="1:60">
      <c r="A117">
        <v>132</v>
      </c>
      <c r="B117" t="s">
        <v>234</v>
      </c>
      <c r="C117" t="s">
        <v>235</v>
      </c>
      <c r="D117" s="7" t="s">
        <v>4</v>
      </c>
      <c r="E117" s="7" t="s">
        <v>5</v>
      </c>
      <c r="F117" s="7" t="s">
        <v>5</v>
      </c>
      <c r="G117" s="7" t="s">
        <v>4</v>
      </c>
      <c r="H117" s="7" t="s">
        <v>4</v>
      </c>
      <c r="I117" s="7">
        <v>5.26</v>
      </c>
      <c r="J117" s="7" t="s">
        <v>4</v>
      </c>
      <c r="K117" s="7" t="s">
        <v>5</v>
      </c>
      <c r="L117" s="7" t="s">
        <v>4</v>
      </c>
      <c r="M117" s="7">
        <v>454.82</v>
      </c>
      <c r="N117" s="7" t="s">
        <v>4</v>
      </c>
      <c r="O117" s="7">
        <v>739.11</v>
      </c>
      <c r="P117">
        <v>462.24</v>
      </c>
      <c r="Q117" s="7" t="s">
        <v>4</v>
      </c>
      <c r="R117" s="7">
        <v>17.52</v>
      </c>
      <c r="S117" s="7" t="s">
        <v>4</v>
      </c>
      <c r="T117" s="7">
        <v>42.73</v>
      </c>
      <c r="U117" s="7" t="s">
        <v>4</v>
      </c>
      <c r="V117">
        <v>18.82</v>
      </c>
      <c r="W117" s="7">
        <v>101.43</v>
      </c>
      <c r="X117" s="7" t="s">
        <v>5</v>
      </c>
      <c r="Y117" s="7" t="s">
        <v>5</v>
      </c>
      <c r="Z117" s="7">
        <v>1.35</v>
      </c>
      <c r="AA117" s="7">
        <v>7.46</v>
      </c>
      <c r="AB117" s="7">
        <v>894.34</v>
      </c>
      <c r="AC117">
        <v>73.53</v>
      </c>
      <c r="AD117" s="7" t="s">
        <v>4</v>
      </c>
      <c r="AE117" s="7" t="s">
        <v>4</v>
      </c>
      <c r="AF117">
        <v>265.89</v>
      </c>
      <c r="AG117" s="7">
        <v>98.36</v>
      </c>
      <c r="AH117" s="7">
        <v>15.09</v>
      </c>
      <c r="AI117" s="7" t="s">
        <v>4</v>
      </c>
      <c r="AJ117">
        <v>158.78</v>
      </c>
      <c r="AK117" s="7" t="s">
        <v>4</v>
      </c>
      <c r="AL117" s="7">
        <v>2.82</v>
      </c>
      <c r="AM117" s="7" t="s">
        <v>4</v>
      </c>
      <c r="AN117" s="7">
        <v>25.62</v>
      </c>
      <c r="AO117" s="7">
        <v>11.8</v>
      </c>
      <c r="AP117" s="7" t="s">
        <v>4</v>
      </c>
      <c r="AQ117" s="7" t="s">
        <v>4</v>
      </c>
      <c r="AR117" s="7" t="s">
        <v>4</v>
      </c>
      <c r="AS117">
        <v>9.7200000000000006</v>
      </c>
      <c r="AT117" s="7">
        <v>5.31</v>
      </c>
      <c r="AU117" s="7" t="s">
        <v>4</v>
      </c>
      <c r="AV117" s="7" t="s">
        <v>4</v>
      </c>
      <c r="AW117" s="7" t="s">
        <v>4</v>
      </c>
      <c r="AX117" s="7" t="s">
        <v>4</v>
      </c>
      <c r="AY117" s="7" t="s">
        <v>4</v>
      </c>
      <c r="AZ117" s="7" t="s">
        <v>4</v>
      </c>
      <c r="BA117" s="7" t="s">
        <v>4</v>
      </c>
      <c r="BB117" s="7" t="s">
        <v>4</v>
      </c>
      <c r="BC117">
        <v>7.59</v>
      </c>
      <c r="BD117" s="7" t="s">
        <v>4</v>
      </c>
      <c r="BE117" s="7" t="s">
        <v>4</v>
      </c>
      <c r="BF117" s="7" t="s">
        <v>4</v>
      </c>
      <c r="BG117" s="7">
        <v>1.1000000000000001</v>
      </c>
      <c r="BH117" s="7" t="s">
        <v>4</v>
      </c>
    </row>
    <row r="118" spans="1:60">
      <c r="A118">
        <v>178</v>
      </c>
      <c r="B118" t="s">
        <v>236</v>
      </c>
      <c r="C118" t="s">
        <v>237</v>
      </c>
      <c r="D118" s="7" t="s">
        <v>4</v>
      </c>
      <c r="E118" s="7" t="s">
        <v>5</v>
      </c>
      <c r="F118" s="7" t="s">
        <v>5</v>
      </c>
      <c r="G118" s="7" t="s">
        <v>4</v>
      </c>
      <c r="H118" s="7">
        <v>3.77</v>
      </c>
      <c r="I118" s="7">
        <v>15.66</v>
      </c>
      <c r="J118" s="7" t="s">
        <v>4</v>
      </c>
      <c r="K118" s="7">
        <v>113.51</v>
      </c>
      <c r="L118" s="7" t="s">
        <v>4</v>
      </c>
      <c r="M118" s="7" t="s">
        <v>5</v>
      </c>
      <c r="N118" s="7" t="s">
        <v>4</v>
      </c>
      <c r="O118" s="7" t="s">
        <v>5</v>
      </c>
      <c r="P118">
        <v>917.01</v>
      </c>
      <c r="Q118" s="7" t="s">
        <v>4</v>
      </c>
      <c r="R118" s="7">
        <v>7.79</v>
      </c>
      <c r="S118" s="7" t="s">
        <v>4</v>
      </c>
      <c r="T118" s="7">
        <v>102.35</v>
      </c>
      <c r="U118" s="7" t="s">
        <v>4</v>
      </c>
      <c r="V118">
        <v>32.71</v>
      </c>
      <c r="W118" s="7" t="s">
        <v>5</v>
      </c>
      <c r="X118" s="7" t="s">
        <v>5</v>
      </c>
      <c r="Y118" s="7" t="s">
        <v>5</v>
      </c>
      <c r="Z118" s="7" t="s">
        <v>4</v>
      </c>
      <c r="AA118" s="7">
        <v>152.99</v>
      </c>
      <c r="AB118" s="7" t="s">
        <v>5</v>
      </c>
      <c r="AC118">
        <v>100.25</v>
      </c>
      <c r="AD118" s="7" t="s">
        <v>4</v>
      </c>
      <c r="AE118" s="7" t="s">
        <v>4</v>
      </c>
      <c r="AF118">
        <v>204.57</v>
      </c>
      <c r="AG118" s="7">
        <v>107.27</v>
      </c>
      <c r="AH118" s="7">
        <v>25.09</v>
      </c>
      <c r="AI118" s="7" t="s">
        <v>4</v>
      </c>
      <c r="AJ118">
        <v>226.16</v>
      </c>
      <c r="AK118" s="7" t="s">
        <v>4</v>
      </c>
      <c r="AL118" s="7">
        <v>8.58</v>
      </c>
      <c r="AM118" s="7" t="s">
        <v>4</v>
      </c>
      <c r="AN118" s="7">
        <v>42.27</v>
      </c>
      <c r="AO118" s="7">
        <v>44.4</v>
      </c>
      <c r="AP118" s="7" t="s">
        <v>4</v>
      </c>
      <c r="AQ118" s="7" t="s">
        <v>4</v>
      </c>
      <c r="AR118" s="7" t="s">
        <v>4</v>
      </c>
      <c r="AS118">
        <v>84.24</v>
      </c>
      <c r="AT118" s="7" t="s">
        <v>5</v>
      </c>
      <c r="AU118" s="7" t="s">
        <v>4</v>
      </c>
      <c r="AV118" s="7">
        <v>203.65</v>
      </c>
      <c r="AW118" s="7" t="s">
        <v>5</v>
      </c>
      <c r="AX118" s="7">
        <v>835.92</v>
      </c>
      <c r="AY118" s="7">
        <v>691.71</v>
      </c>
      <c r="AZ118" s="7" t="s">
        <v>4</v>
      </c>
      <c r="BA118" s="7" t="s">
        <v>4</v>
      </c>
      <c r="BB118" s="7" t="s">
        <v>4</v>
      </c>
      <c r="BC118">
        <v>50.21</v>
      </c>
      <c r="BD118" s="7">
        <v>4.76</v>
      </c>
      <c r="BE118" s="7" t="s">
        <v>4</v>
      </c>
      <c r="BF118" s="7" t="s">
        <v>4</v>
      </c>
      <c r="BG118" s="7">
        <v>4.2699999999999996</v>
      </c>
      <c r="BH118" s="7" t="s">
        <v>4</v>
      </c>
    </row>
    <row r="119" spans="1:60">
      <c r="A119">
        <v>195</v>
      </c>
      <c r="B119" t="s">
        <v>238</v>
      </c>
      <c r="C119" t="s">
        <v>239</v>
      </c>
      <c r="D119" s="7" t="s">
        <v>4</v>
      </c>
      <c r="E119" s="7">
        <v>16.71</v>
      </c>
      <c r="F119" s="7" t="s">
        <v>5</v>
      </c>
      <c r="G119" s="7" t="s">
        <v>5</v>
      </c>
      <c r="H119" s="7">
        <v>4.7</v>
      </c>
      <c r="I119" s="7">
        <v>43.17</v>
      </c>
      <c r="J119" s="7" t="s">
        <v>4</v>
      </c>
      <c r="K119" s="7" t="s">
        <v>5</v>
      </c>
      <c r="L119" s="7">
        <v>3.63</v>
      </c>
      <c r="M119" s="7">
        <v>18.21</v>
      </c>
      <c r="N119" s="7">
        <v>1.3</v>
      </c>
      <c r="O119" s="7">
        <v>213.34</v>
      </c>
      <c r="P119">
        <v>60.69</v>
      </c>
      <c r="Q119" s="7" t="s">
        <v>4</v>
      </c>
      <c r="R119" s="7">
        <v>62.58</v>
      </c>
      <c r="S119" s="7" t="s">
        <v>4</v>
      </c>
      <c r="T119" s="7">
        <v>5.91</v>
      </c>
      <c r="U119" s="7" t="s">
        <v>4</v>
      </c>
      <c r="V119">
        <v>39.04</v>
      </c>
      <c r="W119" s="7" t="s">
        <v>4</v>
      </c>
      <c r="X119" s="7" t="s">
        <v>5</v>
      </c>
      <c r="Y119" s="7">
        <v>764.78</v>
      </c>
      <c r="Z119" s="7" t="s">
        <v>4</v>
      </c>
      <c r="AA119" s="7">
        <v>7.67</v>
      </c>
      <c r="AB119" s="7">
        <v>583.36</v>
      </c>
      <c r="AC119">
        <v>9.73</v>
      </c>
      <c r="AD119" s="7" t="s">
        <v>4</v>
      </c>
      <c r="AE119" s="7" t="s">
        <v>4</v>
      </c>
      <c r="AF119">
        <v>614.26</v>
      </c>
      <c r="AG119" s="7">
        <v>419.68</v>
      </c>
      <c r="AH119" s="7">
        <v>60.71</v>
      </c>
      <c r="AI119" s="7" t="s">
        <v>4</v>
      </c>
      <c r="AJ119">
        <v>1052.0899999999999</v>
      </c>
      <c r="AK119" s="7" t="s">
        <v>4</v>
      </c>
      <c r="AL119" s="7">
        <v>8.2899999999999991</v>
      </c>
      <c r="AM119" s="7" t="s">
        <v>4</v>
      </c>
      <c r="AN119" s="7">
        <v>134.84</v>
      </c>
      <c r="AO119" s="7">
        <v>52.19</v>
      </c>
      <c r="AP119" s="7" t="s">
        <v>4</v>
      </c>
      <c r="AQ119" s="7" t="s">
        <v>4</v>
      </c>
      <c r="AR119" s="7" t="s">
        <v>4</v>
      </c>
      <c r="AS119">
        <v>112.35</v>
      </c>
      <c r="AT119" s="7">
        <v>74.569999999999993</v>
      </c>
      <c r="AU119" s="7" t="s">
        <v>4</v>
      </c>
      <c r="AV119" s="7" t="s">
        <v>4</v>
      </c>
      <c r="AW119" s="7">
        <v>29.92</v>
      </c>
      <c r="AX119" s="7" t="s">
        <v>4</v>
      </c>
      <c r="AY119" s="7" t="s">
        <v>4</v>
      </c>
      <c r="AZ119" s="7">
        <v>8.24</v>
      </c>
      <c r="BA119" s="7" t="s">
        <v>4</v>
      </c>
      <c r="BB119" s="7" t="s">
        <v>4</v>
      </c>
      <c r="BC119">
        <v>66.59</v>
      </c>
      <c r="BD119" s="7">
        <v>3.86</v>
      </c>
      <c r="BE119" s="7" t="s">
        <v>4</v>
      </c>
      <c r="BF119" s="7" t="s">
        <v>4</v>
      </c>
      <c r="BG119" s="7">
        <v>15.1</v>
      </c>
      <c r="BH119" s="7" t="s">
        <v>4</v>
      </c>
    </row>
    <row r="120" spans="1:60">
      <c r="A120">
        <v>135</v>
      </c>
      <c r="B120" t="s">
        <v>240</v>
      </c>
      <c r="C120" t="s">
        <v>241</v>
      </c>
      <c r="D120" s="7" t="s">
        <v>4</v>
      </c>
      <c r="E120" s="7">
        <v>48.73</v>
      </c>
      <c r="F120" s="7" t="s">
        <v>5</v>
      </c>
      <c r="G120" s="7">
        <v>4.75</v>
      </c>
      <c r="H120" s="7" t="s">
        <v>4</v>
      </c>
      <c r="I120" s="7">
        <v>1.93</v>
      </c>
      <c r="J120" s="7" t="s">
        <v>4</v>
      </c>
      <c r="K120" s="7">
        <v>306.32</v>
      </c>
      <c r="L120" s="7" t="s">
        <v>4</v>
      </c>
      <c r="M120" s="7">
        <v>11.42</v>
      </c>
      <c r="N120" s="7" t="s">
        <v>4</v>
      </c>
      <c r="O120" s="7">
        <v>64.47</v>
      </c>
      <c r="P120">
        <v>86.53</v>
      </c>
      <c r="Q120" s="7" t="s">
        <v>4</v>
      </c>
      <c r="R120" s="7">
        <v>62.78</v>
      </c>
      <c r="S120" s="7" t="s">
        <v>4</v>
      </c>
      <c r="T120" s="7">
        <v>13.06</v>
      </c>
      <c r="U120" s="7" t="s">
        <v>4</v>
      </c>
      <c r="V120">
        <v>11.41</v>
      </c>
      <c r="W120" s="7">
        <v>8.6199999999999992</v>
      </c>
      <c r="X120" s="7">
        <v>1681.91</v>
      </c>
      <c r="Y120" s="7">
        <v>197.55</v>
      </c>
      <c r="Z120" s="7" t="s">
        <v>4</v>
      </c>
      <c r="AA120" s="7" t="s">
        <v>4</v>
      </c>
      <c r="AB120" s="7">
        <v>107.27</v>
      </c>
      <c r="AC120">
        <v>13.56</v>
      </c>
      <c r="AD120" s="7" t="s">
        <v>4</v>
      </c>
      <c r="AE120" s="7" t="s">
        <v>4</v>
      </c>
      <c r="AF120">
        <v>145.13</v>
      </c>
      <c r="AG120" s="7">
        <v>37.28</v>
      </c>
      <c r="AH120" s="7">
        <v>6.69</v>
      </c>
      <c r="AI120" s="7" t="s">
        <v>4</v>
      </c>
      <c r="AJ120">
        <v>156.61000000000001</v>
      </c>
      <c r="AK120" s="7" t="s">
        <v>4</v>
      </c>
      <c r="AL120" s="7" t="s">
        <v>4</v>
      </c>
      <c r="AM120" s="7" t="s">
        <v>4</v>
      </c>
      <c r="AN120" s="7">
        <v>12.03</v>
      </c>
      <c r="AO120" s="7">
        <v>3.21</v>
      </c>
      <c r="AP120" s="7" t="s">
        <v>4</v>
      </c>
      <c r="AQ120" s="7" t="s">
        <v>4</v>
      </c>
      <c r="AR120" s="7" t="s">
        <v>4</v>
      </c>
      <c r="AS120">
        <v>14.44</v>
      </c>
      <c r="AT120" s="7">
        <v>34.76</v>
      </c>
      <c r="AU120" s="7" t="s">
        <v>4</v>
      </c>
      <c r="AV120" s="7" t="s">
        <v>4</v>
      </c>
      <c r="AW120" s="7">
        <v>17.13</v>
      </c>
      <c r="AX120" s="7" t="s">
        <v>4</v>
      </c>
      <c r="AY120" s="7" t="s">
        <v>4</v>
      </c>
      <c r="AZ120" s="7">
        <v>6.56</v>
      </c>
      <c r="BA120" s="7" t="s">
        <v>4</v>
      </c>
      <c r="BB120" s="7" t="s">
        <v>4</v>
      </c>
      <c r="BC120">
        <v>41.3</v>
      </c>
      <c r="BD120" s="7" t="s">
        <v>4</v>
      </c>
      <c r="BE120" s="7" t="s">
        <v>4</v>
      </c>
      <c r="BF120" s="7" t="s">
        <v>4</v>
      </c>
      <c r="BG120" s="7">
        <v>9.6</v>
      </c>
      <c r="BH120" s="7" t="s">
        <v>4</v>
      </c>
    </row>
    <row r="121" spans="1:60">
      <c r="A121">
        <v>154</v>
      </c>
      <c r="B121" t="s">
        <v>242</v>
      </c>
      <c r="C121" t="s">
        <v>243</v>
      </c>
      <c r="D121" s="7" t="s">
        <v>4</v>
      </c>
      <c r="E121" s="7">
        <v>11.59</v>
      </c>
      <c r="F121" s="7" t="s">
        <v>5</v>
      </c>
      <c r="G121" s="7">
        <v>27.01</v>
      </c>
      <c r="H121" s="7">
        <v>5.16</v>
      </c>
      <c r="I121" s="7">
        <v>9.59</v>
      </c>
      <c r="J121" s="7" t="s">
        <v>4</v>
      </c>
      <c r="K121" s="7" t="s">
        <v>5</v>
      </c>
      <c r="L121" s="7" t="s">
        <v>4</v>
      </c>
      <c r="M121" s="7">
        <v>266.8</v>
      </c>
      <c r="N121" s="7" t="s">
        <v>4</v>
      </c>
      <c r="O121" s="7">
        <v>541.55999999999995</v>
      </c>
      <c r="P121">
        <v>164.6</v>
      </c>
      <c r="Q121" s="7" t="s">
        <v>4</v>
      </c>
      <c r="R121" s="7">
        <v>75.489999999999995</v>
      </c>
      <c r="S121" s="7" t="s">
        <v>4</v>
      </c>
      <c r="T121" s="7">
        <v>54.7</v>
      </c>
      <c r="U121" s="7" t="s">
        <v>4</v>
      </c>
      <c r="V121">
        <v>9.01</v>
      </c>
      <c r="W121" s="7">
        <v>85.75</v>
      </c>
      <c r="X121" s="7" t="s">
        <v>5</v>
      </c>
      <c r="Y121" s="7">
        <v>837.61</v>
      </c>
      <c r="Z121" s="7" t="s">
        <v>4</v>
      </c>
      <c r="AA121" s="7">
        <v>8.51</v>
      </c>
      <c r="AB121" s="7">
        <v>945.22</v>
      </c>
      <c r="AC121">
        <v>18.45</v>
      </c>
      <c r="AD121" s="7" t="s">
        <v>4</v>
      </c>
      <c r="AE121" s="7" t="s">
        <v>4</v>
      </c>
      <c r="AF121">
        <v>59.26</v>
      </c>
      <c r="AG121" s="7">
        <v>100.33</v>
      </c>
      <c r="AH121" s="7">
        <v>4.43</v>
      </c>
      <c r="AI121" s="7" t="s">
        <v>4</v>
      </c>
      <c r="AJ121">
        <v>25.5</v>
      </c>
      <c r="AK121" s="7" t="s">
        <v>4</v>
      </c>
      <c r="AL121" s="7" t="s">
        <v>4</v>
      </c>
      <c r="AM121" s="7" t="s">
        <v>4</v>
      </c>
      <c r="AN121" s="7">
        <v>17.16</v>
      </c>
      <c r="AO121" s="7">
        <v>19.239999999999998</v>
      </c>
      <c r="AP121" s="7" t="s">
        <v>4</v>
      </c>
      <c r="AQ121" s="7" t="s">
        <v>4</v>
      </c>
      <c r="AR121" s="7" t="s">
        <v>4</v>
      </c>
      <c r="AS121">
        <v>4.74</v>
      </c>
      <c r="AT121" s="7" t="s">
        <v>5</v>
      </c>
      <c r="AU121" s="7" t="s">
        <v>4</v>
      </c>
      <c r="AV121" s="7" t="s">
        <v>4</v>
      </c>
      <c r="AW121" s="7" t="s">
        <v>5</v>
      </c>
      <c r="AX121" s="7">
        <v>102.98</v>
      </c>
      <c r="AY121" s="7">
        <v>60.26</v>
      </c>
      <c r="AZ121" s="7" t="s">
        <v>4</v>
      </c>
      <c r="BA121" s="7" t="s">
        <v>4</v>
      </c>
      <c r="BB121" s="7" t="s">
        <v>4</v>
      </c>
      <c r="BC121">
        <v>31.47</v>
      </c>
      <c r="BD121" s="7" t="s">
        <v>4</v>
      </c>
      <c r="BE121" s="7" t="s">
        <v>4</v>
      </c>
      <c r="BF121" s="7" t="s">
        <v>4</v>
      </c>
      <c r="BG121" s="7">
        <v>3.25</v>
      </c>
      <c r="BH121" s="7" t="s">
        <v>4</v>
      </c>
    </row>
    <row r="122" spans="1:60">
      <c r="A122">
        <v>102</v>
      </c>
      <c r="B122" t="s">
        <v>244</v>
      </c>
      <c r="C122" t="s">
        <v>245</v>
      </c>
      <c r="D122" s="7" t="s">
        <v>4</v>
      </c>
      <c r="E122" s="7">
        <v>11.95</v>
      </c>
      <c r="F122" s="7" t="s">
        <v>5</v>
      </c>
      <c r="G122" s="7">
        <v>41.16</v>
      </c>
      <c r="H122" s="7">
        <v>2.02</v>
      </c>
      <c r="I122" s="7">
        <v>11.91</v>
      </c>
      <c r="J122" s="7" t="s">
        <v>4</v>
      </c>
      <c r="K122" s="7" t="s">
        <v>5</v>
      </c>
      <c r="L122" s="7" t="s">
        <v>4</v>
      </c>
      <c r="M122" s="7">
        <v>6.55</v>
      </c>
      <c r="N122" s="7" t="s">
        <v>4</v>
      </c>
      <c r="O122" s="7">
        <v>20.170000000000002</v>
      </c>
      <c r="P122">
        <v>26.65</v>
      </c>
      <c r="Q122" s="7" t="s">
        <v>4</v>
      </c>
      <c r="R122" s="7">
        <v>67.34</v>
      </c>
      <c r="S122" s="7" t="s">
        <v>4</v>
      </c>
      <c r="T122" s="7">
        <v>1.97</v>
      </c>
      <c r="U122" s="7" t="s">
        <v>4</v>
      </c>
      <c r="V122">
        <v>22.29</v>
      </c>
      <c r="W122" s="7" t="s">
        <v>4</v>
      </c>
      <c r="X122" s="7">
        <v>543.22</v>
      </c>
      <c r="Y122" s="7">
        <v>61.51</v>
      </c>
      <c r="Z122" s="7" t="s">
        <v>4</v>
      </c>
      <c r="AA122" s="7">
        <v>3.84</v>
      </c>
      <c r="AB122" s="7">
        <v>61.27</v>
      </c>
      <c r="AC122">
        <v>24.73</v>
      </c>
      <c r="AD122" s="7" t="s">
        <v>4</v>
      </c>
      <c r="AE122" s="7" t="s">
        <v>4</v>
      </c>
      <c r="AF122">
        <v>101.23</v>
      </c>
      <c r="AG122" s="7">
        <v>105.76</v>
      </c>
      <c r="AH122" s="7">
        <v>4.55</v>
      </c>
      <c r="AI122" s="7" t="s">
        <v>4</v>
      </c>
      <c r="AJ122">
        <v>114.34</v>
      </c>
      <c r="AK122" s="7" t="s">
        <v>4</v>
      </c>
      <c r="AL122" s="7" t="s">
        <v>4</v>
      </c>
      <c r="AM122" s="7" t="s">
        <v>4</v>
      </c>
      <c r="AN122" s="7">
        <v>24.48</v>
      </c>
      <c r="AO122" s="7">
        <v>18.25</v>
      </c>
      <c r="AP122" s="7" t="s">
        <v>4</v>
      </c>
      <c r="AQ122" s="7" t="s">
        <v>4</v>
      </c>
      <c r="AR122" s="7" t="s">
        <v>4</v>
      </c>
      <c r="AS122">
        <v>19.71</v>
      </c>
      <c r="AT122" s="7">
        <v>1.89</v>
      </c>
      <c r="AU122" s="7" t="s">
        <v>4</v>
      </c>
      <c r="AV122" s="7" t="s">
        <v>4</v>
      </c>
      <c r="AW122" s="7" t="s">
        <v>4</v>
      </c>
      <c r="AX122" s="7" t="s">
        <v>4</v>
      </c>
      <c r="AY122" s="7" t="s">
        <v>4</v>
      </c>
      <c r="AZ122" s="7" t="s">
        <v>4</v>
      </c>
      <c r="BA122" s="7" t="s">
        <v>4</v>
      </c>
      <c r="BB122" s="7" t="s">
        <v>4</v>
      </c>
      <c r="BC122">
        <v>13.48</v>
      </c>
      <c r="BD122" s="7" t="s">
        <v>4</v>
      </c>
      <c r="BE122" s="7" t="s">
        <v>4</v>
      </c>
      <c r="BF122" s="7" t="s">
        <v>4</v>
      </c>
      <c r="BG122" s="7">
        <v>2.69</v>
      </c>
      <c r="BH122" s="7" t="s">
        <v>4</v>
      </c>
    </row>
    <row r="123" spans="1:60">
      <c r="A123">
        <v>5</v>
      </c>
      <c r="B123" t="s">
        <v>246</v>
      </c>
      <c r="C123" t="s">
        <v>247</v>
      </c>
      <c r="D123" s="7" t="s">
        <v>4</v>
      </c>
      <c r="E123" s="7" t="s">
        <v>5</v>
      </c>
      <c r="F123" s="7" t="s">
        <v>5</v>
      </c>
      <c r="G123" s="7" t="s">
        <v>4</v>
      </c>
      <c r="H123" s="7" t="s">
        <v>4</v>
      </c>
      <c r="I123" s="7" t="s">
        <v>5</v>
      </c>
      <c r="J123" s="7" t="s">
        <v>4</v>
      </c>
      <c r="K123" s="7" t="s">
        <v>5</v>
      </c>
      <c r="L123" s="7" t="s">
        <v>4</v>
      </c>
      <c r="M123" s="7" t="s">
        <v>5</v>
      </c>
      <c r="N123" s="7" t="s">
        <v>4</v>
      </c>
      <c r="O123" s="7" t="s">
        <v>5</v>
      </c>
      <c r="P123" t="s">
        <v>5</v>
      </c>
      <c r="Q123" s="7" t="s">
        <v>4</v>
      </c>
      <c r="R123" s="7">
        <v>11.31</v>
      </c>
      <c r="S123" s="7">
        <v>8.5500000000000007</v>
      </c>
      <c r="T123" s="7">
        <v>465.35</v>
      </c>
      <c r="U123" s="7" t="s">
        <v>4</v>
      </c>
      <c r="V123">
        <v>109.21</v>
      </c>
      <c r="W123" s="7" t="s">
        <v>5</v>
      </c>
      <c r="X123" s="7" t="s">
        <v>5</v>
      </c>
      <c r="Y123" s="7" t="s">
        <v>5</v>
      </c>
      <c r="Z123" s="7">
        <v>79.66</v>
      </c>
      <c r="AA123" s="7">
        <v>221</v>
      </c>
      <c r="AB123" s="7" t="s">
        <v>5</v>
      </c>
      <c r="AC123" t="s">
        <v>5</v>
      </c>
      <c r="AD123" s="7">
        <v>2.62</v>
      </c>
      <c r="AE123" s="7" t="s">
        <v>4</v>
      </c>
      <c r="AF123">
        <v>261.55</v>
      </c>
      <c r="AG123" s="7">
        <v>243.46</v>
      </c>
      <c r="AH123" s="7">
        <v>140.91999999999999</v>
      </c>
      <c r="AI123" s="7" t="s">
        <v>4</v>
      </c>
      <c r="AJ123">
        <v>358.02</v>
      </c>
      <c r="AK123" s="7" t="s">
        <v>4</v>
      </c>
      <c r="AL123" s="7">
        <v>37.85</v>
      </c>
      <c r="AM123" s="7" t="s">
        <v>4</v>
      </c>
      <c r="AN123" s="7">
        <v>91</v>
      </c>
      <c r="AO123" s="7">
        <v>70.25</v>
      </c>
      <c r="AP123" s="7" t="s">
        <v>4</v>
      </c>
      <c r="AQ123" s="7" t="s">
        <v>4</v>
      </c>
      <c r="AR123" s="7">
        <v>5.94</v>
      </c>
      <c r="AS123">
        <v>101.34</v>
      </c>
      <c r="AT123" s="7" t="s">
        <v>5</v>
      </c>
      <c r="AU123" s="7" t="s">
        <v>4</v>
      </c>
      <c r="AV123" s="7">
        <v>868.63</v>
      </c>
      <c r="AW123" s="7" t="s">
        <v>5</v>
      </c>
      <c r="AX123" s="7" t="s">
        <v>5</v>
      </c>
      <c r="AY123" s="7" t="s">
        <v>5</v>
      </c>
      <c r="AZ123" s="7">
        <v>12.58</v>
      </c>
      <c r="BA123" s="7" t="s">
        <v>4</v>
      </c>
      <c r="BB123" s="7">
        <v>1.86</v>
      </c>
      <c r="BC123">
        <v>23.63</v>
      </c>
      <c r="BD123" s="7">
        <v>3.36</v>
      </c>
      <c r="BE123" s="7" t="s">
        <v>4</v>
      </c>
      <c r="BF123" s="7">
        <v>10.02</v>
      </c>
      <c r="BG123" s="7">
        <v>7.35</v>
      </c>
      <c r="BH123" s="7" t="s">
        <v>4</v>
      </c>
    </row>
    <row r="124" spans="1:60">
      <c r="A124">
        <v>176</v>
      </c>
      <c r="B124" t="s">
        <v>248</v>
      </c>
      <c r="C124" t="s">
        <v>249</v>
      </c>
      <c r="D124" s="7" t="s">
        <v>4</v>
      </c>
      <c r="E124" s="7">
        <v>43.29</v>
      </c>
      <c r="F124" s="7" t="s">
        <v>5</v>
      </c>
      <c r="G124" s="7">
        <v>14.84</v>
      </c>
      <c r="H124" s="7">
        <v>3.25</v>
      </c>
      <c r="I124" s="7">
        <v>29.03</v>
      </c>
      <c r="J124" s="7" t="s">
        <v>4</v>
      </c>
      <c r="K124" s="7" t="s">
        <v>5</v>
      </c>
      <c r="L124" s="7" t="s">
        <v>4</v>
      </c>
      <c r="M124" s="7">
        <v>2.95</v>
      </c>
      <c r="N124" s="7" t="s">
        <v>4</v>
      </c>
      <c r="O124" s="7">
        <v>27.1</v>
      </c>
      <c r="P124">
        <v>19.59</v>
      </c>
      <c r="Q124" s="7" t="s">
        <v>4</v>
      </c>
      <c r="R124" s="7">
        <v>52.48</v>
      </c>
      <c r="S124" s="7" t="s">
        <v>4</v>
      </c>
      <c r="T124" s="7" t="s">
        <v>4</v>
      </c>
      <c r="U124" s="7" t="s">
        <v>4</v>
      </c>
      <c r="V124">
        <v>14.31</v>
      </c>
      <c r="W124" s="7" t="s">
        <v>4</v>
      </c>
      <c r="X124" s="7" t="s">
        <v>4</v>
      </c>
      <c r="Y124" s="7">
        <v>45.21</v>
      </c>
      <c r="Z124" s="7">
        <v>4.43</v>
      </c>
      <c r="AA124" s="7">
        <v>8.2899999999999991</v>
      </c>
      <c r="AB124" s="7">
        <v>214.77</v>
      </c>
      <c r="AC124">
        <v>31.77</v>
      </c>
      <c r="AD124" s="7" t="s">
        <v>4</v>
      </c>
      <c r="AE124" s="7" t="s">
        <v>4</v>
      </c>
      <c r="AF124">
        <v>72.41</v>
      </c>
      <c r="AG124" s="7">
        <v>151.49</v>
      </c>
      <c r="AH124" s="7">
        <v>4.1900000000000004</v>
      </c>
      <c r="AI124" s="7" t="s">
        <v>4</v>
      </c>
      <c r="AJ124">
        <v>41.8</v>
      </c>
      <c r="AK124" s="7" t="s">
        <v>4</v>
      </c>
      <c r="AL124" s="7" t="s">
        <v>4</v>
      </c>
      <c r="AM124" s="7" t="s">
        <v>4</v>
      </c>
      <c r="AN124" s="7">
        <v>9</v>
      </c>
      <c r="AO124" s="7">
        <v>30.03</v>
      </c>
      <c r="AP124" s="7" t="s">
        <v>4</v>
      </c>
      <c r="AQ124" s="7" t="s">
        <v>4</v>
      </c>
      <c r="AR124" s="7" t="s">
        <v>4</v>
      </c>
      <c r="AS124">
        <v>3.9</v>
      </c>
      <c r="AT124" s="7" t="s">
        <v>5</v>
      </c>
      <c r="AU124" s="7" t="s">
        <v>4</v>
      </c>
      <c r="AV124" s="7">
        <v>68.67</v>
      </c>
      <c r="AW124" s="7" t="s">
        <v>5</v>
      </c>
      <c r="AX124" s="7">
        <v>309.36</v>
      </c>
      <c r="AY124" s="7">
        <v>201.03</v>
      </c>
      <c r="AZ124" s="7" t="s">
        <v>4</v>
      </c>
      <c r="BA124" s="7" t="s">
        <v>4</v>
      </c>
      <c r="BB124" s="7" t="s">
        <v>4</v>
      </c>
      <c r="BC124">
        <v>22.29</v>
      </c>
      <c r="BD124" s="7">
        <v>16.829999999999998</v>
      </c>
      <c r="BE124" s="7" t="s">
        <v>4</v>
      </c>
      <c r="BF124" s="7" t="s">
        <v>4</v>
      </c>
      <c r="BG124" s="7">
        <v>3.02</v>
      </c>
      <c r="BH124" s="7" t="s">
        <v>4</v>
      </c>
    </row>
    <row r="125" spans="1:60">
      <c r="A125">
        <v>152</v>
      </c>
      <c r="B125" t="s">
        <v>250</v>
      </c>
      <c r="C125" t="s">
        <v>251</v>
      </c>
      <c r="D125" s="7" t="s">
        <v>4</v>
      </c>
      <c r="E125" s="7">
        <v>16.760000000000002</v>
      </c>
      <c r="F125" s="7" t="s">
        <v>5</v>
      </c>
      <c r="G125" s="7">
        <v>34.270000000000003</v>
      </c>
      <c r="H125" s="7">
        <v>4.4800000000000004</v>
      </c>
      <c r="I125" s="7">
        <v>15.25</v>
      </c>
      <c r="J125" s="7" t="s">
        <v>4</v>
      </c>
      <c r="K125" s="7" t="s">
        <v>5</v>
      </c>
      <c r="L125" s="7" t="s">
        <v>4</v>
      </c>
      <c r="M125" s="7">
        <v>7.94</v>
      </c>
      <c r="N125" s="7">
        <v>1.0900000000000001</v>
      </c>
      <c r="O125" s="7">
        <v>19.690000000000001</v>
      </c>
      <c r="P125">
        <v>23.92</v>
      </c>
      <c r="Q125" s="7" t="s">
        <v>4</v>
      </c>
      <c r="R125" s="7">
        <v>23.85</v>
      </c>
      <c r="S125" s="7" t="s">
        <v>4</v>
      </c>
      <c r="T125" s="7" t="s">
        <v>4</v>
      </c>
      <c r="U125" s="7" t="s">
        <v>4</v>
      </c>
      <c r="V125">
        <v>28.8</v>
      </c>
      <c r="W125" s="7" t="s">
        <v>4</v>
      </c>
      <c r="X125" s="7">
        <v>266.5</v>
      </c>
      <c r="Y125" s="7">
        <v>145.27000000000001</v>
      </c>
      <c r="Z125" s="7" t="s">
        <v>4</v>
      </c>
      <c r="AA125" s="7">
        <v>1.32</v>
      </c>
      <c r="AB125" s="7">
        <v>139.74</v>
      </c>
      <c r="AC125">
        <v>9.93</v>
      </c>
      <c r="AD125" s="7">
        <v>1.05</v>
      </c>
      <c r="AE125" s="7" t="s">
        <v>4</v>
      </c>
      <c r="AF125">
        <v>95.15</v>
      </c>
      <c r="AG125" s="7">
        <v>97.89</v>
      </c>
      <c r="AH125" s="7" t="s">
        <v>4</v>
      </c>
      <c r="AI125" s="7" t="s">
        <v>4</v>
      </c>
      <c r="AJ125">
        <v>53.62</v>
      </c>
      <c r="AK125" s="7" t="s">
        <v>4</v>
      </c>
      <c r="AL125" s="7" t="s">
        <v>4</v>
      </c>
      <c r="AM125" s="7" t="s">
        <v>4</v>
      </c>
      <c r="AN125" s="7">
        <v>6.4</v>
      </c>
      <c r="AO125" s="7">
        <v>67.31</v>
      </c>
      <c r="AP125" s="7" t="s">
        <v>4</v>
      </c>
      <c r="AQ125" s="7" t="s">
        <v>4</v>
      </c>
      <c r="AR125" s="7" t="s">
        <v>4</v>
      </c>
      <c r="AS125">
        <v>2.89</v>
      </c>
      <c r="AT125" s="7">
        <v>10.14</v>
      </c>
      <c r="AU125" s="7" t="s">
        <v>4</v>
      </c>
      <c r="AV125" s="7" t="s">
        <v>4</v>
      </c>
      <c r="AW125" s="7" t="s">
        <v>4</v>
      </c>
      <c r="AX125" s="7" t="s">
        <v>4</v>
      </c>
      <c r="AY125" s="7" t="s">
        <v>4</v>
      </c>
      <c r="AZ125" s="7" t="s">
        <v>4</v>
      </c>
      <c r="BA125" s="7" t="s">
        <v>4</v>
      </c>
      <c r="BB125" s="7" t="s">
        <v>4</v>
      </c>
      <c r="BC125">
        <v>7</v>
      </c>
      <c r="BD125" s="7" t="s">
        <v>4</v>
      </c>
      <c r="BE125" s="7" t="s">
        <v>4</v>
      </c>
      <c r="BF125" s="7" t="s">
        <v>4</v>
      </c>
      <c r="BG125" s="7" t="s">
        <v>4</v>
      </c>
      <c r="BH125" s="7" t="s">
        <v>4</v>
      </c>
    </row>
    <row r="126" spans="1:60">
      <c r="A126">
        <v>14</v>
      </c>
      <c r="B126" t="s">
        <v>252</v>
      </c>
      <c r="C126" t="s">
        <v>253</v>
      </c>
      <c r="D126" s="7">
        <v>2.71</v>
      </c>
      <c r="E126" s="7">
        <v>10.9</v>
      </c>
      <c r="F126" s="7" t="s">
        <v>5</v>
      </c>
      <c r="G126" s="7" t="s">
        <v>5</v>
      </c>
      <c r="H126" s="7">
        <v>4.5999999999999996</v>
      </c>
      <c r="I126" s="7">
        <v>7.56</v>
      </c>
      <c r="J126" s="7" t="s">
        <v>4</v>
      </c>
      <c r="K126" s="7" t="s">
        <v>5</v>
      </c>
      <c r="L126" s="7" t="s">
        <v>4</v>
      </c>
      <c r="M126" s="7">
        <v>4.34</v>
      </c>
      <c r="N126" s="7">
        <v>1.22</v>
      </c>
      <c r="O126" s="7">
        <v>13.38</v>
      </c>
      <c r="P126">
        <v>39.17</v>
      </c>
      <c r="Q126" s="7" t="s">
        <v>4</v>
      </c>
      <c r="R126" s="7">
        <v>53.77</v>
      </c>
      <c r="S126" s="7">
        <v>3.99</v>
      </c>
      <c r="T126" s="7" t="s">
        <v>4</v>
      </c>
      <c r="U126" s="7" t="s">
        <v>4</v>
      </c>
      <c r="V126">
        <v>42.31</v>
      </c>
      <c r="W126" s="7">
        <v>2.91</v>
      </c>
      <c r="X126" s="7">
        <v>311.88</v>
      </c>
      <c r="Y126" s="7">
        <v>145.94999999999999</v>
      </c>
      <c r="Z126" s="7" t="s">
        <v>4</v>
      </c>
      <c r="AA126" s="7" t="s">
        <v>4</v>
      </c>
      <c r="AB126" s="7">
        <v>159.19</v>
      </c>
      <c r="AC126">
        <v>4.3499999999999996</v>
      </c>
      <c r="AD126" s="7" t="s">
        <v>4</v>
      </c>
      <c r="AE126" s="7" t="s">
        <v>4</v>
      </c>
      <c r="AF126">
        <v>10.130000000000001</v>
      </c>
      <c r="AG126" s="7">
        <v>14.95</v>
      </c>
      <c r="AH126" s="7" t="s">
        <v>4</v>
      </c>
      <c r="AI126" s="7" t="s">
        <v>4</v>
      </c>
      <c r="AJ126">
        <v>14.77</v>
      </c>
      <c r="AK126" s="7" t="s">
        <v>4</v>
      </c>
      <c r="AL126" s="7" t="s">
        <v>4</v>
      </c>
      <c r="AM126" s="7" t="s">
        <v>4</v>
      </c>
      <c r="AN126" s="7">
        <v>7.63</v>
      </c>
      <c r="AO126" s="7">
        <v>7.18</v>
      </c>
      <c r="AP126" s="7" t="s">
        <v>4</v>
      </c>
      <c r="AQ126" s="7" t="s">
        <v>4</v>
      </c>
      <c r="AR126" s="7" t="s">
        <v>4</v>
      </c>
      <c r="AS126">
        <v>15.99</v>
      </c>
      <c r="AT126" s="7">
        <v>212.91</v>
      </c>
      <c r="AU126" s="7" t="s">
        <v>4</v>
      </c>
      <c r="AV126" s="7" t="s">
        <v>4</v>
      </c>
      <c r="AW126" s="7">
        <v>152.30000000000001</v>
      </c>
      <c r="AX126" s="7">
        <v>17.22</v>
      </c>
      <c r="AY126" s="7" t="s">
        <v>4</v>
      </c>
      <c r="AZ126" s="7" t="s">
        <v>4</v>
      </c>
      <c r="BA126" s="7" t="s">
        <v>4</v>
      </c>
      <c r="BB126" s="7" t="s">
        <v>4</v>
      </c>
      <c r="BC126">
        <v>19.05</v>
      </c>
      <c r="BD126" s="7">
        <v>1.07</v>
      </c>
      <c r="BE126" s="7" t="s">
        <v>4</v>
      </c>
      <c r="BF126" s="7" t="s">
        <v>4</v>
      </c>
      <c r="BG126" s="7">
        <v>1.1599999999999999</v>
      </c>
      <c r="BH126" s="7" t="s">
        <v>4</v>
      </c>
    </row>
    <row r="127" spans="1:60">
      <c r="A127">
        <v>71</v>
      </c>
      <c r="B127" t="s">
        <v>254</v>
      </c>
      <c r="C127" t="s">
        <v>255</v>
      </c>
      <c r="D127" s="7">
        <v>12.92</v>
      </c>
      <c r="E127" s="7" t="s">
        <v>5</v>
      </c>
      <c r="F127" s="7" t="s">
        <v>5</v>
      </c>
      <c r="G127" s="7">
        <v>9.94</v>
      </c>
      <c r="H127" s="7" t="s">
        <v>4</v>
      </c>
      <c r="I127" s="7">
        <v>3.86</v>
      </c>
      <c r="J127" s="7" t="s">
        <v>4</v>
      </c>
      <c r="K127" s="7">
        <v>27.86</v>
      </c>
      <c r="L127" s="7" t="s">
        <v>4</v>
      </c>
      <c r="M127" s="7" t="s">
        <v>5</v>
      </c>
      <c r="N127" s="7" t="s">
        <v>4</v>
      </c>
      <c r="O127" s="7" t="s">
        <v>5</v>
      </c>
      <c r="P127">
        <v>749.85</v>
      </c>
      <c r="Q127" s="7" t="s">
        <v>4</v>
      </c>
      <c r="R127" s="7" t="s">
        <v>4</v>
      </c>
      <c r="S127" s="7" t="s">
        <v>4</v>
      </c>
      <c r="T127" s="7">
        <v>109.55</v>
      </c>
      <c r="U127" s="7" t="s">
        <v>4</v>
      </c>
      <c r="V127">
        <v>35.96</v>
      </c>
      <c r="W127" s="7" t="s">
        <v>5</v>
      </c>
      <c r="X127" s="7" t="s">
        <v>5</v>
      </c>
      <c r="Y127" s="7" t="s">
        <v>5</v>
      </c>
      <c r="Z127" s="7" t="s">
        <v>4</v>
      </c>
      <c r="AA127" s="7">
        <v>225.24</v>
      </c>
      <c r="AB127" s="7" t="s">
        <v>5</v>
      </c>
      <c r="AC127">
        <v>130.21</v>
      </c>
      <c r="AD127" s="7" t="s">
        <v>4</v>
      </c>
      <c r="AE127" s="7" t="s">
        <v>4</v>
      </c>
      <c r="AF127">
        <v>149.53</v>
      </c>
      <c r="AG127" s="7" t="s">
        <v>4</v>
      </c>
      <c r="AH127" s="7">
        <v>12.49</v>
      </c>
      <c r="AI127" s="7" t="s">
        <v>4</v>
      </c>
      <c r="AJ127">
        <v>247.74</v>
      </c>
      <c r="AK127" s="7" t="s">
        <v>4</v>
      </c>
      <c r="AL127" s="7">
        <v>15.31</v>
      </c>
      <c r="AM127" s="7" t="s">
        <v>4</v>
      </c>
      <c r="AN127" s="7">
        <v>45.78</v>
      </c>
      <c r="AO127" s="7" t="s">
        <v>4</v>
      </c>
      <c r="AP127" s="7" t="s">
        <v>4</v>
      </c>
      <c r="AQ127" s="7" t="s">
        <v>4</v>
      </c>
      <c r="AR127" s="7">
        <v>11.49</v>
      </c>
      <c r="AS127">
        <v>102.68</v>
      </c>
      <c r="AT127" s="7">
        <v>1.04</v>
      </c>
      <c r="AU127" s="7" t="s">
        <v>4</v>
      </c>
      <c r="AV127" s="7" t="s">
        <v>4</v>
      </c>
      <c r="AW127" s="7" t="s">
        <v>4</v>
      </c>
      <c r="AX127" s="7" t="s">
        <v>4</v>
      </c>
      <c r="AY127" s="7">
        <v>10.17</v>
      </c>
      <c r="AZ127" s="7" t="s">
        <v>4</v>
      </c>
      <c r="BA127" s="7">
        <v>10.49</v>
      </c>
      <c r="BB127" s="7">
        <v>22.61</v>
      </c>
      <c r="BC127">
        <v>3.98</v>
      </c>
      <c r="BD127" s="7" t="s">
        <v>4</v>
      </c>
      <c r="BE127" s="7" t="s">
        <v>4</v>
      </c>
      <c r="BF127" s="7">
        <v>12.5</v>
      </c>
      <c r="BG127" s="7" t="s">
        <v>4</v>
      </c>
      <c r="BH127" s="7">
        <v>6.1</v>
      </c>
    </row>
    <row r="128" spans="1:60">
      <c r="A128">
        <v>139</v>
      </c>
      <c r="B128" t="s">
        <v>256</v>
      </c>
      <c r="C128" t="s">
        <v>257</v>
      </c>
      <c r="D128" s="7" t="s">
        <v>4</v>
      </c>
      <c r="E128" s="7">
        <v>8.6999999999999993</v>
      </c>
      <c r="F128" s="7" t="s">
        <v>5</v>
      </c>
      <c r="G128" s="7" t="s">
        <v>5</v>
      </c>
      <c r="H128" s="7">
        <v>4.22</v>
      </c>
      <c r="I128" s="7">
        <v>3.88</v>
      </c>
      <c r="J128" s="7" t="s">
        <v>4</v>
      </c>
      <c r="K128" s="7">
        <v>296.2</v>
      </c>
      <c r="L128" s="7" t="s">
        <v>4</v>
      </c>
      <c r="M128" s="7">
        <v>11.76</v>
      </c>
      <c r="N128" s="7" t="s">
        <v>4</v>
      </c>
      <c r="O128" s="7">
        <v>20.69</v>
      </c>
      <c r="P128">
        <v>34.119999999999997</v>
      </c>
      <c r="Q128" s="7" t="s">
        <v>4</v>
      </c>
      <c r="R128" s="7">
        <v>11.81</v>
      </c>
      <c r="S128" s="7" t="s">
        <v>4</v>
      </c>
      <c r="T128" s="7">
        <v>1.67</v>
      </c>
      <c r="U128" s="7" t="s">
        <v>4</v>
      </c>
      <c r="V128">
        <v>15.4</v>
      </c>
      <c r="W128" s="7">
        <v>16.170000000000002</v>
      </c>
      <c r="X128" s="7">
        <v>766.03</v>
      </c>
      <c r="Y128" s="7">
        <v>202.51</v>
      </c>
      <c r="Z128" s="7" t="s">
        <v>4</v>
      </c>
      <c r="AA128" s="7">
        <v>6.07</v>
      </c>
      <c r="AB128" s="7">
        <v>552.57000000000005</v>
      </c>
      <c r="AC128">
        <v>2.19</v>
      </c>
      <c r="AD128" s="7" t="s">
        <v>4</v>
      </c>
      <c r="AE128" s="7" t="s">
        <v>4</v>
      </c>
      <c r="AF128">
        <v>20.41</v>
      </c>
      <c r="AG128" s="7">
        <v>20.66</v>
      </c>
      <c r="AH128" s="7" t="s">
        <v>4</v>
      </c>
      <c r="AI128" s="7" t="s">
        <v>4</v>
      </c>
      <c r="AJ128">
        <v>20.16</v>
      </c>
      <c r="AK128" s="7" t="s">
        <v>4</v>
      </c>
      <c r="AL128" s="7" t="s">
        <v>4</v>
      </c>
      <c r="AM128" s="7" t="s">
        <v>4</v>
      </c>
      <c r="AN128" s="7" t="s">
        <v>4</v>
      </c>
      <c r="AO128" s="7">
        <v>4.74</v>
      </c>
      <c r="AP128" s="7" t="s">
        <v>4</v>
      </c>
      <c r="AQ128" s="7" t="s">
        <v>4</v>
      </c>
      <c r="AR128" s="7" t="s">
        <v>4</v>
      </c>
      <c r="AS128">
        <v>3.48</v>
      </c>
      <c r="AT128" s="7">
        <v>7.03</v>
      </c>
      <c r="AU128" s="7" t="s">
        <v>4</v>
      </c>
      <c r="AV128" s="7" t="s">
        <v>4</v>
      </c>
      <c r="AW128" s="7" t="s">
        <v>4</v>
      </c>
      <c r="AX128" s="7" t="s">
        <v>4</v>
      </c>
      <c r="AY128" s="7" t="s">
        <v>4</v>
      </c>
      <c r="AZ128" s="7" t="s">
        <v>4</v>
      </c>
      <c r="BA128" s="7" t="s">
        <v>4</v>
      </c>
      <c r="BB128" s="7" t="s">
        <v>4</v>
      </c>
      <c r="BC128" t="s">
        <v>4</v>
      </c>
      <c r="BD128" s="7" t="s">
        <v>4</v>
      </c>
      <c r="BE128" s="7" t="s">
        <v>4</v>
      </c>
      <c r="BF128" s="7" t="s">
        <v>4</v>
      </c>
      <c r="BG128" s="7" t="s">
        <v>4</v>
      </c>
      <c r="BH128" s="7" t="s">
        <v>4</v>
      </c>
    </row>
    <row r="129" spans="1:60">
      <c r="A129">
        <v>32</v>
      </c>
      <c r="B129" t="s">
        <v>258</v>
      </c>
      <c r="C129" t="s">
        <v>259</v>
      </c>
      <c r="D129" s="7" t="s">
        <v>4</v>
      </c>
      <c r="E129" s="7">
        <v>4.1399999999999997</v>
      </c>
      <c r="F129" s="7" t="s">
        <v>5</v>
      </c>
      <c r="G129" s="7" t="s">
        <v>5</v>
      </c>
      <c r="H129" s="7">
        <v>6.55</v>
      </c>
      <c r="I129" s="7">
        <v>8.0500000000000007</v>
      </c>
      <c r="J129" s="7" t="s">
        <v>4</v>
      </c>
      <c r="K129" s="7" t="s">
        <v>5</v>
      </c>
      <c r="L129" s="7" t="s">
        <v>4</v>
      </c>
      <c r="M129" s="7" t="s">
        <v>4</v>
      </c>
      <c r="N129" s="7">
        <v>7.32</v>
      </c>
      <c r="O129" s="7">
        <v>12.81</v>
      </c>
      <c r="P129">
        <v>29.56</v>
      </c>
      <c r="Q129" s="7" t="s">
        <v>4</v>
      </c>
      <c r="R129" s="7">
        <v>24.68</v>
      </c>
      <c r="S129" s="7" t="s">
        <v>4</v>
      </c>
      <c r="T129" s="7">
        <v>1.06</v>
      </c>
      <c r="U129" s="7" t="s">
        <v>4</v>
      </c>
      <c r="V129">
        <v>20.39</v>
      </c>
      <c r="W129" s="7" t="s">
        <v>4</v>
      </c>
      <c r="X129" s="7">
        <v>282.35000000000002</v>
      </c>
      <c r="Y129" s="7">
        <v>159.49</v>
      </c>
      <c r="Z129" s="7" t="s">
        <v>4</v>
      </c>
      <c r="AA129" s="7" t="s">
        <v>4</v>
      </c>
      <c r="AB129" s="7">
        <v>36.479999999999997</v>
      </c>
      <c r="AC129">
        <v>11.02</v>
      </c>
      <c r="AD129" s="7" t="s">
        <v>4</v>
      </c>
      <c r="AE129" s="7" t="s">
        <v>4</v>
      </c>
      <c r="AF129">
        <v>56.03</v>
      </c>
      <c r="AG129" s="7">
        <v>77.38</v>
      </c>
      <c r="AH129" s="7" t="s">
        <v>4</v>
      </c>
      <c r="AI129" s="7" t="s">
        <v>4</v>
      </c>
      <c r="AJ129">
        <v>40.17</v>
      </c>
      <c r="AK129" s="7" t="s">
        <v>4</v>
      </c>
      <c r="AL129" s="7" t="s">
        <v>4</v>
      </c>
      <c r="AM129" s="7" t="s">
        <v>4</v>
      </c>
      <c r="AN129" s="7">
        <v>7.43</v>
      </c>
      <c r="AO129" s="7">
        <v>4.72</v>
      </c>
      <c r="AP129" s="7" t="s">
        <v>4</v>
      </c>
      <c r="AQ129" s="7" t="s">
        <v>4</v>
      </c>
      <c r="AR129" s="7" t="s">
        <v>4</v>
      </c>
      <c r="AS129">
        <v>4.8600000000000003</v>
      </c>
      <c r="AT129" s="7">
        <v>117.38</v>
      </c>
      <c r="AU129" s="7" t="s">
        <v>4</v>
      </c>
      <c r="AV129" s="7" t="s">
        <v>4</v>
      </c>
      <c r="AW129" s="7">
        <v>12.19</v>
      </c>
      <c r="AX129" s="7" t="s">
        <v>4</v>
      </c>
      <c r="AY129" s="7" t="s">
        <v>4</v>
      </c>
      <c r="AZ129" s="7" t="s">
        <v>4</v>
      </c>
      <c r="BA129" s="7" t="s">
        <v>4</v>
      </c>
      <c r="BB129" s="7" t="s">
        <v>4</v>
      </c>
      <c r="BC129">
        <v>16.190000000000001</v>
      </c>
      <c r="BD129" s="7" t="s">
        <v>4</v>
      </c>
      <c r="BE129" s="7" t="s">
        <v>4</v>
      </c>
      <c r="BF129" s="7" t="s">
        <v>4</v>
      </c>
      <c r="BG129" s="7">
        <v>1.05</v>
      </c>
      <c r="BH129" s="7" t="s">
        <v>4</v>
      </c>
    </row>
    <row r="130" spans="1:60">
      <c r="A130">
        <v>50</v>
      </c>
      <c r="B130" t="s">
        <v>260</v>
      </c>
      <c r="C130" t="s">
        <v>261</v>
      </c>
      <c r="D130" s="7">
        <v>5.8</v>
      </c>
      <c r="E130" s="7">
        <v>14.36</v>
      </c>
      <c r="F130" s="7" t="s">
        <v>5</v>
      </c>
      <c r="G130" s="7">
        <v>41.25</v>
      </c>
      <c r="H130" s="7" t="s">
        <v>4</v>
      </c>
      <c r="I130" s="7">
        <v>3.57</v>
      </c>
      <c r="J130" s="7" t="s">
        <v>4</v>
      </c>
      <c r="K130" s="7">
        <v>116.11</v>
      </c>
      <c r="L130" s="7" t="s">
        <v>4</v>
      </c>
      <c r="M130" s="7">
        <v>40.229999999999997</v>
      </c>
      <c r="N130" s="7" t="s">
        <v>4</v>
      </c>
      <c r="O130" s="7">
        <v>160.13</v>
      </c>
      <c r="P130">
        <v>199.77</v>
      </c>
      <c r="Q130" s="7" t="s">
        <v>4</v>
      </c>
      <c r="R130" s="7">
        <v>47.4</v>
      </c>
      <c r="S130" s="7" t="s">
        <v>4</v>
      </c>
      <c r="T130" s="7">
        <v>8.0399999999999991</v>
      </c>
      <c r="U130" s="7" t="s">
        <v>4</v>
      </c>
      <c r="V130">
        <v>14.91</v>
      </c>
      <c r="W130" s="7" t="s">
        <v>4</v>
      </c>
      <c r="X130" s="7">
        <v>2258.4299999999998</v>
      </c>
      <c r="Y130" s="7">
        <v>713.7</v>
      </c>
      <c r="Z130" s="7">
        <v>6.06</v>
      </c>
      <c r="AA130" s="7">
        <v>3.94</v>
      </c>
      <c r="AB130" s="7">
        <v>181.44</v>
      </c>
      <c r="AC130">
        <v>22.54</v>
      </c>
      <c r="AD130" s="7" t="s">
        <v>4</v>
      </c>
      <c r="AE130" s="7" t="s">
        <v>4</v>
      </c>
      <c r="AF130">
        <v>26.55</v>
      </c>
      <c r="AG130" s="7">
        <v>14.51</v>
      </c>
      <c r="AH130" s="7">
        <v>3.36</v>
      </c>
      <c r="AI130" s="7" t="s">
        <v>4</v>
      </c>
      <c r="AJ130">
        <v>18</v>
      </c>
      <c r="AK130" s="7" t="s">
        <v>4</v>
      </c>
      <c r="AL130" s="7">
        <v>5.29</v>
      </c>
      <c r="AM130" s="7" t="s">
        <v>4</v>
      </c>
      <c r="AN130" s="7">
        <v>10.119999999999999</v>
      </c>
      <c r="AO130" s="7">
        <v>21.54</v>
      </c>
      <c r="AP130" s="7" t="s">
        <v>4</v>
      </c>
      <c r="AQ130" s="7" t="s">
        <v>4</v>
      </c>
      <c r="AR130" s="7" t="s">
        <v>4</v>
      </c>
      <c r="AS130">
        <v>3.75</v>
      </c>
      <c r="AT130" s="7">
        <v>177.6</v>
      </c>
      <c r="AU130" s="7" t="s">
        <v>4</v>
      </c>
      <c r="AV130" s="7" t="s">
        <v>4</v>
      </c>
      <c r="AW130" s="7">
        <v>14.71</v>
      </c>
      <c r="AX130" s="7">
        <v>19.14</v>
      </c>
      <c r="AY130" s="7">
        <v>54.52</v>
      </c>
      <c r="AZ130" s="7" t="s">
        <v>4</v>
      </c>
      <c r="BA130" s="7" t="s">
        <v>4</v>
      </c>
      <c r="BB130" s="7" t="s">
        <v>4</v>
      </c>
      <c r="BC130">
        <v>11.22</v>
      </c>
      <c r="BD130" s="7" t="s">
        <v>4</v>
      </c>
      <c r="BE130" s="7" t="s">
        <v>4</v>
      </c>
      <c r="BF130" s="7" t="s">
        <v>4</v>
      </c>
      <c r="BG130" s="7" t="s">
        <v>4</v>
      </c>
      <c r="BH130" s="7" t="s">
        <v>4</v>
      </c>
    </row>
    <row r="131" spans="1:60">
      <c r="A131">
        <v>188</v>
      </c>
      <c r="B131" t="s">
        <v>262</v>
      </c>
      <c r="C131" t="s">
        <v>263</v>
      </c>
      <c r="D131" s="7" t="s">
        <v>4</v>
      </c>
      <c r="E131" s="7">
        <v>8.8800000000000008</v>
      </c>
      <c r="F131" s="7" t="s">
        <v>5</v>
      </c>
      <c r="G131" s="7" t="s">
        <v>5</v>
      </c>
      <c r="H131" s="7">
        <v>6.87</v>
      </c>
      <c r="I131" s="7">
        <v>26.9</v>
      </c>
      <c r="J131" s="7" t="s">
        <v>4</v>
      </c>
      <c r="K131" s="7" t="s">
        <v>5</v>
      </c>
      <c r="L131" s="7" t="s">
        <v>4</v>
      </c>
      <c r="M131" s="7">
        <v>7.46</v>
      </c>
      <c r="N131" s="7">
        <v>1.04</v>
      </c>
      <c r="O131" s="7">
        <v>88.2</v>
      </c>
      <c r="P131">
        <v>66.61</v>
      </c>
      <c r="Q131" s="7" t="s">
        <v>4</v>
      </c>
      <c r="R131" s="7">
        <v>70.540000000000006</v>
      </c>
      <c r="S131" s="7" t="s">
        <v>4</v>
      </c>
      <c r="T131" s="7">
        <v>8.01</v>
      </c>
      <c r="U131" s="7" t="s">
        <v>4</v>
      </c>
      <c r="V131">
        <v>93.45</v>
      </c>
      <c r="W131" s="7" t="s">
        <v>4</v>
      </c>
      <c r="X131" s="7">
        <v>1240.43</v>
      </c>
      <c r="Y131" s="7">
        <v>429.18</v>
      </c>
      <c r="Z131" s="7" t="s">
        <v>4</v>
      </c>
      <c r="AA131" s="7">
        <v>8.3699999999999992</v>
      </c>
      <c r="AB131" s="7">
        <v>103.43</v>
      </c>
      <c r="AC131">
        <v>8.65</v>
      </c>
      <c r="AD131" s="7" t="s">
        <v>4</v>
      </c>
      <c r="AE131" s="7" t="s">
        <v>4</v>
      </c>
      <c r="AF131">
        <v>452.32</v>
      </c>
      <c r="AG131" s="7">
        <v>304.07</v>
      </c>
      <c r="AH131" s="7">
        <v>21.96</v>
      </c>
      <c r="AI131" s="7" t="s">
        <v>4</v>
      </c>
      <c r="AJ131">
        <v>300.83</v>
      </c>
      <c r="AK131" s="7" t="s">
        <v>4</v>
      </c>
      <c r="AL131" s="7" t="s">
        <v>4</v>
      </c>
      <c r="AM131" s="7" t="s">
        <v>4</v>
      </c>
      <c r="AN131" s="7">
        <v>28.71</v>
      </c>
      <c r="AO131" s="7">
        <v>13.43</v>
      </c>
      <c r="AP131" s="7" t="s">
        <v>4</v>
      </c>
      <c r="AQ131" s="7" t="s">
        <v>4</v>
      </c>
      <c r="AR131" s="7" t="s">
        <v>4</v>
      </c>
      <c r="AS131">
        <v>23.05</v>
      </c>
      <c r="AT131" s="7">
        <v>49.86</v>
      </c>
      <c r="AU131" s="7" t="s">
        <v>4</v>
      </c>
      <c r="AV131" s="7" t="s">
        <v>4</v>
      </c>
      <c r="AW131" s="7" t="s">
        <v>4</v>
      </c>
      <c r="AX131" s="7" t="s">
        <v>4</v>
      </c>
      <c r="AY131" s="7" t="s">
        <v>4</v>
      </c>
      <c r="AZ131" s="7" t="s">
        <v>4</v>
      </c>
      <c r="BA131" s="7" t="s">
        <v>4</v>
      </c>
      <c r="BB131" s="7" t="s">
        <v>4</v>
      </c>
      <c r="BC131">
        <v>96.89</v>
      </c>
      <c r="BD131" s="7" t="s">
        <v>4</v>
      </c>
      <c r="BE131" s="7" t="s">
        <v>4</v>
      </c>
      <c r="BF131" s="7" t="s">
        <v>4</v>
      </c>
      <c r="BG131" s="7">
        <v>2.29</v>
      </c>
      <c r="BH131" s="7" t="s">
        <v>4</v>
      </c>
    </row>
    <row r="132" spans="1:60">
      <c r="A132">
        <v>55</v>
      </c>
      <c r="B132" t="s">
        <v>264</v>
      </c>
      <c r="C132" t="s">
        <v>265</v>
      </c>
      <c r="D132" s="7" t="s">
        <v>4</v>
      </c>
      <c r="E132" s="7">
        <v>5.41</v>
      </c>
      <c r="F132" s="7" t="s">
        <v>5</v>
      </c>
      <c r="G132" s="7" t="s">
        <v>5</v>
      </c>
      <c r="H132" s="7" t="s">
        <v>4</v>
      </c>
      <c r="I132" s="7">
        <v>4.79</v>
      </c>
      <c r="J132" s="7" t="s">
        <v>4</v>
      </c>
      <c r="K132" s="7" t="s">
        <v>5</v>
      </c>
      <c r="L132" s="7" t="s">
        <v>4</v>
      </c>
      <c r="M132" s="7">
        <v>7.84</v>
      </c>
      <c r="N132" s="7">
        <v>1.26</v>
      </c>
      <c r="O132" s="7">
        <v>38.090000000000003</v>
      </c>
      <c r="P132">
        <v>27.14</v>
      </c>
      <c r="Q132" s="7" t="s">
        <v>4</v>
      </c>
      <c r="R132" s="7">
        <v>37.75</v>
      </c>
      <c r="S132" s="7" t="s">
        <v>4</v>
      </c>
      <c r="T132" s="7">
        <v>8.17</v>
      </c>
      <c r="U132" s="7" t="s">
        <v>4</v>
      </c>
      <c r="V132">
        <v>10.48</v>
      </c>
      <c r="W132" s="7" t="s">
        <v>4</v>
      </c>
      <c r="X132" s="7">
        <v>504.9</v>
      </c>
      <c r="Y132" s="7">
        <v>95.02</v>
      </c>
      <c r="Z132" s="7" t="s">
        <v>4</v>
      </c>
      <c r="AA132" s="7">
        <v>2</v>
      </c>
      <c r="AB132" s="7">
        <v>184.62</v>
      </c>
      <c r="AC132">
        <v>4.74</v>
      </c>
      <c r="AD132" s="7" t="s">
        <v>4</v>
      </c>
      <c r="AE132" s="7" t="s">
        <v>4</v>
      </c>
      <c r="AF132">
        <v>593.14</v>
      </c>
      <c r="AG132" s="7">
        <v>230.67</v>
      </c>
      <c r="AH132" s="7">
        <v>40.479999999999997</v>
      </c>
      <c r="AI132" s="7" t="s">
        <v>4</v>
      </c>
      <c r="AJ132">
        <v>539.63</v>
      </c>
      <c r="AK132" s="7" t="s">
        <v>4</v>
      </c>
      <c r="AL132" s="7">
        <v>3.1</v>
      </c>
      <c r="AM132" s="7" t="s">
        <v>4</v>
      </c>
      <c r="AN132" s="7">
        <v>46.06</v>
      </c>
      <c r="AO132" s="7">
        <v>11.03</v>
      </c>
      <c r="AP132" s="7" t="s">
        <v>4</v>
      </c>
      <c r="AQ132" s="7" t="s">
        <v>4</v>
      </c>
      <c r="AR132" s="7" t="s">
        <v>4</v>
      </c>
      <c r="AS132">
        <v>37.380000000000003</v>
      </c>
      <c r="AT132" s="7">
        <v>11.11</v>
      </c>
      <c r="AU132" s="7" t="s">
        <v>4</v>
      </c>
      <c r="AV132" s="7" t="s">
        <v>4</v>
      </c>
      <c r="AW132" s="7" t="s">
        <v>4</v>
      </c>
      <c r="AX132" s="7" t="s">
        <v>4</v>
      </c>
      <c r="AY132" s="7" t="s">
        <v>4</v>
      </c>
      <c r="AZ132" s="7" t="s">
        <v>4</v>
      </c>
      <c r="BA132" s="7" t="s">
        <v>4</v>
      </c>
      <c r="BB132" s="7" t="s">
        <v>4</v>
      </c>
      <c r="BC132">
        <v>29.53</v>
      </c>
      <c r="BD132" s="7" t="s">
        <v>4</v>
      </c>
      <c r="BE132" s="7" t="s">
        <v>4</v>
      </c>
      <c r="BF132" s="7" t="s">
        <v>4</v>
      </c>
      <c r="BG132" s="7">
        <v>1.85</v>
      </c>
      <c r="BH132" s="7" t="s">
        <v>4</v>
      </c>
    </row>
    <row r="133" spans="1:60">
      <c r="A133">
        <v>114</v>
      </c>
      <c r="B133" t="s">
        <v>266</v>
      </c>
      <c r="C133" t="s">
        <v>267</v>
      </c>
      <c r="D133" s="7" t="s">
        <v>4</v>
      </c>
      <c r="E133" s="7">
        <v>5.34</v>
      </c>
      <c r="F133" s="7" t="s">
        <v>5</v>
      </c>
      <c r="G133" s="7">
        <v>42.85</v>
      </c>
      <c r="H133" s="7">
        <v>2.21</v>
      </c>
      <c r="I133" s="7">
        <v>8.18</v>
      </c>
      <c r="J133" s="7" t="s">
        <v>4</v>
      </c>
      <c r="K133" s="7" t="s">
        <v>5</v>
      </c>
      <c r="L133" s="7" t="s">
        <v>4</v>
      </c>
      <c r="M133" s="7">
        <v>15.03</v>
      </c>
      <c r="N133" s="7" t="s">
        <v>4</v>
      </c>
      <c r="O133" s="7">
        <v>61.69</v>
      </c>
      <c r="P133">
        <v>35.04</v>
      </c>
      <c r="Q133" s="7" t="s">
        <v>4</v>
      </c>
      <c r="R133" s="7">
        <v>11.26</v>
      </c>
      <c r="S133" s="7" t="s">
        <v>4</v>
      </c>
      <c r="T133" s="7">
        <v>8.73</v>
      </c>
      <c r="U133" s="7" t="s">
        <v>4</v>
      </c>
      <c r="V133">
        <v>17.62</v>
      </c>
      <c r="W133" s="7" t="s">
        <v>4</v>
      </c>
      <c r="X133" s="7">
        <v>786.89</v>
      </c>
      <c r="Y133" s="7">
        <v>135.82</v>
      </c>
      <c r="Z133" s="7" t="s">
        <v>4</v>
      </c>
      <c r="AA133" s="7">
        <v>2.19</v>
      </c>
      <c r="AB133" s="7">
        <v>400.07</v>
      </c>
      <c r="AC133">
        <v>16.21</v>
      </c>
      <c r="AD133" s="7" t="s">
        <v>4</v>
      </c>
      <c r="AE133" s="7" t="s">
        <v>4</v>
      </c>
      <c r="AF133">
        <v>924.55</v>
      </c>
      <c r="AG133" s="7">
        <v>749.5</v>
      </c>
      <c r="AH133" s="7">
        <v>44.31</v>
      </c>
      <c r="AI133" s="7" t="s">
        <v>4</v>
      </c>
      <c r="AJ133">
        <v>1271.42</v>
      </c>
      <c r="AK133" s="7" t="s">
        <v>4</v>
      </c>
      <c r="AL133" s="7">
        <v>2.7</v>
      </c>
      <c r="AM133" s="7" t="s">
        <v>4</v>
      </c>
      <c r="AN133" s="7">
        <v>49.59</v>
      </c>
      <c r="AO133" s="7">
        <v>33.19</v>
      </c>
      <c r="AP133" s="7" t="s">
        <v>4</v>
      </c>
      <c r="AQ133" s="7" t="s">
        <v>4</v>
      </c>
      <c r="AR133" s="7" t="s">
        <v>4</v>
      </c>
      <c r="AS133">
        <v>70.650000000000006</v>
      </c>
      <c r="AT133" s="7">
        <v>5.79</v>
      </c>
      <c r="AU133" s="7" t="s">
        <v>4</v>
      </c>
      <c r="AV133" s="7" t="s">
        <v>4</v>
      </c>
      <c r="AW133" s="7" t="s">
        <v>4</v>
      </c>
      <c r="AX133" s="7" t="s">
        <v>4</v>
      </c>
      <c r="AY133" s="7" t="s">
        <v>4</v>
      </c>
      <c r="AZ133" s="7" t="s">
        <v>4</v>
      </c>
      <c r="BA133" s="7" t="s">
        <v>4</v>
      </c>
      <c r="BB133" s="7" t="s">
        <v>4</v>
      </c>
      <c r="BC133">
        <v>39.799999999999997</v>
      </c>
      <c r="BD133" s="7" t="s">
        <v>4</v>
      </c>
      <c r="BE133" s="7" t="s">
        <v>4</v>
      </c>
      <c r="BF133" s="7" t="s">
        <v>4</v>
      </c>
      <c r="BG133" s="7">
        <v>13.3</v>
      </c>
      <c r="BH133" s="7" t="s">
        <v>4</v>
      </c>
    </row>
    <row r="134" spans="1:60">
      <c r="A134">
        <v>49</v>
      </c>
      <c r="B134" t="s">
        <v>268</v>
      </c>
      <c r="C134" t="s">
        <v>269</v>
      </c>
      <c r="D134" s="7" t="s">
        <v>4</v>
      </c>
      <c r="E134" s="7">
        <v>19.11</v>
      </c>
      <c r="F134" s="7" t="s">
        <v>5</v>
      </c>
      <c r="G134" s="7" t="s">
        <v>5</v>
      </c>
      <c r="H134" s="7">
        <v>23.5</v>
      </c>
      <c r="I134" s="7">
        <v>28.58</v>
      </c>
      <c r="J134" s="7" t="s">
        <v>4</v>
      </c>
      <c r="K134" s="7" t="s">
        <v>5</v>
      </c>
      <c r="L134" s="7">
        <v>19.79</v>
      </c>
      <c r="M134" s="7" t="s">
        <v>4</v>
      </c>
      <c r="N134" s="7">
        <v>12.82</v>
      </c>
      <c r="O134" s="7">
        <v>10.1</v>
      </c>
      <c r="P134">
        <v>58.83</v>
      </c>
      <c r="Q134" s="7" t="s">
        <v>4</v>
      </c>
      <c r="R134" s="7">
        <v>23.11</v>
      </c>
      <c r="S134" s="7">
        <v>10.7</v>
      </c>
      <c r="T134" s="7" t="s">
        <v>4</v>
      </c>
      <c r="U134" s="7" t="s">
        <v>4</v>
      </c>
      <c r="V134">
        <v>33.25</v>
      </c>
      <c r="W134" s="7" t="s">
        <v>4</v>
      </c>
      <c r="X134" s="7">
        <v>323.60000000000002</v>
      </c>
      <c r="Y134" s="7">
        <v>908.08</v>
      </c>
      <c r="Z134" s="7">
        <v>1.18</v>
      </c>
      <c r="AA134" s="7">
        <v>12.25</v>
      </c>
      <c r="AB134" s="7">
        <v>13.28</v>
      </c>
      <c r="AC134">
        <v>41.42</v>
      </c>
      <c r="AD134" s="7" t="s">
        <v>4</v>
      </c>
      <c r="AE134" s="7" t="s">
        <v>4</v>
      </c>
      <c r="AF134">
        <v>15.03</v>
      </c>
      <c r="AG134" s="7">
        <v>117.8</v>
      </c>
      <c r="AH134" s="7" t="s">
        <v>4</v>
      </c>
      <c r="AI134" s="7" t="s">
        <v>4</v>
      </c>
      <c r="AJ134">
        <v>11.4</v>
      </c>
      <c r="AK134" s="7" t="s">
        <v>4</v>
      </c>
      <c r="AL134" s="7" t="s">
        <v>4</v>
      </c>
      <c r="AM134" s="7" t="s">
        <v>4</v>
      </c>
      <c r="AN134" s="7" t="s">
        <v>4</v>
      </c>
      <c r="AO134" s="7">
        <v>7.26</v>
      </c>
      <c r="AP134" s="7" t="s">
        <v>4</v>
      </c>
      <c r="AQ134" s="7" t="s">
        <v>4</v>
      </c>
      <c r="AR134" s="7" t="s">
        <v>4</v>
      </c>
      <c r="AS134">
        <v>3.08</v>
      </c>
      <c r="AT134" s="7">
        <v>9.6999999999999993</v>
      </c>
      <c r="AU134" s="7" t="s">
        <v>4</v>
      </c>
      <c r="AV134" s="7" t="s">
        <v>4</v>
      </c>
      <c r="AW134" s="7" t="s">
        <v>4</v>
      </c>
      <c r="AX134" s="7" t="s">
        <v>4</v>
      </c>
      <c r="AY134" s="7" t="s">
        <v>4</v>
      </c>
      <c r="AZ134" s="7" t="s">
        <v>4</v>
      </c>
      <c r="BA134" s="7" t="s">
        <v>4</v>
      </c>
      <c r="BB134" s="7" t="s">
        <v>4</v>
      </c>
      <c r="BC134">
        <v>3.27</v>
      </c>
      <c r="BD134" s="7" t="s">
        <v>4</v>
      </c>
      <c r="BE134" s="7" t="s">
        <v>4</v>
      </c>
      <c r="BF134" s="7" t="s">
        <v>4</v>
      </c>
      <c r="BG134" s="7" t="s">
        <v>4</v>
      </c>
      <c r="BH134" s="7" t="s">
        <v>4</v>
      </c>
    </row>
    <row r="135" spans="1:60">
      <c r="A135">
        <v>25</v>
      </c>
      <c r="B135" t="s">
        <v>270</v>
      </c>
      <c r="C135" t="s">
        <v>271</v>
      </c>
      <c r="D135" s="7" t="s">
        <v>4</v>
      </c>
      <c r="E135" s="7" t="s">
        <v>5</v>
      </c>
      <c r="F135" s="7" t="s">
        <v>5</v>
      </c>
      <c r="G135" s="7">
        <v>5.95</v>
      </c>
      <c r="H135" s="7">
        <v>1.26</v>
      </c>
      <c r="I135" s="7">
        <v>8.15</v>
      </c>
      <c r="J135" s="7" t="s">
        <v>4</v>
      </c>
      <c r="K135" s="7">
        <v>113.63</v>
      </c>
      <c r="L135" s="7" t="s">
        <v>4</v>
      </c>
      <c r="M135" s="7">
        <v>25.94</v>
      </c>
      <c r="N135" s="7" t="s">
        <v>4</v>
      </c>
      <c r="O135" s="7">
        <v>392.6</v>
      </c>
      <c r="P135">
        <v>186.89</v>
      </c>
      <c r="Q135" s="7" t="s">
        <v>4</v>
      </c>
      <c r="R135" s="7">
        <v>32.94</v>
      </c>
      <c r="S135" s="7" t="s">
        <v>4</v>
      </c>
      <c r="T135" s="7">
        <v>57.73</v>
      </c>
      <c r="U135" s="7" t="s">
        <v>4</v>
      </c>
      <c r="V135">
        <v>13.67</v>
      </c>
      <c r="W135" s="7">
        <v>29.59</v>
      </c>
      <c r="X135" s="7" t="s">
        <v>5</v>
      </c>
      <c r="Y135" s="7">
        <v>682.43</v>
      </c>
      <c r="Z135" s="7">
        <v>1.1299999999999999</v>
      </c>
      <c r="AA135" s="7">
        <v>3.95</v>
      </c>
      <c r="AB135" s="7">
        <v>640.16999999999996</v>
      </c>
      <c r="AC135">
        <v>37.5</v>
      </c>
      <c r="AD135" s="7" t="s">
        <v>4</v>
      </c>
      <c r="AE135" s="7" t="s">
        <v>4</v>
      </c>
      <c r="AF135">
        <v>88</v>
      </c>
      <c r="AG135" s="7">
        <v>52.25</v>
      </c>
      <c r="AH135" s="7">
        <v>11.46</v>
      </c>
      <c r="AI135" s="7" t="s">
        <v>4</v>
      </c>
      <c r="AJ135">
        <v>105.51</v>
      </c>
      <c r="AK135" s="7" t="s">
        <v>4</v>
      </c>
      <c r="AL135" s="7" t="s">
        <v>4</v>
      </c>
      <c r="AM135" s="7" t="s">
        <v>4</v>
      </c>
      <c r="AN135" s="7">
        <v>9.0399999999999991</v>
      </c>
      <c r="AO135" s="7">
        <v>6.05</v>
      </c>
      <c r="AP135" s="7" t="s">
        <v>4</v>
      </c>
      <c r="AQ135" s="7" t="s">
        <v>4</v>
      </c>
      <c r="AR135" s="7" t="s">
        <v>4</v>
      </c>
      <c r="AS135">
        <v>7.53</v>
      </c>
      <c r="AT135" s="7">
        <v>5.0999999999999996</v>
      </c>
      <c r="AU135" s="7" t="s">
        <v>4</v>
      </c>
      <c r="AV135" s="7" t="s">
        <v>4</v>
      </c>
      <c r="AW135" s="7" t="s">
        <v>4</v>
      </c>
      <c r="AX135" s="7" t="s">
        <v>4</v>
      </c>
      <c r="AY135" s="7" t="s">
        <v>4</v>
      </c>
      <c r="AZ135" s="7" t="s">
        <v>4</v>
      </c>
      <c r="BA135" s="7" t="s">
        <v>4</v>
      </c>
      <c r="BB135" s="7" t="s">
        <v>4</v>
      </c>
      <c r="BC135">
        <v>7.35</v>
      </c>
      <c r="BD135" s="7" t="s">
        <v>4</v>
      </c>
      <c r="BE135" s="7" t="s">
        <v>4</v>
      </c>
      <c r="BF135" s="7" t="s">
        <v>4</v>
      </c>
      <c r="BG135" s="7">
        <v>2.2000000000000002</v>
      </c>
      <c r="BH135" s="7" t="s">
        <v>4</v>
      </c>
    </row>
    <row r="136" spans="1:60">
      <c r="A136">
        <v>136</v>
      </c>
      <c r="B136" t="s">
        <v>272</v>
      </c>
      <c r="C136" t="s">
        <v>273</v>
      </c>
      <c r="D136" s="7" t="s">
        <v>4</v>
      </c>
      <c r="E136" s="7" t="s">
        <v>5</v>
      </c>
      <c r="F136" s="7" t="s">
        <v>5</v>
      </c>
      <c r="G136" s="7" t="s">
        <v>4</v>
      </c>
      <c r="H136" s="7" t="s">
        <v>4</v>
      </c>
      <c r="I136" s="7" t="s">
        <v>4</v>
      </c>
      <c r="J136" s="7" t="s">
        <v>4</v>
      </c>
      <c r="K136" s="7">
        <v>16.8</v>
      </c>
      <c r="L136" s="7" t="s">
        <v>4</v>
      </c>
      <c r="M136" s="7">
        <v>71.349999999999994</v>
      </c>
      <c r="N136" s="7" t="s">
        <v>4</v>
      </c>
      <c r="O136" s="7">
        <v>528.67999999999995</v>
      </c>
      <c r="P136">
        <v>178.97</v>
      </c>
      <c r="Q136" s="7" t="s">
        <v>4</v>
      </c>
      <c r="R136" s="7">
        <v>66.83</v>
      </c>
      <c r="S136" s="7" t="s">
        <v>4</v>
      </c>
      <c r="T136" s="7">
        <v>24.32</v>
      </c>
      <c r="U136" s="7" t="s">
        <v>4</v>
      </c>
      <c r="V136">
        <v>15.68</v>
      </c>
      <c r="W136" s="7">
        <v>102.6</v>
      </c>
      <c r="X136" s="7" t="s">
        <v>5</v>
      </c>
      <c r="Y136" s="7" t="s">
        <v>5</v>
      </c>
      <c r="Z136" s="7" t="s">
        <v>4</v>
      </c>
      <c r="AA136" s="7">
        <v>13.51</v>
      </c>
      <c r="AB136" s="7" t="s">
        <v>5</v>
      </c>
      <c r="AC136">
        <v>162.72999999999999</v>
      </c>
      <c r="AD136" s="7" t="s">
        <v>4</v>
      </c>
      <c r="AE136" s="7" t="s">
        <v>4</v>
      </c>
      <c r="AF136">
        <v>144.29</v>
      </c>
      <c r="AG136" s="7">
        <v>30.08</v>
      </c>
      <c r="AH136" s="7">
        <v>6.24</v>
      </c>
      <c r="AI136" s="7" t="s">
        <v>4</v>
      </c>
      <c r="AJ136">
        <v>130.33000000000001</v>
      </c>
      <c r="AK136" s="7" t="s">
        <v>4</v>
      </c>
      <c r="AL136" s="7">
        <v>3.42</v>
      </c>
      <c r="AM136" s="7" t="s">
        <v>4</v>
      </c>
      <c r="AN136" s="7">
        <v>33.29</v>
      </c>
      <c r="AO136" s="7">
        <v>6.91</v>
      </c>
      <c r="AP136" s="7" t="s">
        <v>4</v>
      </c>
      <c r="AQ136" s="7">
        <v>3.01</v>
      </c>
      <c r="AR136" s="7" t="s">
        <v>4</v>
      </c>
      <c r="AS136">
        <v>38.47</v>
      </c>
      <c r="AT136" s="7">
        <v>104.05</v>
      </c>
      <c r="AU136" s="7" t="s">
        <v>4</v>
      </c>
      <c r="AV136" s="7" t="s">
        <v>4</v>
      </c>
      <c r="AW136" s="7">
        <v>37.94</v>
      </c>
      <c r="AX136" s="7">
        <v>26.91</v>
      </c>
      <c r="AY136" s="7" t="s">
        <v>4</v>
      </c>
      <c r="AZ136" s="7">
        <v>14.38</v>
      </c>
      <c r="BA136" s="7">
        <v>6</v>
      </c>
      <c r="BB136" s="7">
        <v>1.53</v>
      </c>
      <c r="BC136">
        <v>62.68</v>
      </c>
      <c r="BD136" s="7">
        <v>5.18</v>
      </c>
      <c r="BE136" s="7" t="s">
        <v>4</v>
      </c>
      <c r="BF136" s="7">
        <v>4.41</v>
      </c>
      <c r="BG136" s="7">
        <v>15</v>
      </c>
      <c r="BH136" s="7" t="s">
        <v>4</v>
      </c>
    </row>
    <row r="137" spans="1:60">
      <c r="A137">
        <v>86</v>
      </c>
      <c r="B137" t="s">
        <v>274</v>
      </c>
      <c r="C137" t="s">
        <v>275</v>
      </c>
      <c r="D137" s="7" t="s">
        <v>4</v>
      </c>
      <c r="E137" s="7" t="s">
        <v>5</v>
      </c>
      <c r="F137" s="7" t="s">
        <v>5</v>
      </c>
      <c r="G137" s="7">
        <v>8.2200000000000006</v>
      </c>
      <c r="H137" s="7" t="s">
        <v>4</v>
      </c>
      <c r="I137" s="7">
        <v>5.08</v>
      </c>
      <c r="J137" s="7" t="s">
        <v>4</v>
      </c>
      <c r="K137" s="7">
        <v>168.2</v>
      </c>
      <c r="L137" s="7" t="s">
        <v>4</v>
      </c>
      <c r="M137" s="7">
        <v>398.16</v>
      </c>
      <c r="N137" s="7" t="s">
        <v>4</v>
      </c>
      <c r="O137" s="7">
        <v>980.46</v>
      </c>
      <c r="P137">
        <v>591.39</v>
      </c>
      <c r="Q137" s="7" t="s">
        <v>4</v>
      </c>
      <c r="R137" s="7">
        <v>7.12</v>
      </c>
      <c r="S137" s="7">
        <v>37.200000000000003</v>
      </c>
      <c r="T137" s="7">
        <v>775.36</v>
      </c>
      <c r="U137" s="7" t="s">
        <v>4</v>
      </c>
      <c r="V137">
        <v>23.03</v>
      </c>
      <c r="W137" s="7">
        <v>660.8</v>
      </c>
      <c r="X137" s="7" t="s">
        <v>5</v>
      </c>
      <c r="Y137" s="7" t="s">
        <v>5</v>
      </c>
      <c r="Z137" s="7" t="s">
        <v>4</v>
      </c>
      <c r="AA137" s="7">
        <v>22.16</v>
      </c>
      <c r="AB137" s="7" t="s">
        <v>5</v>
      </c>
      <c r="AC137">
        <v>97.43</v>
      </c>
      <c r="AD137" s="7">
        <v>1</v>
      </c>
      <c r="AE137" s="7" t="s">
        <v>4</v>
      </c>
      <c r="AF137">
        <v>37.5</v>
      </c>
      <c r="AG137" s="7">
        <v>15.25</v>
      </c>
      <c r="AH137" s="7">
        <v>3.36</v>
      </c>
      <c r="AI137" s="7" t="s">
        <v>4</v>
      </c>
      <c r="AJ137">
        <v>35.630000000000003</v>
      </c>
      <c r="AK137" s="7" t="s">
        <v>4</v>
      </c>
      <c r="AL137" s="7" t="s">
        <v>4</v>
      </c>
      <c r="AM137" s="7" t="s">
        <v>4</v>
      </c>
      <c r="AN137" s="7">
        <v>9.0299999999999994</v>
      </c>
      <c r="AO137" s="7" t="s">
        <v>4</v>
      </c>
      <c r="AP137" s="7" t="s">
        <v>4</v>
      </c>
      <c r="AQ137" s="7" t="s">
        <v>4</v>
      </c>
      <c r="AR137" s="7" t="s">
        <v>4</v>
      </c>
      <c r="AS137">
        <v>4.1900000000000004</v>
      </c>
      <c r="AT137" s="7">
        <v>11.76</v>
      </c>
      <c r="AU137" s="7" t="s">
        <v>4</v>
      </c>
      <c r="AV137" s="7" t="s">
        <v>4</v>
      </c>
      <c r="AW137" s="7" t="s">
        <v>4</v>
      </c>
      <c r="AX137" s="7" t="s">
        <v>4</v>
      </c>
      <c r="AY137" s="7">
        <v>29.48</v>
      </c>
      <c r="AZ137" s="7" t="s">
        <v>4</v>
      </c>
      <c r="BA137" s="7" t="s">
        <v>4</v>
      </c>
      <c r="BB137" s="7" t="s">
        <v>4</v>
      </c>
      <c r="BC137">
        <v>4.53</v>
      </c>
      <c r="BD137" s="7" t="s">
        <v>4</v>
      </c>
      <c r="BE137" s="7" t="s">
        <v>4</v>
      </c>
      <c r="BF137" s="7" t="s">
        <v>4</v>
      </c>
      <c r="BG137" s="7" t="s">
        <v>4</v>
      </c>
      <c r="BH137" s="7" t="s">
        <v>4</v>
      </c>
    </row>
    <row r="138" spans="1:60">
      <c r="A138">
        <v>51</v>
      </c>
      <c r="B138" t="s">
        <v>276</v>
      </c>
      <c r="C138" t="s">
        <v>277</v>
      </c>
      <c r="D138" s="7" t="s">
        <v>4</v>
      </c>
      <c r="E138" s="7">
        <v>48.24</v>
      </c>
      <c r="F138" s="7" t="s">
        <v>5</v>
      </c>
      <c r="G138" s="7" t="s">
        <v>4</v>
      </c>
      <c r="H138" s="7" t="s">
        <v>4</v>
      </c>
      <c r="I138" s="7">
        <v>1.71</v>
      </c>
      <c r="J138" s="7" t="s">
        <v>4</v>
      </c>
      <c r="K138" s="7">
        <v>47.49</v>
      </c>
      <c r="L138" s="7" t="s">
        <v>4</v>
      </c>
      <c r="M138" s="7">
        <v>18.73</v>
      </c>
      <c r="N138" s="7" t="s">
        <v>4</v>
      </c>
      <c r="O138" s="7">
        <v>67.77</v>
      </c>
      <c r="P138">
        <v>34.08</v>
      </c>
      <c r="Q138" s="7" t="s">
        <v>4</v>
      </c>
      <c r="R138" s="7">
        <v>27.08</v>
      </c>
      <c r="S138" s="7" t="s">
        <v>4</v>
      </c>
      <c r="T138" s="7">
        <v>5.54</v>
      </c>
      <c r="U138" s="7" t="s">
        <v>4</v>
      </c>
      <c r="V138">
        <v>8.5500000000000007</v>
      </c>
      <c r="W138" s="7">
        <v>3.2</v>
      </c>
      <c r="X138" s="7">
        <v>309.04000000000002</v>
      </c>
      <c r="Y138" s="7">
        <v>163.38</v>
      </c>
      <c r="Z138" s="7" t="s">
        <v>4</v>
      </c>
      <c r="AA138" s="7" t="s">
        <v>4</v>
      </c>
      <c r="AB138" s="7">
        <v>54.51</v>
      </c>
      <c r="AC138">
        <v>14.54</v>
      </c>
      <c r="AD138" s="7" t="s">
        <v>4</v>
      </c>
      <c r="AE138" s="7" t="s">
        <v>4</v>
      </c>
      <c r="AF138">
        <v>97.23</v>
      </c>
      <c r="AG138" s="7">
        <v>19.86</v>
      </c>
      <c r="AH138" s="7" t="s">
        <v>4</v>
      </c>
      <c r="AI138" s="7" t="s">
        <v>4</v>
      </c>
      <c r="AJ138">
        <v>56.1</v>
      </c>
      <c r="AK138" s="7" t="s">
        <v>4</v>
      </c>
      <c r="AL138" s="7" t="s">
        <v>4</v>
      </c>
      <c r="AM138" s="7" t="s">
        <v>4</v>
      </c>
      <c r="AN138" s="7">
        <v>13.82</v>
      </c>
      <c r="AO138" s="7">
        <v>2.84</v>
      </c>
      <c r="AP138" s="7" t="s">
        <v>4</v>
      </c>
      <c r="AQ138" s="7" t="s">
        <v>4</v>
      </c>
      <c r="AR138" s="7" t="s">
        <v>4</v>
      </c>
      <c r="AS138">
        <v>7.37</v>
      </c>
      <c r="AT138" s="7">
        <v>1.37</v>
      </c>
      <c r="AU138" s="7" t="s">
        <v>4</v>
      </c>
      <c r="AV138" s="7" t="s">
        <v>4</v>
      </c>
      <c r="AW138" s="7" t="s">
        <v>4</v>
      </c>
      <c r="AX138" s="7" t="s">
        <v>4</v>
      </c>
      <c r="AY138" s="7" t="s">
        <v>4</v>
      </c>
      <c r="AZ138" s="7" t="s">
        <v>4</v>
      </c>
      <c r="BA138" s="7" t="s">
        <v>4</v>
      </c>
      <c r="BB138" s="7" t="s">
        <v>4</v>
      </c>
      <c r="BC138">
        <v>11.52</v>
      </c>
      <c r="BD138" s="7" t="s">
        <v>4</v>
      </c>
      <c r="BE138" s="7" t="s">
        <v>4</v>
      </c>
      <c r="BF138" s="7" t="s">
        <v>4</v>
      </c>
      <c r="BG138" s="7" t="s">
        <v>4</v>
      </c>
      <c r="BH138" s="7" t="s">
        <v>4</v>
      </c>
    </row>
    <row r="139" spans="1:60">
      <c r="A139">
        <v>97</v>
      </c>
      <c r="B139" t="s">
        <v>278</v>
      </c>
      <c r="C139" t="s">
        <v>279</v>
      </c>
      <c r="D139" s="7" t="s">
        <v>4</v>
      </c>
      <c r="E139" s="7">
        <v>14.98</v>
      </c>
      <c r="F139" s="7" t="s">
        <v>5</v>
      </c>
      <c r="G139" s="7" t="s">
        <v>5</v>
      </c>
      <c r="H139" s="7" t="s">
        <v>5</v>
      </c>
      <c r="I139" s="7">
        <v>22.19</v>
      </c>
      <c r="J139" s="7" t="s">
        <v>4</v>
      </c>
      <c r="K139" s="7" t="s">
        <v>5</v>
      </c>
      <c r="L139" s="7">
        <v>10.119999999999999</v>
      </c>
      <c r="M139" s="7">
        <v>21.03</v>
      </c>
      <c r="N139" s="7" t="s">
        <v>4</v>
      </c>
      <c r="O139" s="7">
        <v>428.64</v>
      </c>
      <c r="P139">
        <v>95.64</v>
      </c>
      <c r="Q139" s="7" t="s">
        <v>4</v>
      </c>
      <c r="R139" s="7">
        <v>69.72</v>
      </c>
      <c r="S139" s="7" t="s">
        <v>4</v>
      </c>
      <c r="T139" s="7">
        <v>14.07</v>
      </c>
      <c r="U139" s="7" t="s">
        <v>4</v>
      </c>
      <c r="V139">
        <v>47.5</v>
      </c>
      <c r="W139" s="7" t="s">
        <v>4</v>
      </c>
      <c r="X139" s="7" t="s">
        <v>5</v>
      </c>
      <c r="Y139" s="7">
        <v>653.38</v>
      </c>
      <c r="Z139" s="7">
        <v>14.58</v>
      </c>
      <c r="AA139" s="7">
        <v>13.53</v>
      </c>
      <c r="AB139" s="7">
        <v>130.26</v>
      </c>
      <c r="AC139">
        <v>13.61</v>
      </c>
      <c r="AD139" s="7" t="s">
        <v>4</v>
      </c>
      <c r="AE139" s="7" t="s">
        <v>4</v>
      </c>
      <c r="AF139">
        <v>171.7</v>
      </c>
      <c r="AG139" s="7">
        <v>207.47</v>
      </c>
      <c r="AH139" s="7">
        <v>58.09</v>
      </c>
      <c r="AI139" s="7" t="s">
        <v>4</v>
      </c>
      <c r="AJ139">
        <v>191.17</v>
      </c>
      <c r="AK139" s="7" t="s">
        <v>4</v>
      </c>
      <c r="AL139" s="7">
        <v>4.5599999999999996</v>
      </c>
      <c r="AM139" s="7" t="s">
        <v>4</v>
      </c>
      <c r="AN139" s="7">
        <v>25.72</v>
      </c>
      <c r="AO139" s="7">
        <v>14.43</v>
      </c>
      <c r="AP139" s="7" t="s">
        <v>4</v>
      </c>
      <c r="AQ139" s="7" t="s">
        <v>4</v>
      </c>
      <c r="AR139" s="7" t="s">
        <v>4</v>
      </c>
      <c r="AS139">
        <v>23.41</v>
      </c>
      <c r="AT139" s="7">
        <v>143.83000000000001</v>
      </c>
      <c r="AU139" s="7" t="s">
        <v>4</v>
      </c>
      <c r="AV139" s="7" t="s">
        <v>4</v>
      </c>
      <c r="AW139" s="7">
        <v>38.46</v>
      </c>
      <c r="AX139" s="7" t="s">
        <v>4</v>
      </c>
      <c r="AY139" s="7">
        <v>46.88</v>
      </c>
      <c r="AZ139" s="7" t="s">
        <v>4</v>
      </c>
      <c r="BA139" s="7" t="s">
        <v>4</v>
      </c>
      <c r="BB139" s="7" t="s">
        <v>4</v>
      </c>
      <c r="BC139">
        <v>26.33</v>
      </c>
      <c r="BD139" s="7" t="s">
        <v>4</v>
      </c>
      <c r="BE139" s="7" t="s">
        <v>4</v>
      </c>
      <c r="BF139" s="7" t="s">
        <v>4</v>
      </c>
      <c r="BG139" s="7">
        <v>5.5</v>
      </c>
      <c r="BH139" s="7" t="s">
        <v>4</v>
      </c>
    </row>
    <row r="140" spans="1:60">
      <c r="A140">
        <v>187</v>
      </c>
      <c r="B140" t="s">
        <v>280</v>
      </c>
      <c r="C140" t="s">
        <v>281</v>
      </c>
      <c r="D140" s="7" t="s">
        <v>4</v>
      </c>
      <c r="E140" s="7">
        <v>13.37</v>
      </c>
      <c r="F140" s="7" t="s">
        <v>5</v>
      </c>
      <c r="G140" s="7">
        <v>43.5</v>
      </c>
      <c r="H140" s="7" t="s">
        <v>4</v>
      </c>
      <c r="I140" s="7">
        <v>22.17</v>
      </c>
      <c r="J140" s="7" t="s">
        <v>4</v>
      </c>
      <c r="K140" s="7">
        <v>256.51</v>
      </c>
      <c r="L140" s="7" t="s">
        <v>4</v>
      </c>
      <c r="M140" s="7">
        <v>23.71</v>
      </c>
      <c r="N140" s="7" t="s">
        <v>4</v>
      </c>
      <c r="O140" s="7">
        <v>113.36</v>
      </c>
      <c r="P140">
        <v>57.34</v>
      </c>
      <c r="Q140" s="7" t="s">
        <v>4</v>
      </c>
      <c r="R140" s="7">
        <v>23.52</v>
      </c>
      <c r="S140" s="7" t="s">
        <v>4</v>
      </c>
      <c r="T140" s="7">
        <v>8.0399999999999991</v>
      </c>
      <c r="U140" s="7" t="s">
        <v>4</v>
      </c>
      <c r="V140">
        <v>23.03</v>
      </c>
      <c r="W140" s="7">
        <v>3.52</v>
      </c>
      <c r="X140" s="7">
        <v>1825.54</v>
      </c>
      <c r="Y140" s="7">
        <v>158.97999999999999</v>
      </c>
      <c r="Z140" s="7" t="s">
        <v>4</v>
      </c>
      <c r="AA140" s="7">
        <v>2.35</v>
      </c>
      <c r="AB140" s="7">
        <v>285.20999999999998</v>
      </c>
      <c r="AC140">
        <v>8.65</v>
      </c>
      <c r="AD140" s="7" t="s">
        <v>4</v>
      </c>
      <c r="AE140" s="7" t="s">
        <v>4</v>
      </c>
      <c r="AF140">
        <v>407.42</v>
      </c>
      <c r="AG140" s="7">
        <v>223.38</v>
      </c>
      <c r="AH140" s="7">
        <v>25.17</v>
      </c>
      <c r="AI140" s="7" t="s">
        <v>4</v>
      </c>
      <c r="AJ140">
        <v>398.88</v>
      </c>
      <c r="AK140" s="7" t="s">
        <v>4</v>
      </c>
      <c r="AL140" s="7" t="s">
        <v>4</v>
      </c>
      <c r="AM140" s="7" t="s">
        <v>4</v>
      </c>
      <c r="AN140" s="7">
        <v>23.58</v>
      </c>
      <c r="AO140" s="7">
        <v>6.67</v>
      </c>
      <c r="AP140" s="7" t="s">
        <v>4</v>
      </c>
      <c r="AQ140" s="7" t="s">
        <v>4</v>
      </c>
      <c r="AR140" s="7" t="s">
        <v>4</v>
      </c>
      <c r="AS140">
        <v>20.55</v>
      </c>
      <c r="AT140" s="7">
        <v>9.6999999999999993</v>
      </c>
      <c r="AU140" s="7" t="s">
        <v>4</v>
      </c>
      <c r="AV140" s="7" t="s">
        <v>4</v>
      </c>
      <c r="AW140" s="7" t="s">
        <v>4</v>
      </c>
      <c r="AX140" s="7" t="s">
        <v>4</v>
      </c>
      <c r="AY140" s="7" t="s">
        <v>4</v>
      </c>
      <c r="AZ140" s="7" t="s">
        <v>4</v>
      </c>
      <c r="BA140" s="7" t="s">
        <v>4</v>
      </c>
      <c r="BB140" s="7" t="s">
        <v>4</v>
      </c>
      <c r="BC140">
        <v>38.659999999999997</v>
      </c>
      <c r="BD140" s="7" t="s">
        <v>4</v>
      </c>
      <c r="BE140" s="7" t="s">
        <v>4</v>
      </c>
      <c r="BF140" s="7" t="s">
        <v>4</v>
      </c>
      <c r="BG140" s="7">
        <v>1.97</v>
      </c>
      <c r="BH140" s="7" t="s">
        <v>4</v>
      </c>
    </row>
    <row r="141" spans="1:60">
      <c r="A141">
        <v>13</v>
      </c>
      <c r="B141" t="s">
        <v>282</v>
      </c>
      <c r="C141" t="s">
        <v>283</v>
      </c>
      <c r="D141" s="7">
        <v>4.25</v>
      </c>
      <c r="E141" s="7">
        <v>46.86</v>
      </c>
      <c r="F141" s="7" t="s">
        <v>5</v>
      </c>
      <c r="G141" s="7">
        <v>20.34</v>
      </c>
      <c r="H141" s="7" t="s">
        <v>4</v>
      </c>
      <c r="I141" s="7">
        <v>3.85</v>
      </c>
      <c r="J141" s="7" t="s">
        <v>4</v>
      </c>
      <c r="K141" s="7">
        <v>158.76</v>
      </c>
      <c r="L141" s="7" t="s">
        <v>4</v>
      </c>
      <c r="M141" s="7" t="s">
        <v>4</v>
      </c>
      <c r="N141" s="7" t="s">
        <v>4</v>
      </c>
      <c r="O141" s="7">
        <v>12.88</v>
      </c>
      <c r="P141">
        <v>26.24</v>
      </c>
      <c r="Q141" s="7" t="s">
        <v>4</v>
      </c>
      <c r="R141" s="7">
        <v>50</v>
      </c>
      <c r="S141" s="7" t="s">
        <v>4</v>
      </c>
      <c r="T141" s="7">
        <v>5.8</v>
      </c>
      <c r="U141" s="7" t="s">
        <v>4</v>
      </c>
      <c r="V141">
        <v>22.49</v>
      </c>
      <c r="W141" s="7" t="s">
        <v>4</v>
      </c>
      <c r="X141" s="7">
        <v>272.74</v>
      </c>
      <c r="Y141" s="7">
        <v>81.83</v>
      </c>
      <c r="Z141" s="7" t="s">
        <v>4</v>
      </c>
      <c r="AA141" s="7" t="s">
        <v>4</v>
      </c>
      <c r="AB141" s="7">
        <v>12.98</v>
      </c>
      <c r="AC141">
        <v>5.41</v>
      </c>
      <c r="AD141" s="7" t="s">
        <v>4</v>
      </c>
      <c r="AE141" s="7" t="s">
        <v>4</v>
      </c>
      <c r="AF141">
        <v>40.67</v>
      </c>
      <c r="AG141" s="7">
        <v>22.9</v>
      </c>
      <c r="AH141" s="7" t="s">
        <v>4</v>
      </c>
      <c r="AI141" s="7" t="s">
        <v>4</v>
      </c>
      <c r="AJ141">
        <v>34.479999999999997</v>
      </c>
      <c r="AK141" s="7" t="s">
        <v>4</v>
      </c>
      <c r="AL141" s="7" t="s">
        <v>4</v>
      </c>
      <c r="AM141" s="7" t="s">
        <v>4</v>
      </c>
      <c r="AN141" s="7">
        <v>31.75</v>
      </c>
      <c r="AO141" s="7">
        <v>21.44</v>
      </c>
      <c r="AP141" s="7" t="s">
        <v>4</v>
      </c>
      <c r="AQ141" s="7" t="s">
        <v>4</v>
      </c>
      <c r="AR141" s="7" t="s">
        <v>4</v>
      </c>
      <c r="AS141">
        <v>30.14</v>
      </c>
      <c r="AT141" s="7">
        <v>29.2</v>
      </c>
      <c r="AU141" s="7" t="s">
        <v>4</v>
      </c>
      <c r="AV141" s="7" t="s">
        <v>4</v>
      </c>
      <c r="AW141" s="7" t="s">
        <v>4</v>
      </c>
      <c r="AX141" s="7" t="s">
        <v>4</v>
      </c>
      <c r="AY141" s="7" t="s">
        <v>4</v>
      </c>
      <c r="AZ141" s="7" t="s">
        <v>4</v>
      </c>
      <c r="BA141" s="7" t="s">
        <v>4</v>
      </c>
      <c r="BB141" s="7" t="s">
        <v>4</v>
      </c>
      <c r="BC141">
        <v>11.57</v>
      </c>
      <c r="BD141" s="7">
        <v>1</v>
      </c>
      <c r="BE141" s="7" t="s">
        <v>4</v>
      </c>
      <c r="BF141" s="7" t="s">
        <v>4</v>
      </c>
      <c r="BG141" s="7" t="s">
        <v>4</v>
      </c>
      <c r="BH141" s="7" t="s">
        <v>4</v>
      </c>
    </row>
    <row r="142" spans="1:60">
      <c r="A142">
        <v>20</v>
      </c>
      <c r="B142" t="s">
        <v>284</v>
      </c>
      <c r="C142" t="s">
        <v>285</v>
      </c>
      <c r="D142" s="7" t="s">
        <v>4</v>
      </c>
      <c r="E142" s="7">
        <v>27.21</v>
      </c>
      <c r="F142" s="7" t="s">
        <v>5</v>
      </c>
      <c r="G142" s="7">
        <v>25.43</v>
      </c>
      <c r="H142" s="7" t="s">
        <v>4</v>
      </c>
      <c r="I142" s="7">
        <v>3.49</v>
      </c>
      <c r="J142" s="7" t="s">
        <v>4</v>
      </c>
      <c r="K142" s="7" t="s">
        <v>5</v>
      </c>
      <c r="L142" s="7" t="s">
        <v>4</v>
      </c>
      <c r="M142" s="7">
        <v>759.42</v>
      </c>
      <c r="N142" s="7" t="s">
        <v>4</v>
      </c>
      <c r="O142" s="7" t="s">
        <v>5</v>
      </c>
      <c r="P142">
        <v>434.84</v>
      </c>
      <c r="Q142" s="7" t="s">
        <v>4</v>
      </c>
      <c r="R142" s="7">
        <v>25.87</v>
      </c>
      <c r="S142" s="7" t="s">
        <v>4</v>
      </c>
      <c r="T142" s="7">
        <v>30.81</v>
      </c>
      <c r="U142" s="7" t="s">
        <v>4</v>
      </c>
      <c r="V142">
        <v>8.9</v>
      </c>
      <c r="W142" s="7">
        <v>22.88</v>
      </c>
      <c r="X142" s="7">
        <v>2286.15</v>
      </c>
      <c r="Y142" s="7" t="s">
        <v>5</v>
      </c>
      <c r="Z142" s="7" t="s">
        <v>4</v>
      </c>
      <c r="AA142" s="7">
        <v>2.2000000000000002</v>
      </c>
      <c r="AB142" s="7">
        <v>201.96</v>
      </c>
      <c r="AC142">
        <v>24.34</v>
      </c>
      <c r="AD142" s="7" t="s">
        <v>4</v>
      </c>
      <c r="AE142" s="7" t="s">
        <v>4</v>
      </c>
      <c r="AF142">
        <v>1797.56</v>
      </c>
      <c r="AG142" s="7">
        <v>57.09</v>
      </c>
      <c r="AH142" s="7">
        <v>230.1</v>
      </c>
      <c r="AI142" s="7" t="s">
        <v>4</v>
      </c>
      <c r="AJ142">
        <v>24.32</v>
      </c>
      <c r="AK142" s="7" t="s">
        <v>4</v>
      </c>
      <c r="AL142" s="7">
        <v>117.91</v>
      </c>
      <c r="AM142" s="7" t="s">
        <v>4</v>
      </c>
      <c r="AN142" s="7">
        <v>895.27</v>
      </c>
      <c r="AO142" s="7">
        <v>19.61</v>
      </c>
      <c r="AP142" s="7" t="s">
        <v>4</v>
      </c>
      <c r="AQ142" s="7" t="s">
        <v>4</v>
      </c>
      <c r="AR142" s="7" t="s">
        <v>4</v>
      </c>
      <c r="AS142">
        <v>7.47</v>
      </c>
      <c r="AT142" s="7">
        <v>33.07</v>
      </c>
      <c r="AU142" s="7" t="s">
        <v>4</v>
      </c>
      <c r="AV142" s="7" t="s">
        <v>4</v>
      </c>
      <c r="AW142" s="7" t="s">
        <v>4</v>
      </c>
      <c r="AX142" s="7" t="s">
        <v>4</v>
      </c>
      <c r="AY142" s="7" t="s">
        <v>4</v>
      </c>
      <c r="AZ142" s="7">
        <v>14.84</v>
      </c>
      <c r="BA142" s="7" t="s">
        <v>4</v>
      </c>
      <c r="BB142" s="7" t="s">
        <v>4</v>
      </c>
      <c r="BC142">
        <v>235.49</v>
      </c>
      <c r="BD142" s="7" t="s">
        <v>4</v>
      </c>
      <c r="BE142" s="7" t="s">
        <v>4</v>
      </c>
      <c r="BF142" s="7">
        <v>3.91</v>
      </c>
      <c r="BG142" s="7">
        <v>1.4</v>
      </c>
      <c r="BH142" s="7" t="s">
        <v>4</v>
      </c>
    </row>
    <row r="143" spans="1:60">
      <c r="A143">
        <v>36</v>
      </c>
      <c r="B143" t="s">
        <v>286</v>
      </c>
      <c r="C143" t="s">
        <v>287</v>
      </c>
      <c r="D143" s="7" t="s">
        <v>4</v>
      </c>
      <c r="E143" s="7">
        <v>5.83</v>
      </c>
      <c r="F143" s="7" t="s">
        <v>5</v>
      </c>
      <c r="G143" s="7" t="s">
        <v>5</v>
      </c>
      <c r="H143" s="7">
        <v>25.07</v>
      </c>
      <c r="I143" s="7">
        <v>18.239999999999998</v>
      </c>
      <c r="J143" s="7" t="s">
        <v>4</v>
      </c>
      <c r="K143" s="7" t="s">
        <v>5</v>
      </c>
      <c r="L143" s="7" t="s">
        <v>4</v>
      </c>
      <c r="M143" s="7">
        <v>2.7</v>
      </c>
      <c r="N143" s="7">
        <v>7.37</v>
      </c>
      <c r="O143" s="7">
        <v>28.08</v>
      </c>
      <c r="P143">
        <v>36.590000000000003</v>
      </c>
      <c r="Q143" s="7" t="s">
        <v>4</v>
      </c>
      <c r="R143" s="7">
        <v>88.63</v>
      </c>
      <c r="S143" s="7" t="s">
        <v>4</v>
      </c>
      <c r="T143" s="7">
        <v>8.8000000000000007</v>
      </c>
      <c r="U143" s="7" t="s">
        <v>4</v>
      </c>
      <c r="V143">
        <v>43.91</v>
      </c>
      <c r="W143" s="7" t="s">
        <v>4</v>
      </c>
      <c r="X143" s="7">
        <v>723.23</v>
      </c>
      <c r="Y143" s="7">
        <v>277.88</v>
      </c>
      <c r="Z143" s="7" t="s">
        <v>4</v>
      </c>
      <c r="AA143" s="7">
        <v>9.7200000000000006</v>
      </c>
      <c r="AB143" s="7">
        <v>54.51</v>
      </c>
      <c r="AC143">
        <v>14.68</v>
      </c>
      <c r="AD143" s="7" t="s">
        <v>4</v>
      </c>
      <c r="AE143" s="7" t="s">
        <v>4</v>
      </c>
      <c r="AF143">
        <v>496.4</v>
      </c>
      <c r="AG143" s="7">
        <v>227.47</v>
      </c>
      <c r="AH143" s="7">
        <v>34.08</v>
      </c>
      <c r="AI143" s="7" t="s">
        <v>4</v>
      </c>
      <c r="AJ143">
        <v>386.91</v>
      </c>
      <c r="AK143" s="7" t="s">
        <v>4</v>
      </c>
      <c r="AL143" s="7" t="s">
        <v>4</v>
      </c>
      <c r="AM143" s="7" t="s">
        <v>4</v>
      </c>
      <c r="AN143" s="7">
        <v>40.590000000000003</v>
      </c>
      <c r="AO143" s="7">
        <v>12.29</v>
      </c>
      <c r="AP143" s="7" t="s">
        <v>4</v>
      </c>
      <c r="AQ143" s="7" t="s">
        <v>4</v>
      </c>
      <c r="AR143" s="7" t="s">
        <v>4</v>
      </c>
      <c r="AS143">
        <v>23.44</v>
      </c>
      <c r="AT143" s="7">
        <v>50.69</v>
      </c>
      <c r="AU143" s="7" t="s">
        <v>4</v>
      </c>
      <c r="AV143" s="7" t="s">
        <v>4</v>
      </c>
      <c r="AW143" s="7">
        <v>25.51</v>
      </c>
      <c r="AX143" s="7" t="s">
        <v>4</v>
      </c>
      <c r="AY143" s="7" t="s">
        <v>4</v>
      </c>
      <c r="AZ143" s="7" t="s">
        <v>4</v>
      </c>
      <c r="BA143" s="7" t="s">
        <v>4</v>
      </c>
      <c r="BB143" s="7" t="s">
        <v>4</v>
      </c>
      <c r="BC143">
        <v>49.5</v>
      </c>
      <c r="BD143" s="7" t="s">
        <v>4</v>
      </c>
      <c r="BE143" s="7" t="s">
        <v>4</v>
      </c>
      <c r="BF143" s="7" t="s">
        <v>4</v>
      </c>
      <c r="BG143" s="7">
        <v>5.62</v>
      </c>
      <c r="BH143" s="7" t="s">
        <v>4</v>
      </c>
    </row>
    <row r="144" spans="1:60">
      <c r="A144">
        <v>134</v>
      </c>
      <c r="B144" t="s">
        <v>288</v>
      </c>
      <c r="C144" t="s">
        <v>289</v>
      </c>
      <c r="D144" s="7" t="s">
        <v>4</v>
      </c>
      <c r="E144" s="7">
        <v>21.34</v>
      </c>
      <c r="F144" s="7" t="s">
        <v>5</v>
      </c>
      <c r="G144" s="7">
        <v>48.84</v>
      </c>
      <c r="H144" s="7">
        <v>4.0199999999999996</v>
      </c>
      <c r="I144" s="7">
        <v>10.59</v>
      </c>
      <c r="J144" s="7" t="s">
        <v>4</v>
      </c>
      <c r="K144" s="7" t="s">
        <v>5</v>
      </c>
      <c r="L144" s="7" t="s">
        <v>4</v>
      </c>
      <c r="M144" s="7">
        <v>6.09</v>
      </c>
      <c r="N144" s="7" t="s">
        <v>4</v>
      </c>
      <c r="O144" s="7">
        <v>75.3</v>
      </c>
      <c r="P144">
        <v>47.27</v>
      </c>
      <c r="Q144" s="7" t="s">
        <v>4</v>
      </c>
      <c r="R144" s="7">
        <v>102.53</v>
      </c>
      <c r="S144" s="7" t="s">
        <v>4</v>
      </c>
      <c r="T144" s="7">
        <v>3.19</v>
      </c>
      <c r="U144" s="7" t="s">
        <v>4</v>
      </c>
      <c r="V144">
        <v>71.739999999999995</v>
      </c>
      <c r="W144" s="7" t="s">
        <v>4</v>
      </c>
      <c r="X144" s="7">
        <v>425.26</v>
      </c>
      <c r="Y144" s="7">
        <v>186.87</v>
      </c>
      <c r="Z144" s="7">
        <v>4.0599999999999996</v>
      </c>
      <c r="AA144" s="7">
        <v>7.69</v>
      </c>
      <c r="AB144" s="7">
        <v>43.38</v>
      </c>
      <c r="AC144">
        <v>20.16</v>
      </c>
      <c r="AD144" s="7" t="s">
        <v>4</v>
      </c>
      <c r="AE144" s="7" t="s">
        <v>4</v>
      </c>
      <c r="AF144">
        <v>436.21</v>
      </c>
      <c r="AG144" s="7">
        <v>233.22</v>
      </c>
      <c r="AH144" s="7">
        <v>12.44</v>
      </c>
      <c r="AI144" s="7" t="s">
        <v>4</v>
      </c>
      <c r="AJ144">
        <v>245.83</v>
      </c>
      <c r="AK144" s="7" t="s">
        <v>4</v>
      </c>
      <c r="AL144" s="7">
        <v>3.31</v>
      </c>
      <c r="AM144" s="7" t="s">
        <v>4</v>
      </c>
      <c r="AN144" s="7">
        <v>104.76</v>
      </c>
      <c r="AO144" s="7">
        <v>44.88</v>
      </c>
      <c r="AP144" s="7" t="s">
        <v>4</v>
      </c>
      <c r="AQ144" s="7" t="s">
        <v>4</v>
      </c>
      <c r="AR144" s="7" t="s">
        <v>4</v>
      </c>
      <c r="AS144">
        <v>52.67</v>
      </c>
      <c r="AT144" s="7">
        <v>70.099999999999994</v>
      </c>
      <c r="AU144" s="7" t="s">
        <v>4</v>
      </c>
      <c r="AV144" s="7" t="s">
        <v>4</v>
      </c>
      <c r="AW144" s="7">
        <v>15.17</v>
      </c>
      <c r="AX144" s="7" t="s">
        <v>4</v>
      </c>
      <c r="AY144" s="7" t="s">
        <v>4</v>
      </c>
      <c r="AZ144" s="7">
        <v>7.1</v>
      </c>
      <c r="BA144" s="7" t="s">
        <v>4</v>
      </c>
      <c r="BB144" s="7" t="s">
        <v>4</v>
      </c>
      <c r="BC144">
        <v>99.09</v>
      </c>
      <c r="BD144" s="7">
        <v>4.2699999999999996</v>
      </c>
      <c r="BE144" s="7" t="s">
        <v>4</v>
      </c>
      <c r="BF144" s="7" t="s">
        <v>4</v>
      </c>
      <c r="BG144" s="7">
        <v>10.52</v>
      </c>
      <c r="BH144" s="7" t="s">
        <v>4</v>
      </c>
    </row>
    <row r="145" spans="1:60">
      <c r="A145">
        <v>94</v>
      </c>
      <c r="B145" t="s">
        <v>290</v>
      </c>
      <c r="C145" t="s">
        <v>291</v>
      </c>
      <c r="D145" s="7" t="s">
        <v>4</v>
      </c>
      <c r="E145" s="7">
        <v>27.95</v>
      </c>
      <c r="F145" s="7" t="s">
        <v>5</v>
      </c>
      <c r="G145" s="7" t="s">
        <v>5</v>
      </c>
      <c r="H145" s="7">
        <v>1.47</v>
      </c>
      <c r="I145" s="7">
        <v>2.68</v>
      </c>
      <c r="J145" s="7" t="s">
        <v>4</v>
      </c>
      <c r="K145" s="7" t="s">
        <v>5</v>
      </c>
      <c r="L145" s="7">
        <v>2.56</v>
      </c>
      <c r="M145" s="7" t="s">
        <v>4</v>
      </c>
      <c r="N145" s="7" t="s">
        <v>4</v>
      </c>
      <c r="O145" s="7">
        <v>31.91</v>
      </c>
      <c r="P145">
        <v>25.22</v>
      </c>
      <c r="Q145" s="7" t="s">
        <v>4</v>
      </c>
      <c r="R145" s="7">
        <v>43.22</v>
      </c>
      <c r="S145" s="7" t="s">
        <v>4</v>
      </c>
      <c r="T145" s="7">
        <v>1.89</v>
      </c>
      <c r="U145" s="7" t="s">
        <v>4</v>
      </c>
      <c r="V145">
        <v>23.16</v>
      </c>
      <c r="W145" s="7" t="s">
        <v>4</v>
      </c>
      <c r="X145" s="7">
        <v>308.91000000000003</v>
      </c>
      <c r="Y145" s="7">
        <v>54.34</v>
      </c>
      <c r="Z145" s="7" t="s">
        <v>4</v>
      </c>
      <c r="AA145" s="7">
        <v>6.59</v>
      </c>
      <c r="AB145" s="7">
        <v>15.79</v>
      </c>
      <c r="AC145">
        <v>8.77</v>
      </c>
      <c r="AD145" s="7" t="s">
        <v>4</v>
      </c>
      <c r="AE145" s="7" t="s">
        <v>4</v>
      </c>
      <c r="AF145">
        <v>292.7</v>
      </c>
      <c r="AG145" s="7">
        <v>323.83999999999997</v>
      </c>
      <c r="AH145" s="7">
        <v>9.85</v>
      </c>
      <c r="AI145" s="7" t="s">
        <v>4</v>
      </c>
      <c r="AJ145">
        <v>66.540000000000006</v>
      </c>
      <c r="AK145" s="7" t="s">
        <v>4</v>
      </c>
      <c r="AL145" s="7" t="s">
        <v>4</v>
      </c>
      <c r="AM145" s="7" t="s">
        <v>4</v>
      </c>
      <c r="AN145" s="7">
        <v>52.28</v>
      </c>
      <c r="AO145" s="7">
        <v>50.12</v>
      </c>
      <c r="AP145" s="7" t="s">
        <v>4</v>
      </c>
      <c r="AQ145" s="7" t="s">
        <v>4</v>
      </c>
      <c r="AR145" s="7" t="s">
        <v>4</v>
      </c>
      <c r="AS145">
        <v>13.72</v>
      </c>
      <c r="AT145" s="7">
        <v>66.48</v>
      </c>
      <c r="AU145" s="7" t="s">
        <v>4</v>
      </c>
      <c r="AV145" s="7" t="s">
        <v>4</v>
      </c>
      <c r="AW145" s="7">
        <v>30.15</v>
      </c>
      <c r="AX145" s="7" t="s">
        <v>4</v>
      </c>
      <c r="AY145" s="7" t="s">
        <v>4</v>
      </c>
      <c r="AZ145" s="7" t="s">
        <v>4</v>
      </c>
      <c r="BA145" s="7" t="s">
        <v>4</v>
      </c>
      <c r="BB145" s="7" t="s">
        <v>4</v>
      </c>
      <c r="BC145">
        <v>10.68</v>
      </c>
      <c r="BD145" s="7" t="s">
        <v>4</v>
      </c>
      <c r="BE145" s="7" t="s">
        <v>4</v>
      </c>
      <c r="BF145" s="7" t="s">
        <v>4</v>
      </c>
      <c r="BG145" s="7" t="s">
        <v>4</v>
      </c>
      <c r="BH145" s="7" t="s">
        <v>4</v>
      </c>
    </row>
    <row r="146" spans="1:60">
      <c r="A146">
        <v>138</v>
      </c>
      <c r="B146" t="s">
        <v>292</v>
      </c>
      <c r="C146" t="s">
        <v>293</v>
      </c>
      <c r="D146" s="7" t="s">
        <v>4</v>
      </c>
      <c r="E146" s="7" t="s">
        <v>4</v>
      </c>
      <c r="F146" s="7" t="s">
        <v>5</v>
      </c>
      <c r="G146" s="7" t="s">
        <v>5</v>
      </c>
      <c r="H146" s="7">
        <v>4.6500000000000004</v>
      </c>
      <c r="I146" s="7">
        <v>17.239999999999998</v>
      </c>
      <c r="J146" s="7" t="s">
        <v>4</v>
      </c>
      <c r="K146" s="7" t="s">
        <v>5</v>
      </c>
      <c r="L146" s="7" t="s">
        <v>4</v>
      </c>
      <c r="M146" s="7">
        <v>21.24</v>
      </c>
      <c r="N146" s="7">
        <v>3.96</v>
      </c>
      <c r="O146" s="7">
        <v>31.23</v>
      </c>
      <c r="P146">
        <v>38.21</v>
      </c>
      <c r="Q146" s="7" t="s">
        <v>4</v>
      </c>
      <c r="R146" s="7">
        <v>54.96</v>
      </c>
      <c r="S146" s="7" t="s">
        <v>4</v>
      </c>
      <c r="T146" s="7" t="s">
        <v>4</v>
      </c>
      <c r="U146" s="7" t="s">
        <v>4</v>
      </c>
      <c r="V146">
        <v>16.77</v>
      </c>
      <c r="W146" s="7" t="s">
        <v>4</v>
      </c>
      <c r="X146" s="7">
        <v>286</v>
      </c>
      <c r="Y146" s="7">
        <v>113.74</v>
      </c>
      <c r="Z146" s="7" t="s">
        <v>4</v>
      </c>
      <c r="AA146" s="7">
        <v>1.86</v>
      </c>
      <c r="AB146" s="7">
        <v>25.22</v>
      </c>
      <c r="AC146">
        <v>11.46</v>
      </c>
      <c r="AD146" s="7" t="s">
        <v>4</v>
      </c>
      <c r="AE146" s="7" t="s">
        <v>4</v>
      </c>
      <c r="AF146">
        <v>106.05</v>
      </c>
      <c r="AG146" s="7">
        <v>112.33</v>
      </c>
      <c r="AH146" s="7" t="s">
        <v>4</v>
      </c>
      <c r="AI146" s="7" t="s">
        <v>4</v>
      </c>
      <c r="AJ146">
        <v>94.5</v>
      </c>
      <c r="AK146" s="7" t="s">
        <v>4</v>
      </c>
      <c r="AL146" s="7" t="s">
        <v>4</v>
      </c>
      <c r="AM146" s="7" t="s">
        <v>4</v>
      </c>
      <c r="AN146" s="7">
        <v>14.16</v>
      </c>
      <c r="AO146" s="7">
        <v>9.56</v>
      </c>
      <c r="AP146" s="7" t="s">
        <v>4</v>
      </c>
      <c r="AQ146" s="7" t="s">
        <v>4</v>
      </c>
      <c r="AR146" s="7" t="s">
        <v>4</v>
      </c>
      <c r="AS146">
        <v>11.75</v>
      </c>
      <c r="AT146" s="7">
        <v>1.31</v>
      </c>
      <c r="AU146" s="7" t="s">
        <v>4</v>
      </c>
      <c r="AV146" s="7" t="s">
        <v>4</v>
      </c>
      <c r="AW146" s="7" t="s">
        <v>4</v>
      </c>
      <c r="AX146" s="7" t="s">
        <v>4</v>
      </c>
      <c r="AY146" s="7" t="s">
        <v>4</v>
      </c>
      <c r="AZ146" s="7" t="s">
        <v>4</v>
      </c>
      <c r="BA146" s="7" t="s">
        <v>4</v>
      </c>
      <c r="BB146" s="7" t="s">
        <v>4</v>
      </c>
      <c r="BC146">
        <v>18.920000000000002</v>
      </c>
      <c r="BD146" s="7" t="s">
        <v>4</v>
      </c>
      <c r="BE146" s="7" t="s">
        <v>4</v>
      </c>
      <c r="BF146" s="7" t="s">
        <v>4</v>
      </c>
      <c r="BG146" s="7">
        <v>1.51</v>
      </c>
      <c r="BH146" s="7" t="s">
        <v>4</v>
      </c>
    </row>
    <row r="147" spans="1:60">
      <c r="A147">
        <v>61</v>
      </c>
      <c r="B147" t="s">
        <v>294</v>
      </c>
      <c r="C147" t="s">
        <v>295</v>
      </c>
      <c r="D147" s="7" t="s">
        <v>4</v>
      </c>
      <c r="E147" s="7">
        <v>39.39</v>
      </c>
      <c r="F147" s="7" t="s">
        <v>5</v>
      </c>
      <c r="G147" s="7" t="s">
        <v>5</v>
      </c>
      <c r="H147" s="7">
        <v>1.45</v>
      </c>
      <c r="I147" s="7">
        <v>7.21</v>
      </c>
      <c r="J147" s="7" t="s">
        <v>4</v>
      </c>
      <c r="K147" s="7">
        <v>324.39</v>
      </c>
      <c r="L147" s="7" t="s">
        <v>4</v>
      </c>
      <c r="M147" s="7" t="s">
        <v>4</v>
      </c>
      <c r="N147" s="7">
        <v>4.6900000000000004</v>
      </c>
      <c r="O147" s="7">
        <v>37.43</v>
      </c>
      <c r="P147">
        <v>32.93</v>
      </c>
      <c r="Q147" s="7" t="s">
        <v>4</v>
      </c>
      <c r="R147" s="7">
        <v>16.32</v>
      </c>
      <c r="S147" s="7" t="s">
        <v>4</v>
      </c>
      <c r="T147" s="7">
        <v>4.5199999999999996</v>
      </c>
      <c r="U147" s="7" t="s">
        <v>4</v>
      </c>
      <c r="V147">
        <v>8.3000000000000007</v>
      </c>
      <c r="W147" s="7" t="s">
        <v>4</v>
      </c>
      <c r="X147" s="7">
        <v>581.22</v>
      </c>
      <c r="Y147" s="7">
        <v>225.93</v>
      </c>
      <c r="Z147" s="7" t="s">
        <v>4</v>
      </c>
      <c r="AA147" s="7" t="s">
        <v>4</v>
      </c>
      <c r="AB147" s="7">
        <v>61.1</v>
      </c>
      <c r="AC147">
        <v>5.93</v>
      </c>
      <c r="AD147" s="7" t="s">
        <v>4</v>
      </c>
      <c r="AE147" s="7" t="s">
        <v>4</v>
      </c>
      <c r="AF147">
        <v>90.94</v>
      </c>
      <c r="AG147" s="7">
        <v>66.28</v>
      </c>
      <c r="AH147" s="7">
        <v>3.96</v>
      </c>
      <c r="AI147" s="7" t="s">
        <v>4</v>
      </c>
      <c r="AJ147">
        <v>308.02999999999997</v>
      </c>
      <c r="AK147" s="7" t="s">
        <v>4</v>
      </c>
      <c r="AL147" s="7" t="s">
        <v>4</v>
      </c>
      <c r="AM147" s="7" t="s">
        <v>4</v>
      </c>
      <c r="AN147" s="7">
        <v>20.11</v>
      </c>
      <c r="AO147" s="7">
        <v>10.34</v>
      </c>
      <c r="AP147" s="7" t="s">
        <v>4</v>
      </c>
      <c r="AQ147" s="7" t="s">
        <v>4</v>
      </c>
      <c r="AR147" s="7" t="s">
        <v>4</v>
      </c>
      <c r="AS147">
        <v>45.19</v>
      </c>
      <c r="AT147" s="7">
        <v>4.16</v>
      </c>
      <c r="AU147" s="7" t="s">
        <v>4</v>
      </c>
      <c r="AV147" s="7" t="s">
        <v>4</v>
      </c>
      <c r="AW147" s="7" t="s">
        <v>4</v>
      </c>
      <c r="AX147" s="7" t="s">
        <v>4</v>
      </c>
      <c r="AY147" s="7" t="s">
        <v>4</v>
      </c>
      <c r="AZ147" s="7" t="s">
        <v>4</v>
      </c>
      <c r="BA147" s="7" t="s">
        <v>4</v>
      </c>
      <c r="BB147" s="7" t="s">
        <v>4</v>
      </c>
      <c r="BC147">
        <v>8.68</v>
      </c>
      <c r="BD147" s="7" t="s">
        <v>4</v>
      </c>
      <c r="BE147" s="7" t="s">
        <v>4</v>
      </c>
      <c r="BF147" s="7" t="s">
        <v>4</v>
      </c>
      <c r="BG147" s="7">
        <v>3.22</v>
      </c>
      <c r="BH147" s="7" t="s">
        <v>4</v>
      </c>
    </row>
    <row r="148" spans="1:60">
      <c r="A148">
        <v>69</v>
      </c>
      <c r="B148" t="s">
        <v>296</v>
      </c>
      <c r="C148" t="s">
        <v>297</v>
      </c>
      <c r="D148" s="7">
        <v>4.6399999999999997</v>
      </c>
      <c r="E148" s="7">
        <v>3.54</v>
      </c>
      <c r="F148" s="7" t="s">
        <v>5</v>
      </c>
      <c r="G148" s="7" t="s">
        <v>5</v>
      </c>
      <c r="H148" s="7">
        <v>1.24</v>
      </c>
      <c r="I148" s="7">
        <v>2.82</v>
      </c>
      <c r="J148" s="7" t="s">
        <v>4</v>
      </c>
      <c r="K148" s="7">
        <v>328.05</v>
      </c>
      <c r="L148" s="7" t="s">
        <v>4</v>
      </c>
      <c r="M148" s="7" t="s">
        <v>4</v>
      </c>
      <c r="N148" s="7">
        <v>2.81</v>
      </c>
      <c r="O148" s="7">
        <v>7.94</v>
      </c>
      <c r="P148">
        <v>21.15</v>
      </c>
      <c r="Q148" s="7" t="s">
        <v>4</v>
      </c>
      <c r="R148" s="7">
        <v>23.35</v>
      </c>
      <c r="S148" s="7" t="s">
        <v>4</v>
      </c>
      <c r="T148" s="7" t="s">
        <v>4</v>
      </c>
      <c r="U148" s="7" t="s">
        <v>4</v>
      </c>
      <c r="V148">
        <v>12.17</v>
      </c>
      <c r="W148" s="7" t="s">
        <v>4</v>
      </c>
      <c r="X148" s="7">
        <v>205.8</v>
      </c>
      <c r="Y148" s="7">
        <v>46.94</v>
      </c>
      <c r="Z148" s="7" t="s">
        <v>4</v>
      </c>
      <c r="AA148" s="7" t="s">
        <v>4</v>
      </c>
      <c r="AB148" s="7">
        <v>80.680000000000007</v>
      </c>
      <c r="AC148">
        <v>5.4</v>
      </c>
      <c r="AD148" s="7" t="s">
        <v>4</v>
      </c>
      <c r="AE148" s="7" t="s">
        <v>4</v>
      </c>
      <c r="AF148">
        <v>163.66</v>
      </c>
      <c r="AG148" s="7">
        <v>78.7</v>
      </c>
      <c r="AH148" s="7">
        <v>4.18</v>
      </c>
      <c r="AI148" s="7" t="s">
        <v>4</v>
      </c>
      <c r="AJ148">
        <v>115.1</v>
      </c>
      <c r="AK148" s="7" t="s">
        <v>4</v>
      </c>
      <c r="AL148" s="7" t="s">
        <v>4</v>
      </c>
      <c r="AM148" s="7" t="s">
        <v>4</v>
      </c>
      <c r="AN148" s="7">
        <v>15.79</v>
      </c>
      <c r="AO148" s="7">
        <v>3.38</v>
      </c>
      <c r="AP148" s="7" t="s">
        <v>4</v>
      </c>
      <c r="AQ148" s="7" t="s">
        <v>4</v>
      </c>
      <c r="AR148" s="7" t="s">
        <v>4</v>
      </c>
      <c r="AS148">
        <v>8.43</v>
      </c>
      <c r="AT148" s="7">
        <v>11.45</v>
      </c>
      <c r="AU148" s="7" t="s">
        <v>4</v>
      </c>
      <c r="AV148" s="7" t="s">
        <v>4</v>
      </c>
      <c r="AW148" s="7" t="s">
        <v>4</v>
      </c>
      <c r="AX148" s="7" t="s">
        <v>4</v>
      </c>
      <c r="AY148" s="7" t="s">
        <v>4</v>
      </c>
      <c r="AZ148" s="7" t="s">
        <v>4</v>
      </c>
      <c r="BA148" s="7" t="s">
        <v>4</v>
      </c>
      <c r="BB148" s="7" t="s">
        <v>4</v>
      </c>
      <c r="BC148">
        <v>13.32</v>
      </c>
      <c r="BD148" s="7" t="s">
        <v>4</v>
      </c>
      <c r="BE148" s="7" t="s">
        <v>4</v>
      </c>
      <c r="BF148" s="7" t="s">
        <v>4</v>
      </c>
      <c r="BG148" s="7" t="s">
        <v>4</v>
      </c>
      <c r="BH148" s="7" t="s">
        <v>4</v>
      </c>
    </row>
    <row r="149" spans="1:60">
      <c r="A149">
        <v>73</v>
      </c>
      <c r="B149" t="s">
        <v>298</v>
      </c>
      <c r="C149" t="s">
        <v>299</v>
      </c>
      <c r="D149" s="7" t="s">
        <v>4</v>
      </c>
      <c r="E149" s="7">
        <v>19.149999999999999</v>
      </c>
      <c r="F149" s="7" t="s">
        <v>5</v>
      </c>
      <c r="G149" s="7" t="s">
        <v>5</v>
      </c>
      <c r="H149" s="7">
        <v>14.12</v>
      </c>
      <c r="I149" s="7">
        <v>20.3</v>
      </c>
      <c r="J149" s="7" t="s">
        <v>4</v>
      </c>
      <c r="K149" s="7" t="s">
        <v>5</v>
      </c>
      <c r="L149" s="7">
        <v>8.6</v>
      </c>
      <c r="M149" s="7" t="s">
        <v>4</v>
      </c>
      <c r="N149" s="7">
        <v>12.17</v>
      </c>
      <c r="O149" s="7">
        <v>11.32</v>
      </c>
      <c r="P149">
        <v>46.59</v>
      </c>
      <c r="Q149" s="7" t="s">
        <v>4</v>
      </c>
      <c r="R149" s="7">
        <v>61.56</v>
      </c>
      <c r="S149" s="7" t="s">
        <v>4</v>
      </c>
      <c r="T149" s="7" t="s">
        <v>4</v>
      </c>
      <c r="U149" s="7" t="s">
        <v>4</v>
      </c>
      <c r="V149">
        <v>39.4</v>
      </c>
      <c r="W149" s="7" t="s">
        <v>4</v>
      </c>
      <c r="X149" s="7">
        <v>348.67</v>
      </c>
      <c r="Y149" s="7">
        <v>822.04</v>
      </c>
      <c r="Z149" s="7">
        <v>1.48</v>
      </c>
      <c r="AA149" s="7">
        <v>4.6500000000000004</v>
      </c>
      <c r="AB149" s="7">
        <v>207.49</v>
      </c>
      <c r="AC149">
        <v>19.63</v>
      </c>
      <c r="AD149" s="7" t="s">
        <v>4</v>
      </c>
      <c r="AE149" s="7" t="s">
        <v>4</v>
      </c>
      <c r="AF149">
        <v>61.76</v>
      </c>
      <c r="AG149" s="7">
        <v>104.04</v>
      </c>
      <c r="AH149" s="7" t="s">
        <v>4</v>
      </c>
      <c r="AI149" s="7" t="s">
        <v>4</v>
      </c>
      <c r="AJ149">
        <v>63.93</v>
      </c>
      <c r="AK149" s="7" t="s">
        <v>4</v>
      </c>
      <c r="AL149" s="7" t="s">
        <v>4</v>
      </c>
      <c r="AM149" s="7" t="s">
        <v>4</v>
      </c>
      <c r="AN149" s="7">
        <v>22.5</v>
      </c>
      <c r="AO149" s="7">
        <v>37.78</v>
      </c>
      <c r="AP149" s="7" t="s">
        <v>4</v>
      </c>
      <c r="AQ149" s="7" t="s">
        <v>4</v>
      </c>
      <c r="AR149" s="7" t="s">
        <v>4</v>
      </c>
      <c r="AS149">
        <v>66.91</v>
      </c>
      <c r="AT149" s="7">
        <v>18.13</v>
      </c>
      <c r="AU149" s="7" t="s">
        <v>4</v>
      </c>
      <c r="AV149" s="7" t="s">
        <v>4</v>
      </c>
      <c r="AW149" s="7" t="s">
        <v>4</v>
      </c>
      <c r="AX149" s="7" t="s">
        <v>4</v>
      </c>
      <c r="AY149" s="7" t="s">
        <v>4</v>
      </c>
      <c r="AZ149" s="7" t="s">
        <v>4</v>
      </c>
      <c r="BA149" s="7" t="s">
        <v>4</v>
      </c>
      <c r="BB149" s="7" t="s">
        <v>4</v>
      </c>
      <c r="BC149">
        <v>6.18</v>
      </c>
      <c r="BD149" s="7" t="s">
        <v>4</v>
      </c>
      <c r="BE149" s="7" t="s">
        <v>4</v>
      </c>
      <c r="BF149" s="7" t="s">
        <v>4</v>
      </c>
      <c r="BG149" s="7">
        <v>1.1399999999999999</v>
      </c>
      <c r="BH149" s="7" t="s">
        <v>4</v>
      </c>
    </row>
    <row r="150" spans="1:60">
      <c r="A150">
        <v>4</v>
      </c>
      <c r="B150" t="s">
        <v>300</v>
      </c>
      <c r="C150" t="s">
        <v>301</v>
      </c>
      <c r="D150" s="7" t="s">
        <v>4</v>
      </c>
      <c r="E150" s="7">
        <v>8.65</v>
      </c>
      <c r="F150" s="7" t="s">
        <v>5</v>
      </c>
      <c r="G150" s="7" t="s">
        <v>5</v>
      </c>
      <c r="H150" s="7" t="s">
        <v>4</v>
      </c>
      <c r="I150" s="7">
        <v>4.22</v>
      </c>
      <c r="J150" s="7" t="s">
        <v>4</v>
      </c>
      <c r="K150" s="7">
        <v>179.53</v>
      </c>
      <c r="L150" s="7" t="s">
        <v>4</v>
      </c>
      <c r="M150" s="7" t="s">
        <v>4</v>
      </c>
      <c r="N150" s="7">
        <v>1.99</v>
      </c>
      <c r="O150" s="7">
        <v>10.58</v>
      </c>
      <c r="P150">
        <v>21.51</v>
      </c>
      <c r="Q150" s="7" t="s">
        <v>4</v>
      </c>
      <c r="R150" s="7">
        <v>16.68</v>
      </c>
      <c r="S150" s="7" t="s">
        <v>4</v>
      </c>
      <c r="T150" s="7" t="s">
        <v>4</v>
      </c>
      <c r="U150" s="7" t="s">
        <v>4</v>
      </c>
      <c r="V150">
        <v>12.94</v>
      </c>
      <c r="W150" s="7" t="s">
        <v>4</v>
      </c>
      <c r="X150" s="7">
        <v>300.14999999999998</v>
      </c>
      <c r="Y150" s="7">
        <v>309.38</v>
      </c>
      <c r="Z150" s="7" t="s">
        <v>4</v>
      </c>
      <c r="AA150" s="7">
        <v>3.43</v>
      </c>
      <c r="AB150" s="7">
        <v>35.53</v>
      </c>
      <c r="AC150">
        <v>8.18</v>
      </c>
      <c r="AD150" s="7" t="s">
        <v>4</v>
      </c>
      <c r="AE150" s="7" t="s">
        <v>4</v>
      </c>
      <c r="AF150">
        <v>89.52</v>
      </c>
      <c r="AG150" s="7">
        <v>64.209999999999994</v>
      </c>
      <c r="AH150" s="7">
        <v>10.61</v>
      </c>
      <c r="AI150" s="7" t="s">
        <v>4</v>
      </c>
      <c r="AJ150">
        <v>99.35</v>
      </c>
      <c r="AK150" s="7" t="s">
        <v>4</v>
      </c>
      <c r="AL150" s="7" t="s">
        <v>4</v>
      </c>
      <c r="AM150" s="7" t="s">
        <v>4</v>
      </c>
      <c r="AN150" s="7">
        <v>9.3800000000000008</v>
      </c>
      <c r="AO150" s="7">
        <v>6.28</v>
      </c>
      <c r="AP150" s="7" t="s">
        <v>4</v>
      </c>
      <c r="AQ150" s="7" t="s">
        <v>4</v>
      </c>
      <c r="AR150" s="7" t="s">
        <v>4</v>
      </c>
      <c r="AS150">
        <v>10.78</v>
      </c>
      <c r="AT150" s="7">
        <v>12.53</v>
      </c>
      <c r="AU150" s="7" t="s">
        <v>4</v>
      </c>
      <c r="AV150" s="7" t="s">
        <v>4</v>
      </c>
      <c r="AW150" s="7">
        <v>10.7</v>
      </c>
      <c r="AX150" s="7" t="s">
        <v>4</v>
      </c>
      <c r="AY150" s="7" t="s">
        <v>4</v>
      </c>
      <c r="AZ150" s="7" t="s">
        <v>4</v>
      </c>
      <c r="BA150" s="7" t="s">
        <v>4</v>
      </c>
      <c r="BB150" s="7" t="s">
        <v>4</v>
      </c>
      <c r="BC150">
        <v>19.66</v>
      </c>
      <c r="BD150" s="7" t="s">
        <v>4</v>
      </c>
      <c r="BE150" s="7" t="s">
        <v>4</v>
      </c>
      <c r="BF150" s="7" t="s">
        <v>4</v>
      </c>
      <c r="BG150" s="7">
        <v>1.71</v>
      </c>
      <c r="BH150" s="7" t="s">
        <v>4</v>
      </c>
    </row>
    <row r="151" spans="1:60">
      <c r="A151">
        <v>155</v>
      </c>
      <c r="B151" t="s">
        <v>302</v>
      </c>
      <c r="C151" t="s">
        <v>303</v>
      </c>
      <c r="D151" s="7" t="s">
        <v>4</v>
      </c>
      <c r="E151" s="7" t="s">
        <v>4</v>
      </c>
      <c r="F151" s="7" t="s">
        <v>5</v>
      </c>
      <c r="G151" s="7" t="s">
        <v>5</v>
      </c>
      <c r="H151" s="7">
        <v>10.7</v>
      </c>
      <c r="I151" s="7">
        <v>9.57</v>
      </c>
      <c r="J151" s="7" t="s">
        <v>4</v>
      </c>
      <c r="K151" s="7" t="s">
        <v>5</v>
      </c>
      <c r="L151" s="7">
        <v>2.65</v>
      </c>
      <c r="M151" s="7">
        <v>9.58</v>
      </c>
      <c r="N151" s="7">
        <v>8.7899999999999991</v>
      </c>
      <c r="O151" s="7">
        <v>129.94999999999999</v>
      </c>
      <c r="P151">
        <v>37.44</v>
      </c>
      <c r="Q151" s="7" t="s">
        <v>4</v>
      </c>
      <c r="R151" s="7">
        <v>68.17</v>
      </c>
      <c r="S151" s="7" t="s">
        <v>4</v>
      </c>
      <c r="T151" s="7">
        <v>16.760000000000002</v>
      </c>
      <c r="U151" s="7" t="s">
        <v>4</v>
      </c>
      <c r="V151">
        <v>55.96</v>
      </c>
      <c r="W151" s="7" t="s">
        <v>4</v>
      </c>
      <c r="X151" s="7">
        <v>745.52</v>
      </c>
      <c r="Y151" s="7">
        <v>129.57</v>
      </c>
      <c r="Z151" s="7" t="s">
        <v>4</v>
      </c>
      <c r="AA151" s="7">
        <v>13.5</v>
      </c>
      <c r="AB151" s="7">
        <v>22.95</v>
      </c>
      <c r="AC151">
        <v>6.55</v>
      </c>
      <c r="AD151" s="7" t="s">
        <v>4</v>
      </c>
      <c r="AE151" s="7" t="s">
        <v>4</v>
      </c>
      <c r="AF151">
        <v>106.06</v>
      </c>
      <c r="AG151" s="7">
        <v>36.46</v>
      </c>
      <c r="AH151" s="7">
        <v>12.17</v>
      </c>
      <c r="AI151" s="7" t="s">
        <v>4</v>
      </c>
      <c r="AJ151">
        <v>95.38</v>
      </c>
      <c r="AK151" s="7" t="s">
        <v>4</v>
      </c>
      <c r="AL151" s="7">
        <v>2.61</v>
      </c>
      <c r="AM151" s="7" t="s">
        <v>4</v>
      </c>
      <c r="AN151" s="7">
        <v>36.07</v>
      </c>
      <c r="AO151" s="7">
        <v>6.85</v>
      </c>
      <c r="AP151" s="7" t="s">
        <v>4</v>
      </c>
      <c r="AQ151" s="7" t="s">
        <v>4</v>
      </c>
      <c r="AR151" s="7" t="s">
        <v>4</v>
      </c>
      <c r="AS151">
        <v>30.18</v>
      </c>
      <c r="AT151" s="7">
        <v>28.88</v>
      </c>
      <c r="AU151" s="7" t="s">
        <v>4</v>
      </c>
      <c r="AV151" s="7" t="s">
        <v>4</v>
      </c>
      <c r="AW151" s="7" t="s">
        <v>4</v>
      </c>
      <c r="AX151" s="7" t="s">
        <v>4</v>
      </c>
      <c r="AY151" s="7" t="s">
        <v>4</v>
      </c>
      <c r="AZ151" s="7" t="s">
        <v>4</v>
      </c>
      <c r="BA151" s="7" t="s">
        <v>4</v>
      </c>
      <c r="BB151" s="7" t="s">
        <v>4</v>
      </c>
      <c r="BC151">
        <v>24.57</v>
      </c>
      <c r="BD151" s="7" t="s">
        <v>4</v>
      </c>
      <c r="BE151" s="7" t="s">
        <v>4</v>
      </c>
      <c r="BF151" s="7" t="s">
        <v>4</v>
      </c>
      <c r="BG151" s="7" t="s">
        <v>4</v>
      </c>
      <c r="BH151" s="7" t="s">
        <v>4</v>
      </c>
    </row>
    <row r="152" spans="1:60">
      <c r="A152">
        <v>57</v>
      </c>
      <c r="B152" t="s">
        <v>304</v>
      </c>
      <c r="C152" t="s">
        <v>305</v>
      </c>
      <c r="D152" s="7" t="s">
        <v>4</v>
      </c>
      <c r="E152" s="7">
        <v>6.18</v>
      </c>
      <c r="F152" s="7" t="s">
        <v>5</v>
      </c>
      <c r="G152" s="7">
        <v>41.65</v>
      </c>
      <c r="H152" s="7">
        <v>18.13</v>
      </c>
      <c r="I152" s="7">
        <v>23.21</v>
      </c>
      <c r="J152" s="7" t="s">
        <v>4</v>
      </c>
      <c r="K152" s="7" t="s">
        <v>5</v>
      </c>
      <c r="L152" s="7">
        <v>3.56</v>
      </c>
      <c r="M152" s="7">
        <v>21.1</v>
      </c>
      <c r="N152" s="7">
        <v>2.31</v>
      </c>
      <c r="O152" s="7">
        <v>177.81</v>
      </c>
      <c r="P152">
        <v>73.73</v>
      </c>
      <c r="Q152" s="7" t="s">
        <v>4</v>
      </c>
      <c r="R152" s="7" t="s">
        <v>4</v>
      </c>
      <c r="S152" s="7" t="s">
        <v>4</v>
      </c>
      <c r="T152" s="7">
        <v>1.57</v>
      </c>
      <c r="U152" s="7" t="s">
        <v>4</v>
      </c>
      <c r="V152">
        <v>37.840000000000003</v>
      </c>
      <c r="W152" s="7" t="s">
        <v>4</v>
      </c>
      <c r="X152" s="7">
        <v>578.48</v>
      </c>
      <c r="Y152" s="7">
        <v>396.13</v>
      </c>
      <c r="Z152" s="7" t="s">
        <v>4</v>
      </c>
      <c r="AA152" s="7">
        <v>12.08</v>
      </c>
      <c r="AB152" s="7">
        <v>162.05000000000001</v>
      </c>
      <c r="AC152">
        <v>36.090000000000003</v>
      </c>
      <c r="AD152" s="7" t="s">
        <v>4</v>
      </c>
      <c r="AE152" s="7" t="s">
        <v>4</v>
      </c>
      <c r="AF152">
        <v>413.66</v>
      </c>
      <c r="AG152" s="7">
        <v>439.59</v>
      </c>
      <c r="AH152" s="7">
        <v>26.99</v>
      </c>
      <c r="AI152" s="7" t="s">
        <v>4</v>
      </c>
      <c r="AJ152">
        <v>245.49</v>
      </c>
      <c r="AK152" s="7" t="s">
        <v>4</v>
      </c>
      <c r="AL152" s="7" t="s">
        <v>4</v>
      </c>
      <c r="AM152" s="7" t="s">
        <v>4</v>
      </c>
      <c r="AN152" s="7">
        <v>30.8</v>
      </c>
      <c r="AO152" s="7">
        <v>19.93</v>
      </c>
      <c r="AP152" s="7" t="s">
        <v>4</v>
      </c>
      <c r="AQ152" s="7" t="s">
        <v>4</v>
      </c>
      <c r="AR152" s="7" t="s">
        <v>4</v>
      </c>
      <c r="AS152">
        <v>13.46</v>
      </c>
      <c r="AT152" s="7">
        <v>55.55</v>
      </c>
      <c r="AU152" s="7" t="s">
        <v>4</v>
      </c>
      <c r="AV152" s="7" t="s">
        <v>4</v>
      </c>
      <c r="AW152" s="7">
        <v>32.31</v>
      </c>
      <c r="AX152" s="7" t="s">
        <v>4</v>
      </c>
      <c r="AY152" s="7" t="s">
        <v>4</v>
      </c>
      <c r="AZ152" s="7" t="s">
        <v>4</v>
      </c>
      <c r="BA152" s="7" t="s">
        <v>4</v>
      </c>
      <c r="BB152" s="7" t="s">
        <v>4</v>
      </c>
      <c r="BC152">
        <v>47.58</v>
      </c>
      <c r="BD152" s="7" t="s">
        <v>4</v>
      </c>
      <c r="BE152" s="7" t="s">
        <v>4</v>
      </c>
      <c r="BF152" s="7" t="s">
        <v>4</v>
      </c>
      <c r="BG152" s="7">
        <v>11.55</v>
      </c>
      <c r="BH152" s="7" t="s">
        <v>4</v>
      </c>
    </row>
    <row r="153" spans="1:60">
      <c r="A153">
        <v>70</v>
      </c>
      <c r="B153" t="s">
        <v>306</v>
      </c>
      <c r="C153" t="s">
        <v>307</v>
      </c>
      <c r="D153" s="7" t="s">
        <v>4</v>
      </c>
      <c r="E153" s="7">
        <v>14.26</v>
      </c>
      <c r="F153" s="7" t="s">
        <v>5</v>
      </c>
      <c r="G153" s="7" t="s">
        <v>5</v>
      </c>
      <c r="H153" s="7">
        <v>19.32</v>
      </c>
      <c r="I153" s="7">
        <v>28.45</v>
      </c>
      <c r="J153" s="7" t="s">
        <v>4</v>
      </c>
      <c r="K153" s="7" t="s">
        <v>5</v>
      </c>
      <c r="L153" s="7">
        <v>5.83</v>
      </c>
      <c r="M153" s="7">
        <v>38.92</v>
      </c>
      <c r="N153" s="7">
        <v>4.83</v>
      </c>
      <c r="O153" s="7">
        <v>89.95</v>
      </c>
      <c r="P153">
        <v>65.790000000000006</v>
      </c>
      <c r="Q153" s="7" t="s">
        <v>4</v>
      </c>
      <c r="R153" s="7">
        <v>83.1</v>
      </c>
      <c r="S153" s="7" t="s">
        <v>4</v>
      </c>
      <c r="T153" s="7">
        <v>10.76</v>
      </c>
      <c r="U153" s="7" t="s">
        <v>4</v>
      </c>
      <c r="V153">
        <v>24.05</v>
      </c>
      <c r="W153" s="7">
        <v>43.59</v>
      </c>
      <c r="X153" s="7" t="s">
        <v>5</v>
      </c>
      <c r="Y153" s="7">
        <v>395.43</v>
      </c>
      <c r="Z153" s="7" t="s">
        <v>4</v>
      </c>
      <c r="AA153" s="7">
        <v>13.78</v>
      </c>
      <c r="AB153" s="7" t="s">
        <v>5</v>
      </c>
      <c r="AC153">
        <v>19.59</v>
      </c>
      <c r="AD153" s="7" t="s">
        <v>4</v>
      </c>
      <c r="AE153" s="7" t="s">
        <v>4</v>
      </c>
      <c r="AF153">
        <v>115.19</v>
      </c>
      <c r="AG153" s="7">
        <v>187.51</v>
      </c>
      <c r="AH153" s="7">
        <v>19.21</v>
      </c>
      <c r="AI153" s="7" t="s">
        <v>4</v>
      </c>
      <c r="AJ153">
        <v>174.91</v>
      </c>
      <c r="AK153" s="7" t="s">
        <v>4</v>
      </c>
      <c r="AL153" s="7" t="s">
        <v>4</v>
      </c>
      <c r="AM153" s="7" t="s">
        <v>4</v>
      </c>
      <c r="AN153" s="7">
        <v>11.3</v>
      </c>
      <c r="AO153" s="7">
        <v>9.07</v>
      </c>
      <c r="AP153" s="7" t="s">
        <v>4</v>
      </c>
      <c r="AQ153" s="7" t="s">
        <v>4</v>
      </c>
      <c r="AR153" s="7" t="s">
        <v>4</v>
      </c>
      <c r="AS153">
        <v>14.39</v>
      </c>
      <c r="AT153" s="7">
        <v>13.47</v>
      </c>
      <c r="AU153" s="7" t="s">
        <v>4</v>
      </c>
      <c r="AV153" s="7" t="s">
        <v>4</v>
      </c>
      <c r="AW153" s="7" t="s">
        <v>4</v>
      </c>
      <c r="AX153" s="7" t="s">
        <v>4</v>
      </c>
      <c r="AY153" s="7" t="s">
        <v>4</v>
      </c>
      <c r="AZ153" s="7" t="s">
        <v>4</v>
      </c>
      <c r="BA153" s="7" t="s">
        <v>4</v>
      </c>
      <c r="BB153" s="7" t="s">
        <v>4</v>
      </c>
      <c r="BC153">
        <v>10.5</v>
      </c>
      <c r="BD153" s="7" t="s">
        <v>4</v>
      </c>
      <c r="BE153" s="7" t="s">
        <v>4</v>
      </c>
      <c r="BF153" s="7" t="s">
        <v>4</v>
      </c>
      <c r="BG153" s="7">
        <v>1.66</v>
      </c>
      <c r="BH153" s="7" t="s">
        <v>4</v>
      </c>
    </row>
    <row r="154" spans="1:60">
      <c r="A154">
        <v>22</v>
      </c>
      <c r="B154" t="s">
        <v>308</v>
      </c>
      <c r="C154" t="s">
        <v>309</v>
      </c>
      <c r="D154" s="7">
        <v>6.42</v>
      </c>
      <c r="E154" s="7">
        <v>14.93</v>
      </c>
      <c r="F154" s="7" t="s">
        <v>5</v>
      </c>
      <c r="G154" s="7" t="s">
        <v>5</v>
      </c>
      <c r="H154" s="7">
        <v>2.46</v>
      </c>
      <c r="I154" s="7">
        <v>3.6</v>
      </c>
      <c r="J154" s="7" t="s">
        <v>4</v>
      </c>
      <c r="K154" s="7" t="s">
        <v>5</v>
      </c>
      <c r="L154" s="7" t="s">
        <v>4</v>
      </c>
      <c r="M154" s="7" t="s">
        <v>4</v>
      </c>
      <c r="N154" s="7">
        <v>10.26</v>
      </c>
      <c r="O154" s="7">
        <v>9.9700000000000006</v>
      </c>
      <c r="P154">
        <v>26.96</v>
      </c>
      <c r="Q154" s="7" t="s">
        <v>4</v>
      </c>
      <c r="R154" s="7">
        <v>34.979999999999997</v>
      </c>
      <c r="S154" s="7" t="s">
        <v>4</v>
      </c>
      <c r="T154" s="7">
        <v>3.28</v>
      </c>
      <c r="U154" s="7" t="s">
        <v>4</v>
      </c>
      <c r="V154">
        <v>28.87</v>
      </c>
      <c r="W154" s="7" t="s">
        <v>4</v>
      </c>
      <c r="X154" s="7">
        <v>215.87</v>
      </c>
      <c r="Y154" s="7">
        <v>278.24</v>
      </c>
      <c r="Z154" s="7" t="s">
        <v>4</v>
      </c>
      <c r="AA154" s="7">
        <v>3.51</v>
      </c>
      <c r="AB154" s="7">
        <v>25.87</v>
      </c>
      <c r="AC154">
        <v>14.95</v>
      </c>
      <c r="AD154" s="7" t="s">
        <v>4</v>
      </c>
      <c r="AE154" s="7" t="s">
        <v>4</v>
      </c>
      <c r="AF154">
        <v>31.18</v>
      </c>
      <c r="AG154" s="7">
        <v>34.090000000000003</v>
      </c>
      <c r="AH154" s="7">
        <v>2.58</v>
      </c>
      <c r="AI154" s="7" t="s">
        <v>4</v>
      </c>
      <c r="AJ154">
        <v>127.84</v>
      </c>
      <c r="AK154" s="7" t="s">
        <v>4</v>
      </c>
      <c r="AL154" s="7" t="s">
        <v>4</v>
      </c>
      <c r="AM154" s="7" t="s">
        <v>4</v>
      </c>
      <c r="AN154" s="7">
        <v>22.39</v>
      </c>
      <c r="AO154" s="7">
        <v>14.34</v>
      </c>
      <c r="AP154" s="7" t="s">
        <v>4</v>
      </c>
      <c r="AQ154" s="7" t="s">
        <v>4</v>
      </c>
      <c r="AR154" s="7" t="s">
        <v>4</v>
      </c>
      <c r="AS154">
        <v>16.23</v>
      </c>
      <c r="AT154" s="7">
        <v>6.17</v>
      </c>
      <c r="AU154" s="7" t="s">
        <v>4</v>
      </c>
      <c r="AV154" s="7" t="s">
        <v>4</v>
      </c>
      <c r="AW154" s="7" t="s">
        <v>4</v>
      </c>
      <c r="AX154" s="7" t="s">
        <v>4</v>
      </c>
      <c r="AY154" s="7" t="s">
        <v>4</v>
      </c>
      <c r="AZ154" s="7" t="s">
        <v>4</v>
      </c>
      <c r="BA154" s="7" t="s">
        <v>4</v>
      </c>
      <c r="BB154" s="7" t="s">
        <v>4</v>
      </c>
      <c r="BC154">
        <v>5.17</v>
      </c>
      <c r="BD154" s="7" t="s">
        <v>4</v>
      </c>
      <c r="BE154" s="7" t="s">
        <v>4</v>
      </c>
      <c r="BF154" s="7" t="s">
        <v>4</v>
      </c>
      <c r="BG154" s="7" t="s">
        <v>4</v>
      </c>
      <c r="BH154" s="7" t="s">
        <v>4</v>
      </c>
    </row>
    <row r="155" spans="1:60">
      <c r="A155">
        <v>63</v>
      </c>
      <c r="B155" t="s">
        <v>310</v>
      </c>
      <c r="C155" t="s">
        <v>311</v>
      </c>
      <c r="D155" s="7" t="s">
        <v>4</v>
      </c>
      <c r="E155" s="7" t="s">
        <v>4</v>
      </c>
      <c r="F155" s="7" t="s">
        <v>5</v>
      </c>
      <c r="G155" s="7" t="s">
        <v>5</v>
      </c>
      <c r="H155" s="7">
        <v>9.91</v>
      </c>
      <c r="I155" s="7">
        <v>10.24</v>
      </c>
      <c r="J155" s="7" t="s">
        <v>4</v>
      </c>
      <c r="K155" s="7" t="s">
        <v>5</v>
      </c>
      <c r="L155" s="7">
        <v>4.67</v>
      </c>
      <c r="M155" s="7">
        <v>6.71</v>
      </c>
      <c r="N155" s="7">
        <v>1</v>
      </c>
      <c r="O155" s="7">
        <v>111.55</v>
      </c>
      <c r="P155">
        <v>44.81</v>
      </c>
      <c r="Q155" s="7" t="s">
        <v>4</v>
      </c>
      <c r="R155" s="7">
        <v>166.95</v>
      </c>
      <c r="S155" s="7" t="s">
        <v>4</v>
      </c>
      <c r="T155" s="7">
        <v>26.56</v>
      </c>
      <c r="U155" s="7" t="s">
        <v>4</v>
      </c>
      <c r="V155">
        <v>62.72</v>
      </c>
      <c r="W155" s="7">
        <v>5.2</v>
      </c>
      <c r="X155" s="7">
        <v>2282.58</v>
      </c>
      <c r="Y155" s="7">
        <v>493.52</v>
      </c>
      <c r="Z155" s="7">
        <v>9.11</v>
      </c>
      <c r="AA155" s="7">
        <v>22.74</v>
      </c>
      <c r="AB155" s="7">
        <v>412.77</v>
      </c>
      <c r="AC155">
        <v>23.96</v>
      </c>
      <c r="AD155" s="7" t="s">
        <v>4</v>
      </c>
      <c r="AE155" s="7" t="s">
        <v>4</v>
      </c>
      <c r="AF155">
        <v>293.72000000000003</v>
      </c>
      <c r="AG155" s="7">
        <v>292.64999999999998</v>
      </c>
      <c r="AH155" s="7">
        <v>16.32</v>
      </c>
      <c r="AI155" s="7" t="s">
        <v>4</v>
      </c>
      <c r="AJ155">
        <v>301.14999999999998</v>
      </c>
      <c r="AK155" s="7" t="s">
        <v>4</v>
      </c>
      <c r="AL155" s="7" t="s">
        <v>4</v>
      </c>
      <c r="AM155" s="7" t="s">
        <v>4</v>
      </c>
      <c r="AN155" s="7">
        <v>25.3</v>
      </c>
      <c r="AO155" s="7">
        <v>10.83</v>
      </c>
      <c r="AP155" s="7" t="s">
        <v>4</v>
      </c>
      <c r="AQ155" s="7" t="s">
        <v>4</v>
      </c>
      <c r="AR155" s="7" t="s">
        <v>4</v>
      </c>
      <c r="AS155">
        <v>15.4</v>
      </c>
      <c r="AT155" s="7">
        <v>111.08</v>
      </c>
      <c r="AU155" s="7" t="s">
        <v>4</v>
      </c>
      <c r="AV155" s="7" t="s">
        <v>4</v>
      </c>
      <c r="AW155" s="7">
        <v>18.329999999999998</v>
      </c>
      <c r="AX155" s="7" t="s">
        <v>4</v>
      </c>
      <c r="AY155" s="7" t="s">
        <v>4</v>
      </c>
      <c r="AZ155" s="7" t="s">
        <v>4</v>
      </c>
      <c r="BA155" s="7" t="s">
        <v>4</v>
      </c>
      <c r="BB155" s="7" t="s">
        <v>4</v>
      </c>
      <c r="BC155">
        <v>51</v>
      </c>
      <c r="BD155" s="7" t="s">
        <v>4</v>
      </c>
      <c r="BE155" s="7" t="s">
        <v>4</v>
      </c>
      <c r="BF155" s="7" t="s">
        <v>4</v>
      </c>
      <c r="BG155" s="7">
        <v>3.04</v>
      </c>
      <c r="BH155" s="7" t="s">
        <v>4</v>
      </c>
    </row>
    <row r="156" spans="1:60">
      <c r="A156">
        <v>110</v>
      </c>
      <c r="B156" t="s">
        <v>312</v>
      </c>
      <c r="C156" t="s">
        <v>313</v>
      </c>
      <c r="D156" s="7" t="s">
        <v>4</v>
      </c>
      <c r="E156" s="7">
        <v>7.91</v>
      </c>
      <c r="F156" s="7" t="s">
        <v>5</v>
      </c>
      <c r="G156" s="7" t="s">
        <v>5</v>
      </c>
      <c r="H156" s="7" t="s">
        <v>4</v>
      </c>
      <c r="I156" s="7">
        <v>9.1300000000000008</v>
      </c>
      <c r="J156" s="7" t="s">
        <v>4</v>
      </c>
      <c r="K156" s="7" t="s">
        <v>5</v>
      </c>
      <c r="L156" s="7" t="s">
        <v>4</v>
      </c>
      <c r="M156" s="7">
        <v>19.2</v>
      </c>
      <c r="N156" s="7">
        <v>3.55</v>
      </c>
      <c r="O156" s="7">
        <v>74.209999999999994</v>
      </c>
      <c r="P156">
        <v>35.619999999999997</v>
      </c>
      <c r="Q156" s="7" t="s">
        <v>4</v>
      </c>
      <c r="R156" s="7">
        <v>34.21</v>
      </c>
      <c r="S156" s="7" t="s">
        <v>4</v>
      </c>
      <c r="T156" s="7">
        <v>10.77</v>
      </c>
      <c r="U156" s="7" t="s">
        <v>4</v>
      </c>
      <c r="V156">
        <v>51.61</v>
      </c>
      <c r="W156" s="7">
        <v>5.26</v>
      </c>
      <c r="X156" s="7">
        <v>1240.3399999999999</v>
      </c>
      <c r="Y156" s="7">
        <v>233.4</v>
      </c>
      <c r="Z156" s="7" t="s">
        <v>4</v>
      </c>
      <c r="AA156" s="7" t="s">
        <v>4</v>
      </c>
      <c r="AB156" s="7">
        <v>175.51</v>
      </c>
      <c r="AC156">
        <v>6.91</v>
      </c>
      <c r="AD156" s="7" t="s">
        <v>4</v>
      </c>
      <c r="AE156" s="7" t="s">
        <v>4</v>
      </c>
      <c r="AF156">
        <v>105.66</v>
      </c>
      <c r="AG156" s="7">
        <v>27.26</v>
      </c>
      <c r="AH156" s="7">
        <v>6.48</v>
      </c>
      <c r="AI156" s="7" t="s">
        <v>4</v>
      </c>
      <c r="AJ156">
        <v>118.32</v>
      </c>
      <c r="AK156" s="7" t="s">
        <v>4</v>
      </c>
      <c r="AL156" s="7" t="s">
        <v>4</v>
      </c>
      <c r="AM156" s="7" t="s">
        <v>4</v>
      </c>
      <c r="AN156" s="7">
        <v>17.48</v>
      </c>
      <c r="AO156" s="7" t="s">
        <v>4</v>
      </c>
      <c r="AP156" s="7" t="s">
        <v>4</v>
      </c>
      <c r="AQ156" s="7" t="s">
        <v>4</v>
      </c>
      <c r="AR156" s="7" t="s">
        <v>4</v>
      </c>
      <c r="AS156">
        <v>14.38</v>
      </c>
      <c r="AT156" s="7">
        <v>4.0999999999999996</v>
      </c>
      <c r="AU156" s="7" t="s">
        <v>4</v>
      </c>
      <c r="AV156" s="7" t="s">
        <v>4</v>
      </c>
      <c r="AW156" s="7" t="s">
        <v>4</v>
      </c>
      <c r="AX156" s="7" t="s">
        <v>4</v>
      </c>
      <c r="AY156" s="7" t="s">
        <v>4</v>
      </c>
      <c r="AZ156" s="7" t="s">
        <v>4</v>
      </c>
      <c r="BA156" s="7" t="s">
        <v>4</v>
      </c>
      <c r="BB156" s="7" t="s">
        <v>4</v>
      </c>
      <c r="BC156">
        <v>10.91</v>
      </c>
      <c r="BD156" s="7" t="s">
        <v>4</v>
      </c>
      <c r="BE156" s="7" t="s">
        <v>4</v>
      </c>
      <c r="BF156" s="7" t="s">
        <v>4</v>
      </c>
      <c r="BG156" s="7" t="s">
        <v>4</v>
      </c>
      <c r="BH156" s="7" t="s">
        <v>4</v>
      </c>
    </row>
    <row r="157" spans="1:60">
      <c r="A157">
        <v>29</v>
      </c>
      <c r="B157" t="s">
        <v>314</v>
      </c>
      <c r="C157" t="s">
        <v>315</v>
      </c>
      <c r="D157" s="7" t="s">
        <v>4</v>
      </c>
      <c r="E157" s="7">
        <v>7.2</v>
      </c>
      <c r="F157" s="7" t="s">
        <v>5</v>
      </c>
      <c r="G157" s="7" t="s">
        <v>5</v>
      </c>
      <c r="H157" s="7">
        <v>9.4700000000000006</v>
      </c>
      <c r="I157" s="7">
        <v>35.880000000000003</v>
      </c>
      <c r="J157" s="7" t="s">
        <v>4</v>
      </c>
      <c r="K157" s="7" t="s">
        <v>5</v>
      </c>
      <c r="L157" s="7">
        <v>5.52</v>
      </c>
      <c r="M157" s="7">
        <v>20.96</v>
      </c>
      <c r="N157" s="7">
        <v>4.21</v>
      </c>
      <c r="O157" s="7">
        <v>184.16</v>
      </c>
      <c r="P157">
        <v>129.46</v>
      </c>
      <c r="Q157" s="7" t="s">
        <v>4</v>
      </c>
      <c r="R157" s="7">
        <v>67.319999999999993</v>
      </c>
      <c r="S157" s="7" t="s">
        <v>4</v>
      </c>
      <c r="T157" s="7">
        <v>18.71</v>
      </c>
      <c r="U157" s="7" t="s">
        <v>4</v>
      </c>
      <c r="V157">
        <v>52.05</v>
      </c>
      <c r="W157" s="7" t="s">
        <v>4</v>
      </c>
      <c r="X157" s="7">
        <v>2121.21</v>
      </c>
      <c r="Y157" s="7">
        <v>725.84</v>
      </c>
      <c r="Z157" s="7" t="s">
        <v>4</v>
      </c>
      <c r="AA157" s="7">
        <v>13.93</v>
      </c>
      <c r="AB157" s="7">
        <v>381.91</v>
      </c>
      <c r="AC157">
        <v>23.39</v>
      </c>
      <c r="AD157" s="7" t="s">
        <v>4</v>
      </c>
      <c r="AE157" s="7" t="s">
        <v>4</v>
      </c>
      <c r="AF157">
        <v>567.44000000000005</v>
      </c>
      <c r="AG157" s="7">
        <v>465.74</v>
      </c>
      <c r="AH157" s="7">
        <v>52.6</v>
      </c>
      <c r="AI157" s="7" t="s">
        <v>4</v>
      </c>
      <c r="AJ157">
        <v>575.54999999999995</v>
      </c>
      <c r="AK157" s="7" t="s">
        <v>4</v>
      </c>
      <c r="AL157" s="7">
        <v>6.38</v>
      </c>
      <c r="AM157" s="7" t="s">
        <v>4</v>
      </c>
      <c r="AN157" s="7">
        <v>71.17</v>
      </c>
      <c r="AO157" s="7">
        <v>27.93</v>
      </c>
      <c r="AP157" s="7" t="s">
        <v>4</v>
      </c>
      <c r="AQ157" s="7" t="s">
        <v>4</v>
      </c>
      <c r="AR157" s="7" t="s">
        <v>4</v>
      </c>
      <c r="AS157">
        <v>48.52</v>
      </c>
      <c r="AT157" s="7">
        <v>7.7</v>
      </c>
      <c r="AU157" s="7" t="s">
        <v>4</v>
      </c>
      <c r="AV157" s="7" t="s">
        <v>4</v>
      </c>
      <c r="AW157" s="7" t="s">
        <v>4</v>
      </c>
      <c r="AX157" s="7" t="s">
        <v>4</v>
      </c>
      <c r="AY157" s="7" t="s">
        <v>4</v>
      </c>
      <c r="AZ157" s="7" t="s">
        <v>4</v>
      </c>
      <c r="BA157" s="7" t="s">
        <v>4</v>
      </c>
      <c r="BB157" s="7" t="s">
        <v>4</v>
      </c>
      <c r="BC157">
        <v>47.59</v>
      </c>
      <c r="BD157" s="7" t="s">
        <v>4</v>
      </c>
      <c r="BE157" s="7" t="s">
        <v>4</v>
      </c>
      <c r="BF157" s="7" t="s">
        <v>4</v>
      </c>
      <c r="BG157" s="7">
        <v>9.0500000000000007</v>
      </c>
      <c r="BH157" s="7" t="s">
        <v>4</v>
      </c>
    </row>
    <row r="158" spans="1:60">
      <c r="A158">
        <v>163</v>
      </c>
      <c r="B158" t="s">
        <v>316</v>
      </c>
      <c r="C158" t="s">
        <v>317</v>
      </c>
      <c r="D158" s="7" t="s">
        <v>4</v>
      </c>
      <c r="E158" s="7">
        <v>11.78</v>
      </c>
      <c r="F158" s="7" t="s">
        <v>5</v>
      </c>
      <c r="G158" s="7" t="s">
        <v>5</v>
      </c>
      <c r="H158" s="7" t="s">
        <v>5</v>
      </c>
      <c r="I158" s="7" t="s">
        <v>5</v>
      </c>
      <c r="J158" s="7" t="s">
        <v>4</v>
      </c>
      <c r="K158" s="7" t="s">
        <v>5</v>
      </c>
      <c r="L158" s="7">
        <v>16.68</v>
      </c>
      <c r="M158" s="7">
        <v>7.63</v>
      </c>
      <c r="N158" s="7">
        <v>8.6999999999999993</v>
      </c>
      <c r="O158" s="7">
        <v>182.6</v>
      </c>
      <c r="P158">
        <v>77.08</v>
      </c>
      <c r="Q158" s="7" t="s">
        <v>4</v>
      </c>
      <c r="R158" s="7">
        <v>295.60000000000002</v>
      </c>
      <c r="S158" s="7" t="s">
        <v>4</v>
      </c>
      <c r="T158" s="7">
        <v>5.77</v>
      </c>
      <c r="U158" s="7" t="s">
        <v>4</v>
      </c>
      <c r="V158">
        <v>82.93</v>
      </c>
      <c r="W158" s="7" t="s">
        <v>4</v>
      </c>
      <c r="X158" s="7">
        <v>2073.9</v>
      </c>
      <c r="Y158" s="7" t="s">
        <v>5</v>
      </c>
      <c r="Z158" s="7">
        <v>1.03</v>
      </c>
      <c r="AA158" s="7">
        <v>16.3</v>
      </c>
      <c r="AB158" s="7">
        <v>104.84</v>
      </c>
      <c r="AC158">
        <v>39.590000000000003</v>
      </c>
      <c r="AD158" s="7" t="s">
        <v>4</v>
      </c>
      <c r="AE158" s="7" t="s">
        <v>4</v>
      </c>
      <c r="AF158">
        <v>194.3</v>
      </c>
      <c r="AG158" s="7">
        <v>162.5</v>
      </c>
      <c r="AH158" s="7">
        <v>13.95</v>
      </c>
      <c r="AI158" s="7" t="s">
        <v>4</v>
      </c>
      <c r="AJ158">
        <v>123.58</v>
      </c>
      <c r="AK158" s="7" t="s">
        <v>4</v>
      </c>
      <c r="AL158" s="7" t="s">
        <v>4</v>
      </c>
      <c r="AM158" s="7" t="s">
        <v>4</v>
      </c>
      <c r="AN158" s="7">
        <v>20.49</v>
      </c>
      <c r="AO158" s="7">
        <v>11.06</v>
      </c>
      <c r="AP158" s="7" t="s">
        <v>4</v>
      </c>
      <c r="AQ158" s="7" t="s">
        <v>4</v>
      </c>
      <c r="AR158" s="7" t="s">
        <v>4</v>
      </c>
      <c r="AS158">
        <v>13.44</v>
      </c>
      <c r="AT158" s="7">
        <v>242.51</v>
      </c>
      <c r="AU158" s="7" t="s">
        <v>4</v>
      </c>
      <c r="AV158" s="7" t="s">
        <v>4</v>
      </c>
      <c r="AW158" s="7">
        <v>23.93</v>
      </c>
      <c r="AX158" s="7" t="s">
        <v>4</v>
      </c>
      <c r="AY158" s="7" t="s">
        <v>4</v>
      </c>
      <c r="AZ158" s="7" t="s">
        <v>4</v>
      </c>
      <c r="BA158" s="7" t="s">
        <v>4</v>
      </c>
      <c r="BB158" s="7" t="s">
        <v>4</v>
      </c>
      <c r="BC158">
        <v>87.67</v>
      </c>
      <c r="BD158" s="7" t="s">
        <v>4</v>
      </c>
      <c r="BE158" s="7" t="s">
        <v>4</v>
      </c>
      <c r="BF158" s="7" t="s">
        <v>4</v>
      </c>
      <c r="BG158" s="7">
        <v>3.84</v>
      </c>
      <c r="BH158" s="7" t="s">
        <v>4</v>
      </c>
    </row>
    <row r="159" spans="1:60">
      <c r="A159">
        <v>81</v>
      </c>
      <c r="B159" t="s">
        <v>318</v>
      </c>
      <c r="C159" t="s">
        <v>319</v>
      </c>
      <c r="D159" s="7" t="s">
        <v>4</v>
      </c>
      <c r="E159" s="7" t="s">
        <v>4</v>
      </c>
      <c r="F159" s="7" t="s">
        <v>5</v>
      </c>
      <c r="G159" s="7" t="s">
        <v>5</v>
      </c>
      <c r="H159" s="7">
        <v>5.76</v>
      </c>
      <c r="I159" s="7">
        <v>13.56</v>
      </c>
      <c r="J159" s="7" t="s">
        <v>4</v>
      </c>
      <c r="K159" s="7" t="s">
        <v>5</v>
      </c>
      <c r="L159" s="7" t="s">
        <v>4</v>
      </c>
      <c r="M159" s="7">
        <v>8.2899999999999991</v>
      </c>
      <c r="N159" s="7">
        <v>4.3600000000000003</v>
      </c>
      <c r="O159" s="7">
        <v>40.35</v>
      </c>
      <c r="P159">
        <v>41.21</v>
      </c>
      <c r="Q159" s="7" t="s">
        <v>4</v>
      </c>
      <c r="R159" s="7">
        <v>62.34</v>
      </c>
      <c r="S159" s="7" t="s">
        <v>4</v>
      </c>
      <c r="T159" s="7" t="s">
        <v>4</v>
      </c>
      <c r="U159" s="7" t="s">
        <v>4</v>
      </c>
      <c r="V159">
        <v>40.14</v>
      </c>
      <c r="W159" s="7" t="s">
        <v>4</v>
      </c>
      <c r="X159" s="7">
        <v>469.09</v>
      </c>
      <c r="Y159" s="7">
        <v>199.09</v>
      </c>
      <c r="Z159" s="7" t="s">
        <v>4</v>
      </c>
      <c r="AA159" s="7">
        <v>11.07</v>
      </c>
      <c r="AB159" s="7">
        <v>50.38</v>
      </c>
      <c r="AC159">
        <v>12.29</v>
      </c>
      <c r="AD159" s="7" t="s">
        <v>4</v>
      </c>
      <c r="AE159" s="7" t="s">
        <v>4</v>
      </c>
      <c r="AF159">
        <v>96.66</v>
      </c>
      <c r="AG159" s="7">
        <v>65.87</v>
      </c>
      <c r="AH159" s="7">
        <v>6.29</v>
      </c>
      <c r="AI159" s="7" t="s">
        <v>4</v>
      </c>
      <c r="AJ159">
        <v>54.85</v>
      </c>
      <c r="AK159" s="7" t="s">
        <v>4</v>
      </c>
      <c r="AL159" s="7" t="s">
        <v>4</v>
      </c>
      <c r="AM159" s="7" t="s">
        <v>4</v>
      </c>
      <c r="AN159" s="7">
        <v>11.34</v>
      </c>
      <c r="AO159" s="7">
        <v>3.98</v>
      </c>
      <c r="AP159" s="7" t="s">
        <v>4</v>
      </c>
      <c r="AQ159" s="7" t="s">
        <v>4</v>
      </c>
      <c r="AR159" s="7" t="s">
        <v>4</v>
      </c>
      <c r="AS159">
        <v>4.74</v>
      </c>
      <c r="AT159" s="7">
        <v>14.66</v>
      </c>
      <c r="AU159" s="7" t="s">
        <v>4</v>
      </c>
      <c r="AV159" s="7" t="s">
        <v>4</v>
      </c>
      <c r="AW159" s="7" t="s">
        <v>4</v>
      </c>
      <c r="AX159" s="7" t="s">
        <v>4</v>
      </c>
      <c r="AY159" s="7" t="s">
        <v>4</v>
      </c>
      <c r="AZ159" s="7" t="s">
        <v>4</v>
      </c>
      <c r="BA159" s="7" t="s">
        <v>4</v>
      </c>
      <c r="BB159" s="7" t="s">
        <v>4</v>
      </c>
      <c r="BC159">
        <v>15.06</v>
      </c>
      <c r="BD159" s="7" t="s">
        <v>4</v>
      </c>
      <c r="BE159" s="7" t="s">
        <v>4</v>
      </c>
      <c r="BF159" s="7" t="s">
        <v>4</v>
      </c>
      <c r="BG159" s="7" t="s">
        <v>4</v>
      </c>
      <c r="BH159" s="7" t="s">
        <v>4</v>
      </c>
    </row>
    <row r="160" spans="1:60">
      <c r="A160">
        <v>106</v>
      </c>
      <c r="B160" t="s">
        <v>320</v>
      </c>
      <c r="C160" t="s">
        <v>321</v>
      </c>
      <c r="D160" s="7" t="s">
        <v>4</v>
      </c>
      <c r="E160" s="7">
        <v>9.91</v>
      </c>
      <c r="F160" s="7" t="s">
        <v>5</v>
      </c>
      <c r="G160" s="7" t="s">
        <v>5</v>
      </c>
      <c r="H160" s="7">
        <v>27.56</v>
      </c>
      <c r="I160" s="7" t="s">
        <v>5</v>
      </c>
      <c r="J160" s="7" t="s">
        <v>4</v>
      </c>
      <c r="K160" s="7" t="s">
        <v>5</v>
      </c>
      <c r="L160" s="7">
        <v>12.6</v>
      </c>
      <c r="M160" s="7">
        <v>9.86</v>
      </c>
      <c r="N160" s="7">
        <v>9.5299999999999994</v>
      </c>
      <c r="O160" s="7">
        <v>119.99</v>
      </c>
      <c r="P160">
        <v>100.06</v>
      </c>
      <c r="Q160" s="7" t="s">
        <v>4</v>
      </c>
      <c r="R160" s="7">
        <v>469.1</v>
      </c>
      <c r="S160" s="7" t="s">
        <v>4</v>
      </c>
      <c r="T160" s="7">
        <v>5.05</v>
      </c>
      <c r="U160" s="7" t="s">
        <v>4</v>
      </c>
      <c r="V160">
        <v>160.97</v>
      </c>
      <c r="W160" s="7" t="s">
        <v>4</v>
      </c>
      <c r="X160" s="7">
        <v>1489.73</v>
      </c>
      <c r="Y160" s="7" t="s">
        <v>5</v>
      </c>
      <c r="Z160" s="7" t="s">
        <v>4</v>
      </c>
      <c r="AA160" s="7">
        <v>56.61</v>
      </c>
      <c r="AB160" s="7">
        <v>226.08</v>
      </c>
      <c r="AC160">
        <v>31.52</v>
      </c>
      <c r="AD160" s="7" t="s">
        <v>4</v>
      </c>
      <c r="AE160" s="7" t="s">
        <v>4</v>
      </c>
      <c r="AF160">
        <v>220.3</v>
      </c>
      <c r="AG160" s="7">
        <v>175.25</v>
      </c>
      <c r="AH160" s="7">
        <v>11.2</v>
      </c>
      <c r="AI160" s="7" t="s">
        <v>4</v>
      </c>
      <c r="AJ160">
        <v>145.63</v>
      </c>
      <c r="AK160" s="7" t="s">
        <v>4</v>
      </c>
      <c r="AL160" s="7" t="s">
        <v>4</v>
      </c>
      <c r="AM160" s="7" t="s">
        <v>4</v>
      </c>
      <c r="AN160" s="7">
        <v>48.8</v>
      </c>
      <c r="AO160" s="7">
        <v>18.52</v>
      </c>
      <c r="AP160" s="7" t="s">
        <v>4</v>
      </c>
      <c r="AQ160" s="7" t="s">
        <v>4</v>
      </c>
      <c r="AR160" s="7" t="s">
        <v>4</v>
      </c>
      <c r="AS160">
        <v>30.6</v>
      </c>
      <c r="AT160" s="7">
        <v>18.78</v>
      </c>
      <c r="AU160" s="7" t="s">
        <v>4</v>
      </c>
      <c r="AV160" s="7" t="s">
        <v>4</v>
      </c>
      <c r="AW160" s="7" t="s">
        <v>4</v>
      </c>
      <c r="AX160" s="7" t="s">
        <v>4</v>
      </c>
      <c r="AY160" s="7" t="s">
        <v>4</v>
      </c>
      <c r="AZ160" s="7" t="s">
        <v>4</v>
      </c>
      <c r="BA160" s="7" t="s">
        <v>4</v>
      </c>
      <c r="BB160" s="7" t="s">
        <v>4</v>
      </c>
      <c r="BC160">
        <v>38.07</v>
      </c>
      <c r="BD160" s="7" t="s">
        <v>4</v>
      </c>
      <c r="BE160" s="7" t="s">
        <v>4</v>
      </c>
      <c r="BF160" s="7" t="s">
        <v>4</v>
      </c>
      <c r="BG160" s="7">
        <v>3.59</v>
      </c>
      <c r="BH160" s="7" t="s">
        <v>4</v>
      </c>
    </row>
    <row r="161" spans="1:60">
      <c r="A161">
        <v>137</v>
      </c>
      <c r="B161" t="s">
        <v>322</v>
      </c>
      <c r="C161" t="s">
        <v>323</v>
      </c>
      <c r="D161" s="7" t="s">
        <v>4</v>
      </c>
      <c r="E161" s="7">
        <v>16.18</v>
      </c>
      <c r="F161" s="7" t="s">
        <v>5</v>
      </c>
      <c r="G161" s="7" t="s">
        <v>5</v>
      </c>
      <c r="H161" s="7">
        <v>9.35</v>
      </c>
      <c r="I161" s="7">
        <v>16.920000000000002</v>
      </c>
      <c r="J161" s="7" t="s">
        <v>4</v>
      </c>
      <c r="K161" s="7">
        <v>156.83000000000001</v>
      </c>
      <c r="L161" s="7">
        <v>3.9</v>
      </c>
      <c r="M161" s="7">
        <v>4.97</v>
      </c>
      <c r="N161" s="7">
        <v>4.2699999999999996</v>
      </c>
      <c r="O161" s="7">
        <v>72.02</v>
      </c>
      <c r="P161">
        <v>59.81</v>
      </c>
      <c r="Q161" s="7" t="s">
        <v>4</v>
      </c>
      <c r="R161" s="7">
        <v>93.76</v>
      </c>
      <c r="S161" s="7" t="s">
        <v>4</v>
      </c>
      <c r="T161" s="7" t="s">
        <v>4</v>
      </c>
      <c r="U161" s="7" t="s">
        <v>4</v>
      </c>
      <c r="V161">
        <v>31.59</v>
      </c>
      <c r="W161" s="7" t="s">
        <v>4</v>
      </c>
      <c r="X161" s="7">
        <v>2230.17</v>
      </c>
      <c r="Y161" s="7">
        <v>715.19</v>
      </c>
      <c r="Z161" s="7" t="s">
        <v>4</v>
      </c>
      <c r="AA161" s="7">
        <v>28.15</v>
      </c>
      <c r="AB161" s="7">
        <v>284.64</v>
      </c>
      <c r="AC161">
        <v>25.72</v>
      </c>
      <c r="AD161" s="7" t="s">
        <v>4</v>
      </c>
      <c r="AE161" s="7" t="s">
        <v>4</v>
      </c>
      <c r="AF161">
        <v>181.92</v>
      </c>
      <c r="AG161" s="7">
        <v>178.37</v>
      </c>
      <c r="AH161" s="7">
        <v>9.0399999999999991</v>
      </c>
      <c r="AI161" s="7" t="s">
        <v>4</v>
      </c>
      <c r="AJ161">
        <v>333.39</v>
      </c>
      <c r="AK161" s="7" t="s">
        <v>4</v>
      </c>
      <c r="AL161" s="7">
        <v>3.68</v>
      </c>
      <c r="AM161" s="7" t="s">
        <v>4</v>
      </c>
      <c r="AN161" s="7">
        <v>56.58</v>
      </c>
      <c r="AO161" s="7">
        <v>32.18</v>
      </c>
      <c r="AP161" s="7" t="s">
        <v>4</v>
      </c>
      <c r="AQ161" s="7" t="s">
        <v>4</v>
      </c>
      <c r="AR161" s="7" t="s">
        <v>4</v>
      </c>
      <c r="AS161">
        <v>74.64</v>
      </c>
      <c r="AT161" s="7">
        <v>44.2</v>
      </c>
      <c r="AU161" s="7" t="s">
        <v>4</v>
      </c>
      <c r="AV161" s="7" t="s">
        <v>4</v>
      </c>
      <c r="AW161" s="7">
        <v>22.26</v>
      </c>
      <c r="AX161" s="7" t="s">
        <v>4</v>
      </c>
      <c r="AY161" s="7" t="s">
        <v>4</v>
      </c>
      <c r="AZ161" s="7" t="s">
        <v>4</v>
      </c>
      <c r="BA161" s="7" t="s">
        <v>4</v>
      </c>
      <c r="BB161" s="7" t="s">
        <v>4</v>
      </c>
      <c r="BC161">
        <v>57.97</v>
      </c>
      <c r="BD161" s="7">
        <v>3.62</v>
      </c>
      <c r="BE161" s="7" t="s">
        <v>4</v>
      </c>
      <c r="BF161" s="7" t="s">
        <v>4</v>
      </c>
      <c r="BG161" s="7">
        <v>15.9</v>
      </c>
      <c r="BH161" s="7" t="s">
        <v>4</v>
      </c>
    </row>
    <row r="162" spans="1:60">
      <c r="A162">
        <v>156</v>
      </c>
      <c r="B162" t="s">
        <v>324</v>
      </c>
      <c r="C162" t="s">
        <v>325</v>
      </c>
      <c r="D162" s="7" t="s">
        <v>4</v>
      </c>
      <c r="E162" s="7" t="s">
        <v>5</v>
      </c>
      <c r="F162" s="7" t="s">
        <v>5</v>
      </c>
      <c r="G162" s="7" t="s">
        <v>4</v>
      </c>
      <c r="H162" s="7" t="s">
        <v>4</v>
      </c>
      <c r="I162" s="7">
        <v>1.65</v>
      </c>
      <c r="J162" s="7" t="s">
        <v>4</v>
      </c>
      <c r="K162" s="7" t="s">
        <v>5</v>
      </c>
      <c r="L162" s="7" t="s">
        <v>4</v>
      </c>
      <c r="M162" s="7" t="s">
        <v>5</v>
      </c>
      <c r="N162" s="7" t="s">
        <v>4</v>
      </c>
      <c r="O162" s="7" t="s">
        <v>5</v>
      </c>
      <c r="P162" t="s">
        <v>5</v>
      </c>
      <c r="Q162" s="7" t="s">
        <v>4</v>
      </c>
      <c r="R162" s="7" t="s">
        <v>4</v>
      </c>
      <c r="S162" s="7">
        <v>7.11</v>
      </c>
      <c r="T162" s="7">
        <v>348.89</v>
      </c>
      <c r="U162" s="7" t="s">
        <v>4</v>
      </c>
      <c r="V162">
        <v>32.159999999999997</v>
      </c>
      <c r="W162" s="7" t="s">
        <v>5</v>
      </c>
      <c r="X162" s="7" t="s">
        <v>5</v>
      </c>
      <c r="Y162" s="7" t="s">
        <v>5</v>
      </c>
      <c r="Z162" s="7">
        <v>5.61</v>
      </c>
      <c r="AA162" s="7">
        <v>49.59</v>
      </c>
      <c r="AB162" s="7" t="s">
        <v>5</v>
      </c>
      <c r="AC162">
        <v>200.89</v>
      </c>
      <c r="AD162" s="7" t="s">
        <v>4</v>
      </c>
      <c r="AE162" s="7" t="s">
        <v>4</v>
      </c>
      <c r="AF162">
        <v>885.68</v>
      </c>
      <c r="AG162" s="7">
        <v>339.7</v>
      </c>
      <c r="AH162" s="7">
        <v>71.540000000000006</v>
      </c>
      <c r="AI162" s="7" t="s">
        <v>4</v>
      </c>
      <c r="AJ162">
        <v>366.24</v>
      </c>
      <c r="AK162" s="7" t="s">
        <v>4</v>
      </c>
      <c r="AL162" s="7">
        <v>9.8699999999999992</v>
      </c>
      <c r="AM162" s="7" t="s">
        <v>4</v>
      </c>
      <c r="AN162" s="7">
        <v>77.150000000000006</v>
      </c>
      <c r="AO162" s="7">
        <v>28.1</v>
      </c>
      <c r="AP162" s="7" t="s">
        <v>4</v>
      </c>
      <c r="AQ162" s="7" t="s">
        <v>4</v>
      </c>
      <c r="AR162" s="7" t="s">
        <v>4</v>
      </c>
      <c r="AS162">
        <v>28.87</v>
      </c>
      <c r="AT162" s="7">
        <v>179.42</v>
      </c>
      <c r="AU162" s="7" t="s">
        <v>4</v>
      </c>
      <c r="AV162" s="7" t="s">
        <v>4</v>
      </c>
      <c r="AW162" s="7">
        <v>35.54</v>
      </c>
      <c r="AX162" s="7">
        <v>11.71</v>
      </c>
      <c r="AY162" s="7">
        <v>23.65</v>
      </c>
      <c r="AZ162" s="7">
        <v>5.23</v>
      </c>
      <c r="BA162" s="7" t="s">
        <v>4</v>
      </c>
      <c r="BB162" s="7" t="s">
        <v>4</v>
      </c>
      <c r="BC162">
        <v>102.91</v>
      </c>
      <c r="BD162" s="7">
        <v>2.66</v>
      </c>
      <c r="BE162" s="7" t="s">
        <v>4</v>
      </c>
      <c r="BF162" s="7" t="s">
        <v>4</v>
      </c>
      <c r="BG162" s="7">
        <v>8.25</v>
      </c>
      <c r="BH162" s="7" t="s">
        <v>4</v>
      </c>
    </row>
    <row r="163" spans="1:60">
      <c r="A163">
        <v>85</v>
      </c>
      <c r="B163" t="s">
        <v>326</v>
      </c>
      <c r="C163" t="s">
        <v>327</v>
      </c>
      <c r="D163" s="7" t="s">
        <v>4</v>
      </c>
      <c r="E163" s="7" t="s">
        <v>4</v>
      </c>
      <c r="F163" s="7" t="s">
        <v>5</v>
      </c>
      <c r="G163" s="7">
        <v>33.08</v>
      </c>
      <c r="H163" s="7">
        <v>10.01</v>
      </c>
      <c r="I163" s="7">
        <v>25.61</v>
      </c>
      <c r="J163" s="7" t="s">
        <v>4</v>
      </c>
      <c r="K163" s="7" t="s">
        <v>5</v>
      </c>
      <c r="L163" s="7">
        <v>2.99</v>
      </c>
      <c r="M163" s="7" t="s">
        <v>4</v>
      </c>
      <c r="N163" s="7" t="s">
        <v>4</v>
      </c>
      <c r="O163" s="7">
        <v>16.27</v>
      </c>
      <c r="P163">
        <v>19.7</v>
      </c>
      <c r="Q163" s="7" t="s">
        <v>4</v>
      </c>
      <c r="R163" s="7" t="s">
        <v>4</v>
      </c>
      <c r="S163" s="7" t="s">
        <v>4</v>
      </c>
      <c r="T163" s="7">
        <v>5.49</v>
      </c>
      <c r="U163" s="7" t="s">
        <v>4</v>
      </c>
      <c r="V163">
        <v>32.630000000000003</v>
      </c>
      <c r="W163" s="7" t="s">
        <v>4</v>
      </c>
      <c r="X163" s="7">
        <v>291.01</v>
      </c>
      <c r="Y163" s="7">
        <v>593.32000000000005</v>
      </c>
      <c r="Z163" s="7">
        <v>2.21</v>
      </c>
      <c r="AA163" s="7">
        <v>3.52</v>
      </c>
      <c r="AB163" s="7">
        <v>71.239999999999995</v>
      </c>
      <c r="AC163">
        <v>8.66</v>
      </c>
      <c r="AD163" s="7">
        <v>2.0499999999999998</v>
      </c>
      <c r="AE163" s="7" t="s">
        <v>4</v>
      </c>
      <c r="AF163">
        <v>43.25</v>
      </c>
      <c r="AG163" s="7">
        <v>153.29</v>
      </c>
      <c r="AH163" s="7" t="s">
        <v>4</v>
      </c>
      <c r="AI163" s="7" t="s">
        <v>4</v>
      </c>
      <c r="AJ163">
        <v>34.58</v>
      </c>
      <c r="AK163" s="7" t="s">
        <v>4</v>
      </c>
      <c r="AL163" s="7" t="s">
        <v>4</v>
      </c>
      <c r="AM163" s="7" t="s">
        <v>4</v>
      </c>
      <c r="AN163" s="7" t="s">
        <v>4</v>
      </c>
      <c r="AO163" s="7">
        <v>13.86</v>
      </c>
      <c r="AP163" s="7" t="s">
        <v>4</v>
      </c>
      <c r="AQ163" s="7" t="s">
        <v>4</v>
      </c>
      <c r="AR163" s="7" t="s">
        <v>4</v>
      </c>
      <c r="AS163">
        <v>7.22</v>
      </c>
      <c r="AT163" s="7">
        <v>5.91</v>
      </c>
      <c r="AU163" s="7" t="s">
        <v>4</v>
      </c>
      <c r="AV163" s="7" t="s">
        <v>4</v>
      </c>
      <c r="AW163" s="7" t="s">
        <v>4</v>
      </c>
      <c r="AX163" s="7" t="s">
        <v>4</v>
      </c>
      <c r="AY163" s="7" t="s">
        <v>4</v>
      </c>
      <c r="AZ163" s="7" t="s">
        <v>4</v>
      </c>
      <c r="BA163" s="7" t="s">
        <v>4</v>
      </c>
      <c r="BB163" s="7" t="s">
        <v>4</v>
      </c>
      <c r="BC163">
        <v>12.39</v>
      </c>
      <c r="BD163" s="7" t="s">
        <v>4</v>
      </c>
      <c r="BE163" s="7" t="s">
        <v>4</v>
      </c>
      <c r="BF163" s="7" t="s">
        <v>4</v>
      </c>
      <c r="BG163" s="7" t="s">
        <v>4</v>
      </c>
      <c r="BH163" s="7" t="s">
        <v>4</v>
      </c>
    </row>
    <row r="164" spans="1:60">
      <c r="A164">
        <v>76</v>
      </c>
      <c r="B164" t="s">
        <v>328</v>
      </c>
      <c r="C164" t="s">
        <v>329</v>
      </c>
      <c r="D164" s="7">
        <v>3.09</v>
      </c>
      <c r="E164" s="7">
        <v>11.1</v>
      </c>
      <c r="F164" s="7" t="s">
        <v>5</v>
      </c>
      <c r="G164" s="7">
        <v>4.47</v>
      </c>
      <c r="H164" s="7" t="s">
        <v>4</v>
      </c>
      <c r="I164" s="7">
        <v>5.84</v>
      </c>
      <c r="J164" s="7" t="s">
        <v>4</v>
      </c>
      <c r="K164" s="7" t="s">
        <v>5</v>
      </c>
      <c r="L164" s="7" t="s">
        <v>4</v>
      </c>
      <c r="M164" s="7" t="s">
        <v>4</v>
      </c>
      <c r="N164" s="7" t="s">
        <v>4</v>
      </c>
      <c r="O164" s="7">
        <v>29.83</v>
      </c>
      <c r="P164">
        <v>28.77</v>
      </c>
      <c r="Q164" s="7" t="s">
        <v>4</v>
      </c>
      <c r="R164" s="7">
        <v>47.84</v>
      </c>
      <c r="S164" s="7" t="s">
        <v>4</v>
      </c>
      <c r="T164" s="7">
        <v>14.53</v>
      </c>
      <c r="U164" s="7" t="s">
        <v>4</v>
      </c>
      <c r="V164">
        <v>13.94</v>
      </c>
      <c r="W164" s="7">
        <v>5.92</v>
      </c>
      <c r="X164" s="7">
        <v>1078.23</v>
      </c>
      <c r="Y164" s="7">
        <v>40.43</v>
      </c>
      <c r="Z164" s="7" t="s">
        <v>4</v>
      </c>
      <c r="AA164" s="7">
        <v>2.5299999999999998</v>
      </c>
      <c r="AB164" s="7">
        <v>113.35</v>
      </c>
      <c r="AC164">
        <v>13.5</v>
      </c>
      <c r="AD164" s="7">
        <v>1.26</v>
      </c>
      <c r="AE164" s="7" t="s">
        <v>4</v>
      </c>
      <c r="AF164">
        <v>9.18</v>
      </c>
      <c r="AG164" s="7">
        <v>22.79</v>
      </c>
      <c r="AH164" s="7" t="s">
        <v>4</v>
      </c>
      <c r="AI164" s="7" t="s">
        <v>4</v>
      </c>
      <c r="AJ164">
        <v>21.38</v>
      </c>
      <c r="AK164" s="7" t="s">
        <v>4</v>
      </c>
      <c r="AL164" s="7" t="s">
        <v>4</v>
      </c>
      <c r="AM164" s="7" t="s">
        <v>4</v>
      </c>
      <c r="AN164" s="7" t="s">
        <v>4</v>
      </c>
      <c r="AO164" s="7">
        <v>60.59</v>
      </c>
      <c r="AP164" s="7" t="s">
        <v>4</v>
      </c>
      <c r="AQ164" s="7" t="s">
        <v>4</v>
      </c>
      <c r="AR164" s="7" t="s">
        <v>4</v>
      </c>
      <c r="AS164">
        <v>6.42</v>
      </c>
      <c r="AT164" s="7">
        <v>16.03</v>
      </c>
      <c r="AU164" s="7" t="s">
        <v>4</v>
      </c>
      <c r="AV164" s="7" t="s">
        <v>4</v>
      </c>
      <c r="AW164" s="7">
        <v>16.75</v>
      </c>
      <c r="AX164" s="7" t="s">
        <v>4</v>
      </c>
      <c r="AY164" s="7" t="s">
        <v>4</v>
      </c>
      <c r="AZ164" s="7" t="s">
        <v>4</v>
      </c>
      <c r="BA164" s="7" t="s">
        <v>4</v>
      </c>
      <c r="BB164" s="7" t="s">
        <v>4</v>
      </c>
      <c r="BC164" t="s">
        <v>4</v>
      </c>
      <c r="BD164" s="7" t="s">
        <v>4</v>
      </c>
      <c r="BE164" s="7" t="s">
        <v>4</v>
      </c>
      <c r="BF164" s="7" t="s">
        <v>4</v>
      </c>
      <c r="BG164" s="7" t="s">
        <v>4</v>
      </c>
      <c r="BH164" s="7" t="s">
        <v>4</v>
      </c>
    </row>
    <row r="165" spans="1:60">
      <c r="A165">
        <v>143</v>
      </c>
      <c r="B165" t="s">
        <v>330</v>
      </c>
      <c r="C165" t="s">
        <v>331</v>
      </c>
      <c r="D165" s="7" t="s">
        <v>4</v>
      </c>
      <c r="E165" s="7" t="s">
        <v>5</v>
      </c>
      <c r="F165" s="7" t="s">
        <v>4</v>
      </c>
      <c r="G165" s="7" t="s">
        <v>4</v>
      </c>
      <c r="H165" s="7" t="s">
        <v>4</v>
      </c>
      <c r="I165" s="7" t="s">
        <v>4</v>
      </c>
      <c r="J165" s="7" t="s">
        <v>4</v>
      </c>
      <c r="K165" s="7">
        <v>5.0599999999999996</v>
      </c>
      <c r="L165" s="7" t="s">
        <v>4</v>
      </c>
      <c r="M165" s="7">
        <v>123.18</v>
      </c>
      <c r="N165" s="7" t="s">
        <v>4</v>
      </c>
      <c r="O165" s="7">
        <v>881.67</v>
      </c>
      <c r="P165">
        <v>24.89</v>
      </c>
      <c r="Q165" s="7" t="s">
        <v>4</v>
      </c>
      <c r="R165" s="7" t="s">
        <v>4</v>
      </c>
      <c r="S165" s="7" t="s">
        <v>4</v>
      </c>
      <c r="T165" s="7">
        <v>111.58</v>
      </c>
      <c r="U165" s="7" t="s">
        <v>4</v>
      </c>
      <c r="V165">
        <v>5.71</v>
      </c>
      <c r="W165" s="7">
        <v>153.38</v>
      </c>
      <c r="X165" s="7" t="s">
        <v>5</v>
      </c>
      <c r="Y165" s="7">
        <v>31.52</v>
      </c>
      <c r="Z165" s="7" t="s">
        <v>4</v>
      </c>
      <c r="AA165" s="7">
        <v>16.86</v>
      </c>
      <c r="AB165" s="7" t="s">
        <v>5</v>
      </c>
      <c r="AC165">
        <v>30.51</v>
      </c>
      <c r="AD165" s="7" t="s">
        <v>4</v>
      </c>
      <c r="AE165" s="7" t="s">
        <v>4</v>
      </c>
      <c r="AF165">
        <v>50.31</v>
      </c>
      <c r="AG165" s="7" t="s">
        <v>4</v>
      </c>
      <c r="AH165" s="7" t="s">
        <v>4</v>
      </c>
      <c r="AI165" s="7" t="s">
        <v>4</v>
      </c>
      <c r="AJ165">
        <v>118.34</v>
      </c>
      <c r="AK165" s="7" t="s">
        <v>4</v>
      </c>
      <c r="AL165" s="7" t="s">
        <v>4</v>
      </c>
      <c r="AM165" s="7" t="s">
        <v>4</v>
      </c>
      <c r="AN165" s="7" t="s">
        <v>4</v>
      </c>
      <c r="AO165" s="7" t="s">
        <v>4</v>
      </c>
      <c r="AP165" s="7" t="s">
        <v>4</v>
      </c>
      <c r="AQ165" s="7" t="s">
        <v>4</v>
      </c>
      <c r="AR165" s="7" t="s">
        <v>4</v>
      </c>
      <c r="AS165">
        <v>11.57</v>
      </c>
      <c r="AT165" s="7">
        <v>13.25</v>
      </c>
      <c r="AU165" s="7" t="s">
        <v>4</v>
      </c>
      <c r="AV165" s="7">
        <v>71.5</v>
      </c>
      <c r="AW165" s="7" t="s">
        <v>4</v>
      </c>
      <c r="AX165" s="7">
        <v>29.86</v>
      </c>
      <c r="AY165" s="7">
        <v>18.829999999999998</v>
      </c>
      <c r="AZ165" s="7" t="s">
        <v>4</v>
      </c>
      <c r="BA165" s="7" t="s">
        <v>4</v>
      </c>
      <c r="BB165" s="7" t="s">
        <v>4</v>
      </c>
      <c r="BC165" t="s">
        <v>4</v>
      </c>
      <c r="BD165" s="7" t="s">
        <v>4</v>
      </c>
      <c r="BE165" s="7" t="s">
        <v>4</v>
      </c>
      <c r="BF165" s="7" t="s">
        <v>4</v>
      </c>
      <c r="BG165" s="7" t="s">
        <v>4</v>
      </c>
      <c r="BH165" s="7" t="s">
        <v>4</v>
      </c>
    </row>
    <row r="166" spans="1:60">
      <c r="A166">
        <v>166</v>
      </c>
      <c r="B166" t="s">
        <v>332</v>
      </c>
      <c r="C166" t="s">
        <v>333</v>
      </c>
      <c r="D166" s="7">
        <v>3.38</v>
      </c>
      <c r="E166" s="7">
        <v>34.93</v>
      </c>
      <c r="F166" s="7" t="s">
        <v>5</v>
      </c>
      <c r="G166" s="7">
        <v>45.86</v>
      </c>
      <c r="H166" s="7" t="s">
        <v>4</v>
      </c>
      <c r="I166" s="7">
        <v>8.1199999999999992</v>
      </c>
      <c r="J166" s="7" t="s">
        <v>4</v>
      </c>
      <c r="K166" s="7" t="s">
        <v>5</v>
      </c>
      <c r="L166" s="7" t="s">
        <v>4</v>
      </c>
      <c r="M166" s="7">
        <v>2.89</v>
      </c>
      <c r="N166" s="7" t="s">
        <v>4</v>
      </c>
      <c r="O166" s="7">
        <v>17.04</v>
      </c>
      <c r="P166">
        <v>31.3</v>
      </c>
      <c r="Q166" s="7" t="s">
        <v>4</v>
      </c>
      <c r="R166" s="7">
        <v>62.03</v>
      </c>
      <c r="S166" s="7" t="s">
        <v>4</v>
      </c>
      <c r="T166" s="7">
        <v>14.54</v>
      </c>
      <c r="U166" s="7" t="s">
        <v>4</v>
      </c>
      <c r="V166">
        <v>32.31</v>
      </c>
      <c r="W166" s="7" t="s">
        <v>4</v>
      </c>
      <c r="X166" s="7">
        <v>1944.61</v>
      </c>
      <c r="Y166" s="7">
        <v>19.72</v>
      </c>
      <c r="Z166" s="7">
        <v>3.12</v>
      </c>
      <c r="AA166" s="7">
        <v>4.6399999999999997</v>
      </c>
      <c r="AB166" s="7">
        <v>59.25</v>
      </c>
      <c r="AC166">
        <v>7.63</v>
      </c>
      <c r="AD166" s="7" t="s">
        <v>4</v>
      </c>
      <c r="AE166" s="7" t="s">
        <v>4</v>
      </c>
      <c r="AF166">
        <v>54.8</v>
      </c>
      <c r="AG166" s="7">
        <v>20.75</v>
      </c>
      <c r="AH166" s="7">
        <v>6.48</v>
      </c>
      <c r="AI166" s="7" t="s">
        <v>4</v>
      </c>
      <c r="AJ166">
        <v>106.37</v>
      </c>
      <c r="AK166" s="7" t="s">
        <v>4</v>
      </c>
      <c r="AL166" s="7" t="s">
        <v>4</v>
      </c>
      <c r="AM166" s="7" t="s">
        <v>4</v>
      </c>
      <c r="AN166" s="7" t="s">
        <v>4</v>
      </c>
      <c r="AO166" s="7" t="s">
        <v>4</v>
      </c>
      <c r="AP166" s="7" t="s">
        <v>4</v>
      </c>
      <c r="AQ166" s="7" t="s">
        <v>4</v>
      </c>
      <c r="AR166" s="7" t="s">
        <v>4</v>
      </c>
      <c r="AS166">
        <v>7.38</v>
      </c>
      <c r="AT166" s="7">
        <v>23.6</v>
      </c>
      <c r="AU166" s="7" t="s">
        <v>4</v>
      </c>
      <c r="AV166" s="7" t="s">
        <v>4</v>
      </c>
      <c r="AW166" s="7" t="s">
        <v>4</v>
      </c>
      <c r="AX166" s="7" t="s">
        <v>4</v>
      </c>
      <c r="AY166" s="7" t="s">
        <v>4</v>
      </c>
      <c r="AZ166" s="7" t="s">
        <v>4</v>
      </c>
      <c r="BA166" s="7" t="s">
        <v>4</v>
      </c>
      <c r="BB166" s="7" t="s">
        <v>4</v>
      </c>
      <c r="BC166">
        <v>17.829999999999998</v>
      </c>
      <c r="BD166" s="7" t="s">
        <v>4</v>
      </c>
      <c r="BE166" s="7" t="s">
        <v>4</v>
      </c>
      <c r="BF166" s="7" t="s">
        <v>4</v>
      </c>
      <c r="BG166" s="7">
        <v>2.0499999999999998</v>
      </c>
      <c r="BH166" s="7" t="s">
        <v>4</v>
      </c>
    </row>
    <row r="167" spans="1:60">
      <c r="A167">
        <v>158</v>
      </c>
      <c r="B167" t="s">
        <v>334</v>
      </c>
      <c r="C167" t="s">
        <v>335</v>
      </c>
      <c r="D167" s="7">
        <v>2.8</v>
      </c>
      <c r="E167" s="7" t="s">
        <v>4</v>
      </c>
      <c r="F167" s="7" t="s">
        <v>5</v>
      </c>
      <c r="G167" s="7" t="s">
        <v>5</v>
      </c>
      <c r="H167" s="7">
        <v>2.92</v>
      </c>
      <c r="I167" s="7">
        <v>3.84</v>
      </c>
      <c r="J167" s="7" t="s">
        <v>4</v>
      </c>
      <c r="K167" s="7">
        <v>481.02</v>
      </c>
      <c r="L167" s="7" t="s">
        <v>4</v>
      </c>
      <c r="M167" s="7" t="s">
        <v>4</v>
      </c>
      <c r="N167" s="7">
        <v>1.58</v>
      </c>
      <c r="O167" s="7">
        <v>18.920000000000002</v>
      </c>
      <c r="P167">
        <v>18.14</v>
      </c>
      <c r="Q167" s="7" t="s">
        <v>4</v>
      </c>
      <c r="R167" s="7">
        <v>30.14</v>
      </c>
      <c r="S167" s="7" t="s">
        <v>4</v>
      </c>
      <c r="T167" s="7">
        <v>1.87</v>
      </c>
      <c r="U167" s="7" t="s">
        <v>4</v>
      </c>
      <c r="V167">
        <v>29.49</v>
      </c>
      <c r="W167" s="7" t="s">
        <v>4</v>
      </c>
      <c r="X167" s="7">
        <v>261.87</v>
      </c>
      <c r="Y167" s="7">
        <v>70.02</v>
      </c>
      <c r="Z167" s="7" t="s">
        <v>4</v>
      </c>
      <c r="AA167" s="7" t="s">
        <v>4</v>
      </c>
      <c r="AB167" s="7">
        <v>19.649999999999999</v>
      </c>
      <c r="AC167">
        <v>7.13</v>
      </c>
      <c r="AD167" s="7" t="s">
        <v>4</v>
      </c>
      <c r="AE167" s="7" t="s">
        <v>4</v>
      </c>
      <c r="AF167">
        <v>53.87</v>
      </c>
      <c r="AG167" s="7">
        <v>48.49</v>
      </c>
      <c r="AH167" s="7" t="s">
        <v>4</v>
      </c>
      <c r="AI167" s="7" t="s">
        <v>4</v>
      </c>
      <c r="AJ167">
        <v>56.99</v>
      </c>
      <c r="AK167" s="7" t="s">
        <v>4</v>
      </c>
      <c r="AL167" s="7" t="s">
        <v>4</v>
      </c>
      <c r="AM167" s="7" t="s">
        <v>4</v>
      </c>
      <c r="AN167" s="7">
        <v>6.94</v>
      </c>
      <c r="AO167" s="7">
        <v>4.6100000000000003</v>
      </c>
      <c r="AP167" s="7" t="s">
        <v>4</v>
      </c>
      <c r="AQ167" s="7" t="s">
        <v>4</v>
      </c>
      <c r="AR167" s="7" t="s">
        <v>4</v>
      </c>
      <c r="AS167">
        <v>5.88</v>
      </c>
      <c r="AT167" s="7">
        <v>13.16</v>
      </c>
      <c r="AU167" s="7" t="s">
        <v>4</v>
      </c>
      <c r="AV167" s="7" t="s">
        <v>4</v>
      </c>
      <c r="AW167" s="7" t="s">
        <v>4</v>
      </c>
      <c r="AX167" s="7" t="s">
        <v>4</v>
      </c>
      <c r="AY167" s="7" t="s">
        <v>4</v>
      </c>
      <c r="AZ167" s="7" t="s">
        <v>4</v>
      </c>
      <c r="BA167" s="7" t="s">
        <v>4</v>
      </c>
      <c r="BB167" s="7" t="s">
        <v>4</v>
      </c>
      <c r="BC167">
        <v>10.53</v>
      </c>
      <c r="BD167" s="7" t="s">
        <v>4</v>
      </c>
      <c r="BE167" s="7" t="s">
        <v>4</v>
      </c>
      <c r="BF167" s="7" t="s">
        <v>4</v>
      </c>
      <c r="BG167" s="7">
        <v>1.63</v>
      </c>
      <c r="BH167" s="7" t="s">
        <v>4</v>
      </c>
    </row>
    <row r="168" spans="1:60">
      <c r="A168">
        <v>147</v>
      </c>
      <c r="B168" t="s">
        <v>336</v>
      </c>
      <c r="C168" t="s">
        <v>337</v>
      </c>
      <c r="D168" s="7" t="s">
        <v>4</v>
      </c>
      <c r="E168" s="7">
        <v>34.47</v>
      </c>
      <c r="F168" s="7" t="s">
        <v>4</v>
      </c>
      <c r="G168" s="7" t="s">
        <v>4</v>
      </c>
      <c r="H168" s="7" t="s">
        <v>4</v>
      </c>
      <c r="I168" s="7" t="s">
        <v>4</v>
      </c>
      <c r="J168" s="7" t="s">
        <v>4</v>
      </c>
      <c r="K168" s="7">
        <v>6.3</v>
      </c>
      <c r="L168" s="7" t="s">
        <v>4</v>
      </c>
      <c r="M168" s="7">
        <v>375.57</v>
      </c>
      <c r="N168" s="7" t="s">
        <v>4</v>
      </c>
      <c r="O168" s="7">
        <v>467.65</v>
      </c>
      <c r="P168">
        <v>29.54</v>
      </c>
      <c r="Q168" s="7" t="s">
        <v>4</v>
      </c>
      <c r="R168" s="7" t="s">
        <v>4</v>
      </c>
      <c r="S168" s="7" t="s">
        <v>4</v>
      </c>
      <c r="T168" s="7" t="s">
        <v>4</v>
      </c>
      <c r="U168" s="7" t="s">
        <v>4</v>
      </c>
      <c r="V168">
        <v>16.329999999999998</v>
      </c>
      <c r="W168" s="7">
        <v>43.02</v>
      </c>
      <c r="X168" s="7" t="s">
        <v>5</v>
      </c>
      <c r="Y168" s="7">
        <v>120.21</v>
      </c>
      <c r="Z168" s="7" t="s">
        <v>4</v>
      </c>
      <c r="AA168" s="7">
        <v>24.73</v>
      </c>
      <c r="AB168" s="7" t="s">
        <v>5</v>
      </c>
      <c r="AC168">
        <v>64.63</v>
      </c>
      <c r="AD168" s="7" t="s">
        <v>4</v>
      </c>
      <c r="AE168" s="7" t="s">
        <v>4</v>
      </c>
      <c r="AF168" t="s">
        <v>5</v>
      </c>
      <c r="AG168" s="7" t="s">
        <v>4</v>
      </c>
      <c r="AH168" s="7">
        <v>36.99</v>
      </c>
      <c r="AI168" s="7" t="s">
        <v>4</v>
      </c>
      <c r="AJ168">
        <v>1900.76</v>
      </c>
      <c r="AK168" s="7">
        <v>10.79</v>
      </c>
      <c r="AL168" s="7" t="s">
        <v>4</v>
      </c>
      <c r="AM168" s="7" t="s">
        <v>4</v>
      </c>
      <c r="AN168" s="7">
        <v>108.09</v>
      </c>
      <c r="AO168" s="7" t="s">
        <v>4</v>
      </c>
      <c r="AP168" s="7" t="s">
        <v>4</v>
      </c>
      <c r="AQ168" s="7" t="s">
        <v>4</v>
      </c>
      <c r="AR168" s="7" t="s">
        <v>4</v>
      </c>
      <c r="AS168">
        <v>40.86</v>
      </c>
      <c r="AT168" s="7">
        <v>15.71</v>
      </c>
      <c r="AU168" s="7" t="s">
        <v>4</v>
      </c>
      <c r="AV168" s="7">
        <v>527.48</v>
      </c>
      <c r="AW168" s="7" t="s">
        <v>4</v>
      </c>
      <c r="AX168" s="7">
        <v>633.16999999999996</v>
      </c>
      <c r="AY168" s="7">
        <v>40.17</v>
      </c>
      <c r="AZ168" s="7">
        <v>352.08</v>
      </c>
      <c r="BA168" s="7">
        <v>7.79</v>
      </c>
      <c r="BB168" s="7">
        <v>105.18</v>
      </c>
      <c r="BC168">
        <v>27.79</v>
      </c>
      <c r="BD168" s="7" t="s">
        <v>4</v>
      </c>
      <c r="BE168" s="7" t="s">
        <v>4</v>
      </c>
      <c r="BF168" s="7">
        <v>24.34</v>
      </c>
      <c r="BG168" s="7" t="s">
        <v>4</v>
      </c>
      <c r="BH168" s="7" t="s">
        <v>4</v>
      </c>
    </row>
    <row r="169" spans="1:60">
      <c r="A169">
        <v>74</v>
      </c>
      <c r="B169" t="s">
        <v>338</v>
      </c>
      <c r="C169" t="s">
        <v>339</v>
      </c>
      <c r="D169" s="7" t="s">
        <v>4</v>
      </c>
      <c r="E169" s="7">
        <v>20.170000000000002</v>
      </c>
      <c r="F169" s="7" t="s">
        <v>5</v>
      </c>
      <c r="G169" s="7">
        <v>14.74</v>
      </c>
      <c r="H169" s="7">
        <v>5.34</v>
      </c>
      <c r="I169" s="7">
        <v>27.89</v>
      </c>
      <c r="J169" s="7" t="s">
        <v>4</v>
      </c>
      <c r="K169" s="7">
        <v>259.02999999999997</v>
      </c>
      <c r="L169" s="7">
        <v>4.7300000000000004</v>
      </c>
      <c r="M169" s="7" t="s">
        <v>4</v>
      </c>
      <c r="N169" s="7" t="s">
        <v>4</v>
      </c>
      <c r="O169" s="7">
        <v>32.6</v>
      </c>
      <c r="P169">
        <v>52.89</v>
      </c>
      <c r="Q169" s="7" t="s">
        <v>4</v>
      </c>
      <c r="R169" s="7">
        <v>119.39</v>
      </c>
      <c r="S169" s="7" t="s">
        <v>4</v>
      </c>
      <c r="T169" s="7" t="s">
        <v>4</v>
      </c>
      <c r="U169" s="7" t="s">
        <v>4</v>
      </c>
      <c r="V169">
        <v>26.21</v>
      </c>
      <c r="W169" s="7" t="s">
        <v>4</v>
      </c>
      <c r="X169" s="7">
        <v>149.36000000000001</v>
      </c>
      <c r="Y169" s="7">
        <v>119.06</v>
      </c>
      <c r="Z169" s="7">
        <v>1.95</v>
      </c>
      <c r="AA169" s="7">
        <v>8.24</v>
      </c>
      <c r="AB169" s="7">
        <v>200.5</v>
      </c>
      <c r="AC169">
        <v>27.28</v>
      </c>
      <c r="AD169" s="7" t="s">
        <v>4</v>
      </c>
      <c r="AE169" s="7" t="s">
        <v>4</v>
      </c>
      <c r="AF169">
        <v>49.23</v>
      </c>
      <c r="AG169" s="7">
        <v>89.11</v>
      </c>
      <c r="AH169" s="7" t="s">
        <v>4</v>
      </c>
      <c r="AI169" s="7" t="s">
        <v>4</v>
      </c>
      <c r="AJ169">
        <v>59.18</v>
      </c>
      <c r="AK169" s="7" t="s">
        <v>4</v>
      </c>
      <c r="AL169" s="7" t="s">
        <v>4</v>
      </c>
      <c r="AM169" s="7" t="s">
        <v>4</v>
      </c>
      <c r="AN169" s="7">
        <v>10.28</v>
      </c>
      <c r="AO169" s="7">
        <v>10.69</v>
      </c>
      <c r="AP169" s="7" t="s">
        <v>4</v>
      </c>
      <c r="AQ169" s="7" t="s">
        <v>4</v>
      </c>
      <c r="AR169" s="7" t="s">
        <v>4</v>
      </c>
      <c r="AS169">
        <v>8.7899999999999991</v>
      </c>
      <c r="AT169" s="7" t="s">
        <v>5</v>
      </c>
      <c r="AU169" s="7" t="s">
        <v>4</v>
      </c>
      <c r="AV169" s="7">
        <v>467.07</v>
      </c>
      <c r="AW169" s="7" t="s">
        <v>5</v>
      </c>
      <c r="AX169" s="7">
        <v>404.8</v>
      </c>
      <c r="AY169" s="7">
        <v>292.01</v>
      </c>
      <c r="AZ169" s="7" t="s">
        <v>4</v>
      </c>
      <c r="BA169" s="7" t="s">
        <v>4</v>
      </c>
      <c r="BB169" s="7" t="s">
        <v>4</v>
      </c>
      <c r="BC169">
        <v>5.75</v>
      </c>
      <c r="BD169" s="7">
        <v>2.61</v>
      </c>
      <c r="BE169" s="7" t="s">
        <v>4</v>
      </c>
      <c r="BF169" s="7" t="s">
        <v>4</v>
      </c>
      <c r="BG169" s="7">
        <v>8.99</v>
      </c>
      <c r="BH169" s="7" t="s">
        <v>4</v>
      </c>
    </row>
    <row r="170" spans="1:60">
      <c r="A170">
        <v>82</v>
      </c>
      <c r="B170" t="s">
        <v>340</v>
      </c>
      <c r="C170" t="s">
        <v>341</v>
      </c>
      <c r="D170" s="7" t="s">
        <v>4</v>
      </c>
      <c r="E170" s="7" t="s">
        <v>4</v>
      </c>
      <c r="F170" s="7" t="s">
        <v>5</v>
      </c>
      <c r="G170" s="7" t="s">
        <v>5</v>
      </c>
      <c r="H170" s="7">
        <v>2.56</v>
      </c>
      <c r="I170" s="7">
        <v>5.75</v>
      </c>
      <c r="J170" s="7" t="s">
        <v>4</v>
      </c>
      <c r="K170" s="7">
        <v>330.01</v>
      </c>
      <c r="L170" s="7" t="s">
        <v>4</v>
      </c>
      <c r="M170" s="7" t="s">
        <v>4</v>
      </c>
      <c r="N170" s="7" t="s">
        <v>4</v>
      </c>
      <c r="O170" s="7">
        <v>4.13</v>
      </c>
      <c r="P170">
        <v>20.34</v>
      </c>
      <c r="Q170" s="7" t="s">
        <v>4</v>
      </c>
      <c r="R170" s="7">
        <v>5.07</v>
      </c>
      <c r="S170" s="7" t="s">
        <v>4</v>
      </c>
      <c r="T170" s="7">
        <v>3.83</v>
      </c>
      <c r="U170" s="7" t="s">
        <v>4</v>
      </c>
      <c r="V170">
        <v>11.87</v>
      </c>
      <c r="W170" s="7" t="s">
        <v>4</v>
      </c>
      <c r="X170" s="7">
        <v>147.16</v>
      </c>
      <c r="Y170" s="7">
        <v>270.74</v>
      </c>
      <c r="Z170" s="7">
        <v>1.38</v>
      </c>
      <c r="AA170" s="7">
        <v>2.0299999999999998</v>
      </c>
      <c r="AB170" s="7">
        <v>20.62</v>
      </c>
      <c r="AC170">
        <v>9.2100000000000009</v>
      </c>
      <c r="AD170" s="7">
        <v>1.47</v>
      </c>
      <c r="AE170" s="7" t="s">
        <v>4</v>
      </c>
      <c r="AF170">
        <v>31.62</v>
      </c>
      <c r="AG170" s="7">
        <v>74.989999999999995</v>
      </c>
      <c r="AH170" s="7" t="s">
        <v>4</v>
      </c>
      <c r="AI170" s="7" t="s">
        <v>4</v>
      </c>
      <c r="AJ170">
        <v>33.43</v>
      </c>
      <c r="AK170" s="7" t="s">
        <v>4</v>
      </c>
      <c r="AL170" s="7" t="s">
        <v>4</v>
      </c>
      <c r="AM170" s="7" t="s">
        <v>4</v>
      </c>
      <c r="AN170" s="7" t="s">
        <v>4</v>
      </c>
      <c r="AO170" s="7">
        <v>6.77</v>
      </c>
      <c r="AP170" s="7" t="s">
        <v>4</v>
      </c>
      <c r="AQ170" s="7" t="s">
        <v>4</v>
      </c>
      <c r="AR170" s="7" t="s">
        <v>4</v>
      </c>
      <c r="AS170">
        <v>4.38</v>
      </c>
      <c r="AT170" s="7">
        <v>10.78</v>
      </c>
      <c r="AU170" s="7" t="s">
        <v>4</v>
      </c>
      <c r="AV170" s="7" t="s">
        <v>4</v>
      </c>
      <c r="AW170" s="7" t="s">
        <v>4</v>
      </c>
      <c r="AX170" s="7" t="s">
        <v>4</v>
      </c>
      <c r="AY170" s="7" t="s">
        <v>4</v>
      </c>
      <c r="AZ170" s="7" t="s">
        <v>4</v>
      </c>
      <c r="BA170" s="7" t="s">
        <v>4</v>
      </c>
      <c r="BB170" s="7" t="s">
        <v>4</v>
      </c>
      <c r="BC170">
        <v>5.84</v>
      </c>
      <c r="BD170" s="7" t="s">
        <v>4</v>
      </c>
      <c r="BE170" s="7" t="s">
        <v>4</v>
      </c>
      <c r="BF170" s="7" t="s">
        <v>4</v>
      </c>
      <c r="BG170" s="7" t="s">
        <v>4</v>
      </c>
      <c r="BH170" s="7" t="s">
        <v>4</v>
      </c>
    </row>
    <row r="171" spans="1:60">
      <c r="A171">
        <v>83</v>
      </c>
      <c r="B171" t="s">
        <v>342</v>
      </c>
      <c r="C171" t="s">
        <v>343</v>
      </c>
      <c r="D171" s="7" t="s">
        <v>4</v>
      </c>
      <c r="E171" s="7">
        <v>10.75</v>
      </c>
      <c r="F171" s="7" t="s">
        <v>5</v>
      </c>
      <c r="G171" s="7">
        <v>31.58</v>
      </c>
      <c r="H171" s="7">
        <v>4.68</v>
      </c>
      <c r="I171" s="7">
        <v>12.81</v>
      </c>
      <c r="J171" s="7" t="s">
        <v>4</v>
      </c>
      <c r="K171" s="7" t="s">
        <v>5</v>
      </c>
      <c r="L171" s="7" t="s">
        <v>4</v>
      </c>
      <c r="M171" s="7" t="s">
        <v>4</v>
      </c>
      <c r="N171" s="7" t="s">
        <v>4</v>
      </c>
      <c r="O171" s="7">
        <v>10.64</v>
      </c>
      <c r="P171">
        <v>27.09</v>
      </c>
      <c r="Q171" s="7" t="s">
        <v>4</v>
      </c>
      <c r="R171" s="7">
        <v>10.050000000000001</v>
      </c>
      <c r="S171" s="7" t="s">
        <v>4</v>
      </c>
      <c r="T171" s="7">
        <v>2.95</v>
      </c>
      <c r="U171" s="7" t="s">
        <v>4</v>
      </c>
      <c r="V171">
        <v>13.21</v>
      </c>
      <c r="W171" s="7" t="s">
        <v>4</v>
      </c>
      <c r="X171" s="7">
        <v>353.4</v>
      </c>
      <c r="Y171" s="7">
        <v>371.55</v>
      </c>
      <c r="Z171" s="7">
        <v>1.18</v>
      </c>
      <c r="AA171" s="7">
        <v>4.55</v>
      </c>
      <c r="AB171" s="7">
        <v>46.5</v>
      </c>
      <c r="AC171">
        <v>7.47</v>
      </c>
      <c r="AD171" s="7">
        <v>1.67</v>
      </c>
      <c r="AE171" s="7" t="s">
        <v>4</v>
      </c>
      <c r="AF171">
        <v>120.9</v>
      </c>
      <c r="AG171" s="7">
        <v>154.43</v>
      </c>
      <c r="AH171" s="7">
        <v>5.47</v>
      </c>
      <c r="AI171" s="7" t="s">
        <v>4</v>
      </c>
      <c r="AJ171">
        <v>118.33</v>
      </c>
      <c r="AK171" s="7" t="s">
        <v>4</v>
      </c>
      <c r="AL171" s="7" t="s">
        <v>4</v>
      </c>
      <c r="AM171" s="7" t="s">
        <v>4</v>
      </c>
      <c r="AN171" s="7">
        <v>9.2200000000000006</v>
      </c>
      <c r="AO171" s="7">
        <v>8.4499999999999993</v>
      </c>
      <c r="AP171" s="7" t="s">
        <v>4</v>
      </c>
      <c r="AQ171" s="7" t="s">
        <v>4</v>
      </c>
      <c r="AR171" s="7" t="s">
        <v>4</v>
      </c>
      <c r="AS171">
        <v>8.9</v>
      </c>
      <c r="AT171" s="7">
        <v>13.16</v>
      </c>
      <c r="AU171" s="7" t="s">
        <v>4</v>
      </c>
      <c r="AV171" s="7" t="s">
        <v>4</v>
      </c>
      <c r="AW171" s="7" t="s">
        <v>4</v>
      </c>
      <c r="AX171" s="7" t="s">
        <v>4</v>
      </c>
      <c r="AY171" s="7" t="s">
        <v>4</v>
      </c>
      <c r="AZ171" s="7" t="s">
        <v>4</v>
      </c>
      <c r="BA171" s="7" t="s">
        <v>4</v>
      </c>
      <c r="BB171" s="7" t="s">
        <v>4</v>
      </c>
      <c r="BC171">
        <v>18.64</v>
      </c>
      <c r="BD171" s="7" t="s">
        <v>4</v>
      </c>
      <c r="BE171" s="7" t="s">
        <v>4</v>
      </c>
      <c r="BF171" s="7" t="s">
        <v>4</v>
      </c>
      <c r="BG171" s="7">
        <v>1.54</v>
      </c>
      <c r="BH171" s="7" t="s">
        <v>4</v>
      </c>
    </row>
    <row r="172" spans="1:60">
      <c r="A172">
        <v>191</v>
      </c>
      <c r="B172" t="s">
        <v>344</v>
      </c>
      <c r="C172" t="s">
        <v>345</v>
      </c>
      <c r="D172" s="7" t="s">
        <v>4</v>
      </c>
      <c r="E172" s="7" t="s">
        <v>5</v>
      </c>
      <c r="F172" s="7" t="s">
        <v>5</v>
      </c>
      <c r="G172" s="7" t="s">
        <v>5</v>
      </c>
      <c r="H172" s="7">
        <v>5.69</v>
      </c>
      <c r="I172" s="7">
        <v>15.94</v>
      </c>
      <c r="J172" s="7" t="s">
        <v>4</v>
      </c>
      <c r="K172" s="7" t="s">
        <v>5</v>
      </c>
      <c r="L172" s="7">
        <v>2.85</v>
      </c>
      <c r="M172" s="7">
        <v>13.5</v>
      </c>
      <c r="N172" s="7" t="s">
        <v>4</v>
      </c>
      <c r="O172" s="7">
        <v>82.8</v>
      </c>
      <c r="P172">
        <v>42.02</v>
      </c>
      <c r="Q172" s="7" t="s">
        <v>4</v>
      </c>
      <c r="R172" s="7">
        <v>270.39</v>
      </c>
      <c r="S172" s="7" t="s">
        <v>4</v>
      </c>
      <c r="T172" s="7">
        <v>6.26</v>
      </c>
      <c r="U172" s="7" t="s">
        <v>4</v>
      </c>
      <c r="V172">
        <v>87.47</v>
      </c>
      <c r="W172" s="7">
        <v>3.58</v>
      </c>
      <c r="X172" s="7">
        <v>792.12</v>
      </c>
      <c r="Y172" s="7">
        <v>267.27999999999997</v>
      </c>
      <c r="Z172" s="7" t="s">
        <v>4</v>
      </c>
      <c r="AA172" s="7">
        <v>13.38</v>
      </c>
      <c r="AB172" s="7">
        <v>131.24</v>
      </c>
      <c r="AC172">
        <v>34.61</v>
      </c>
      <c r="AD172" s="7" t="s">
        <v>4</v>
      </c>
      <c r="AE172" s="7" t="s">
        <v>4</v>
      </c>
      <c r="AF172">
        <v>246.84</v>
      </c>
      <c r="AG172" s="7">
        <v>99.03</v>
      </c>
      <c r="AH172" s="7">
        <v>3.78</v>
      </c>
      <c r="AI172" s="7" t="s">
        <v>4</v>
      </c>
      <c r="AJ172">
        <v>141.99</v>
      </c>
      <c r="AK172" s="7" t="s">
        <v>4</v>
      </c>
      <c r="AL172" s="7" t="s">
        <v>4</v>
      </c>
      <c r="AM172" s="7" t="s">
        <v>4</v>
      </c>
      <c r="AN172" s="7">
        <v>49.79</v>
      </c>
      <c r="AO172" s="7">
        <v>30.82</v>
      </c>
      <c r="AP172" s="7" t="s">
        <v>4</v>
      </c>
      <c r="AQ172" s="7" t="s">
        <v>4</v>
      </c>
      <c r="AR172" s="7" t="s">
        <v>4</v>
      </c>
      <c r="AS172">
        <v>32.869999999999997</v>
      </c>
      <c r="AT172" s="7">
        <v>199.54</v>
      </c>
      <c r="AU172" s="7" t="s">
        <v>4</v>
      </c>
      <c r="AV172" s="7" t="s">
        <v>4</v>
      </c>
      <c r="AW172" s="7">
        <v>93.74</v>
      </c>
      <c r="AX172" s="7">
        <v>44.52</v>
      </c>
      <c r="AY172" s="7">
        <v>38.17</v>
      </c>
      <c r="AZ172" s="7">
        <v>6.89</v>
      </c>
      <c r="BA172" s="7">
        <v>5.0199999999999996</v>
      </c>
      <c r="BB172" s="7" t="s">
        <v>4</v>
      </c>
      <c r="BC172">
        <v>72.599999999999994</v>
      </c>
      <c r="BD172" s="7">
        <v>10.75</v>
      </c>
      <c r="BE172" s="7" t="s">
        <v>4</v>
      </c>
      <c r="BF172" s="7" t="s">
        <v>4</v>
      </c>
      <c r="BG172" s="7">
        <v>14.61</v>
      </c>
      <c r="BH172" s="7" t="s">
        <v>4</v>
      </c>
    </row>
    <row r="173" spans="1:60">
      <c r="A173">
        <v>165</v>
      </c>
      <c r="B173" t="s">
        <v>346</v>
      </c>
      <c r="C173" t="s">
        <v>347</v>
      </c>
      <c r="D173" s="7">
        <v>3.89</v>
      </c>
      <c r="E173" s="7" t="s">
        <v>5</v>
      </c>
      <c r="F173" s="7" t="s">
        <v>5</v>
      </c>
      <c r="G173" s="7">
        <v>22.76</v>
      </c>
      <c r="H173" s="7" t="s">
        <v>4</v>
      </c>
      <c r="I173" s="7">
        <v>20.91</v>
      </c>
      <c r="J173" s="7" t="s">
        <v>4</v>
      </c>
      <c r="K173" s="7">
        <v>322.01</v>
      </c>
      <c r="L173" s="7" t="s">
        <v>4</v>
      </c>
      <c r="M173" s="7">
        <v>17.48</v>
      </c>
      <c r="N173" s="7" t="s">
        <v>4</v>
      </c>
      <c r="O173" s="7">
        <v>62.38</v>
      </c>
      <c r="P173">
        <v>36.659999999999997</v>
      </c>
      <c r="Q173" s="7" t="s">
        <v>4</v>
      </c>
      <c r="R173" s="7">
        <v>34.39</v>
      </c>
      <c r="S173" s="7" t="s">
        <v>4</v>
      </c>
      <c r="T173" s="7">
        <v>28.69</v>
      </c>
      <c r="U173" s="7" t="s">
        <v>4</v>
      </c>
      <c r="V173">
        <v>32.729999999999997</v>
      </c>
      <c r="W173" s="7">
        <v>3.6</v>
      </c>
      <c r="X173" s="7">
        <v>2212.1799999999998</v>
      </c>
      <c r="Y173" s="7">
        <v>54.95</v>
      </c>
      <c r="Z173" s="7" t="s">
        <v>4</v>
      </c>
      <c r="AA173" s="7">
        <v>3.63</v>
      </c>
      <c r="AB173" s="7">
        <v>254</v>
      </c>
      <c r="AC173">
        <v>15.26</v>
      </c>
      <c r="AD173" s="7" t="s">
        <v>4</v>
      </c>
      <c r="AE173" s="7" t="s">
        <v>4</v>
      </c>
      <c r="AF173">
        <v>157.94</v>
      </c>
      <c r="AG173" s="7">
        <v>34.119999999999997</v>
      </c>
      <c r="AH173" s="7">
        <v>12.57</v>
      </c>
      <c r="AI173" s="7" t="s">
        <v>4</v>
      </c>
      <c r="AJ173">
        <v>182.32</v>
      </c>
      <c r="AK173" s="7" t="s">
        <v>4</v>
      </c>
      <c r="AL173" s="7" t="s">
        <v>4</v>
      </c>
      <c r="AM173" s="7" t="s">
        <v>4</v>
      </c>
      <c r="AN173" s="7">
        <v>20.76</v>
      </c>
      <c r="AO173" s="7">
        <v>6.11</v>
      </c>
      <c r="AP173" s="7" t="s">
        <v>4</v>
      </c>
      <c r="AQ173" s="7" t="s">
        <v>4</v>
      </c>
      <c r="AR173" s="7">
        <v>9.7799999999999994</v>
      </c>
      <c r="AS173">
        <v>40.21</v>
      </c>
      <c r="AT173" s="7">
        <v>21.68</v>
      </c>
      <c r="AU173" s="7" t="s">
        <v>4</v>
      </c>
      <c r="AV173" s="7" t="s">
        <v>4</v>
      </c>
      <c r="AW173" s="7" t="s">
        <v>4</v>
      </c>
      <c r="AX173" s="7" t="s">
        <v>4</v>
      </c>
      <c r="AY173" s="7" t="s">
        <v>4</v>
      </c>
      <c r="AZ173" s="7">
        <v>5.65</v>
      </c>
      <c r="BA173" s="7" t="s">
        <v>4</v>
      </c>
      <c r="BB173" s="7">
        <v>1.1499999999999999</v>
      </c>
      <c r="BC173">
        <v>22.11</v>
      </c>
      <c r="BD173" s="7" t="s">
        <v>4</v>
      </c>
      <c r="BE173" s="7" t="s">
        <v>4</v>
      </c>
      <c r="BF173" s="7" t="s">
        <v>4</v>
      </c>
      <c r="BG173" s="7">
        <v>5.95</v>
      </c>
      <c r="BH173" s="7" t="s">
        <v>4</v>
      </c>
    </row>
    <row r="174" spans="1:60">
      <c r="A174">
        <v>12</v>
      </c>
      <c r="B174" t="s">
        <v>348</v>
      </c>
      <c r="C174" t="s">
        <v>349</v>
      </c>
      <c r="D174" s="7" t="s">
        <v>4</v>
      </c>
      <c r="E174" s="7">
        <v>12.21</v>
      </c>
      <c r="F174" s="7" t="s">
        <v>5</v>
      </c>
      <c r="G174" s="7" t="s">
        <v>5</v>
      </c>
      <c r="H174" s="7">
        <v>14.11</v>
      </c>
      <c r="I174" s="7" t="s">
        <v>5</v>
      </c>
      <c r="J174" s="7" t="s">
        <v>4</v>
      </c>
      <c r="K174" s="7" t="s">
        <v>5</v>
      </c>
      <c r="L174" s="7">
        <v>5.86</v>
      </c>
      <c r="M174" s="7">
        <v>167.6</v>
      </c>
      <c r="N174" s="7">
        <v>6.21</v>
      </c>
      <c r="O174" s="7">
        <v>250.59</v>
      </c>
      <c r="P174">
        <v>279.95</v>
      </c>
      <c r="Q174" s="7" t="s">
        <v>4</v>
      </c>
      <c r="R174" s="7">
        <v>108.28</v>
      </c>
      <c r="S174" s="7" t="s">
        <v>4</v>
      </c>
      <c r="T174" s="7">
        <v>8.25</v>
      </c>
      <c r="U174" s="7" t="s">
        <v>4</v>
      </c>
      <c r="V174">
        <v>64.44</v>
      </c>
      <c r="W174" s="7">
        <v>29.45</v>
      </c>
      <c r="X174" s="7">
        <v>1558.46</v>
      </c>
      <c r="Y174" s="7" t="s">
        <v>5</v>
      </c>
      <c r="Z174" s="7" t="s">
        <v>4</v>
      </c>
      <c r="AA174" s="7">
        <v>13.76</v>
      </c>
      <c r="AB174" s="7">
        <v>923.06</v>
      </c>
      <c r="AC174">
        <v>46.04</v>
      </c>
      <c r="AD174" s="7">
        <v>2.52</v>
      </c>
      <c r="AE174" s="7" t="s">
        <v>4</v>
      </c>
      <c r="AF174">
        <v>278.26</v>
      </c>
      <c r="AG174" s="7">
        <v>189.64</v>
      </c>
      <c r="AH174" s="7">
        <v>6.78</v>
      </c>
      <c r="AI174" s="7" t="s">
        <v>4</v>
      </c>
      <c r="AJ174">
        <v>342.46</v>
      </c>
      <c r="AK174" s="7" t="s">
        <v>4</v>
      </c>
      <c r="AL174" s="7" t="s">
        <v>4</v>
      </c>
      <c r="AM174" s="7" t="s">
        <v>4</v>
      </c>
      <c r="AN174" s="7">
        <v>58.53</v>
      </c>
      <c r="AO174" s="7">
        <v>27.64</v>
      </c>
      <c r="AP174" s="7" t="s">
        <v>4</v>
      </c>
      <c r="AQ174" s="7" t="s">
        <v>4</v>
      </c>
      <c r="AR174" s="7" t="s">
        <v>4</v>
      </c>
      <c r="AS174">
        <v>67.87</v>
      </c>
      <c r="AT174" s="7">
        <v>5.38</v>
      </c>
      <c r="AU174" s="7" t="s">
        <v>4</v>
      </c>
      <c r="AV174" s="7" t="s">
        <v>4</v>
      </c>
      <c r="AW174" s="7" t="s">
        <v>4</v>
      </c>
      <c r="AX174" s="7" t="s">
        <v>4</v>
      </c>
      <c r="AY174" s="7" t="s">
        <v>4</v>
      </c>
      <c r="AZ174" s="7" t="s">
        <v>4</v>
      </c>
      <c r="BA174" s="7" t="s">
        <v>4</v>
      </c>
      <c r="BB174" s="7" t="s">
        <v>4</v>
      </c>
      <c r="BC174">
        <v>56.36</v>
      </c>
      <c r="BD174" s="7">
        <v>1.1499999999999999</v>
      </c>
      <c r="BE174" s="7" t="s">
        <v>4</v>
      </c>
      <c r="BF174" s="7" t="s">
        <v>4</v>
      </c>
      <c r="BG174" s="7">
        <v>6.85</v>
      </c>
      <c r="BH174" s="7" t="s">
        <v>4</v>
      </c>
    </row>
    <row r="175" spans="1:60">
      <c r="A175">
        <v>75</v>
      </c>
      <c r="B175" t="s">
        <v>350</v>
      </c>
      <c r="C175" t="s">
        <v>351</v>
      </c>
      <c r="D175" s="7" t="s">
        <v>4</v>
      </c>
      <c r="E175" s="7">
        <v>36.659999999999997</v>
      </c>
      <c r="F175" s="7" t="s">
        <v>5</v>
      </c>
      <c r="G175" s="7">
        <v>18.77</v>
      </c>
      <c r="H175" s="7">
        <v>2.41</v>
      </c>
      <c r="I175" s="7">
        <v>30.06</v>
      </c>
      <c r="J175" s="7" t="s">
        <v>4</v>
      </c>
      <c r="K175" s="7" t="s">
        <v>5</v>
      </c>
      <c r="L175" s="7" t="s">
        <v>4</v>
      </c>
      <c r="M175" s="7">
        <v>6.87</v>
      </c>
      <c r="N175" s="7" t="s">
        <v>4</v>
      </c>
      <c r="O175" s="7">
        <v>178.18</v>
      </c>
      <c r="P175">
        <v>68.58</v>
      </c>
      <c r="Q175" s="7" t="s">
        <v>4</v>
      </c>
      <c r="R175" s="7">
        <v>114.49</v>
      </c>
      <c r="S175" s="7" t="s">
        <v>4</v>
      </c>
      <c r="T175" s="7">
        <v>2.1800000000000002</v>
      </c>
      <c r="U175" s="7" t="s">
        <v>4</v>
      </c>
      <c r="V175">
        <v>30.56</v>
      </c>
      <c r="W175" s="7">
        <v>3.77</v>
      </c>
      <c r="X175" s="7">
        <v>1364.95</v>
      </c>
      <c r="Y175" s="7">
        <v>223.83</v>
      </c>
      <c r="Z175" s="7">
        <v>3.48</v>
      </c>
      <c r="AA175" s="7">
        <v>11.9</v>
      </c>
      <c r="AB175" s="7">
        <v>313.81</v>
      </c>
      <c r="AC175">
        <v>32.24</v>
      </c>
      <c r="AD175" s="7" t="s">
        <v>4</v>
      </c>
      <c r="AE175" s="7" t="s">
        <v>4</v>
      </c>
      <c r="AF175">
        <v>139.19999999999999</v>
      </c>
      <c r="AG175" s="7">
        <v>117.82</v>
      </c>
      <c r="AH175" s="7">
        <v>12.57</v>
      </c>
      <c r="AI175" s="7" t="s">
        <v>4</v>
      </c>
      <c r="AJ175">
        <v>213.79</v>
      </c>
      <c r="AK175" s="7" t="s">
        <v>4</v>
      </c>
      <c r="AL175" s="7">
        <v>3.19</v>
      </c>
      <c r="AM175" s="7" t="s">
        <v>4</v>
      </c>
      <c r="AN175" s="7">
        <v>38.54</v>
      </c>
      <c r="AO175" s="7">
        <v>25.33</v>
      </c>
      <c r="AP175" s="7" t="s">
        <v>4</v>
      </c>
      <c r="AQ175" s="7" t="s">
        <v>4</v>
      </c>
      <c r="AR175" s="7" t="s">
        <v>4</v>
      </c>
      <c r="AS175">
        <v>76.86</v>
      </c>
      <c r="AT175" s="7" t="s">
        <v>5</v>
      </c>
      <c r="AU175" s="7" t="s">
        <v>4</v>
      </c>
      <c r="AV175" s="7">
        <v>339.13</v>
      </c>
      <c r="AW175" s="7" t="s">
        <v>5</v>
      </c>
      <c r="AX175" s="7">
        <v>583.66</v>
      </c>
      <c r="AY175" s="7">
        <v>336.51</v>
      </c>
      <c r="AZ175" s="7" t="s">
        <v>4</v>
      </c>
      <c r="BA175" s="7" t="s">
        <v>4</v>
      </c>
      <c r="BB175" s="7" t="s">
        <v>4</v>
      </c>
      <c r="BC175">
        <v>20.49</v>
      </c>
      <c r="BD175" s="7">
        <v>1.26</v>
      </c>
      <c r="BE175" s="7" t="s">
        <v>4</v>
      </c>
      <c r="BF175" s="7" t="s">
        <v>4</v>
      </c>
      <c r="BG175" s="7">
        <v>9.07</v>
      </c>
      <c r="BH175" s="7" t="s">
        <v>4</v>
      </c>
    </row>
    <row r="176" spans="1:60">
      <c r="A176">
        <v>168</v>
      </c>
      <c r="B176" t="s">
        <v>352</v>
      </c>
      <c r="C176" t="s">
        <v>353</v>
      </c>
      <c r="D176" s="7" t="s">
        <v>4</v>
      </c>
      <c r="E176" s="7">
        <v>22.98</v>
      </c>
      <c r="F176" s="7" t="s">
        <v>5</v>
      </c>
      <c r="G176" s="7" t="s">
        <v>5</v>
      </c>
      <c r="H176" s="7" t="s">
        <v>4</v>
      </c>
      <c r="I176" s="7">
        <v>2.2400000000000002</v>
      </c>
      <c r="J176" s="7" t="s">
        <v>4</v>
      </c>
      <c r="K176" s="7" t="s">
        <v>5</v>
      </c>
      <c r="L176" s="7" t="s">
        <v>4</v>
      </c>
      <c r="M176" s="7">
        <v>4.1399999999999997</v>
      </c>
      <c r="N176" s="7" t="s">
        <v>4</v>
      </c>
      <c r="O176" s="7">
        <v>29.31</v>
      </c>
      <c r="P176">
        <v>23.12</v>
      </c>
      <c r="Q176" s="7" t="s">
        <v>4</v>
      </c>
      <c r="R176" s="7">
        <v>51.64</v>
      </c>
      <c r="S176" s="7" t="s">
        <v>4</v>
      </c>
      <c r="T176" s="7">
        <v>2.2200000000000002</v>
      </c>
      <c r="U176" s="7" t="s">
        <v>4</v>
      </c>
      <c r="V176">
        <v>27.33</v>
      </c>
      <c r="W176" s="7" t="s">
        <v>4</v>
      </c>
      <c r="X176" s="7">
        <v>331.88</v>
      </c>
      <c r="Y176" s="7">
        <v>23.99</v>
      </c>
      <c r="Z176" s="7" t="s">
        <v>4</v>
      </c>
      <c r="AA176" s="7">
        <v>6.55</v>
      </c>
      <c r="AB176" s="7">
        <v>54.86</v>
      </c>
      <c r="AC176">
        <v>10.98</v>
      </c>
      <c r="AD176" s="7" t="s">
        <v>4</v>
      </c>
      <c r="AE176" s="7" t="s">
        <v>4</v>
      </c>
      <c r="AF176">
        <v>47.04</v>
      </c>
      <c r="AG176" s="7">
        <v>12.43</v>
      </c>
      <c r="AH176" s="7">
        <v>4.43</v>
      </c>
      <c r="AI176" s="7" t="s">
        <v>4</v>
      </c>
      <c r="AJ176">
        <v>69.790000000000006</v>
      </c>
      <c r="AK176" s="7" t="s">
        <v>4</v>
      </c>
      <c r="AL176" s="7" t="s">
        <v>4</v>
      </c>
      <c r="AM176" s="7" t="s">
        <v>4</v>
      </c>
      <c r="AN176" s="7">
        <v>8.3000000000000007</v>
      </c>
      <c r="AO176" s="7" t="s">
        <v>4</v>
      </c>
      <c r="AP176" s="7" t="s">
        <v>4</v>
      </c>
      <c r="AQ176" s="7" t="s">
        <v>4</v>
      </c>
      <c r="AR176" s="7" t="s">
        <v>4</v>
      </c>
      <c r="AS176">
        <v>6.92</v>
      </c>
      <c r="AT176" s="7">
        <v>17.309999999999999</v>
      </c>
      <c r="AU176" s="7" t="s">
        <v>4</v>
      </c>
      <c r="AV176" s="7" t="s">
        <v>4</v>
      </c>
      <c r="AW176" s="7" t="s">
        <v>4</v>
      </c>
      <c r="AX176" s="7" t="s">
        <v>4</v>
      </c>
      <c r="AY176" s="7" t="s">
        <v>4</v>
      </c>
      <c r="AZ176" s="7" t="s">
        <v>4</v>
      </c>
      <c r="BA176" s="7" t="s">
        <v>4</v>
      </c>
      <c r="BB176" s="7" t="s">
        <v>4</v>
      </c>
      <c r="BC176">
        <v>3.68</v>
      </c>
      <c r="BD176" s="7" t="s">
        <v>4</v>
      </c>
      <c r="BE176" s="7" t="s">
        <v>4</v>
      </c>
      <c r="BF176" s="7" t="s">
        <v>4</v>
      </c>
      <c r="BG176" s="7" t="s">
        <v>4</v>
      </c>
      <c r="BH176" s="7" t="s">
        <v>4</v>
      </c>
    </row>
    <row r="177" spans="1:60">
      <c r="A177">
        <v>84</v>
      </c>
      <c r="B177" t="s">
        <v>354</v>
      </c>
      <c r="C177" t="s">
        <v>355</v>
      </c>
      <c r="D177" s="7" t="s">
        <v>4</v>
      </c>
      <c r="E177" s="7" t="s">
        <v>4</v>
      </c>
      <c r="F177" s="7" t="s">
        <v>5</v>
      </c>
      <c r="G177" s="7" t="s">
        <v>5</v>
      </c>
      <c r="H177" s="7">
        <v>8.15</v>
      </c>
      <c r="I177" s="7">
        <v>12.97</v>
      </c>
      <c r="J177" s="7" t="s">
        <v>4</v>
      </c>
      <c r="K177" s="7" t="s">
        <v>5</v>
      </c>
      <c r="L177" s="7" t="s">
        <v>4</v>
      </c>
      <c r="M177" s="7" t="s">
        <v>4</v>
      </c>
      <c r="N177" s="7" t="s">
        <v>4</v>
      </c>
      <c r="O177" s="7">
        <v>9.84</v>
      </c>
      <c r="P177">
        <v>19.38</v>
      </c>
      <c r="Q177" s="7" t="s">
        <v>4</v>
      </c>
      <c r="R177" s="7">
        <v>12.18</v>
      </c>
      <c r="S177" s="7" t="s">
        <v>4</v>
      </c>
      <c r="T177" s="7">
        <v>4.88</v>
      </c>
      <c r="U177" s="7" t="s">
        <v>4</v>
      </c>
      <c r="V177">
        <v>21.28</v>
      </c>
      <c r="W177" s="7" t="s">
        <v>4</v>
      </c>
      <c r="X177" s="7">
        <v>371.57</v>
      </c>
      <c r="Y177" s="7">
        <v>436.09</v>
      </c>
      <c r="Z177" s="7">
        <v>2.1</v>
      </c>
      <c r="AA177" s="7">
        <v>7.8</v>
      </c>
      <c r="AB177" s="7">
        <v>148.41999999999999</v>
      </c>
      <c r="AC177">
        <v>16.7</v>
      </c>
      <c r="AD177" s="7">
        <v>3.66</v>
      </c>
      <c r="AE177" s="7" t="s">
        <v>4</v>
      </c>
      <c r="AF177">
        <v>102.11</v>
      </c>
      <c r="AG177" s="7">
        <v>214.79</v>
      </c>
      <c r="AH177" s="7" t="s">
        <v>4</v>
      </c>
      <c r="AI177" s="7" t="s">
        <v>4</v>
      </c>
      <c r="AJ177">
        <v>210.33</v>
      </c>
      <c r="AK177" s="7" t="s">
        <v>4</v>
      </c>
      <c r="AL177" s="7" t="s">
        <v>4</v>
      </c>
      <c r="AM177" s="7" t="s">
        <v>4</v>
      </c>
      <c r="AN177" s="7">
        <v>9.42</v>
      </c>
      <c r="AO177" s="7">
        <v>16.309999999999999</v>
      </c>
      <c r="AP177" s="7" t="s">
        <v>4</v>
      </c>
      <c r="AQ177" s="7" t="s">
        <v>4</v>
      </c>
      <c r="AR177" s="7" t="s">
        <v>4</v>
      </c>
      <c r="AS177">
        <v>16.91</v>
      </c>
      <c r="AT177" s="7">
        <v>9.67</v>
      </c>
      <c r="AU177" s="7" t="s">
        <v>4</v>
      </c>
      <c r="AV177" s="7" t="s">
        <v>4</v>
      </c>
      <c r="AW177" s="7" t="s">
        <v>4</v>
      </c>
      <c r="AX177" s="7" t="s">
        <v>4</v>
      </c>
      <c r="AY177" s="7" t="s">
        <v>4</v>
      </c>
      <c r="AZ177" s="7" t="s">
        <v>4</v>
      </c>
      <c r="BA177" s="7" t="s">
        <v>4</v>
      </c>
      <c r="BB177" s="7" t="s">
        <v>4</v>
      </c>
      <c r="BC177">
        <v>16.899999999999999</v>
      </c>
      <c r="BD177" s="7" t="s">
        <v>4</v>
      </c>
      <c r="BE177" s="7" t="s">
        <v>4</v>
      </c>
      <c r="BF177" s="7" t="s">
        <v>4</v>
      </c>
      <c r="BG177" s="7">
        <v>5.77</v>
      </c>
      <c r="BH177" s="7" t="s">
        <v>4</v>
      </c>
    </row>
    <row r="178" spans="1:60">
      <c r="A178">
        <v>100</v>
      </c>
      <c r="B178" t="s">
        <v>356</v>
      </c>
      <c r="C178" t="s">
        <v>357</v>
      </c>
      <c r="D178" s="7" t="s">
        <v>4</v>
      </c>
      <c r="E178" s="7" t="s">
        <v>5</v>
      </c>
      <c r="F178" s="7">
        <v>35.549999999999997</v>
      </c>
      <c r="G178" s="7">
        <v>6.74</v>
      </c>
      <c r="H178" s="7" t="s">
        <v>4</v>
      </c>
      <c r="I178" s="7" t="s">
        <v>4</v>
      </c>
      <c r="J178" s="7" t="s">
        <v>4</v>
      </c>
      <c r="K178" s="7">
        <v>85.18</v>
      </c>
      <c r="L178" s="7" t="s">
        <v>4</v>
      </c>
      <c r="M178" s="7" t="s">
        <v>5</v>
      </c>
      <c r="N178" s="7" t="s">
        <v>4</v>
      </c>
      <c r="O178" s="7" t="s">
        <v>5</v>
      </c>
      <c r="P178" t="s">
        <v>5</v>
      </c>
      <c r="Q178" s="7" t="s">
        <v>4</v>
      </c>
      <c r="R178" s="7" t="s">
        <v>4</v>
      </c>
      <c r="S178" s="7" t="s">
        <v>4</v>
      </c>
      <c r="T178" s="7">
        <v>443.56</v>
      </c>
      <c r="U178" s="7" t="s">
        <v>4</v>
      </c>
      <c r="V178">
        <v>5.0599999999999996</v>
      </c>
      <c r="W178" s="7" t="s">
        <v>5</v>
      </c>
      <c r="X178" s="7" t="s">
        <v>5</v>
      </c>
      <c r="Y178" s="7" t="s">
        <v>5</v>
      </c>
      <c r="Z178" s="7" t="s">
        <v>4</v>
      </c>
      <c r="AA178" s="7">
        <v>309.66000000000003</v>
      </c>
      <c r="AB178" s="7" t="s">
        <v>5</v>
      </c>
      <c r="AC178">
        <v>89.35</v>
      </c>
      <c r="AD178" s="7" t="s">
        <v>4</v>
      </c>
      <c r="AE178" s="7" t="s">
        <v>4</v>
      </c>
      <c r="AF178" t="s">
        <v>5</v>
      </c>
      <c r="AG178" s="7" t="s">
        <v>4</v>
      </c>
      <c r="AH178" s="7">
        <v>1399.06</v>
      </c>
      <c r="AI178" s="7" t="s">
        <v>4</v>
      </c>
      <c r="AJ178" t="s">
        <v>5</v>
      </c>
      <c r="AK178" s="7">
        <v>15.19</v>
      </c>
      <c r="AL178" s="7">
        <v>21.9</v>
      </c>
      <c r="AM178" s="7" t="s">
        <v>4</v>
      </c>
      <c r="AN178" s="7">
        <v>196.31</v>
      </c>
      <c r="AO178" s="7" t="s">
        <v>4</v>
      </c>
      <c r="AP178" s="7" t="s">
        <v>4</v>
      </c>
      <c r="AQ178" s="7" t="s">
        <v>4</v>
      </c>
      <c r="AR178" s="7" t="s">
        <v>4</v>
      </c>
      <c r="AS178">
        <v>705.28</v>
      </c>
      <c r="AT178" s="7">
        <v>81.87</v>
      </c>
      <c r="AU178" s="7" t="s">
        <v>4</v>
      </c>
      <c r="AV178" s="7">
        <v>101.59</v>
      </c>
      <c r="AW178" s="7" t="s">
        <v>4</v>
      </c>
      <c r="AX178" s="7">
        <v>780.7</v>
      </c>
      <c r="AY178" s="7">
        <v>372.71</v>
      </c>
      <c r="AZ178" s="7">
        <v>37.200000000000003</v>
      </c>
      <c r="BA178" s="7" t="s">
        <v>4</v>
      </c>
      <c r="BB178" s="7">
        <v>5.03</v>
      </c>
      <c r="BC178">
        <v>4.8600000000000003</v>
      </c>
      <c r="BD178" s="7" t="s">
        <v>4</v>
      </c>
      <c r="BE178" s="7" t="s">
        <v>4</v>
      </c>
      <c r="BF178" s="7">
        <v>15.92</v>
      </c>
      <c r="BG178" s="7" t="s">
        <v>4</v>
      </c>
      <c r="BH178" s="7" t="s">
        <v>4</v>
      </c>
    </row>
    <row r="179" spans="1:60">
      <c r="A179">
        <v>77</v>
      </c>
      <c r="B179" t="s">
        <v>358</v>
      </c>
      <c r="C179" t="s">
        <v>359</v>
      </c>
      <c r="D179" s="7" t="s">
        <v>4</v>
      </c>
      <c r="E179" s="7" t="s">
        <v>5</v>
      </c>
      <c r="F179" s="7" t="s">
        <v>5</v>
      </c>
      <c r="G179" s="7">
        <v>13.14</v>
      </c>
      <c r="H179" s="7">
        <v>6.73</v>
      </c>
      <c r="I179" s="7" t="s">
        <v>5</v>
      </c>
      <c r="J179" s="7" t="s">
        <v>4</v>
      </c>
      <c r="K179" s="7" t="s">
        <v>5</v>
      </c>
      <c r="L179" s="7" t="s">
        <v>4</v>
      </c>
      <c r="M179" s="7">
        <v>87.49</v>
      </c>
      <c r="N179" s="7" t="s">
        <v>4</v>
      </c>
      <c r="O179" s="7">
        <v>885.81</v>
      </c>
      <c r="P179">
        <v>523.33000000000004</v>
      </c>
      <c r="Q179" s="7" t="s">
        <v>4</v>
      </c>
      <c r="R179" s="7">
        <v>292.25</v>
      </c>
      <c r="S179" s="7" t="s">
        <v>4</v>
      </c>
      <c r="T179" s="7">
        <v>59.48</v>
      </c>
      <c r="U179" s="7" t="s">
        <v>4</v>
      </c>
      <c r="V179">
        <v>125.33</v>
      </c>
      <c r="W179" s="7">
        <v>34.03</v>
      </c>
      <c r="X179" s="7" t="s">
        <v>5</v>
      </c>
      <c r="Y179" s="7" t="s">
        <v>5</v>
      </c>
      <c r="Z179" s="7">
        <v>3.76</v>
      </c>
      <c r="AA179" s="7">
        <v>31.52</v>
      </c>
      <c r="AB179" s="7" t="s">
        <v>5</v>
      </c>
      <c r="AC179">
        <v>130.28</v>
      </c>
      <c r="AD179" s="7">
        <v>1.8</v>
      </c>
      <c r="AE179" s="7" t="s">
        <v>4</v>
      </c>
      <c r="AF179">
        <v>713.13</v>
      </c>
      <c r="AG179" s="7">
        <v>611.73</v>
      </c>
      <c r="AH179" s="7">
        <v>40.08</v>
      </c>
      <c r="AI179" s="7" t="s">
        <v>4</v>
      </c>
      <c r="AJ179">
        <v>630.09</v>
      </c>
      <c r="AK179" s="7" t="s">
        <v>4</v>
      </c>
      <c r="AL179" s="7">
        <v>15.39</v>
      </c>
      <c r="AM179" s="7" t="s">
        <v>4</v>
      </c>
      <c r="AN179" s="7">
        <v>366.26</v>
      </c>
      <c r="AO179" s="7">
        <v>256.76</v>
      </c>
      <c r="AP179" s="7" t="s">
        <v>4</v>
      </c>
      <c r="AQ179" s="7" t="s">
        <v>4</v>
      </c>
      <c r="AR179" s="7" t="s">
        <v>4</v>
      </c>
      <c r="AS179">
        <v>233.73</v>
      </c>
      <c r="AT179" s="7" t="s">
        <v>5</v>
      </c>
      <c r="AU179" s="7" t="s">
        <v>4</v>
      </c>
      <c r="AV179" s="7" t="s">
        <v>5</v>
      </c>
      <c r="AW179" s="7" t="s">
        <v>5</v>
      </c>
      <c r="AX179" s="7" t="s">
        <v>5</v>
      </c>
      <c r="AY179" s="7">
        <v>438.54</v>
      </c>
      <c r="AZ179" s="7">
        <v>20.67</v>
      </c>
      <c r="BA179" s="7">
        <v>6.41</v>
      </c>
      <c r="BB179" s="7">
        <v>2.65</v>
      </c>
      <c r="BC179">
        <v>198.36</v>
      </c>
      <c r="BD179" s="7">
        <v>27.35</v>
      </c>
      <c r="BE179" s="7" t="s">
        <v>4</v>
      </c>
      <c r="BF179" s="7">
        <v>4.0199999999999996</v>
      </c>
      <c r="BG179" s="7">
        <v>82.48</v>
      </c>
      <c r="BH179" s="7" t="s">
        <v>4</v>
      </c>
    </row>
    <row r="180" spans="1:60">
      <c r="A180">
        <v>9</v>
      </c>
      <c r="B180" t="s">
        <v>360</v>
      </c>
      <c r="C180" t="s">
        <v>361</v>
      </c>
      <c r="D180" s="7" t="s">
        <v>4</v>
      </c>
      <c r="E180" s="7" t="s">
        <v>5</v>
      </c>
      <c r="F180" s="7" t="s">
        <v>5</v>
      </c>
      <c r="G180" s="7">
        <v>26.8</v>
      </c>
      <c r="H180" s="7">
        <v>2.2000000000000002</v>
      </c>
      <c r="I180" s="7">
        <v>20.68</v>
      </c>
      <c r="J180" s="7" t="s">
        <v>4</v>
      </c>
      <c r="K180" s="7">
        <v>497.21</v>
      </c>
      <c r="L180" s="7" t="s">
        <v>4</v>
      </c>
      <c r="M180" s="7">
        <v>289.77999999999997</v>
      </c>
      <c r="N180" s="7" t="s">
        <v>4</v>
      </c>
      <c r="O180" s="7">
        <v>389.05</v>
      </c>
      <c r="P180">
        <v>220.23</v>
      </c>
      <c r="Q180" s="7" t="s">
        <v>4</v>
      </c>
      <c r="R180" s="7">
        <v>16.809999999999999</v>
      </c>
      <c r="S180" s="7" t="s">
        <v>4</v>
      </c>
      <c r="T180" s="7">
        <v>16.399999999999999</v>
      </c>
      <c r="U180" s="7" t="s">
        <v>4</v>
      </c>
      <c r="V180">
        <v>18.03</v>
      </c>
      <c r="W180" s="7">
        <v>55.62</v>
      </c>
      <c r="X180" s="7" t="s">
        <v>5</v>
      </c>
      <c r="Y180" s="7" t="s">
        <v>5</v>
      </c>
      <c r="Z180" s="7" t="s">
        <v>4</v>
      </c>
      <c r="AA180" s="7">
        <v>4.59</v>
      </c>
      <c r="AB180" s="7">
        <v>587.21</v>
      </c>
      <c r="AC180">
        <v>40.049999999999997</v>
      </c>
      <c r="AD180" s="7" t="s">
        <v>4</v>
      </c>
      <c r="AE180" s="7" t="s">
        <v>4</v>
      </c>
      <c r="AF180">
        <v>16.63</v>
      </c>
      <c r="AG180" s="7">
        <v>20.75</v>
      </c>
      <c r="AH180" s="7" t="s">
        <v>4</v>
      </c>
      <c r="AI180" s="7" t="s">
        <v>4</v>
      </c>
      <c r="AJ180">
        <v>9.27</v>
      </c>
      <c r="AK180" s="7" t="s">
        <v>4</v>
      </c>
      <c r="AL180" s="7" t="s">
        <v>4</v>
      </c>
      <c r="AM180" s="7" t="s">
        <v>4</v>
      </c>
      <c r="AN180" s="7">
        <v>6.75</v>
      </c>
      <c r="AO180" s="7">
        <v>10.130000000000001</v>
      </c>
      <c r="AP180" s="7" t="s">
        <v>4</v>
      </c>
      <c r="AQ180" s="7" t="s">
        <v>4</v>
      </c>
      <c r="AR180" s="7" t="s">
        <v>4</v>
      </c>
      <c r="AS180">
        <v>2.5099999999999998</v>
      </c>
      <c r="AT180" s="7">
        <v>4.46</v>
      </c>
      <c r="AU180" s="7" t="s">
        <v>4</v>
      </c>
      <c r="AV180" s="7" t="s">
        <v>4</v>
      </c>
      <c r="AW180" s="7" t="s">
        <v>4</v>
      </c>
      <c r="AX180" s="7" t="s">
        <v>4</v>
      </c>
      <c r="AY180" s="7" t="s">
        <v>4</v>
      </c>
      <c r="AZ180" s="7" t="s">
        <v>4</v>
      </c>
      <c r="BA180" s="7" t="s">
        <v>4</v>
      </c>
      <c r="BB180" s="7" t="s">
        <v>4</v>
      </c>
      <c r="BC180">
        <v>9.64</v>
      </c>
      <c r="BD180" s="7" t="s">
        <v>4</v>
      </c>
      <c r="BE180" s="7" t="s">
        <v>4</v>
      </c>
      <c r="BF180" s="7" t="s">
        <v>4</v>
      </c>
      <c r="BG180" s="7" t="s">
        <v>4</v>
      </c>
      <c r="BH180" s="7" t="s">
        <v>4</v>
      </c>
    </row>
    <row r="181" spans="1:60">
      <c r="A181">
        <v>1</v>
      </c>
      <c r="B181" t="s">
        <v>362</v>
      </c>
      <c r="C181" t="s">
        <v>363</v>
      </c>
      <c r="D181" s="7" t="s">
        <v>4</v>
      </c>
      <c r="E181" s="7" t="s">
        <v>5</v>
      </c>
      <c r="F181" s="7" t="s">
        <v>5</v>
      </c>
      <c r="G181" s="7" t="s">
        <v>4</v>
      </c>
      <c r="H181" s="7">
        <v>4.41</v>
      </c>
      <c r="I181" s="7">
        <v>10.07</v>
      </c>
      <c r="J181" s="7" t="s">
        <v>4</v>
      </c>
      <c r="K181" s="7" t="s">
        <v>5</v>
      </c>
      <c r="L181" s="7" t="s">
        <v>4</v>
      </c>
      <c r="M181" s="7">
        <v>687.21</v>
      </c>
      <c r="N181" s="7" t="s">
        <v>4</v>
      </c>
      <c r="O181" s="7" t="s">
        <v>5</v>
      </c>
      <c r="P181" t="s">
        <v>5</v>
      </c>
      <c r="Q181" s="7" t="s">
        <v>4</v>
      </c>
      <c r="R181" s="7">
        <v>17.27</v>
      </c>
      <c r="S181" s="7">
        <v>5.39</v>
      </c>
      <c r="T181" s="7">
        <v>487.97</v>
      </c>
      <c r="U181" s="7" t="s">
        <v>4</v>
      </c>
      <c r="V181">
        <v>82.14</v>
      </c>
      <c r="W181" s="7">
        <v>904.07</v>
      </c>
      <c r="X181" s="7" t="s">
        <v>5</v>
      </c>
      <c r="Y181" s="7" t="s">
        <v>5</v>
      </c>
      <c r="Z181" s="7">
        <v>17.059999999999999</v>
      </c>
      <c r="AA181" s="7">
        <v>192.79</v>
      </c>
      <c r="AB181" s="7" t="s">
        <v>5</v>
      </c>
      <c r="AC181">
        <v>479.66</v>
      </c>
      <c r="AD181" s="7" t="s">
        <v>4</v>
      </c>
      <c r="AE181" s="7" t="s">
        <v>4</v>
      </c>
      <c r="AF181">
        <v>219.48</v>
      </c>
      <c r="AG181" s="7">
        <v>372.01</v>
      </c>
      <c r="AH181" s="7">
        <v>139.5</v>
      </c>
      <c r="AI181" s="7" t="s">
        <v>4</v>
      </c>
      <c r="AJ181">
        <v>278.3</v>
      </c>
      <c r="AK181" s="7" t="s">
        <v>4</v>
      </c>
      <c r="AL181" s="7">
        <v>36.729999999999997</v>
      </c>
      <c r="AM181" s="7" t="s">
        <v>4</v>
      </c>
      <c r="AN181" s="7">
        <v>91.61</v>
      </c>
      <c r="AO181" s="7">
        <v>60.44</v>
      </c>
      <c r="AP181" s="7" t="s">
        <v>4</v>
      </c>
      <c r="AQ181" s="7" t="s">
        <v>4</v>
      </c>
      <c r="AR181" s="7">
        <v>2.54</v>
      </c>
      <c r="AS181">
        <v>75.88</v>
      </c>
      <c r="AT181" s="7" t="s">
        <v>5</v>
      </c>
      <c r="AU181" s="7" t="s">
        <v>4</v>
      </c>
      <c r="AV181" s="7" t="s">
        <v>5</v>
      </c>
      <c r="AW181" s="7" t="s">
        <v>5</v>
      </c>
      <c r="AX181" s="7" t="s">
        <v>5</v>
      </c>
      <c r="AY181" s="7" t="s">
        <v>5</v>
      </c>
      <c r="AZ181" s="7">
        <v>31.28</v>
      </c>
      <c r="BA181" s="7" t="s">
        <v>4</v>
      </c>
      <c r="BB181" s="7">
        <v>48.48</v>
      </c>
      <c r="BC181">
        <v>82.12</v>
      </c>
      <c r="BD181" s="7">
        <v>9.32</v>
      </c>
      <c r="BE181" s="7" t="s">
        <v>4</v>
      </c>
      <c r="BF181" s="7">
        <v>37.24</v>
      </c>
      <c r="BG181" s="7">
        <v>79.2</v>
      </c>
      <c r="BH181" s="7" t="s">
        <v>4</v>
      </c>
    </row>
    <row r="182" spans="1:60">
      <c r="A182">
        <v>162</v>
      </c>
      <c r="B182" t="s">
        <v>364</v>
      </c>
      <c r="C182" t="s">
        <v>365</v>
      </c>
      <c r="D182" s="7" t="s">
        <v>4</v>
      </c>
      <c r="E182" s="7" t="s">
        <v>5</v>
      </c>
      <c r="F182" s="7" t="s">
        <v>4</v>
      </c>
      <c r="G182" s="7" t="s">
        <v>4</v>
      </c>
      <c r="H182" s="7" t="s">
        <v>4</v>
      </c>
      <c r="I182" s="7">
        <v>7.22</v>
      </c>
      <c r="J182" s="7" t="s">
        <v>4</v>
      </c>
      <c r="K182" s="7">
        <v>2</v>
      </c>
      <c r="L182" s="7" t="s">
        <v>4</v>
      </c>
      <c r="M182" s="7">
        <v>314.41000000000003</v>
      </c>
      <c r="N182" s="7" t="s">
        <v>4</v>
      </c>
      <c r="O182" s="7">
        <v>216.62</v>
      </c>
      <c r="P182">
        <v>95.95</v>
      </c>
      <c r="Q182" s="7" t="s">
        <v>4</v>
      </c>
      <c r="R182" s="7" t="s">
        <v>4</v>
      </c>
      <c r="S182" s="7" t="s">
        <v>4</v>
      </c>
      <c r="T182" s="7">
        <v>13.21</v>
      </c>
      <c r="U182" s="7" t="s">
        <v>4</v>
      </c>
      <c r="V182">
        <v>8.8800000000000008</v>
      </c>
      <c r="W182" s="7">
        <v>93.05</v>
      </c>
      <c r="X182" s="7" t="s">
        <v>5</v>
      </c>
      <c r="Y182" s="7">
        <v>987.99</v>
      </c>
      <c r="Z182" s="7" t="s">
        <v>4</v>
      </c>
      <c r="AA182" s="7">
        <v>19.5</v>
      </c>
      <c r="AB182" s="7" t="s">
        <v>5</v>
      </c>
      <c r="AC182">
        <v>70.650000000000006</v>
      </c>
      <c r="AD182" s="7" t="s">
        <v>4</v>
      </c>
      <c r="AE182" s="7" t="s">
        <v>4</v>
      </c>
      <c r="AF182">
        <v>131.06</v>
      </c>
      <c r="AG182" s="7" t="s">
        <v>4</v>
      </c>
      <c r="AH182" s="7">
        <v>12.05</v>
      </c>
      <c r="AI182" s="7" t="s">
        <v>4</v>
      </c>
      <c r="AJ182">
        <v>112.56</v>
      </c>
      <c r="AK182" s="7" t="s">
        <v>4</v>
      </c>
      <c r="AL182" s="7">
        <v>23.58</v>
      </c>
      <c r="AM182" s="7" t="s">
        <v>4</v>
      </c>
      <c r="AN182" s="7">
        <v>47.95</v>
      </c>
      <c r="AO182" s="7" t="s">
        <v>4</v>
      </c>
      <c r="AP182" s="7" t="s">
        <v>4</v>
      </c>
      <c r="AQ182" s="7" t="s">
        <v>4</v>
      </c>
      <c r="AR182" s="7" t="s">
        <v>4</v>
      </c>
      <c r="AS182">
        <v>41.93</v>
      </c>
      <c r="AT182" s="7" t="s">
        <v>4</v>
      </c>
      <c r="AU182" s="7" t="s">
        <v>4</v>
      </c>
      <c r="AV182" s="7" t="s">
        <v>4</v>
      </c>
      <c r="AW182" s="7" t="s">
        <v>4</v>
      </c>
      <c r="AX182" s="7" t="s">
        <v>4</v>
      </c>
      <c r="AY182" s="7">
        <v>25.53</v>
      </c>
      <c r="AZ182" s="7" t="s">
        <v>4</v>
      </c>
      <c r="BA182" s="7" t="s">
        <v>4</v>
      </c>
      <c r="BB182" s="7" t="s">
        <v>4</v>
      </c>
      <c r="BC182" t="s">
        <v>4</v>
      </c>
      <c r="BD182" s="7" t="s">
        <v>4</v>
      </c>
      <c r="BE182" s="7" t="s">
        <v>4</v>
      </c>
      <c r="BF182" s="7" t="s">
        <v>4</v>
      </c>
      <c r="BG182" s="7" t="s">
        <v>4</v>
      </c>
      <c r="BH182" s="7">
        <v>6.5</v>
      </c>
    </row>
    <row r="183" spans="1:60">
      <c r="A183">
        <v>0</v>
      </c>
      <c r="B183" t="s">
        <v>366</v>
      </c>
      <c r="C183" t="s">
        <v>367</v>
      </c>
      <c r="D183" s="7" t="s">
        <v>4</v>
      </c>
      <c r="E183" s="7">
        <v>5.63</v>
      </c>
      <c r="F183" s="7" t="s">
        <v>5</v>
      </c>
      <c r="G183" s="7">
        <v>18.29</v>
      </c>
      <c r="H183" s="7" t="s">
        <v>4</v>
      </c>
      <c r="I183" s="7">
        <v>1.53</v>
      </c>
      <c r="J183" s="7" t="s">
        <v>4</v>
      </c>
      <c r="K183" s="7" t="s">
        <v>5</v>
      </c>
      <c r="L183" s="7" t="s">
        <v>4</v>
      </c>
      <c r="M183" s="7">
        <v>3.41</v>
      </c>
      <c r="N183" s="7" t="s">
        <v>4</v>
      </c>
      <c r="O183" s="7">
        <v>143.72</v>
      </c>
      <c r="P183">
        <v>54.18</v>
      </c>
      <c r="Q183" s="7" t="s">
        <v>4</v>
      </c>
      <c r="R183" s="7">
        <v>28.44</v>
      </c>
      <c r="S183" s="7" t="s">
        <v>4</v>
      </c>
      <c r="T183" s="7">
        <v>10.97</v>
      </c>
      <c r="U183" s="7" t="s">
        <v>4</v>
      </c>
      <c r="V183">
        <v>39.74</v>
      </c>
      <c r="W183" s="7">
        <v>10.49</v>
      </c>
      <c r="X183" s="7">
        <v>1391.08</v>
      </c>
      <c r="Y183" s="7">
        <v>229.84</v>
      </c>
      <c r="Z183" s="7">
        <v>8.4499999999999993</v>
      </c>
      <c r="AA183" s="7">
        <v>14.17</v>
      </c>
      <c r="AB183" s="7">
        <v>90.59</v>
      </c>
      <c r="AC183">
        <v>52.05</v>
      </c>
      <c r="AD183" s="7" t="s">
        <v>4</v>
      </c>
      <c r="AE183" s="7" t="s">
        <v>4</v>
      </c>
      <c r="AF183">
        <v>61.67</v>
      </c>
      <c r="AG183" s="7">
        <v>58.79</v>
      </c>
      <c r="AH183" s="7">
        <v>14.02</v>
      </c>
      <c r="AI183" s="7" t="s">
        <v>4</v>
      </c>
      <c r="AJ183">
        <v>79.05</v>
      </c>
      <c r="AK183" s="7" t="s">
        <v>4</v>
      </c>
      <c r="AL183" s="7">
        <v>4.16</v>
      </c>
      <c r="AM183" s="7" t="s">
        <v>4</v>
      </c>
      <c r="AN183" s="7">
        <v>18.079999999999998</v>
      </c>
      <c r="AO183" s="7">
        <v>13.64</v>
      </c>
      <c r="AP183" s="7" t="s">
        <v>4</v>
      </c>
      <c r="AQ183" s="7" t="s">
        <v>4</v>
      </c>
      <c r="AR183" s="7" t="s">
        <v>4</v>
      </c>
      <c r="AS183">
        <v>27.46</v>
      </c>
      <c r="AT183" s="7" t="s">
        <v>5</v>
      </c>
      <c r="AU183" s="7" t="s">
        <v>4</v>
      </c>
      <c r="AV183" s="7">
        <v>772.9</v>
      </c>
      <c r="AW183" s="7" t="s">
        <v>5</v>
      </c>
      <c r="AX183" s="7">
        <v>818.76</v>
      </c>
      <c r="AY183" s="7" t="s">
        <v>5</v>
      </c>
      <c r="AZ183" s="7" t="s">
        <v>4</v>
      </c>
      <c r="BA183" s="7" t="s">
        <v>4</v>
      </c>
      <c r="BB183" s="7" t="s">
        <v>4</v>
      </c>
      <c r="BC183">
        <v>7.82</v>
      </c>
      <c r="BD183" s="7">
        <v>1.35</v>
      </c>
      <c r="BE183" s="7" t="s">
        <v>4</v>
      </c>
      <c r="BF183" s="7" t="s">
        <v>4</v>
      </c>
      <c r="BG183" s="7">
        <v>13.72</v>
      </c>
      <c r="BH183" s="7" t="s">
        <v>4</v>
      </c>
    </row>
    <row r="184" spans="1:60">
      <c r="A184">
        <v>39</v>
      </c>
      <c r="B184" t="s">
        <v>368</v>
      </c>
      <c r="C184" t="s">
        <v>369</v>
      </c>
      <c r="D184" s="7" t="s">
        <v>4</v>
      </c>
      <c r="E184" s="7">
        <v>6.48</v>
      </c>
      <c r="F184" s="7" t="s">
        <v>5</v>
      </c>
      <c r="G184" s="7">
        <v>45.24</v>
      </c>
      <c r="H184" s="7">
        <v>4.3</v>
      </c>
      <c r="I184" s="7">
        <v>12.77</v>
      </c>
      <c r="J184" s="7" t="s">
        <v>4</v>
      </c>
      <c r="K184" s="7">
        <v>490.65</v>
      </c>
      <c r="L184" s="7" t="s">
        <v>4</v>
      </c>
      <c r="M184" s="7" t="s">
        <v>4</v>
      </c>
      <c r="N184" s="7" t="s">
        <v>4</v>
      </c>
      <c r="O184" s="7">
        <v>13.4</v>
      </c>
      <c r="P184">
        <v>48.02</v>
      </c>
      <c r="Q184" s="7" t="s">
        <v>4</v>
      </c>
      <c r="R184" s="7">
        <v>18.62</v>
      </c>
      <c r="S184" s="7" t="s">
        <v>4</v>
      </c>
      <c r="T184" s="7" t="s">
        <v>4</v>
      </c>
      <c r="U184" s="7" t="s">
        <v>4</v>
      </c>
      <c r="V184">
        <v>18.29</v>
      </c>
      <c r="W184" s="7" t="s">
        <v>4</v>
      </c>
      <c r="X184" s="7">
        <v>227.94</v>
      </c>
      <c r="Y184" s="7">
        <v>167.14</v>
      </c>
      <c r="Z184" s="7" t="s">
        <v>4</v>
      </c>
      <c r="AA184" s="7" t="s">
        <v>4</v>
      </c>
      <c r="AB184" s="7">
        <v>40.06</v>
      </c>
      <c r="AC184">
        <v>11.8</v>
      </c>
      <c r="AD184" s="7" t="s">
        <v>4</v>
      </c>
      <c r="AE184" s="7" t="s">
        <v>4</v>
      </c>
      <c r="AF184">
        <v>250.8</v>
      </c>
      <c r="AG184" s="7">
        <v>252.67</v>
      </c>
      <c r="AH184" s="7">
        <v>7.75</v>
      </c>
      <c r="AI184" s="7" t="s">
        <v>4</v>
      </c>
      <c r="AJ184">
        <v>163.99</v>
      </c>
      <c r="AK184" s="7" t="s">
        <v>4</v>
      </c>
      <c r="AL184" s="7" t="s">
        <v>4</v>
      </c>
      <c r="AM184" s="7" t="s">
        <v>4</v>
      </c>
      <c r="AN184" s="7">
        <v>54.39</v>
      </c>
      <c r="AO184" s="7">
        <v>45.73</v>
      </c>
      <c r="AP184" s="7" t="s">
        <v>4</v>
      </c>
      <c r="AQ184" s="7" t="s">
        <v>4</v>
      </c>
      <c r="AR184" s="7" t="s">
        <v>4</v>
      </c>
      <c r="AS184">
        <v>33.69</v>
      </c>
      <c r="AT184" s="7">
        <v>30.7</v>
      </c>
      <c r="AU184" s="7" t="s">
        <v>4</v>
      </c>
      <c r="AV184" s="7" t="s">
        <v>4</v>
      </c>
      <c r="AW184" s="7" t="s">
        <v>4</v>
      </c>
      <c r="AX184" s="7" t="s">
        <v>4</v>
      </c>
      <c r="AY184" s="7" t="s">
        <v>4</v>
      </c>
      <c r="AZ184" s="7" t="s">
        <v>4</v>
      </c>
      <c r="BA184" s="7" t="s">
        <v>4</v>
      </c>
      <c r="BB184" s="7" t="s">
        <v>4</v>
      </c>
      <c r="BC184">
        <v>51.32</v>
      </c>
      <c r="BD184" s="7" t="s">
        <v>4</v>
      </c>
      <c r="BE184" s="7" t="s">
        <v>4</v>
      </c>
      <c r="BF184" s="7" t="s">
        <v>4</v>
      </c>
      <c r="BG184" s="7">
        <v>4.32</v>
      </c>
      <c r="BH184" s="7" t="s">
        <v>4</v>
      </c>
    </row>
    <row r="185" spans="1:60">
      <c r="A185">
        <v>2</v>
      </c>
      <c r="B185" t="s">
        <v>370</v>
      </c>
      <c r="C185" t="s">
        <v>371</v>
      </c>
      <c r="D185" s="7" t="s">
        <v>4</v>
      </c>
      <c r="E185" s="7">
        <v>41.8</v>
      </c>
      <c r="F185" s="7" t="s">
        <v>5</v>
      </c>
      <c r="G185" s="7">
        <v>14.69</v>
      </c>
      <c r="H185" s="7">
        <v>4.84</v>
      </c>
      <c r="I185" s="7">
        <v>3.61</v>
      </c>
      <c r="J185" s="7" t="s">
        <v>4</v>
      </c>
      <c r="K185" s="7" t="s">
        <v>5</v>
      </c>
      <c r="L185" s="7">
        <v>6.92</v>
      </c>
      <c r="M185" s="7">
        <v>9.39</v>
      </c>
      <c r="N185" s="7" t="s">
        <v>4</v>
      </c>
      <c r="O185" s="7">
        <v>559.88</v>
      </c>
      <c r="P185">
        <v>296.35000000000002</v>
      </c>
      <c r="Q185" s="7" t="s">
        <v>4</v>
      </c>
      <c r="R185" s="7">
        <v>180.97</v>
      </c>
      <c r="S185" s="7" t="s">
        <v>4</v>
      </c>
      <c r="T185" s="7" t="s">
        <v>4</v>
      </c>
      <c r="U185" s="7" t="s">
        <v>4</v>
      </c>
      <c r="V185">
        <v>83.46</v>
      </c>
      <c r="W185" s="7" t="s">
        <v>4</v>
      </c>
      <c r="X185" s="7" t="s">
        <v>5</v>
      </c>
      <c r="Y185" s="7" t="s">
        <v>5</v>
      </c>
      <c r="Z185" s="7">
        <v>64.25</v>
      </c>
      <c r="AA185" s="7">
        <v>33.04</v>
      </c>
      <c r="AB185" s="7">
        <v>222.48</v>
      </c>
      <c r="AC185">
        <v>139.15</v>
      </c>
      <c r="AD185" s="7" t="s">
        <v>4</v>
      </c>
      <c r="AE185" s="7" t="s">
        <v>4</v>
      </c>
      <c r="AF185">
        <v>203.39</v>
      </c>
      <c r="AG185" s="7">
        <v>213.75</v>
      </c>
      <c r="AH185" s="7">
        <v>49.04</v>
      </c>
      <c r="AI185" s="7" t="s">
        <v>4</v>
      </c>
      <c r="AJ185">
        <v>181.29</v>
      </c>
      <c r="AK185" s="7" t="s">
        <v>4</v>
      </c>
      <c r="AL185" s="7">
        <v>4.8600000000000003</v>
      </c>
      <c r="AM185" s="7" t="s">
        <v>4</v>
      </c>
      <c r="AN185" s="7">
        <v>32.520000000000003</v>
      </c>
      <c r="AO185" s="7">
        <v>21.21</v>
      </c>
      <c r="AP185" s="7" t="s">
        <v>4</v>
      </c>
      <c r="AQ185" s="7" t="s">
        <v>4</v>
      </c>
      <c r="AR185" s="7" t="s">
        <v>4</v>
      </c>
      <c r="AS185">
        <v>31.35</v>
      </c>
      <c r="AT185" s="7" t="s">
        <v>5</v>
      </c>
      <c r="AU185" s="7" t="s">
        <v>4</v>
      </c>
      <c r="AV185" s="7" t="s">
        <v>5</v>
      </c>
      <c r="AW185" s="7" t="s">
        <v>5</v>
      </c>
      <c r="AX185" s="7">
        <v>905.27</v>
      </c>
      <c r="AY185" s="7" t="s">
        <v>5</v>
      </c>
      <c r="AZ185" s="7">
        <v>15.22</v>
      </c>
      <c r="BA185" s="7" t="s">
        <v>4</v>
      </c>
      <c r="BB185" s="7">
        <v>2.97</v>
      </c>
      <c r="BC185">
        <v>27.47</v>
      </c>
      <c r="BD185" s="7">
        <v>2.66</v>
      </c>
      <c r="BE185" s="7" t="s">
        <v>4</v>
      </c>
      <c r="BF185" s="7">
        <v>10.48</v>
      </c>
      <c r="BG185" s="7">
        <v>54.96</v>
      </c>
      <c r="BH185" s="7" t="s">
        <v>4</v>
      </c>
    </row>
    <row r="186" spans="1:60">
      <c r="A186">
        <v>186</v>
      </c>
      <c r="B186" t="s">
        <v>372</v>
      </c>
      <c r="C186" t="s">
        <v>373</v>
      </c>
      <c r="D186" s="7" t="s">
        <v>4</v>
      </c>
      <c r="E186" s="7">
        <v>4.29</v>
      </c>
      <c r="F186" s="7" t="s">
        <v>5</v>
      </c>
      <c r="G186" s="7" t="s">
        <v>5</v>
      </c>
      <c r="H186" s="7">
        <v>1.29</v>
      </c>
      <c r="I186" s="7">
        <v>22.22</v>
      </c>
      <c r="J186" s="7" t="s">
        <v>4</v>
      </c>
      <c r="K186" s="7" t="s">
        <v>5</v>
      </c>
      <c r="L186" s="7" t="s">
        <v>4</v>
      </c>
      <c r="M186" s="7">
        <v>5.04</v>
      </c>
      <c r="N186" s="7" t="s">
        <v>4</v>
      </c>
      <c r="O186" s="7">
        <v>53.39</v>
      </c>
      <c r="P186">
        <v>65.36</v>
      </c>
      <c r="Q186" s="7" t="s">
        <v>4</v>
      </c>
      <c r="R186" s="7">
        <v>110.3</v>
      </c>
      <c r="S186" s="7" t="s">
        <v>4</v>
      </c>
      <c r="T186" s="7" t="s">
        <v>4</v>
      </c>
      <c r="U186" s="7" t="s">
        <v>4</v>
      </c>
      <c r="V186">
        <v>31.38</v>
      </c>
      <c r="W186" s="7" t="s">
        <v>4</v>
      </c>
      <c r="X186" s="7">
        <v>156.59</v>
      </c>
      <c r="Y186" s="7">
        <v>261.39999999999998</v>
      </c>
      <c r="Z186" s="7" t="s">
        <v>4</v>
      </c>
      <c r="AA186" s="7">
        <v>4.53</v>
      </c>
      <c r="AB186" s="7">
        <v>37.979999999999997</v>
      </c>
      <c r="AC186">
        <v>28.76</v>
      </c>
      <c r="AD186" s="7">
        <v>1.85</v>
      </c>
      <c r="AE186" s="7" t="s">
        <v>4</v>
      </c>
      <c r="AF186">
        <v>106.83</v>
      </c>
      <c r="AG186" s="7">
        <v>32.799999999999997</v>
      </c>
      <c r="AH186" s="7">
        <v>7.73</v>
      </c>
      <c r="AI186" s="7" t="s">
        <v>4</v>
      </c>
      <c r="AJ186">
        <v>25.08</v>
      </c>
      <c r="AK186" s="7" t="s">
        <v>4</v>
      </c>
      <c r="AL186" s="7">
        <v>14.27</v>
      </c>
      <c r="AM186" s="7" t="s">
        <v>4</v>
      </c>
      <c r="AN186" s="7">
        <v>181.27</v>
      </c>
      <c r="AO186" s="7">
        <v>17.39</v>
      </c>
      <c r="AP186" s="7" t="s">
        <v>4</v>
      </c>
      <c r="AQ186" s="7" t="s">
        <v>4</v>
      </c>
      <c r="AR186" s="7" t="s">
        <v>4</v>
      </c>
      <c r="AS186">
        <v>8.82</v>
      </c>
      <c r="AT186" s="7">
        <v>20.71</v>
      </c>
      <c r="AU186" s="7" t="s">
        <v>4</v>
      </c>
      <c r="AV186" s="7" t="s">
        <v>4</v>
      </c>
      <c r="AW186" s="7" t="s">
        <v>4</v>
      </c>
      <c r="AX186" s="7" t="s">
        <v>4</v>
      </c>
      <c r="AY186" s="7" t="s">
        <v>4</v>
      </c>
      <c r="AZ186" s="7" t="s">
        <v>4</v>
      </c>
      <c r="BA186" s="7" t="s">
        <v>4</v>
      </c>
      <c r="BB186" s="7" t="s">
        <v>4</v>
      </c>
      <c r="BC186">
        <v>33.409999999999997</v>
      </c>
      <c r="BD186" s="7" t="s">
        <v>4</v>
      </c>
      <c r="BE186" s="7" t="s">
        <v>4</v>
      </c>
      <c r="BF186" s="7" t="s">
        <v>4</v>
      </c>
      <c r="BG186" s="7" t="s">
        <v>4</v>
      </c>
      <c r="BH186" s="7" t="s">
        <v>4</v>
      </c>
    </row>
    <row r="187" spans="1:60">
      <c r="A187">
        <v>41</v>
      </c>
      <c r="B187" t="s">
        <v>374</v>
      </c>
      <c r="C187" t="s">
        <v>375</v>
      </c>
      <c r="D187" s="7" t="s">
        <v>4</v>
      </c>
      <c r="E187" s="7">
        <v>8.3699999999999992</v>
      </c>
      <c r="F187" s="7" t="s">
        <v>5</v>
      </c>
      <c r="G187" s="7">
        <v>17.600000000000001</v>
      </c>
      <c r="H187" s="7" t="s">
        <v>4</v>
      </c>
      <c r="I187" s="7">
        <v>22.16</v>
      </c>
      <c r="J187" s="7" t="s">
        <v>4</v>
      </c>
      <c r="K187" s="7">
        <v>388.44</v>
      </c>
      <c r="L187" s="7" t="s">
        <v>4</v>
      </c>
      <c r="M187" s="7">
        <v>3.02</v>
      </c>
      <c r="N187" s="7" t="s">
        <v>4</v>
      </c>
      <c r="O187" s="7">
        <v>25.39</v>
      </c>
      <c r="P187">
        <v>87.16</v>
      </c>
      <c r="Q187" s="7" t="s">
        <v>4</v>
      </c>
      <c r="R187" s="7">
        <v>37.21</v>
      </c>
      <c r="S187" s="7" t="s">
        <v>4</v>
      </c>
      <c r="T187" s="7" t="s">
        <v>4</v>
      </c>
      <c r="U187" s="7" t="s">
        <v>4</v>
      </c>
      <c r="V187">
        <v>9.93</v>
      </c>
      <c r="W187" s="7">
        <v>7.74</v>
      </c>
      <c r="X187" s="7">
        <v>209.49</v>
      </c>
      <c r="Y187" s="7">
        <v>349.85</v>
      </c>
      <c r="Z187" s="7">
        <v>2.37</v>
      </c>
      <c r="AA187" s="7">
        <v>2.48</v>
      </c>
      <c r="AB187" s="7">
        <v>83.92</v>
      </c>
      <c r="AC187">
        <v>19.38</v>
      </c>
      <c r="AD187" s="7" t="s">
        <v>4</v>
      </c>
      <c r="AE187" s="7" t="s">
        <v>4</v>
      </c>
      <c r="AF187">
        <v>80.349999999999994</v>
      </c>
      <c r="AG187" s="7">
        <v>103.34</v>
      </c>
      <c r="AH187" s="7">
        <v>16.670000000000002</v>
      </c>
      <c r="AI187" s="7" t="s">
        <v>4</v>
      </c>
      <c r="AJ187">
        <v>154.03</v>
      </c>
      <c r="AK187" s="7" t="s">
        <v>4</v>
      </c>
      <c r="AL187" s="7">
        <v>6.24</v>
      </c>
      <c r="AM187" s="7" t="s">
        <v>4</v>
      </c>
      <c r="AN187" s="7">
        <v>39.46</v>
      </c>
      <c r="AO187" s="7">
        <v>39.869999999999997</v>
      </c>
      <c r="AP187" s="7" t="s">
        <v>4</v>
      </c>
      <c r="AQ187" s="7" t="s">
        <v>4</v>
      </c>
      <c r="AR187" s="7" t="s">
        <v>4</v>
      </c>
      <c r="AS187">
        <v>59.45</v>
      </c>
      <c r="AT187" s="7">
        <v>1.81</v>
      </c>
      <c r="AU187" s="7" t="s">
        <v>4</v>
      </c>
      <c r="AV187" s="7" t="s">
        <v>4</v>
      </c>
      <c r="AW187" s="7" t="s">
        <v>4</v>
      </c>
      <c r="AX187" s="7" t="s">
        <v>4</v>
      </c>
      <c r="AY187" s="7" t="s">
        <v>4</v>
      </c>
      <c r="AZ187" s="7" t="s">
        <v>4</v>
      </c>
      <c r="BA187" s="7" t="s">
        <v>4</v>
      </c>
      <c r="BB187" s="7" t="s">
        <v>4</v>
      </c>
      <c r="BC187">
        <v>6.45</v>
      </c>
      <c r="BD187" s="7">
        <v>1.49</v>
      </c>
      <c r="BE187" s="7" t="s">
        <v>4</v>
      </c>
      <c r="BF187" s="7" t="s">
        <v>4</v>
      </c>
      <c r="BG187" s="7">
        <v>5.13</v>
      </c>
      <c r="BH187" s="7" t="s">
        <v>4</v>
      </c>
    </row>
    <row r="188" spans="1:60">
      <c r="A188">
        <v>175</v>
      </c>
      <c r="B188" t="s">
        <v>376</v>
      </c>
      <c r="C188" t="s">
        <v>377</v>
      </c>
      <c r="D188" s="7" t="s">
        <v>4</v>
      </c>
      <c r="E188" s="7" t="s">
        <v>5</v>
      </c>
      <c r="F188" s="7" t="s">
        <v>5</v>
      </c>
      <c r="G188" s="7">
        <v>3.41</v>
      </c>
      <c r="H188" s="7" t="s">
        <v>4</v>
      </c>
      <c r="I188" s="7">
        <v>6.7</v>
      </c>
      <c r="J188" s="7" t="s">
        <v>4</v>
      </c>
      <c r="K188" s="7">
        <v>32.35</v>
      </c>
      <c r="L188" s="7" t="s">
        <v>4</v>
      </c>
      <c r="M188" s="7">
        <v>316.26</v>
      </c>
      <c r="N188" s="7" t="s">
        <v>4</v>
      </c>
      <c r="O188" s="7" t="s">
        <v>5</v>
      </c>
      <c r="P188">
        <v>54.33</v>
      </c>
      <c r="Q188" s="7" t="s">
        <v>4</v>
      </c>
      <c r="R188" s="7">
        <v>13.49</v>
      </c>
      <c r="S188" s="7" t="s">
        <v>4</v>
      </c>
      <c r="T188" s="7">
        <v>28.36</v>
      </c>
      <c r="U188" s="7" t="s">
        <v>4</v>
      </c>
      <c r="V188">
        <v>23.9</v>
      </c>
      <c r="W188" s="7">
        <v>128.13999999999999</v>
      </c>
      <c r="X188" s="7" t="s">
        <v>5</v>
      </c>
      <c r="Y188" s="7">
        <v>662.33</v>
      </c>
      <c r="Z188" s="7" t="s">
        <v>4</v>
      </c>
      <c r="AA188" s="7">
        <v>29.35</v>
      </c>
      <c r="AB188" s="7" t="s">
        <v>5</v>
      </c>
      <c r="AC188">
        <v>100.78</v>
      </c>
      <c r="AD188" s="7" t="s">
        <v>4</v>
      </c>
      <c r="AE188" s="7" t="s">
        <v>4</v>
      </c>
      <c r="AF188">
        <v>1542.58</v>
      </c>
      <c r="AG188" s="7">
        <v>351.25</v>
      </c>
      <c r="AH188" s="7">
        <v>47.54</v>
      </c>
      <c r="AI188" s="7" t="s">
        <v>4</v>
      </c>
      <c r="AJ188">
        <v>1431.07</v>
      </c>
      <c r="AK188" s="7">
        <v>3.26</v>
      </c>
      <c r="AL188" s="7">
        <v>16.649999999999999</v>
      </c>
      <c r="AM188" s="7" t="s">
        <v>4</v>
      </c>
      <c r="AN188" s="7">
        <v>492.65</v>
      </c>
      <c r="AO188" s="7">
        <v>89.54</v>
      </c>
      <c r="AP188" s="7" t="s">
        <v>4</v>
      </c>
      <c r="AQ188" s="7">
        <v>4.1100000000000003</v>
      </c>
      <c r="AR188" s="7" t="s">
        <v>4</v>
      </c>
      <c r="AS188">
        <v>464.44</v>
      </c>
      <c r="AT188" s="7">
        <v>41.28</v>
      </c>
      <c r="AU188" s="7" t="s">
        <v>4</v>
      </c>
      <c r="AV188" s="7" t="s">
        <v>4</v>
      </c>
      <c r="AW188" s="7">
        <v>34.770000000000003</v>
      </c>
      <c r="AX188" s="7">
        <v>14.11</v>
      </c>
      <c r="AY188" s="7">
        <v>14.98</v>
      </c>
      <c r="AZ188" s="7">
        <v>31.14</v>
      </c>
      <c r="BA188" s="7">
        <v>14.78</v>
      </c>
      <c r="BB188" s="7">
        <v>1.83</v>
      </c>
      <c r="BC188">
        <v>93.29</v>
      </c>
      <c r="BD188" s="7">
        <v>11.83</v>
      </c>
      <c r="BE188" s="7" t="s">
        <v>4</v>
      </c>
      <c r="BF188" s="7">
        <v>2.73</v>
      </c>
      <c r="BG188" s="7">
        <v>31.29</v>
      </c>
      <c r="BH188" s="7" t="s">
        <v>4</v>
      </c>
    </row>
    <row r="189" spans="1:60">
      <c r="A189">
        <v>160</v>
      </c>
      <c r="B189" t="s">
        <v>378</v>
      </c>
      <c r="C189" t="s">
        <v>379</v>
      </c>
      <c r="D189" s="7" t="s">
        <v>4</v>
      </c>
      <c r="E189" s="7" t="s">
        <v>5</v>
      </c>
      <c r="F189" s="7" t="s">
        <v>5</v>
      </c>
      <c r="G189" s="7" t="s">
        <v>4</v>
      </c>
      <c r="H189" s="7">
        <v>1.84</v>
      </c>
      <c r="I189" s="7">
        <v>3.73</v>
      </c>
      <c r="J189" s="7" t="s">
        <v>4</v>
      </c>
      <c r="K189" s="7">
        <v>190.88</v>
      </c>
      <c r="L189" s="7" t="s">
        <v>4</v>
      </c>
      <c r="M189" s="7">
        <v>137.41</v>
      </c>
      <c r="N189" s="7" t="s">
        <v>4</v>
      </c>
      <c r="O189" s="7" t="s">
        <v>5</v>
      </c>
      <c r="P189" t="s">
        <v>5</v>
      </c>
      <c r="Q189" s="7" t="s">
        <v>4</v>
      </c>
      <c r="R189" s="7">
        <v>10.039999999999999</v>
      </c>
      <c r="S189" s="7" t="s">
        <v>4</v>
      </c>
      <c r="T189" s="7">
        <v>6.88</v>
      </c>
      <c r="U189" s="7" t="s">
        <v>4</v>
      </c>
      <c r="V189">
        <v>41.51</v>
      </c>
      <c r="W189" s="7">
        <v>14.22</v>
      </c>
      <c r="X189" s="7" t="s">
        <v>5</v>
      </c>
      <c r="Y189" s="7" t="s">
        <v>5</v>
      </c>
      <c r="Z189" s="7">
        <v>2.17</v>
      </c>
      <c r="AA189" s="7">
        <v>6.52</v>
      </c>
      <c r="AB189" s="7" t="s">
        <v>5</v>
      </c>
      <c r="AC189">
        <v>118.55</v>
      </c>
      <c r="AD189" s="7">
        <v>2.59</v>
      </c>
      <c r="AE189" s="7" t="s">
        <v>4</v>
      </c>
      <c r="AF189">
        <v>1361.27</v>
      </c>
      <c r="AG189" s="7">
        <v>319.39999999999998</v>
      </c>
      <c r="AH189" s="7">
        <v>251.43</v>
      </c>
      <c r="AI189" s="7" t="s">
        <v>4</v>
      </c>
      <c r="AJ189">
        <v>1772.76</v>
      </c>
      <c r="AK189" s="7">
        <v>3.12</v>
      </c>
      <c r="AL189" s="7">
        <v>164.87</v>
      </c>
      <c r="AM189" s="7" t="s">
        <v>4</v>
      </c>
      <c r="AN189" s="7">
        <v>304.27</v>
      </c>
      <c r="AO189" s="7">
        <v>50.73</v>
      </c>
      <c r="AP189" s="7" t="s">
        <v>4</v>
      </c>
      <c r="AQ189" s="7">
        <v>4.92</v>
      </c>
      <c r="AR189" s="7">
        <v>8.82</v>
      </c>
      <c r="AS189">
        <v>222.71</v>
      </c>
      <c r="AT189" s="7" t="s">
        <v>5</v>
      </c>
      <c r="AU189" s="7" t="s">
        <v>4</v>
      </c>
      <c r="AV189" s="7">
        <v>343.48</v>
      </c>
      <c r="AW189" s="7" t="s">
        <v>5</v>
      </c>
      <c r="AX189" s="7" t="s">
        <v>5</v>
      </c>
      <c r="AY189" s="7">
        <v>529.19000000000005</v>
      </c>
      <c r="AZ189" s="7">
        <v>35.74</v>
      </c>
      <c r="BA189" s="7">
        <v>240.95</v>
      </c>
      <c r="BB189" s="7">
        <v>14.71</v>
      </c>
      <c r="BC189">
        <v>704.15</v>
      </c>
      <c r="BD189" s="7">
        <v>135.12</v>
      </c>
      <c r="BE189" s="7">
        <v>84.59</v>
      </c>
      <c r="BF189" s="7">
        <v>39.28</v>
      </c>
      <c r="BG189" s="7">
        <v>32.65</v>
      </c>
      <c r="BH189" s="7">
        <v>33.74</v>
      </c>
    </row>
    <row r="190" spans="1:60">
      <c r="A190">
        <v>40</v>
      </c>
      <c r="B190" t="s">
        <v>380</v>
      </c>
      <c r="C190" t="s">
        <v>381</v>
      </c>
      <c r="D190" s="7" t="s">
        <v>4</v>
      </c>
      <c r="E190" s="7" t="s">
        <v>5</v>
      </c>
      <c r="F190" s="7" t="s">
        <v>5</v>
      </c>
      <c r="G190" s="7">
        <v>9.8800000000000008</v>
      </c>
      <c r="H190" s="7">
        <v>9.16</v>
      </c>
      <c r="I190" s="7" t="s">
        <v>5</v>
      </c>
      <c r="J190" s="7" t="s">
        <v>4</v>
      </c>
      <c r="K190" s="7" t="s">
        <v>5</v>
      </c>
      <c r="L190" s="7" t="s">
        <v>4</v>
      </c>
      <c r="M190" s="7">
        <v>392.23</v>
      </c>
      <c r="N190" s="7">
        <v>1.45</v>
      </c>
      <c r="O190" s="7" t="s">
        <v>5</v>
      </c>
      <c r="P190">
        <v>678.46</v>
      </c>
      <c r="Q190" s="7" t="s">
        <v>4</v>
      </c>
      <c r="R190" s="7">
        <v>68.010000000000005</v>
      </c>
      <c r="S190" s="7">
        <v>2.81</v>
      </c>
      <c r="T190" s="7">
        <v>395.29</v>
      </c>
      <c r="U190" s="7" t="s">
        <v>4</v>
      </c>
      <c r="V190">
        <v>40.56</v>
      </c>
      <c r="W190" s="7">
        <v>263.99</v>
      </c>
      <c r="X190" s="7" t="s">
        <v>5</v>
      </c>
      <c r="Y190" s="7" t="s">
        <v>5</v>
      </c>
      <c r="Z190" s="7">
        <v>2.44</v>
      </c>
      <c r="AA190" s="7">
        <v>18.68</v>
      </c>
      <c r="AB190" s="7" t="s">
        <v>5</v>
      </c>
      <c r="AC190">
        <v>83.62</v>
      </c>
      <c r="AD190" s="7">
        <v>2.1800000000000002</v>
      </c>
      <c r="AE190" s="7" t="s">
        <v>4</v>
      </c>
      <c r="AF190">
        <v>522.74</v>
      </c>
      <c r="AG190" s="7">
        <v>446.28</v>
      </c>
      <c r="AH190" s="7">
        <v>32.520000000000003</v>
      </c>
      <c r="AI190" s="7" t="s">
        <v>4</v>
      </c>
      <c r="AJ190">
        <v>368.89</v>
      </c>
      <c r="AK190" s="7" t="s">
        <v>4</v>
      </c>
      <c r="AL190" s="7">
        <v>8.92</v>
      </c>
      <c r="AM190" s="7" t="s">
        <v>4</v>
      </c>
      <c r="AN190" s="7">
        <v>149.37</v>
      </c>
      <c r="AO190" s="7">
        <v>119.92</v>
      </c>
      <c r="AP190" s="7" t="s">
        <v>4</v>
      </c>
      <c r="AQ190" s="7" t="s">
        <v>4</v>
      </c>
      <c r="AR190" s="7" t="s">
        <v>4</v>
      </c>
      <c r="AS190">
        <v>89.47</v>
      </c>
      <c r="AT190" s="7" t="s">
        <v>5</v>
      </c>
      <c r="AU190" s="7" t="s">
        <v>4</v>
      </c>
      <c r="AV190" s="7" t="s">
        <v>4</v>
      </c>
      <c r="AW190" s="7">
        <v>676.75</v>
      </c>
      <c r="AX190" s="7">
        <v>161.74</v>
      </c>
      <c r="AY190" s="7">
        <v>250.55</v>
      </c>
      <c r="AZ190" s="7" t="s">
        <v>4</v>
      </c>
      <c r="BA190" s="7" t="s">
        <v>4</v>
      </c>
      <c r="BB190" s="7" t="s">
        <v>4</v>
      </c>
      <c r="BC190">
        <v>118.41</v>
      </c>
      <c r="BD190" s="7">
        <v>2.58</v>
      </c>
      <c r="BE190" s="7" t="s">
        <v>4</v>
      </c>
      <c r="BF190" s="7" t="s">
        <v>4</v>
      </c>
      <c r="BG190" s="7">
        <v>14.22</v>
      </c>
      <c r="BH190" s="7" t="s">
        <v>4</v>
      </c>
    </row>
    <row r="191" spans="1:60">
      <c r="A191">
        <v>171</v>
      </c>
      <c r="B191" t="s">
        <v>382</v>
      </c>
      <c r="C191" t="s">
        <v>383</v>
      </c>
      <c r="D191" s="7" t="s">
        <v>4</v>
      </c>
      <c r="E191" s="7" t="s">
        <v>5</v>
      </c>
      <c r="F191" s="7" t="s">
        <v>5</v>
      </c>
      <c r="G191" s="7">
        <v>3.5</v>
      </c>
      <c r="H191" s="7">
        <v>1.1200000000000001</v>
      </c>
      <c r="I191" s="7">
        <v>25.41</v>
      </c>
      <c r="J191" s="7" t="s">
        <v>4</v>
      </c>
      <c r="K191" s="7">
        <v>65.52</v>
      </c>
      <c r="L191" s="7" t="s">
        <v>4</v>
      </c>
      <c r="M191" s="7">
        <v>146.52000000000001</v>
      </c>
      <c r="N191" s="7" t="s">
        <v>4</v>
      </c>
      <c r="O191" s="7">
        <v>665.28</v>
      </c>
      <c r="P191">
        <v>980.97</v>
      </c>
      <c r="Q191" s="7" t="s">
        <v>4</v>
      </c>
      <c r="R191" s="7">
        <v>20.78</v>
      </c>
      <c r="S191" s="7" t="s">
        <v>4</v>
      </c>
      <c r="T191" s="7">
        <v>13.36</v>
      </c>
      <c r="U191" s="7" t="s">
        <v>4</v>
      </c>
      <c r="V191">
        <v>38.07</v>
      </c>
      <c r="W191" s="7">
        <v>82.05</v>
      </c>
      <c r="X191" s="7" t="s">
        <v>5</v>
      </c>
      <c r="Y191" s="7" t="s">
        <v>5</v>
      </c>
      <c r="Z191" s="7" t="s">
        <v>4</v>
      </c>
      <c r="AA191" s="7">
        <v>50.98</v>
      </c>
      <c r="AB191" s="7" t="s">
        <v>5</v>
      </c>
      <c r="AC191">
        <v>168.96</v>
      </c>
      <c r="AD191" s="7" t="s">
        <v>4</v>
      </c>
      <c r="AE191" s="7" t="s">
        <v>4</v>
      </c>
      <c r="AF191">
        <v>708.43</v>
      </c>
      <c r="AG191" s="7">
        <v>171.01</v>
      </c>
      <c r="AH191" s="7">
        <v>75.64</v>
      </c>
      <c r="AI191" s="7" t="s">
        <v>4</v>
      </c>
      <c r="AJ191">
        <v>1206.68</v>
      </c>
      <c r="AK191" s="7">
        <v>4.22</v>
      </c>
      <c r="AL191" s="7">
        <v>42.24</v>
      </c>
      <c r="AM191" s="7" t="s">
        <v>4</v>
      </c>
      <c r="AN191" s="7">
        <v>200.4</v>
      </c>
      <c r="AO191" s="7">
        <v>73.69</v>
      </c>
      <c r="AP191" s="7" t="s">
        <v>4</v>
      </c>
      <c r="AQ191" s="7">
        <v>6.98</v>
      </c>
      <c r="AR191" s="7">
        <v>5.6</v>
      </c>
      <c r="AS191">
        <v>341.34</v>
      </c>
      <c r="AT191" s="7" t="s">
        <v>5</v>
      </c>
      <c r="AU191" s="7" t="s">
        <v>4</v>
      </c>
      <c r="AV191" s="7">
        <v>645.72</v>
      </c>
      <c r="AW191" s="7" t="s">
        <v>5</v>
      </c>
      <c r="AX191" s="7" t="s">
        <v>5</v>
      </c>
      <c r="AY191" s="7" t="s">
        <v>5</v>
      </c>
      <c r="AZ191" s="7">
        <v>14.77</v>
      </c>
      <c r="BA191" s="7">
        <v>9.99</v>
      </c>
      <c r="BB191" s="7">
        <v>1.67</v>
      </c>
      <c r="BC191">
        <v>62.86</v>
      </c>
      <c r="BD191" s="7">
        <v>14.44</v>
      </c>
      <c r="BE191" s="7" t="s">
        <v>4</v>
      </c>
      <c r="BF191" s="7">
        <v>4.2</v>
      </c>
      <c r="BG191" s="7">
        <v>12.34</v>
      </c>
      <c r="BH191" s="7">
        <v>4.08</v>
      </c>
    </row>
    <row r="192" spans="1:60">
      <c r="A192">
        <v>192</v>
      </c>
      <c r="B192" t="s">
        <v>384</v>
      </c>
      <c r="C192" t="s">
        <v>385</v>
      </c>
      <c r="D192" s="7" t="s">
        <v>4</v>
      </c>
      <c r="E192" s="7" t="s">
        <v>5</v>
      </c>
      <c r="F192" s="7" t="s">
        <v>5</v>
      </c>
      <c r="G192" s="7" t="s">
        <v>5</v>
      </c>
      <c r="H192" s="7">
        <v>6.99</v>
      </c>
      <c r="I192" s="7">
        <v>12.66</v>
      </c>
      <c r="J192" s="7" t="s">
        <v>4</v>
      </c>
      <c r="K192" s="7">
        <v>152.44</v>
      </c>
      <c r="L192" s="7" t="s">
        <v>4</v>
      </c>
      <c r="M192" s="7">
        <v>92.04</v>
      </c>
      <c r="N192" s="7" t="s">
        <v>4</v>
      </c>
      <c r="O192" s="7">
        <v>518.59</v>
      </c>
      <c r="P192">
        <v>38.44</v>
      </c>
      <c r="Q192" s="7" t="s">
        <v>4</v>
      </c>
      <c r="R192" s="7">
        <v>197.98</v>
      </c>
      <c r="S192" s="7" t="s">
        <v>4</v>
      </c>
      <c r="T192" s="7">
        <v>14.7</v>
      </c>
      <c r="U192" s="7" t="s">
        <v>4</v>
      </c>
      <c r="V192">
        <v>76.31</v>
      </c>
      <c r="W192" s="7">
        <v>21.07</v>
      </c>
      <c r="X192" s="7" t="s">
        <v>5</v>
      </c>
      <c r="Y192" s="7">
        <v>316.94</v>
      </c>
      <c r="Z192" s="7" t="s">
        <v>4</v>
      </c>
      <c r="AA192" s="7">
        <v>12.34</v>
      </c>
      <c r="AB192" s="7">
        <v>840.15</v>
      </c>
      <c r="AC192">
        <v>115.98</v>
      </c>
      <c r="AD192" s="7" t="s">
        <v>4</v>
      </c>
      <c r="AE192" s="7" t="s">
        <v>4</v>
      </c>
      <c r="AF192">
        <v>177.62</v>
      </c>
      <c r="AG192" s="7">
        <v>46.51</v>
      </c>
      <c r="AH192" s="7">
        <v>3.58</v>
      </c>
      <c r="AI192" s="7" t="s">
        <v>4</v>
      </c>
      <c r="AJ192">
        <v>108.2</v>
      </c>
      <c r="AK192" s="7" t="s">
        <v>4</v>
      </c>
      <c r="AL192" s="7" t="s">
        <v>4</v>
      </c>
      <c r="AM192" s="7" t="s">
        <v>4</v>
      </c>
      <c r="AN192" s="7">
        <v>49.8</v>
      </c>
      <c r="AO192" s="7">
        <v>23.7</v>
      </c>
      <c r="AP192" s="7" t="s">
        <v>4</v>
      </c>
      <c r="AQ192" s="7" t="s">
        <v>4</v>
      </c>
      <c r="AR192" s="7" t="s">
        <v>4</v>
      </c>
      <c r="AS192">
        <v>29.57</v>
      </c>
      <c r="AT192" s="7" t="s">
        <v>5</v>
      </c>
      <c r="AU192" s="7" t="s">
        <v>4</v>
      </c>
      <c r="AV192" s="7">
        <v>290.7</v>
      </c>
      <c r="AW192" s="7" t="s">
        <v>5</v>
      </c>
      <c r="AX192" s="7" t="s">
        <v>5</v>
      </c>
      <c r="AY192" s="7">
        <v>357.86</v>
      </c>
      <c r="AZ192" s="7">
        <v>5.74</v>
      </c>
      <c r="BA192" s="7" t="s">
        <v>4</v>
      </c>
      <c r="BB192" s="7" t="s">
        <v>4</v>
      </c>
      <c r="BC192">
        <v>74.67</v>
      </c>
      <c r="BD192" s="7">
        <v>3.7</v>
      </c>
      <c r="BE192" s="7" t="s">
        <v>4</v>
      </c>
      <c r="BF192" s="7" t="s">
        <v>4</v>
      </c>
      <c r="BG192" s="7">
        <v>5.77</v>
      </c>
      <c r="BH192" s="7" t="s">
        <v>4</v>
      </c>
    </row>
    <row r="193" spans="1:60">
      <c r="A193">
        <v>161</v>
      </c>
      <c r="B193" t="s">
        <v>386</v>
      </c>
      <c r="C193" t="s">
        <v>387</v>
      </c>
      <c r="D193" s="7" t="s">
        <v>4</v>
      </c>
      <c r="E193" s="7" t="s">
        <v>5</v>
      </c>
      <c r="F193" s="7" t="s">
        <v>4</v>
      </c>
      <c r="G193" s="7" t="s">
        <v>4</v>
      </c>
      <c r="H193" s="7" t="s">
        <v>4</v>
      </c>
      <c r="I193" s="7">
        <v>30.45</v>
      </c>
      <c r="J193" s="7" t="s">
        <v>4</v>
      </c>
      <c r="K193" s="7">
        <v>3.35</v>
      </c>
      <c r="L193" s="7" t="s">
        <v>4</v>
      </c>
      <c r="M193" s="7">
        <v>525.99</v>
      </c>
      <c r="N193" s="7" t="s">
        <v>4</v>
      </c>
      <c r="O193" s="7" t="s">
        <v>5</v>
      </c>
      <c r="P193">
        <v>742.57</v>
      </c>
      <c r="Q193" s="7" t="s">
        <v>4</v>
      </c>
      <c r="R193" s="7" t="s">
        <v>4</v>
      </c>
      <c r="S193" s="7" t="s">
        <v>4</v>
      </c>
      <c r="T193" s="7">
        <v>55.29</v>
      </c>
      <c r="U193" s="7" t="s">
        <v>4</v>
      </c>
      <c r="V193">
        <v>33.92</v>
      </c>
      <c r="W193" s="7">
        <v>691.6</v>
      </c>
      <c r="X193" s="7" t="s">
        <v>5</v>
      </c>
      <c r="Y193" s="7" t="s">
        <v>5</v>
      </c>
      <c r="Z193" s="7" t="s">
        <v>4</v>
      </c>
      <c r="AA193" s="7">
        <v>190.8</v>
      </c>
      <c r="AB193" s="7" t="s">
        <v>5</v>
      </c>
      <c r="AC193">
        <v>284.62</v>
      </c>
      <c r="AD193" s="7" t="s">
        <v>4</v>
      </c>
      <c r="AE193" s="7" t="s">
        <v>4</v>
      </c>
      <c r="AF193">
        <v>786.3</v>
      </c>
      <c r="AG193" s="7" t="s">
        <v>4</v>
      </c>
      <c r="AH193" s="7">
        <v>297.14</v>
      </c>
      <c r="AI193" s="7" t="s">
        <v>4</v>
      </c>
      <c r="AJ193">
        <v>294.74</v>
      </c>
      <c r="AK193" s="7" t="s">
        <v>4</v>
      </c>
      <c r="AL193" s="7">
        <v>55.01</v>
      </c>
      <c r="AM193" s="7" t="s">
        <v>4</v>
      </c>
      <c r="AN193" s="7">
        <v>77.540000000000006</v>
      </c>
      <c r="AO193" s="7" t="s">
        <v>4</v>
      </c>
      <c r="AP193" s="7" t="s">
        <v>4</v>
      </c>
      <c r="AQ193" s="7" t="s">
        <v>4</v>
      </c>
      <c r="AR193" s="7" t="s">
        <v>4</v>
      </c>
      <c r="AS193">
        <v>51.74</v>
      </c>
      <c r="AT193" s="7">
        <v>25.27</v>
      </c>
      <c r="AU193" s="7" t="s">
        <v>4</v>
      </c>
      <c r="AV193" s="7" t="s">
        <v>4</v>
      </c>
      <c r="AW193" s="7" t="s">
        <v>4</v>
      </c>
      <c r="AX193" s="7">
        <v>187.07</v>
      </c>
      <c r="AY193" s="7">
        <v>696.03</v>
      </c>
      <c r="AZ193" s="7">
        <v>16.899999999999999</v>
      </c>
      <c r="BA193" s="7">
        <v>16.46</v>
      </c>
      <c r="BB193" s="7">
        <v>3.07</v>
      </c>
      <c r="BC193">
        <v>8.77</v>
      </c>
      <c r="BD193" s="7" t="s">
        <v>4</v>
      </c>
      <c r="BE193" s="7">
        <v>25.14</v>
      </c>
      <c r="BF193" s="7">
        <v>15.31</v>
      </c>
      <c r="BG193" s="7" t="s">
        <v>4</v>
      </c>
      <c r="BH193" s="7">
        <v>6.02</v>
      </c>
    </row>
    <row r="194" spans="1:60">
      <c r="A194">
        <v>10</v>
      </c>
      <c r="B194" t="s">
        <v>388</v>
      </c>
      <c r="C194" t="s">
        <v>389</v>
      </c>
      <c r="D194" s="7" t="s">
        <v>4</v>
      </c>
      <c r="E194" s="7">
        <v>8.3800000000000008</v>
      </c>
      <c r="F194" s="7" t="s">
        <v>5</v>
      </c>
      <c r="G194" s="7">
        <v>34.69</v>
      </c>
      <c r="H194" s="7">
        <v>10.199999999999999</v>
      </c>
      <c r="I194" s="7" t="s">
        <v>5</v>
      </c>
      <c r="J194" s="7" t="s">
        <v>4</v>
      </c>
      <c r="K194" s="7" t="s">
        <v>5</v>
      </c>
      <c r="L194" s="7" t="s">
        <v>4</v>
      </c>
      <c r="M194" s="7">
        <v>219.85</v>
      </c>
      <c r="N194" s="7">
        <v>2.0499999999999998</v>
      </c>
      <c r="O194" s="7">
        <v>437.65</v>
      </c>
      <c r="P194">
        <v>351.65</v>
      </c>
      <c r="Q194" s="7" t="s">
        <v>4</v>
      </c>
      <c r="R194" s="7">
        <v>59.76</v>
      </c>
      <c r="S194" s="7" t="s">
        <v>4</v>
      </c>
      <c r="T194" s="7">
        <v>27.63</v>
      </c>
      <c r="U194" s="7" t="s">
        <v>4</v>
      </c>
      <c r="V194">
        <v>36.76</v>
      </c>
      <c r="W194" s="7">
        <v>77.77</v>
      </c>
      <c r="X194" s="7" t="s">
        <v>5</v>
      </c>
      <c r="Y194" s="7" t="s">
        <v>5</v>
      </c>
      <c r="Z194" s="7" t="s">
        <v>4</v>
      </c>
      <c r="AA194" s="7">
        <v>15.26</v>
      </c>
      <c r="AB194" s="7" t="s">
        <v>5</v>
      </c>
      <c r="AC194">
        <v>50.25</v>
      </c>
      <c r="AD194" s="7">
        <v>1.2</v>
      </c>
      <c r="AE194" s="7" t="s">
        <v>4</v>
      </c>
      <c r="AF194" t="s">
        <v>5</v>
      </c>
      <c r="AG194" s="7">
        <v>2256.34</v>
      </c>
      <c r="AH194" s="7">
        <v>85.44</v>
      </c>
      <c r="AI194" s="7" t="s">
        <v>4</v>
      </c>
      <c r="AJ194">
        <v>2480.13</v>
      </c>
      <c r="AK194" s="7">
        <v>2.87</v>
      </c>
      <c r="AL194" s="7">
        <v>19.41</v>
      </c>
      <c r="AM194" s="7" t="s">
        <v>4</v>
      </c>
      <c r="AN194" s="7">
        <v>513.19000000000005</v>
      </c>
      <c r="AO194" s="7">
        <v>328.43</v>
      </c>
      <c r="AP194" s="7" t="s">
        <v>4</v>
      </c>
      <c r="AQ194" s="7" t="s">
        <v>4</v>
      </c>
      <c r="AR194" s="7">
        <v>3.08</v>
      </c>
      <c r="AS194">
        <v>477.79</v>
      </c>
      <c r="AT194" s="7">
        <v>252.84</v>
      </c>
      <c r="AU194" s="7" t="s">
        <v>4</v>
      </c>
      <c r="AV194" s="7" t="s">
        <v>4</v>
      </c>
      <c r="AW194" s="7">
        <v>15.53</v>
      </c>
      <c r="AX194" s="7" t="s">
        <v>4</v>
      </c>
      <c r="AY194" s="7" t="s">
        <v>4</v>
      </c>
      <c r="AZ194" s="7">
        <v>7.56</v>
      </c>
      <c r="BA194" s="7" t="s">
        <v>4</v>
      </c>
      <c r="BB194" s="7" t="s">
        <v>4</v>
      </c>
      <c r="BC194">
        <v>123.12</v>
      </c>
      <c r="BD194" s="7">
        <v>3.17</v>
      </c>
      <c r="BE194" s="7" t="s">
        <v>4</v>
      </c>
      <c r="BF194" s="7" t="s">
        <v>4</v>
      </c>
      <c r="BG194" s="7">
        <v>26.04</v>
      </c>
      <c r="BH194" s="7" t="s">
        <v>4</v>
      </c>
    </row>
    <row r="195" spans="1:60">
      <c r="A195">
        <v>3</v>
      </c>
      <c r="B195" t="s">
        <v>390</v>
      </c>
      <c r="C195" t="s">
        <v>391</v>
      </c>
      <c r="D195" s="7" t="s">
        <v>4</v>
      </c>
      <c r="E195" s="7">
        <v>14.73</v>
      </c>
      <c r="F195" s="7" t="s">
        <v>5</v>
      </c>
      <c r="G195" s="7" t="s">
        <v>4</v>
      </c>
      <c r="H195" s="7" t="s">
        <v>4</v>
      </c>
      <c r="I195" s="7">
        <v>8.32</v>
      </c>
      <c r="J195" s="7" t="s">
        <v>4</v>
      </c>
      <c r="K195" s="7" t="s">
        <v>5</v>
      </c>
      <c r="L195" s="7" t="s">
        <v>4</v>
      </c>
      <c r="M195" s="7">
        <v>143.11000000000001</v>
      </c>
      <c r="N195" s="7" t="s">
        <v>4</v>
      </c>
      <c r="O195" s="7" t="s">
        <v>5</v>
      </c>
      <c r="P195" t="s">
        <v>5</v>
      </c>
      <c r="Q195" s="7" t="s">
        <v>4</v>
      </c>
      <c r="R195" s="7">
        <v>2.8</v>
      </c>
      <c r="S195" s="7" t="s">
        <v>4</v>
      </c>
      <c r="T195" s="7">
        <v>72.489999999999995</v>
      </c>
      <c r="U195" s="7" t="s">
        <v>4</v>
      </c>
      <c r="V195">
        <v>42.91</v>
      </c>
      <c r="W195" s="7">
        <v>176.36</v>
      </c>
      <c r="X195" s="7" t="s">
        <v>5</v>
      </c>
      <c r="Y195" s="7" t="s">
        <v>5</v>
      </c>
      <c r="Z195" s="7">
        <v>16.78</v>
      </c>
      <c r="AA195" s="7">
        <v>23.47</v>
      </c>
      <c r="AB195" s="7" t="s">
        <v>5</v>
      </c>
      <c r="AC195">
        <v>145.51</v>
      </c>
      <c r="AD195" s="7">
        <v>2.67</v>
      </c>
      <c r="AE195" s="7" t="s">
        <v>4</v>
      </c>
      <c r="AF195">
        <v>53.07</v>
      </c>
      <c r="AG195" s="7">
        <v>52.6</v>
      </c>
      <c r="AH195" s="7">
        <v>30.14</v>
      </c>
      <c r="AI195" s="7" t="s">
        <v>4</v>
      </c>
      <c r="AJ195">
        <v>58.36</v>
      </c>
      <c r="AK195" s="7" t="s">
        <v>4</v>
      </c>
      <c r="AL195" s="7">
        <v>55.47</v>
      </c>
      <c r="AM195" s="7" t="s">
        <v>4</v>
      </c>
      <c r="AN195" s="7">
        <v>96.31</v>
      </c>
      <c r="AO195" s="7">
        <v>292.39</v>
      </c>
      <c r="AP195" s="7" t="s">
        <v>4</v>
      </c>
      <c r="AQ195" s="7">
        <v>3.98</v>
      </c>
      <c r="AR195" s="7">
        <v>3.84</v>
      </c>
      <c r="AS195">
        <v>108.98</v>
      </c>
      <c r="AT195" s="7">
        <v>817.31</v>
      </c>
      <c r="AU195" s="7" t="s">
        <v>4</v>
      </c>
      <c r="AV195" s="7">
        <v>543.49</v>
      </c>
      <c r="AW195" s="7" t="s">
        <v>5</v>
      </c>
      <c r="AX195" s="7" t="s">
        <v>5</v>
      </c>
      <c r="AY195" s="7" t="s">
        <v>5</v>
      </c>
      <c r="AZ195" s="7" t="s">
        <v>4</v>
      </c>
      <c r="BA195" s="7">
        <v>12.24</v>
      </c>
      <c r="BB195" s="7">
        <v>1.79</v>
      </c>
      <c r="BC195">
        <v>12.7</v>
      </c>
      <c r="BD195" s="7">
        <v>10.45</v>
      </c>
      <c r="BE195" s="7" t="s">
        <v>4</v>
      </c>
      <c r="BF195" s="7">
        <v>5.21</v>
      </c>
      <c r="BG195" s="7">
        <v>5.75</v>
      </c>
      <c r="BH195" s="7" t="s">
        <v>4</v>
      </c>
    </row>
    <row r="196" spans="1:60">
      <c r="A196">
        <v>98</v>
      </c>
      <c r="B196" t="s">
        <v>392</v>
      </c>
      <c r="C196" t="s">
        <v>393</v>
      </c>
      <c r="D196" s="7" t="s">
        <v>4</v>
      </c>
      <c r="E196" s="7" t="s">
        <v>5</v>
      </c>
      <c r="F196" s="7">
        <v>5.56</v>
      </c>
      <c r="G196" s="7" t="s">
        <v>4</v>
      </c>
      <c r="H196" s="7" t="s">
        <v>4</v>
      </c>
      <c r="I196" s="7" t="s">
        <v>4</v>
      </c>
      <c r="J196" s="7" t="s">
        <v>4</v>
      </c>
      <c r="K196" s="7">
        <v>3.84</v>
      </c>
      <c r="L196" s="7" t="s">
        <v>4</v>
      </c>
      <c r="M196" s="7">
        <v>212.49</v>
      </c>
      <c r="N196" s="7" t="s">
        <v>4</v>
      </c>
      <c r="O196" s="7" t="s">
        <v>5</v>
      </c>
      <c r="P196">
        <v>36.74</v>
      </c>
      <c r="Q196" s="7" t="s">
        <v>4</v>
      </c>
      <c r="R196" s="7" t="s">
        <v>4</v>
      </c>
      <c r="S196" s="7" t="s">
        <v>4</v>
      </c>
      <c r="T196" s="7">
        <v>72.010000000000005</v>
      </c>
      <c r="U196" s="7" t="s">
        <v>4</v>
      </c>
      <c r="V196">
        <v>4.05</v>
      </c>
      <c r="W196" s="7">
        <v>192.42</v>
      </c>
      <c r="X196" s="7" t="s">
        <v>5</v>
      </c>
      <c r="Y196" s="7" t="s">
        <v>5</v>
      </c>
      <c r="Z196" s="7" t="s">
        <v>4</v>
      </c>
      <c r="AA196" s="7">
        <v>505.7</v>
      </c>
      <c r="AB196" s="7" t="s">
        <v>5</v>
      </c>
      <c r="AC196">
        <v>138.97</v>
      </c>
      <c r="AD196" s="7" t="s">
        <v>4</v>
      </c>
      <c r="AE196" s="7" t="s">
        <v>4</v>
      </c>
      <c r="AF196">
        <v>322.77</v>
      </c>
      <c r="AG196" s="7" t="s">
        <v>4</v>
      </c>
      <c r="AH196" s="7">
        <v>16.98</v>
      </c>
      <c r="AI196" s="7" t="s">
        <v>4</v>
      </c>
      <c r="AJ196">
        <v>1138.99</v>
      </c>
      <c r="AK196" s="7" t="s">
        <v>4</v>
      </c>
      <c r="AL196" s="7" t="s">
        <v>4</v>
      </c>
      <c r="AM196" s="7" t="s">
        <v>4</v>
      </c>
      <c r="AN196" s="7">
        <v>19.36</v>
      </c>
      <c r="AO196" s="7" t="s">
        <v>4</v>
      </c>
      <c r="AP196" s="7" t="s">
        <v>4</v>
      </c>
      <c r="AQ196" s="7" t="s">
        <v>4</v>
      </c>
      <c r="AR196" s="7" t="s">
        <v>4</v>
      </c>
      <c r="AS196">
        <v>79.569999999999993</v>
      </c>
      <c r="AT196" s="7">
        <v>69.87</v>
      </c>
      <c r="AU196" s="7" t="s">
        <v>4</v>
      </c>
      <c r="AV196" s="7">
        <v>218.8</v>
      </c>
      <c r="AW196" s="7" t="s">
        <v>4</v>
      </c>
      <c r="AX196" s="7" t="s">
        <v>5</v>
      </c>
      <c r="AY196" s="7">
        <v>202.99</v>
      </c>
      <c r="AZ196" s="7">
        <v>7.87</v>
      </c>
      <c r="BA196" s="7" t="s">
        <v>4</v>
      </c>
      <c r="BB196" s="7">
        <v>9.26</v>
      </c>
      <c r="BC196">
        <v>3.72</v>
      </c>
      <c r="BD196" s="7" t="s">
        <v>4</v>
      </c>
      <c r="BE196" s="7" t="s">
        <v>4</v>
      </c>
      <c r="BF196" s="7">
        <v>39.049999999999997</v>
      </c>
      <c r="BG196" s="7" t="s">
        <v>4</v>
      </c>
      <c r="BH196" s="7" t="s">
        <v>4</v>
      </c>
    </row>
    <row r="197" spans="1:60">
      <c r="A197">
        <v>157</v>
      </c>
      <c r="B197" t="s">
        <v>394</v>
      </c>
      <c r="C197" t="s">
        <v>395</v>
      </c>
      <c r="D197" s="7" t="s">
        <v>4</v>
      </c>
      <c r="E197" s="7">
        <v>6.64</v>
      </c>
      <c r="F197" s="7" t="s">
        <v>5</v>
      </c>
      <c r="G197" s="7" t="s">
        <v>5</v>
      </c>
      <c r="H197" s="7">
        <v>5.94</v>
      </c>
      <c r="I197" s="7">
        <v>11.68</v>
      </c>
      <c r="J197" s="7" t="s">
        <v>4</v>
      </c>
      <c r="K197" s="7" t="s">
        <v>5</v>
      </c>
      <c r="L197" s="7" t="s">
        <v>4</v>
      </c>
      <c r="M197" s="7" t="s">
        <v>4</v>
      </c>
      <c r="N197" s="7">
        <v>2.41</v>
      </c>
      <c r="O197" s="7">
        <v>196.84</v>
      </c>
      <c r="P197">
        <v>41.33</v>
      </c>
      <c r="Q197" s="7" t="s">
        <v>4</v>
      </c>
      <c r="R197" s="7">
        <v>67.88</v>
      </c>
      <c r="S197" s="7" t="s">
        <v>4</v>
      </c>
      <c r="T197" s="7">
        <v>3.99</v>
      </c>
      <c r="U197" s="7" t="s">
        <v>4</v>
      </c>
      <c r="V197">
        <v>41.98</v>
      </c>
      <c r="W197" s="7" t="s">
        <v>4</v>
      </c>
      <c r="X197" s="7">
        <v>2454.69</v>
      </c>
      <c r="Y197" s="7">
        <v>263.67</v>
      </c>
      <c r="Z197" s="7" t="s">
        <v>4</v>
      </c>
      <c r="AA197" s="7">
        <v>4.22</v>
      </c>
      <c r="AB197" s="7" t="s">
        <v>5</v>
      </c>
      <c r="AC197">
        <v>10.98</v>
      </c>
      <c r="AD197" s="7">
        <v>1.32</v>
      </c>
      <c r="AE197" s="7" t="s">
        <v>4</v>
      </c>
      <c r="AF197" t="s">
        <v>5</v>
      </c>
      <c r="AG197" s="7">
        <v>1182.5999999999999</v>
      </c>
      <c r="AH197" s="7">
        <v>134.13999999999999</v>
      </c>
      <c r="AI197" s="7" t="s">
        <v>4</v>
      </c>
      <c r="AJ197">
        <v>489.29</v>
      </c>
      <c r="AK197" s="7" t="s">
        <v>4</v>
      </c>
      <c r="AL197" s="7">
        <v>5.53</v>
      </c>
      <c r="AM197" s="7" t="s">
        <v>4</v>
      </c>
      <c r="AN197" s="7">
        <v>121.08</v>
      </c>
      <c r="AO197" s="7">
        <v>68.7</v>
      </c>
      <c r="AP197" s="7" t="s">
        <v>4</v>
      </c>
      <c r="AQ197" s="7" t="s">
        <v>4</v>
      </c>
      <c r="AR197" s="7" t="s">
        <v>4</v>
      </c>
      <c r="AS197">
        <v>25.38</v>
      </c>
      <c r="AT197" s="7">
        <v>81.77</v>
      </c>
      <c r="AU197" s="7" t="s">
        <v>4</v>
      </c>
      <c r="AV197" s="7" t="s">
        <v>4</v>
      </c>
      <c r="AW197" s="7">
        <v>115.16</v>
      </c>
      <c r="AX197" s="7">
        <v>37.69</v>
      </c>
      <c r="AY197" s="7">
        <v>18.79</v>
      </c>
      <c r="AZ197" s="7">
        <v>20.18</v>
      </c>
      <c r="BA197" s="7" t="s">
        <v>4</v>
      </c>
      <c r="BB197" s="7">
        <v>1.1599999999999999</v>
      </c>
      <c r="BC197">
        <v>117.12</v>
      </c>
      <c r="BD197" s="7">
        <v>3.13</v>
      </c>
      <c r="BE197" s="7" t="s">
        <v>4</v>
      </c>
      <c r="BF197" s="7">
        <v>4.03</v>
      </c>
      <c r="BG197" s="7">
        <v>22.73</v>
      </c>
      <c r="BH197" s="7" t="s">
        <v>4</v>
      </c>
    </row>
    <row r="198" spans="1:60">
      <c r="A198" t="s">
        <v>396</v>
      </c>
      <c r="D198" s="7" t="s">
        <v>397</v>
      </c>
      <c r="E198" s="7" t="s">
        <v>398</v>
      </c>
      <c r="F198" s="7" t="s">
        <v>399</v>
      </c>
      <c r="G198" s="7" t="s">
        <v>400</v>
      </c>
      <c r="H198" s="7" t="s">
        <v>401</v>
      </c>
      <c r="I198" s="7" t="s">
        <v>402</v>
      </c>
      <c r="J198" s="7" t="s">
        <v>403</v>
      </c>
      <c r="K198" s="7" t="s">
        <v>404</v>
      </c>
      <c r="L198" s="7" t="s">
        <v>405</v>
      </c>
      <c r="M198" s="7" t="s">
        <v>406</v>
      </c>
      <c r="N198" s="7" t="s">
        <v>407</v>
      </c>
      <c r="O198" s="7" t="s">
        <v>408</v>
      </c>
      <c r="P198" t="s">
        <v>409</v>
      </c>
      <c r="Q198" s="7" t="s">
        <v>410</v>
      </c>
      <c r="R198" s="7" t="s">
        <v>411</v>
      </c>
      <c r="S198" s="7" t="s">
        <v>412</v>
      </c>
      <c r="T198" s="7" t="s">
        <v>413</v>
      </c>
      <c r="U198" s="7" t="s">
        <v>414</v>
      </c>
      <c r="V198" t="s">
        <v>415</v>
      </c>
      <c r="W198" s="7" t="s">
        <v>416</v>
      </c>
      <c r="X198" s="7" t="s">
        <v>417</v>
      </c>
      <c r="Y198" s="7" t="s">
        <v>418</v>
      </c>
      <c r="Z198" s="7" t="s">
        <v>419</v>
      </c>
      <c r="AA198" s="7" t="s">
        <v>420</v>
      </c>
      <c r="AB198" s="7" t="s">
        <v>421</v>
      </c>
      <c r="AC198" t="s">
        <v>422</v>
      </c>
      <c r="AD198" s="7" t="s">
        <v>423</v>
      </c>
      <c r="AE198" s="7" t="s">
        <v>424</v>
      </c>
      <c r="AF198" t="s">
        <v>425</v>
      </c>
      <c r="AG198" s="7" t="s">
        <v>426</v>
      </c>
      <c r="AH198" s="7" t="s">
        <v>427</v>
      </c>
      <c r="AI198" s="7" t="s">
        <v>428</v>
      </c>
      <c r="AJ198" t="s">
        <v>429</v>
      </c>
      <c r="AK198" s="7" t="s">
        <v>430</v>
      </c>
      <c r="AL198" s="7" t="s">
        <v>431</v>
      </c>
      <c r="AM198" s="7" t="s">
        <v>432</v>
      </c>
      <c r="AN198" s="7" t="s">
        <v>433</v>
      </c>
      <c r="AO198" s="7" t="s">
        <v>434</v>
      </c>
      <c r="AP198" s="7" t="s">
        <v>435</v>
      </c>
      <c r="AQ198" s="7" t="s">
        <v>436</v>
      </c>
      <c r="AR198" s="7" t="s">
        <v>437</v>
      </c>
      <c r="AS198" t="s">
        <v>438</v>
      </c>
      <c r="AT198" s="7" t="s">
        <v>439</v>
      </c>
      <c r="AU198" s="7" t="s">
        <v>440</v>
      </c>
      <c r="AV198" s="7" t="s">
        <v>441</v>
      </c>
      <c r="AW198" s="7" t="s">
        <v>442</v>
      </c>
      <c r="AX198" s="7" t="s">
        <v>443</v>
      </c>
      <c r="AY198" s="7" t="s">
        <v>444</v>
      </c>
      <c r="AZ198" s="7" t="s">
        <v>445</v>
      </c>
      <c r="BA198" s="7" t="s">
        <v>446</v>
      </c>
      <c r="BB198" s="7" t="s">
        <v>447</v>
      </c>
      <c r="BC198" t="s">
        <v>448</v>
      </c>
      <c r="BD198" s="7" t="s">
        <v>449</v>
      </c>
      <c r="BE198" s="7" t="s">
        <v>450</v>
      </c>
      <c r="BF198" s="7" t="s">
        <v>451</v>
      </c>
      <c r="BG198" s="7" t="s">
        <v>452</v>
      </c>
      <c r="BH198" s="7" t="s">
        <v>453</v>
      </c>
    </row>
    <row r="199" spans="1:60">
      <c r="A199" t="s">
        <v>454</v>
      </c>
      <c r="D199" s="7" t="s">
        <v>455</v>
      </c>
      <c r="E199" s="7" t="s">
        <v>455</v>
      </c>
      <c r="F199" s="7" t="s">
        <v>455</v>
      </c>
      <c r="G199" s="7" t="s">
        <v>455</v>
      </c>
      <c r="H199" s="7" t="s">
        <v>455</v>
      </c>
      <c r="I199" s="7" t="s">
        <v>455</v>
      </c>
      <c r="J199" s="7" t="s">
        <v>455</v>
      </c>
      <c r="K199" s="7" t="s">
        <v>455</v>
      </c>
      <c r="L199" s="7" t="s">
        <v>455</v>
      </c>
      <c r="M199" s="7" t="s">
        <v>455</v>
      </c>
      <c r="N199" s="7" t="s">
        <v>455</v>
      </c>
      <c r="O199" s="7" t="s">
        <v>455</v>
      </c>
      <c r="P199" t="s">
        <v>455</v>
      </c>
      <c r="Q199" s="7" t="s">
        <v>455</v>
      </c>
      <c r="R199" s="7" t="s">
        <v>455</v>
      </c>
      <c r="S199" s="7" t="s">
        <v>455</v>
      </c>
      <c r="T199" s="7" t="s">
        <v>455</v>
      </c>
      <c r="U199" s="7" t="s">
        <v>455</v>
      </c>
      <c r="V199" t="s">
        <v>455</v>
      </c>
      <c r="W199" s="7" t="s">
        <v>455</v>
      </c>
      <c r="X199" s="7" t="s">
        <v>455</v>
      </c>
      <c r="Y199" s="7" t="s">
        <v>455</v>
      </c>
      <c r="Z199" s="7" t="s">
        <v>455</v>
      </c>
      <c r="AA199" s="7" t="s">
        <v>455</v>
      </c>
      <c r="AB199" s="7" t="s">
        <v>455</v>
      </c>
      <c r="AC199" t="s">
        <v>455</v>
      </c>
      <c r="AD199" s="7" t="s">
        <v>455</v>
      </c>
      <c r="AE199" s="7" t="s">
        <v>455</v>
      </c>
      <c r="AF199" t="s">
        <v>455</v>
      </c>
      <c r="AG199" s="7" t="s">
        <v>455</v>
      </c>
      <c r="AH199" s="7" t="s">
        <v>455</v>
      </c>
      <c r="AI199" s="7" t="s">
        <v>455</v>
      </c>
      <c r="AJ199" t="s">
        <v>455</v>
      </c>
      <c r="AK199" s="7" t="s">
        <v>455</v>
      </c>
      <c r="AL199" s="7" t="s">
        <v>455</v>
      </c>
      <c r="AM199" s="7" t="s">
        <v>455</v>
      </c>
      <c r="AN199" s="7" t="s">
        <v>455</v>
      </c>
      <c r="AO199" s="7" t="s">
        <v>455</v>
      </c>
      <c r="AP199" s="7" t="s">
        <v>455</v>
      </c>
      <c r="AQ199" s="7" t="s">
        <v>455</v>
      </c>
      <c r="AR199" s="7" t="s">
        <v>455</v>
      </c>
      <c r="AS199" t="s">
        <v>455</v>
      </c>
      <c r="AT199" s="7" t="s">
        <v>455</v>
      </c>
      <c r="AU199" s="7" t="s">
        <v>455</v>
      </c>
      <c r="AV199" s="7" t="s">
        <v>455</v>
      </c>
      <c r="AW199" s="7" t="s">
        <v>455</v>
      </c>
      <c r="AX199" s="7" t="s">
        <v>455</v>
      </c>
      <c r="AY199" s="7" t="s">
        <v>455</v>
      </c>
      <c r="AZ199" s="7" t="s">
        <v>455</v>
      </c>
      <c r="BA199" s="7" t="s">
        <v>455</v>
      </c>
      <c r="BB199" s="7" t="s">
        <v>455</v>
      </c>
      <c r="BC199" t="s">
        <v>455</v>
      </c>
      <c r="BD199" s="7" t="s">
        <v>455</v>
      </c>
      <c r="BE199" s="7" t="s">
        <v>455</v>
      </c>
      <c r="BF199" s="7" t="s">
        <v>455</v>
      </c>
      <c r="BG199" s="7" t="s">
        <v>455</v>
      </c>
      <c r="BH199" s="7" t="s">
        <v>455</v>
      </c>
    </row>
    <row r="200" spans="1:60">
      <c r="A200" t="s">
        <v>456</v>
      </c>
      <c r="D200" s="7" t="s">
        <v>457</v>
      </c>
      <c r="E200" s="7" t="s">
        <v>457</v>
      </c>
      <c r="F200" s="7" t="s">
        <v>457</v>
      </c>
      <c r="G200" s="7" t="s">
        <v>457</v>
      </c>
      <c r="H200" s="7" t="s">
        <v>457</v>
      </c>
      <c r="I200" s="7" t="s">
        <v>457</v>
      </c>
      <c r="J200" s="7" t="s">
        <v>457</v>
      </c>
      <c r="K200" s="7" t="s">
        <v>457</v>
      </c>
      <c r="L200" s="7" t="s">
        <v>457</v>
      </c>
      <c r="M200" s="7" t="s">
        <v>457</v>
      </c>
      <c r="N200" s="7" t="s">
        <v>457</v>
      </c>
      <c r="O200" s="7" t="s">
        <v>457</v>
      </c>
      <c r="P200" t="s">
        <v>457</v>
      </c>
      <c r="Q200" s="7" t="s">
        <v>457</v>
      </c>
      <c r="R200" s="7" t="s">
        <v>457</v>
      </c>
      <c r="S200" s="7" t="s">
        <v>457</v>
      </c>
      <c r="T200" s="7" t="s">
        <v>457</v>
      </c>
      <c r="U200" s="7" t="s">
        <v>457</v>
      </c>
      <c r="V200" t="s">
        <v>457</v>
      </c>
      <c r="W200" s="7" t="s">
        <v>457</v>
      </c>
      <c r="X200" s="7" t="s">
        <v>457</v>
      </c>
      <c r="Y200" s="7" t="s">
        <v>457</v>
      </c>
      <c r="Z200" s="7" t="s">
        <v>457</v>
      </c>
      <c r="AA200" s="7" t="s">
        <v>457</v>
      </c>
      <c r="AB200" s="7" t="s">
        <v>458</v>
      </c>
      <c r="AC200" t="s">
        <v>457</v>
      </c>
      <c r="AD200" s="7" t="s">
        <v>457</v>
      </c>
      <c r="AE200" s="7" t="s">
        <v>457</v>
      </c>
      <c r="AF200" t="s">
        <v>458</v>
      </c>
      <c r="AG200" s="7" t="s">
        <v>458</v>
      </c>
      <c r="AH200" s="7" t="s">
        <v>458</v>
      </c>
      <c r="AI200" s="7" t="s">
        <v>457</v>
      </c>
      <c r="AJ200" t="s">
        <v>458</v>
      </c>
      <c r="AK200" s="7" t="s">
        <v>457</v>
      </c>
      <c r="AL200" s="7" t="s">
        <v>458</v>
      </c>
      <c r="AM200" s="7" t="s">
        <v>457</v>
      </c>
      <c r="AN200" s="7" t="s">
        <v>458</v>
      </c>
      <c r="AO200" s="7" t="s">
        <v>458</v>
      </c>
      <c r="AP200" s="7" t="s">
        <v>457</v>
      </c>
      <c r="AQ200" s="7" t="s">
        <v>457</v>
      </c>
      <c r="AR200" s="7" t="s">
        <v>457</v>
      </c>
      <c r="AS200" t="s">
        <v>458</v>
      </c>
      <c r="AT200" s="7" t="s">
        <v>458</v>
      </c>
      <c r="AU200" s="7" t="s">
        <v>457</v>
      </c>
      <c r="AV200" s="7" t="s">
        <v>458</v>
      </c>
      <c r="AW200" s="7" t="s">
        <v>458</v>
      </c>
      <c r="AX200" s="7" t="s">
        <v>457</v>
      </c>
      <c r="AY200" s="7" t="s">
        <v>457</v>
      </c>
      <c r="AZ200" s="7" t="s">
        <v>458</v>
      </c>
      <c r="BA200" s="7" t="s">
        <v>457</v>
      </c>
      <c r="BB200" s="7" t="s">
        <v>458</v>
      </c>
      <c r="BC200" t="s">
        <v>458</v>
      </c>
      <c r="BD200" s="7" t="s">
        <v>458</v>
      </c>
      <c r="BE200" s="7" t="s">
        <v>457</v>
      </c>
      <c r="BF200" s="7" t="s">
        <v>457</v>
      </c>
      <c r="BG200" s="7" t="s">
        <v>457</v>
      </c>
      <c r="BH200" s="7" t="s">
        <v>458</v>
      </c>
    </row>
    <row r="201" spans="1:60">
      <c r="A201" t="s">
        <v>459</v>
      </c>
      <c r="D201" s="7" t="s">
        <v>460</v>
      </c>
      <c r="E201" s="7" t="s">
        <v>460</v>
      </c>
      <c r="F201" s="7" t="s">
        <v>460</v>
      </c>
      <c r="G201" s="7" t="s">
        <v>460</v>
      </c>
      <c r="H201" s="7" t="s">
        <v>460</v>
      </c>
      <c r="I201" s="7" t="s">
        <v>460</v>
      </c>
      <c r="J201" s="7" t="s">
        <v>460</v>
      </c>
      <c r="K201" s="7" t="s">
        <v>460</v>
      </c>
      <c r="L201" s="7" t="s">
        <v>460</v>
      </c>
      <c r="M201" s="7" t="s">
        <v>460</v>
      </c>
      <c r="N201" s="7" t="s">
        <v>460</v>
      </c>
      <c r="O201" s="7" t="s">
        <v>460</v>
      </c>
      <c r="P201" t="s">
        <v>460</v>
      </c>
      <c r="Q201" s="7" t="s">
        <v>460</v>
      </c>
      <c r="R201" s="7" t="s">
        <v>460</v>
      </c>
      <c r="S201" s="7" t="s">
        <v>460</v>
      </c>
      <c r="T201" s="7" t="s">
        <v>460</v>
      </c>
      <c r="U201" s="7" t="s">
        <v>460</v>
      </c>
      <c r="V201" t="s">
        <v>460</v>
      </c>
      <c r="W201" s="7" t="s">
        <v>460</v>
      </c>
      <c r="X201" s="7" t="s">
        <v>460</v>
      </c>
      <c r="Y201" s="7" t="s">
        <v>460</v>
      </c>
      <c r="Z201" s="7" t="s">
        <v>460</v>
      </c>
      <c r="AA201" s="7" t="s">
        <v>460</v>
      </c>
      <c r="AB201" s="7" t="s">
        <v>460</v>
      </c>
      <c r="AC201" t="s">
        <v>460</v>
      </c>
      <c r="AD201" s="7" t="s">
        <v>460</v>
      </c>
      <c r="AE201" s="7" t="s">
        <v>460</v>
      </c>
      <c r="AF201" t="s">
        <v>460</v>
      </c>
      <c r="AG201" s="7" t="s">
        <v>460</v>
      </c>
      <c r="AH201" s="7" t="s">
        <v>460</v>
      </c>
      <c r="AI201" s="7" t="s">
        <v>460</v>
      </c>
      <c r="AJ201" t="s">
        <v>460</v>
      </c>
      <c r="AK201" s="7" t="s">
        <v>460</v>
      </c>
      <c r="AL201" s="7" t="s">
        <v>460</v>
      </c>
      <c r="AM201" s="7" t="s">
        <v>460</v>
      </c>
      <c r="AN201" s="7" t="s">
        <v>460</v>
      </c>
      <c r="AO201" s="7" t="s">
        <v>460</v>
      </c>
      <c r="AP201" s="7" t="s">
        <v>460</v>
      </c>
      <c r="AQ201" s="7" t="s">
        <v>460</v>
      </c>
      <c r="AR201" s="7" t="s">
        <v>460</v>
      </c>
      <c r="AS201" t="s">
        <v>460</v>
      </c>
      <c r="AT201" s="7" t="s">
        <v>460</v>
      </c>
      <c r="AU201" s="7" t="s">
        <v>460</v>
      </c>
      <c r="AV201" s="7" t="s">
        <v>460</v>
      </c>
      <c r="AW201" s="7" t="s">
        <v>460</v>
      </c>
      <c r="AX201" s="7" t="s">
        <v>460</v>
      </c>
      <c r="AY201" s="7" t="s">
        <v>460</v>
      </c>
      <c r="AZ201" s="7" t="s">
        <v>460</v>
      </c>
      <c r="BA201" s="7" t="s">
        <v>460</v>
      </c>
      <c r="BB201" s="7" t="s">
        <v>460</v>
      </c>
      <c r="BC201" t="s">
        <v>460</v>
      </c>
      <c r="BD201" s="7" t="s">
        <v>460</v>
      </c>
      <c r="BE201" s="7" t="s">
        <v>460</v>
      </c>
      <c r="BF201" s="7" t="s">
        <v>460</v>
      </c>
      <c r="BG201" s="7" t="s">
        <v>460</v>
      </c>
      <c r="BH201" s="7" t="s">
        <v>460</v>
      </c>
    </row>
    <row r="202" spans="1:60">
      <c r="A202" t="s">
        <v>461</v>
      </c>
      <c r="D202" s="7">
        <v>2.5</v>
      </c>
      <c r="E202" s="7">
        <v>2.5</v>
      </c>
      <c r="F202" s="7">
        <v>2.5</v>
      </c>
      <c r="G202" s="7">
        <v>2.5</v>
      </c>
      <c r="H202" s="7">
        <v>1</v>
      </c>
      <c r="I202" s="7">
        <v>1</v>
      </c>
      <c r="J202" s="7">
        <v>2.5</v>
      </c>
      <c r="K202" s="7">
        <v>1</v>
      </c>
      <c r="L202" s="7">
        <v>2.5</v>
      </c>
      <c r="M202" s="7">
        <v>2.5</v>
      </c>
      <c r="N202" s="7">
        <v>1</v>
      </c>
      <c r="O202" s="7">
        <v>2.5</v>
      </c>
      <c r="P202">
        <v>10</v>
      </c>
      <c r="Q202" s="7">
        <v>2.5</v>
      </c>
      <c r="R202" s="7">
        <v>2.5</v>
      </c>
      <c r="S202" s="7">
        <v>2.5</v>
      </c>
      <c r="T202" s="7">
        <v>1</v>
      </c>
      <c r="U202" s="7">
        <v>1</v>
      </c>
      <c r="V202">
        <v>2.5</v>
      </c>
      <c r="W202" s="7">
        <v>2.5</v>
      </c>
      <c r="X202" s="7">
        <v>100</v>
      </c>
      <c r="Y202" s="7">
        <v>2.5</v>
      </c>
      <c r="Z202" s="7">
        <v>1</v>
      </c>
      <c r="AA202" s="7">
        <v>1</v>
      </c>
      <c r="AB202" s="7">
        <v>5</v>
      </c>
      <c r="AC202">
        <v>1</v>
      </c>
      <c r="AD202" s="7">
        <v>1</v>
      </c>
      <c r="AE202" s="7">
        <v>2.5</v>
      </c>
      <c r="AF202">
        <v>2.5</v>
      </c>
      <c r="AG202" s="7">
        <v>5</v>
      </c>
      <c r="AH202" s="7">
        <v>2.5</v>
      </c>
      <c r="AI202" s="7">
        <v>1</v>
      </c>
      <c r="AJ202">
        <v>2.5</v>
      </c>
      <c r="AK202" s="7">
        <v>2.5</v>
      </c>
      <c r="AL202" s="7">
        <v>2.5</v>
      </c>
      <c r="AM202" s="7">
        <v>2.5</v>
      </c>
      <c r="AN202" s="7">
        <v>5</v>
      </c>
      <c r="AO202" s="7">
        <v>2.5</v>
      </c>
      <c r="AP202" s="7">
        <v>1</v>
      </c>
      <c r="AQ202" s="7">
        <v>2.5</v>
      </c>
      <c r="AR202" s="7">
        <v>2.5</v>
      </c>
      <c r="AS202">
        <v>2.5</v>
      </c>
      <c r="AT202" s="7">
        <v>1</v>
      </c>
      <c r="AU202" s="7">
        <v>5</v>
      </c>
      <c r="AV202" s="7">
        <v>50</v>
      </c>
      <c r="AW202" s="7">
        <v>10</v>
      </c>
      <c r="AX202" s="7">
        <v>10</v>
      </c>
      <c r="AY202" s="7">
        <v>10</v>
      </c>
      <c r="AZ202" s="7">
        <v>5</v>
      </c>
      <c r="BA202" s="7">
        <v>5</v>
      </c>
      <c r="BB202" s="7">
        <v>1</v>
      </c>
      <c r="BC202">
        <v>2.5</v>
      </c>
      <c r="BD202" s="7">
        <v>1</v>
      </c>
      <c r="BE202" s="7">
        <v>25</v>
      </c>
      <c r="BF202" s="7">
        <v>2.5</v>
      </c>
      <c r="BG202" s="7">
        <v>1</v>
      </c>
      <c r="BH202" s="7">
        <v>2.5</v>
      </c>
    </row>
    <row r="203" spans="1:60">
      <c r="A203" t="s">
        <v>462</v>
      </c>
      <c r="D203" s="7">
        <v>50</v>
      </c>
      <c r="E203" s="7">
        <v>50</v>
      </c>
      <c r="F203" s="7">
        <v>50</v>
      </c>
      <c r="G203" s="7">
        <v>50</v>
      </c>
      <c r="H203" s="7">
        <v>50</v>
      </c>
      <c r="I203" s="7">
        <v>50</v>
      </c>
      <c r="J203" s="7">
        <v>50</v>
      </c>
      <c r="K203" s="7">
        <v>500</v>
      </c>
      <c r="L203" s="7">
        <v>50</v>
      </c>
      <c r="M203" s="7">
        <v>1000</v>
      </c>
      <c r="N203" s="7">
        <v>1000</v>
      </c>
      <c r="O203" s="7">
        <v>1000</v>
      </c>
      <c r="P203">
        <v>1000</v>
      </c>
      <c r="Q203" s="7">
        <v>50</v>
      </c>
      <c r="R203" s="7">
        <v>1000</v>
      </c>
      <c r="S203" s="7">
        <v>1000</v>
      </c>
      <c r="T203" s="7">
        <v>1000</v>
      </c>
      <c r="U203" s="7">
        <v>1000</v>
      </c>
      <c r="V203">
        <v>1000</v>
      </c>
      <c r="W203" s="7">
        <v>1000</v>
      </c>
      <c r="X203" s="7">
        <v>2500</v>
      </c>
      <c r="Y203" s="7">
        <v>1000</v>
      </c>
      <c r="Z203" s="7">
        <v>1000</v>
      </c>
      <c r="AA203" s="7">
        <v>1000</v>
      </c>
      <c r="AB203" s="7">
        <v>1000</v>
      </c>
      <c r="AC203">
        <v>500</v>
      </c>
      <c r="AD203" s="7">
        <v>500</v>
      </c>
      <c r="AE203" s="7">
        <v>1000</v>
      </c>
      <c r="AF203">
        <v>2500</v>
      </c>
      <c r="AG203" s="7">
        <v>2500</v>
      </c>
      <c r="AH203" s="7">
        <v>2500</v>
      </c>
      <c r="AI203" s="7">
        <v>2500</v>
      </c>
      <c r="AJ203">
        <v>2500</v>
      </c>
      <c r="AK203" s="7">
        <v>1000</v>
      </c>
      <c r="AL203" s="7">
        <v>500</v>
      </c>
      <c r="AM203" s="7">
        <v>1000</v>
      </c>
      <c r="AN203" s="7">
        <v>1000</v>
      </c>
      <c r="AO203" s="7">
        <v>2500</v>
      </c>
      <c r="AP203" s="7">
        <v>250</v>
      </c>
      <c r="AQ203" s="7">
        <v>250</v>
      </c>
      <c r="AR203" s="7">
        <v>2500</v>
      </c>
      <c r="AS203">
        <v>2500</v>
      </c>
      <c r="AT203" s="7">
        <v>1000</v>
      </c>
      <c r="AU203" s="7">
        <v>1000</v>
      </c>
      <c r="AV203" s="7">
        <v>1000</v>
      </c>
      <c r="AW203" s="7">
        <v>1000</v>
      </c>
      <c r="AX203" s="7">
        <v>1000</v>
      </c>
      <c r="AY203" s="7">
        <v>1000</v>
      </c>
      <c r="AZ203" s="7">
        <v>2500</v>
      </c>
      <c r="BA203" s="7">
        <v>2500</v>
      </c>
      <c r="BB203" s="7">
        <v>2500</v>
      </c>
      <c r="BC203">
        <v>2500</v>
      </c>
      <c r="BD203" s="7">
        <v>250</v>
      </c>
      <c r="BE203" s="7">
        <v>1000</v>
      </c>
      <c r="BF203" s="7">
        <v>2500</v>
      </c>
      <c r="BG203" s="7">
        <v>2500</v>
      </c>
      <c r="BH203" s="7">
        <v>2500</v>
      </c>
    </row>
    <row r="205" spans="1:60">
      <c r="D205">
        <f>COUNTIF(D8:D203, "&lt;LLOQ")</f>
        <v>160</v>
      </c>
      <c r="E205">
        <f t="shared" ref="E205:S205" si="0">COUNTIF(E8:E203, "&lt;LLOQ")</f>
        <v>90</v>
      </c>
      <c r="F205">
        <f t="shared" si="0"/>
        <v>182</v>
      </c>
      <c r="G205">
        <f t="shared" si="0"/>
        <v>111</v>
      </c>
      <c r="H205">
        <f t="shared" si="0"/>
        <v>84</v>
      </c>
      <c r="I205">
        <f t="shared" si="0"/>
        <v>27</v>
      </c>
      <c r="J205">
        <f t="shared" si="0"/>
        <v>192</v>
      </c>
      <c r="K205">
        <f t="shared" si="0"/>
        <v>107</v>
      </c>
      <c r="L205">
        <f>COUNTIF(L8:L203, "&lt;LLOQ")</f>
        <v>160</v>
      </c>
      <c r="M205">
        <f t="shared" si="0"/>
        <v>45</v>
      </c>
      <c r="N205">
        <f t="shared" si="0"/>
        <v>131</v>
      </c>
      <c r="O205">
        <f t="shared" si="0"/>
        <v>27</v>
      </c>
      <c r="P205">
        <f t="shared" si="0"/>
        <v>15</v>
      </c>
      <c r="Q205">
        <f t="shared" si="0"/>
        <v>192</v>
      </c>
      <c r="R205">
        <f t="shared" si="0"/>
        <v>34</v>
      </c>
      <c r="S205">
        <f t="shared" si="0"/>
        <v>173</v>
      </c>
      <c r="T205">
        <f t="shared" ref="T205:AK205" si="1">COUNTIF(T8:T203, "&lt;LLOQ")</f>
        <v>41</v>
      </c>
      <c r="U205">
        <f t="shared" si="1"/>
        <v>192</v>
      </c>
      <c r="V205">
        <f t="shared" si="1"/>
        <v>7</v>
      </c>
      <c r="W205">
        <f t="shared" si="1"/>
        <v>103</v>
      </c>
      <c r="X205">
        <f t="shared" si="1"/>
        <v>82</v>
      </c>
      <c r="Y205">
        <f t="shared" si="1"/>
        <v>52</v>
      </c>
      <c r="Z205">
        <f t="shared" si="1"/>
        <v>135</v>
      </c>
      <c r="AA205">
        <f t="shared" si="1"/>
        <v>31</v>
      </c>
      <c r="AB205">
        <f t="shared" si="1"/>
        <v>61</v>
      </c>
      <c r="AC205">
        <f t="shared" si="1"/>
        <v>8</v>
      </c>
      <c r="AD205">
        <f t="shared" si="1"/>
        <v>154</v>
      </c>
      <c r="AE205">
        <f t="shared" si="1"/>
        <v>192</v>
      </c>
      <c r="AF205">
        <f t="shared" si="1"/>
        <v>8</v>
      </c>
      <c r="AG205">
        <f t="shared" si="1"/>
        <v>21</v>
      </c>
      <c r="AH205">
        <f t="shared" si="1"/>
        <v>35</v>
      </c>
      <c r="AI205">
        <f t="shared" si="1"/>
        <v>192</v>
      </c>
      <c r="AJ205">
        <f t="shared" si="1"/>
        <v>7</v>
      </c>
      <c r="AK205">
        <f t="shared" si="1"/>
        <v>180</v>
      </c>
      <c r="AL205">
        <f t="shared" ref="AL205:BH205" si="2">COUNTIF(AL8:AL203, "&lt;LLOQ")</f>
        <v>111</v>
      </c>
      <c r="AM205">
        <f t="shared" si="2"/>
        <v>191</v>
      </c>
      <c r="AN205">
        <f t="shared" si="2"/>
        <v>21</v>
      </c>
      <c r="AO205">
        <f t="shared" si="2"/>
        <v>31</v>
      </c>
      <c r="AP205">
        <f t="shared" si="2"/>
        <v>192</v>
      </c>
      <c r="AQ205">
        <f t="shared" si="2"/>
        <v>178</v>
      </c>
      <c r="AR205">
        <f t="shared" si="2"/>
        <v>171</v>
      </c>
      <c r="AS205">
        <f t="shared" si="2"/>
        <v>8</v>
      </c>
      <c r="AT205">
        <f t="shared" si="2"/>
        <v>41</v>
      </c>
      <c r="AU205">
        <f t="shared" si="2"/>
        <v>192</v>
      </c>
      <c r="AV205">
        <f t="shared" si="2"/>
        <v>150</v>
      </c>
      <c r="AW205">
        <f t="shared" si="2"/>
        <v>128</v>
      </c>
      <c r="AX205">
        <f t="shared" si="2"/>
        <v>138</v>
      </c>
      <c r="AY205">
        <f t="shared" si="2"/>
        <v>125</v>
      </c>
      <c r="AZ205">
        <f t="shared" si="2"/>
        <v>141</v>
      </c>
      <c r="BA205">
        <f t="shared" si="2"/>
        <v>165</v>
      </c>
      <c r="BB205">
        <f t="shared" si="2"/>
        <v>152</v>
      </c>
      <c r="BC205">
        <f t="shared" si="2"/>
        <v>17</v>
      </c>
      <c r="BD205">
        <f t="shared" si="2"/>
        <v>124</v>
      </c>
      <c r="BE205">
        <f t="shared" si="2"/>
        <v>186</v>
      </c>
      <c r="BF205">
        <f t="shared" si="2"/>
        <v>158</v>
      </c>
      <c r="BG205">
        <f t="shared" si="2"/>
        <v>55</v>
      </c>
      <c r="BH205">
        <f t="shared" si="2"/>
        <v>170</v>
      </c>
    </row>
    <row r="206" spans="1:60">
      <c r="I206">
        <f>COUNTIF(I8:I203, "&gt;ULOQ")</f>
        <v>0</v>
      </c>
    </row>
    <row r="209" spans="9:60">
      <c r="I209">
        <f>I205/196</f>
        <v>0.13775510204081631</v>
      </c>
      <c r="J209">
        <f t="shared" ref="J209:N209" si="3">J205/196</f>
        <v>0.97959183673469385</v>
      </c>
      <c r="K209">
        <f t="shared" si="3"/>
        <v>0.54591836734693877</v>
      </c>
      <c r="L209">
        <f t="shared" si="3"/>
        <v>0.81632653061224492</v>
      </c>
      <c r="M209">
        <f t="shared" si="3"/>
        <v>0.22959183673469388</v>
      </c>
      <c r="N209">
        <f t="shared" si="3"/>
        <v>0.66836734693877553</v>
      </c>
      <c r="O209">
        <f>O205/196</f>
        <v>0.13775510204081631</v>
      </c>
      <c r="P209">
        <f>P205/196</f>
        <v>7.6530612244897961E-2</v>
      </c>
      <c r="V209">
        <f>(V205/196)</f>
        <v>3.5714285714285712E-2</v>
      </c>
      <c r="AA209">
        <f>AA205/196</f>
        <v>0.15816326530612246</v>
      </c>
      <c r="AC209">
        <f>AC205/196</f>
        <v>4.0816326530612242E-2</v>
      </c>
      <c r="AD209">
        <f t="shared" ref="AD209:BH209" si="4">AD205/196</f>
        <v>0.7857142857142857</v>
      </c>
      <c r="AE209">
        <f t="shared" si="4"/>
        <v>0.97959183673469385</v>
      </c>
      <c r="AF209">
        <f t="shared" si="4"/>
        <v>4.0816326530612242E-2</v>
      </c>
      <c r="AG209">
        <f t="shared" si="4"/>
        <v>0.10714285714285714</v>
      </c>
      <c r="AH209">
        <f t="shared" si="4"/>
        <v>0.17857142857142858</v>
      </c>
      <c r="AI209">
        <f t="shared" si="4"/>
        <v>0.97959183673469385</v>
      </c>
      <c r="AJ209">
        <f t="shared" si="4"/>
        <v>3.5714285714285712E-2</v>
      </c>
      <c r="AK209">
        <f t="shared" si="4"/>
        <v>0.91836734693877553</v>
      </c>
      <c r="AL209">
        <f t="shared" si="4"/>
        <v>0.56632653061224492</v>
      </c>
      <c r="AM209">
        <f t="shared" si="4"/>
        <v>0.97448979591836737</v>
      </c>
      <c r="AN209">
        <f t="shared" si="4"/>
        <v>0.10714285714285714</v>
      </c>
      <c r="AO209">
        <f t="shared" si="4"/>
        <v>0.15816326530612246</v>
      </c>
      <c r="AP209">
        <f t="shared" si="4"/>
        <v>0.97959183673469385</v>
      </c>
      <c r="AQ209">
        <f t="shared" si="4"/>
        <v>0.90816326530612246</v>
      </c>
      <c r="AR209">
        <f t="shared" si="4"/>
        <v>0.87244897959183676</v>
      </c>
      <c r="AS209">
        <f t="shared" si="4"/>
        <v>4.0816326530612242E-2</v>
      </c>
      <c r="AT209">
        <f t="shared" si="4"/>
        <v>0.20918367346938777</v>
      </c>
      <c r="AU209">
        <f t="shared" si="4"/>
        <v>0.97959183673469385</v>
      </c>
      <c r="AV209">
        <f t="shared" si="4"/>
        <v>0.76530612244897955</v>
      </c>
      <c r="AW209">
        <f t="shared" si="4"/>
        <v>0.65306122448979587</v>
      </c>
      <c r="AX209">
        <f t="shared" si="4"/>
        <v>0.70408163265306123</v>
      </c>
      <c r="AY209">
        <f t="shared" si="4"/>
        <v>0.63775510204081631</v>
      </c>
      <c r="AZ209">
        <f t="shared" si="4"/>
        <v>0.71938775510204078</v>
      </c>
      <c r="BA209">
        <f t="shared" si="4"/>
        <v>0.84183673469387754</v>
      </c>
      <c r="BB209">
        <f t="shared" si="4"/>
        <v>0.77551020408163263</v>
      </c>
      <c r="BC209">
        <f t="shared" si="4"/>
        <v>8.673469387755102E-2</v>
      </c>
      <c r="BD209">
        <f t="shared" si="4"/>
        <v>0.63265306122448983</v>
      </c>
      <c r="BE209">
        <f t="shared" si="4"/>
        <v>0.94897959183673475</v>
      </c>
      <c r="BF209">
        <f t="shared" si="4"/>
        <v>0.80612244897959184</v>
      </c>
      <c r="BG209">
        <f t="shared" si="4"/>
        <v>0.28061224489795916</v>
      </c>
      <c r="BH209">
        <f t="shared" si="4"/>
        <v>0.86734693877551017</v>
      </c>
    </row>
  </sheetData>
  <sortState xmlns:xlrd2="http://schemas.microsoft.com/office/spreadsheetml/2017/richdata2" ref="A2:BH203">
    <sortCondition ref="C8:C203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203"/>
  <sheetViews>
    <sheetView workbookViewId="0">
      <pane ySplit="1" topLeftCell="A2" activePane="bottomLeft" state="frozen"/>
      <selection pane="bottomLeft" activeCell="B28" sqref="B28"/>
    </sheetView>
  </sheetViews>
  <sheetFormatPr defaultColWidth="11" defaultRowHeight="15.95"/>
  <cols>
    <col min="15" max="15" width="9.375" customWidth="1"/>
    <col min="16" max="16" width="9.125" customWidth="1"/>
    <col min="17" max="17" width="9.625" customWidth="1"/>
    <col min="18" max="18" width="13.625" customWidth="1"/>
    <col min="19" max="19" width="9.5" customWidth="1"/>
    <col min="20" max="20" width="8.5" customWidth="1"/>
    <col min="21" max="21" width="10.625" customWidth="1"/>
  </cols>
  <sheetData>
    <row r="1" spans="1:21">
      <c r="A1" t="s">
        <v>463</v>
      </c>
      <c r="B1" t="s">
        <v>464</v>
      </c>
      <c r="C1" t="s">
        <v>465</v>
      </c>
      <c r="D1" t="s">
        <v>466</v>
      </c>
      <c r="E1" t="s">
        <v>467</v>
      </c>
      <c r="F1" t="s">
        <v>468</v>
      </c>
      <c r="G1" t="s">
        <v>469</v>
      </c>
      <c r="H1" t="s">
        <v>470</v>
      </c>
      <c r="I1" t="s">
        <v>471</v>
      </c>
      <c r="J1" t="s">
        <v>472</v>
      </c>
      <c r="K1" t="s">
        <v>473</v>
      </c>
      <c r="L1" t="s">
        <v>474</v>
      </c>
      <c r="M1" t="s">
        <v>475</v>
      </c>
      <c r="N1" t="s">
        <v>476</v>
      </c>
      <c r="O1" t="s">
        <v>477</v>
      </c>
      <c r="P1" t="s">
        <v>478</v>
      </c>
      <c r="Q1" t="s">
        <v>479</v>
      </c>
      <c r="R1" t="s">
        <v>480</v>
      </c>
      <c r="S1" t="s">
        <v>481</v>
      </c>
      <c r="T1" t="s">
        <v>482</v>
      </c>
      <c r="U1" t="s">
        <v>483</v>
      </c>
    </row>
    <row r="2" spans="1:21">
      <c r="A2" s="1" t="s">
        <v>484</v>
      </c>
      <c r="B2" s="1" t="s">
        <v>3</v>
      </c>
      <c r="C2" s="1" t="s">
        <v>485</v>
      </c>
      <c r="D2" s="1" t="s">
        <v>486</v>
      </c>
      <c r="E2" s="1" t="s">
        <v>487</v>
      </c>
      <c r="F2" s="2">
        <v>36363</v>
      </c>
      <c r="G2" s="2">
        <v>43210</v>
      </c>
      <c r="H2" s="1">
        <v>18</v>
      </c>
      <c r="I2" s="1">
        <v>1</v>
      </c>
      <c r="J2" s="1" t="s">
        <v>488</v>
      </c>
      <c r="K2" s="1">
        <v>200</v>
      </c>
      <c r="L2" s="1" t="s">
        <v>487</v>
      </c>
      <c r="M2" t="str">
        <f>IF(N2=B2,"TRUE","FALSE")</f>
        <v>TRUE</v>
      </c>
      <c r="N2" t="s">
        <v>3</v>
      </c>
      <c r="O2">
        <v>223.62</v>
      </c>
      <c r="P2">
        <v>4.59</v>
      </c>
      <c r="Q2">
        <v>10.029999999999999</v>
      </c>
      <c r="R2">
        <v>391.21</v>
      </c>
      <c r="S2">
        <v>556.16</v>
      </c>
      <c r="T2">
        <v>37.15</v>
      </c>
      <c r="U2">
        <v>2.4900000000000002</v>
      </c>
    </row>
    <row r="3" spans="1:21">
      <c r="A3" s="1" t="s">
        <v>489</v>
      </c>
      <c r="B3" s="1" t="s">
        <v>7</v>
      </c>
      <c r="C3" s="1" t="s">
        <v>490</v>
      </c>
      <c r="D3" s="1" t="s">
        <v>491</v>
      </c>
      <c r="E3" s="1" t="s">
        <v>492</v>
      </c>
      <c r="F3" s="2">
        <v>21294</v>
      </c>
      <c r="G3" s="2">
        <v>43210</v>
      </c>
      <c r="H3" s="1">
        <v>60</v>
      </c>
      <c r="I3" s="1">
        <v>1</v>
      </c>
      <c r="J3" s="1" t="s">
        <v>493</v>
      </c>
      <c r="K3" s="1">
        <v>1269</v>
      </c>
      <c r="L3" s="1">
        <v>8</v>
      </c>
      <c r="M3" t="str">
        <f t="shared" ref="M3:M66" si="0">IF(N3=B3,"TRUE","FALSE")</f>
        <v>TRUE</v>
      </c>
      <c r="N3" t="s">
        <v>7</v>
      </c>
      <c r="O3">
        <v>724.77</v>
      </c>
      <c r="P3">
        <v>8.2799999999999994</v>
      </c>
      <c r="Q3">
        <v>54.99</v>
      </c>
      <c r="R3">
        <v>47.41</v>
      </c>
      <c r="S3">
        <v>54.51</v>
      </c>
      <c r="T3">
        <v>57.06</v>
      </c>
      <c r="U3">
        <v>2.4900000000000002</v>
      </c>
    </row>
    <row r="4" spans="1:21">
      <c r="A4" s="1" t="s">
        <v>494</v>
      </c>
      <c r="B4" s="1" t="s">
        <v>9</v>
      </c>
      <c r="C4" s="1" t="s">
        <v>490</v>
      </c>
      <c r="D4" s="1" t="s">
        <v>491</v>
      </c>
      <c r="E4" s="1" t="s">
        <v>492</v>
      </c>
      <c r="F4" s="2">
        <v>21589</v>
      </c>
      <c r="G4" s="2">
        <v>43291</v>
      </c>
      <c r="H4" s="1">
        <v>59</v>
      </c>
      <c r="I4" s="1">
        <v>1</v>
      </c>
      <c r="J4" s="1" t="s">
        <v>488</v>
      </c>
      <c r="K4" s="1">
        <v>3000</v>
      </c>
      <c r="L4" s="1">
        <v>9</v>
      </c>
      <c r="M4" t="str">
        <f t="shared" si="0"/>
        <v>TRUE</v>
      </c>
      <c r="N4" t="s">
        <v>9</v>
      </c>
      <c r="O4">
        <v>19.91</v>
      </c>
      <c r="P4">
        <v>2.4900000000000002</v>
      </c>
      <c r="Q4">
        <v>1.65</v>
      </c>
      <c r="R4">
        <v>27.12</v>
      </c>
      <c r="S4">
        <v>74.94</v>
      </c>
      <c r="T4">
        <v>134.82</v>
      </c>
      <c r="U4">
        <v>8.66</v>
      </c>
    </row>
    <row r="5" spans="1:21">
      <c r="A5" s="1" t="s">
        <v>495</v>
      </c>
      <c r="B5" s="1" t="s">
        <v>11</v>
      </c>
      <c r="C5" s="1" t="s">
        <v>485</v>
      </c>
      <c r="D5" s="1" t="s">
        <v>496</v>
      </c>
      <c r="E5" s="1" t="s">
        <v>487</v>
      </c>
      <c r="F5" s="2">
        <v>21741</v>
      </c>
      <c r="G5" s="2">
        <v>43297</v>
      </c>
      <c r="H5" s="1">
        <v>59</v>
      </c>
      <c r="I5" s="1">
        <v>1</v>
      </c>
      <c r="J5" s="1" t="s">
        <v>493</v>
      </c>
      <c r="K5" s="1">
        <v>289</v>
      </c>
      <c r="L5" s="1" t="s">
        <v>487</v>
      </c>
      <c r="M5" t="str">
        <f t="shared" si="0"/>
        <v>TRUE</v>
      </c>
      <c r="N5" t="s">
        <v>11</v>
      </c>
      <c r="O5">
        <v>19.8</v>
      </c>
      <c r="P5">
        <v>2.4900000000000002</v>
      </c>
      <c r="Q5">
        <v>15.9</v>
      </c>
      <c r="R5">
        <v>2500.0100000000002</v>
      </c>
      <c r="S5">
        <v>2500.0100000000002</v>
      </c>
      <c r="T5">
        <v>2500.0100000000002</v>
      </c>
      <c r="U5">
        <v>17.62</v>
      </c>
    </row>
    <row r="6" spans="1:21">
      <c r="A6" s="1" t="s">
        <v>497</v>
      </c>
      <c r="B6" s="1" t="s">
        <v>13</v>
      </c>
      <c r="C6" s="1" t="s">
        <v>490</v>
      </c>
      <c r="D6" s="1" t="s">
        <v>498</v>
      </c>
      <c r="E6" s="1" t="s">
        <v>499</v>
      </c>
      <c r="F6" s="2">
        <v>30401</v>
      </c>
      <c r="G6" s="2">
        <v>43300</v>
      </c>
      <c r="H6" s="1">
        <v>35</v>
      </c>
      <c r="I6" s="1">
        <v>1</v>
      </c>
      <c r="J6" s="1" t="s">
        <v>488</v>
      </c>
      <c r="K6" s="1">
        <v>250</v>
      </c>
      <c r="L6" s="1">
        <v>0</v>
      </c>
      <c r="M6" t="str">
        <f t="shared" si="0"/>
        <v>TRUE</v>
      </c>
      <c r="N6" t="s">
        <v>13</v>
      </c>
      <c r="O6">
        <v>30.2</v>
      </c>
      <c r="P6">
        <v>7.66</v>
      </c>
      <c r="Q6">
        <v>0.99</v>
      </c>
      <c r="R6">
        <v>11.61</v>
      </c>
      <c r="S6">
        <v>23.99</v>
      </c>
      <c r="T6">
        <v>4.8099999999999996</v>
      </c>
      <c r="U6">
        <v>2.4900000000000002</v>
      </c>
    </row>
    <row r="7" spans="1:21">
      <c r="A7" s="1" t="s">
        <v>500</v>
      </c>
      <c r="B7" s="1" t="s">
        <v>15</v>
      </c>
      <c r="C7" s="1" t="s">
        <v>501</v>
      </c>
      <c r="D7" s="1" t="s">
        <v>502</v>
      </c>
      <c r="E7" s="1" t="s">
        <v>492</v>
      </c>
      <c r="F7" s="2">
        <v>29526</v>
      </c>
      <c r="G7" s="2">
        <v>43301</v>
      </c>
      <c r="H7" s="1">
        <v>37</v>
      </c>
      <c r="I7" s="1">
        <v>1</v>
      </c>
      <c r="J7" s="1" t="s">
        <v>493</v>
      </c>
      <c r="K7" s="1">
        <v>70</v>
      </c>
      <c r="L7" s="1">
        <v>6</v>
      </c>
      <c r="M7" t="str">
        <f t="shared" si="0"/>
        <v>TRUE</v>
      </c>
      <c r="N7" t="s">
        <v>15</v>
      </c>
      <c r="O7">
        <v>1000.000011</v>
      </c>
      <c r="P7">
        <v>9.02</v>
      </c>
      <c r="Q7">
        <v>100.78</v>
      </c>
      <c r="R7">
        <v>83.2</v>
      </c>
      <c r="S7">
        <v>108.37</v>
      </c>
      <c r="T7">
        <v>108.4</v>
      </c>
      <c r="U7">
        <v>2.4900000000000002</v>
      </c>
    </row>
    <row r="8" spans="1:21">
      <c r="A8" s="1" t="s">
        <v>503</v>
      </c>
      <c r="B8" s="1" t="s">
        <v>17</v>
      </c>
      <c r="C8" s="1" t="s">
        <v>490</v>
      </c>
      <c r="D8" s="1" t="s">
        <v>498</v>
      </c>
      <c r="E8" s="1" t="s">
        <v>499</v>
      </c>
      <c r="F8" s="2">
        <v>32618</v>
      </c>
      <c r="G8" s="2">
        <v>43308</v>
      </c>
      <c r="H8" s="1">
        <v>29</v>
      </c>
      <c r="I8" s="1">
        <v>1</v>
      </c>
      <c r="J8" s="1" t="s">
        <v>488</v>
      </c>
      <c r="K8" s="1">
        <v>2826</v>
      </c>
      <c r="L8" s="1">
        <v>5</v>
      </c>
      <c r="M8" t="str">
        <f t="shared" si="0"/>
        <v>TRUE</v>
      </c>
      <c r="N8" t="s">
        <v>17</v>
      </c>
      <c r="O8">
        <v>19.649999999999999</v>
      </c>
      <c r="P8">
        <v>4.6399999999999997</v>
      </c>
      <c r="Q8">
        <v>3.87</v>
      </c>
      <c r="R8">
        <v>28.85</v>
      </c>
      <c r="S8">
        <v>23.43</v>
      </c>
      <c r="T8">
        <v>3.4</v>
      </c>
      <c r="U8">
        <v>2.4900000000000002</v>
      </c>
    </row>
    <row r="9" spans="1:21">
      <c r="A9" s="1" t="s">
        <v>504</v>
      </c>
      <c r="B9" s="1" t="s">
        <v>19</v>
      </c>
      <c r="C9" s="1" t="s">
        <v>485</v>
      </c>
      <c r="D9" s="1" t="s">
        <v>496</v>
      </c>
      <c r="E9" s="1" t="s">
        <v>487</v>
      </c>
      <c r="F9" s="2">
        <v>36594</v>
      </c>
      <c r="G9" s="2">
        <v>43320</v>
      </c>
      <c r="H9" s="1">
        <v>18</v>
      </c>
      <c r="I9" s="1">
        <v>1</v>
      </c>
      <c r="J9" s="1" t="s">
        <v>488</v>
      </c>
      <c r="K9" s="1">
        <v>133</v>
      </c>
      <c r="L9" s="1" t="s">
        <v>487</v>
      </c>
      <c r="M9" t="str">
        <f t="shared" si="0"/>
        <v>TRUE</v>
      </c>
      <c r="N9" t="s">
        <v>19</v>
      </c>
      <c r="O9">
        <v>384.05</v>
      </c>
      <c r="P9">
        <v>8.01</v>
      </c>
      <c r="Q9">
        <v>101.1</v>
      </c>
      <c r="R9">
        <v>49.57</v>
      </c>
      <c r="S9">
        <v>50.83</v>
      </c>
      <c r="T9">
        <v>30.4</v>
      </c>
      <c r="U9">
        <v>2.4900000000000002</v>
      </c>
    </row>
    <row r="10" spans="1:21">
      <c r="A10" s="1" t="s">
        <v>505</v>
      </c>
      <c r="B10" s="1" t="s">
        <v>21</v>
      </c>
      <c r="C10" s="1" t="s">
        <v>485</v>
      </c>
      <c r="D10" s="1" t="s">
        <v>496</v>
      </c>
      <c r="E10" s="1" t="s">
        <v>506</v>
      </c>
      <c r="F10" s="2">
        <v>32592</v>
      </c>
      <c r="G10" s="2">
        <v>43321</v>
      </c>
      <c r="H10" s="1">
        <v>29</v>
      </c>
      <c r="I10" s="1">
        <v>1</v>
      </c>
      <c r="J10" s="1" t="s">
        <v>488</v>
      </c>
      <c r="K10" s="1">
        <v>125</v>
      </c>
      <c r="L10" s="1" t="s">
        <v>487</v>
      </c>
      <c r="M10" t="str">
        <f t="shared" si="0"/>
        <v>TRUE</v>
      </c>
      <c r="N10" t="s">
        <v>21</v>
      </c>
      <c r="O10">
        <v>448.3</v>
      </c>
      <c r="P10">
        <v>8.61</v>
      </c>
      <c r="Q10">
        <v>22.96</v>
      </c>
      <c r="R10">
        <v>63.86</v>
      </c>
      <c r="S10">
        <v>34.04</v>
      </c>
      <c r="T10">
        <v>13.6</v>
      </c>
      <c r="U10">
        <v>3.25</v>
      </c>
    </row>
    <row r="11" spans="1:21">
      <c r="A11" s="1" t="s">
        <v>507</v>
      </c>
      <c r="B11" s="1" t="s">
        <v>23</v>
      </c>
      <c r="C11" s="1" t="s">
        <v>501</v>
      </c>
      <c r="D11" s="1" t="s">
        <v>502</v>
      </c>
      <c r="E11" s="1" t="s">
        <v>499</v>
      </c>
      <c r="F11" s="2">
        <v>32901</v>
      </c>
      <c r="G11" s="2">
        <v>43296</v>
      </c>
      <c r="H11" s="1">
        <v>28</v>
      </c>
      <c r="I11" s="1">
        <v>1</v>
      </c>
      <c r="J11" s="1" t="s">
        <v>488</v>
      </c>
      <c r="K11" s="1">
        <v>796</v>
      </c>
      <c r="L11" s="1">
        <v>6</v>
      </c>
      <c r="M11" t="str">
        <f t="shared" si="0"/>
        <v>TRUE</v>
      </c>
      <c r="N11" t="s">
        <v>23</v>
      </c>
      <c r="O11">
        <v>32.04</v>
      </c>
      <c r="P11">
        <v>14.94</v>
      </c>
      <c r="Q11">
        <v>1.07</v>
      </c>
      <c r="R11">
        <v>25.87</v>
      </c>
      <c r="S11">
        <v>46.87</v>
      </c>
      <c r="T11" s="1">
        <v>2.4900000000000002</v>
      </c>
      <c r="U11">
        <v>4.92</v>
      </c>
    </row>
    <row r="12" spans="1:21">
      <c r="A12" s="1" t="s">
        <v>508</v>
      </c>
      <c r="B12" s="1" t="s">
        <v>25</v>
      </c>
      <c r="C12" s="1" t="s">
        <v>490</v>
      </c>
      <c r="D12" s="1" t="s">
        <v>491</v>
      </c>
      <c r="E12" s="1" t="s">
        <v>499</v>
      </c>
      <c r="F12" s="2">
        <v>29445</v>
      </c>
      <c r="G12" s="2">
        <v>43329</v>
      </c>
      <c r="H12" s="1">
        <v>38</v>
      </c>
      <c r="I12" s="1">
        <v>1</v>
      </c>
      <c r="J12" s="1" t="s">
        <v>488</v>
      </c>
      <c r="K12" s="1">
        <v>2043</v>
      </c>
      <c r="L12" s="1">
        <v>8</v>
      </c>
      <c r="M12" t="str">
        <f t="shared" si="0"/>
        <v>TRUE</v>
      </c>
      <c r="N12" t="s">
        <v>25</v>
      </c>
      <c r="O12">
        <v>25.08</v>
      </c>
      <c r="P12">
        <v>21.54</v>
      </c>
      <c r="Q12">
        <v>8.18</v>
      </c>
      <c r="R12">
        <v>14.46</v>
      </c>
      <c r="S12">
        <v>9.1</v>
      </c>
      <c r="T12" s="1">
        <v>2.4900000000000002</v>
      </c>
      <c r="U12">
        <v>18.420000000000002</v>
      </c>
    </row>
    <row r="13" spans="1:21">
      <c r="A13" s="1" t="s">
        <v>509</v>
      </c>
      <c r="B13" s="1" t="s">
        <v>27</v>
      </c>
      <c r="C13" s="1" t="s">
        <v>485</v>
      </c>
      <c r="D13" s="1" t="s">
        <v>486</v>
      </c>
      <c r="E13" s="1" t="s">
        <v>487</v>
      </c>
      <c r="F13" s="2">
        <v>32770</v>
      </c>
      <c r="G13" s="2">
        <v>43341</v>
      </c>
      <c r="H13" s="1">
        <v>28</v>
      </c>
      <c r="I13" s="1">
        <v>1</v>
      </c>
      <c r="J13" s="1" t="s">
        <v>488</v>
      </c>
      <c r="K13" s="1">
        <v>56</v>
      </c>
      <c r="L13" s="1" t="s">
        <v>487</v>
      </c>
      <c r="M13" t="str">
        <f t="shared" si="0"/>
        <v>TRUE</v>
      </c>
      <c r="N13" t="s">
        <v>27</v>
      </c>
      <c r="O13">
        <v>54.34</v>
      </c>
      <c r="P13">
        <v>14.01</v>
      </c>
      <c r="Q13">
        <v>23.6</v>
      </c>
      <c r="R13">
        <v>105.26</v>
      </c>
      <c r="S13">
        <v>50.33</v>
      </c>
      <c r="T13">
        <v>7.36</v>
      </c>
      <c r="U13">
        <v>40.51</v>
      </c>
    </row>
    <row r="14" spans="1:21">
      <c r="A14" s="1" t="s">
        <v>510</v>
      </c>
      <c r="B14" s="1" t="s">
        <v>29</v>
      </c>
      <c r="C14" s="1" t="s">
        <v>501</v>
      </c>
      <c r="D14" s="1" t="s">
        <v>502</v>
      </c>
      <c r="E14" s="1" t="s">
        <v>499</v>
      </c>
      <c r="F14" s="2">
        <v>21233</v>
      </c>
      <c r="G14" s="2">
        <v>43350</v>
      </c>
      <c r="H14" s="1">
        <v>60</v>
      </c>
      <c r="I14" s="1">
        <v>1</v>
      </c>
      <c r="J14" s="1" t="s">
        <v>488</v>
      </c>
      <c r="K14" s="1">
        <v>992</v>
      </c>
      <c r="L14" s="1">
        <v>1</v>
      </c>
      <c r="M14" t="str">
        <f t="shared" si="0"/>
        <v>TRUE</v>
      </c>
      <c r="N14" t="s">
        <v>29</v>
      </c>
      <c r="O14">
        <v>43.45</v>
      </c>
      <c r="P14">
        <v>6.24</v>
      </c>
      <c r="Q14">
        <v>3.89</v>
      </c>
      <c r="R14">
        <v>9.09</v>
      </c>
      <c r="S14">
        <v>3.97</v>
      </c>
      <c r="T14" s="1">
        <v>2.4900000000000002</v>
      </c>
      <c r="U14">
        <v>48.74</v>
      </c>
    </row>
    <row r="15" spans="1:21">
      <c r="A15" s="1" t="s">
        <v>511</v>
      </c>
      <c r="B15" s="1" t="s">
        <v>31</v>
      </c>
      <c r="C15" s="1" t="s">
        <v>490</v>
      </c>
      <c r="D15" s="1" t="s">
        <v>512</v>
      </c>
      <c r="E15" s="1" t="s">
        <v>499</v>
      </c>
      <c r="F15" s="2">
        <v>31343</v>
      </c>
      <c r="G15" s="2">
        <v>43371</v>
      </c>
      <c r="H15" s="1">
        <v>32</v>
      </c>
      <c r="I15" s="1">
        <v>1</v>
      </c>
      <c r="J15" s="1" t="s">
        <v>488</v>
      </c>
      <c r="K15" s="1">
        <v>143</v>
      </c>
      <c r="L15" s="1">
        <v>5</v>
      </c>
      <c r="M15" t="str">
        <f t="shared" si="0"/>
        <v>TRUE</v>
      </c>
      <c r="N15" t="s">
        <v>31</v>
      </c>
      <c r="O15">
        <v>42.87</v>
      </c>
      <c r="P15">
        <v>30.82</v>
      </c>
      <c r="Q15">
        <v>9.18</v>
      </c>
      <c r="R15">
        <v>169.66</v>
      </c>
      <c r="S15">
        <v>176.33</v>
      </c>
      <c r="T15">
        <v>47.67</v>
      </c>
      <c r="U15">
        <v>15.91</v>
      </c>
    </row>
    <row r="16" spans="1:21">
      <c r="A16" s="1" t="s">
        <v>513</v>
      </c>
      <c r="B16" s="1" t="s">
        <v>33</v>
      </c>
      <c r="C16" s="1" t="s">
        <v>490</v>
      </c>
      <c r="D16" s="1" t="s">
        <v>491</v>
      </c>
      <c r="E16" s="1" t="s">
        <v>492</v>
      </c>
      <c r="F16" s="2">
        <v>21589</v>
      </c>
      <c r="G16" s="2">
        <v>43375</v>
      </c>
      <c r="H16" s="1">
        <v>59</v>
      </c>
      <c r="I16" s="1">
        <v>2</v>
      </c>
      <c r="J16" s="1" t="s">
        <v>488</v>
      </c>
      <c r="K16" s="1">
        <v>17</v>
      </c>
      <c r="L16" s="1">
        <v>4</v>
      </c>
      <c r="M16" t="str">
        <f t="shared" si="0"/>
        <v>TRUE</v>
      </c>
      <c r="N16" t="s">
        <v>33</v>
      </c>
      <c r="O16">
        <v>61.24</v>
      </c>
      <c r="P16">
        <v>4.2699999999999996</v>
      </c>
      <c r="Q16">
        <v>0.99</v>
      </c>
      <c r="R16">
        <v>92.19</v>
      </c>
      <c r="S16">
        <v>76.72</v>
      </c>
      <c r="T16">
        <v>14.09</v>
      </c>
      <c r="U16">
        <v>10.53</v>
      </c>
    </row>
    <row r="17" spans="1:21">
      <c r="A17" s="1" t="s">
        <v>514</v>
      </c>
      <c r="B17" s="1" t="s">
        <v>35</v>
      </c>
      <c r="C17" s="1" t="s">
        <v>490</v>
      </c>
      <c r="D17" s="1" t="s">
        <v>491</v>
      </c>
      <c r="E17" s="1" t="s">
        <v>499</v>
      </c>
      <c r="F17" s="2">
        <v>35211</v>
      </c>
      <c r="G17" s="2">
        <v>43377</v>
      </c>
      <c r="H17" s="1">
        <v>22</v>
      </c>
      <c r="I17" s="1">
        <v>1</v>
      </c>
      <c r="J17" s="1" t="s">
        <v>488</v>
      </c>
      <c r="K17" s="1">
        <v>69</v>
      </c>
      <c r="L17" s="1">
        <v>4</v>
      </c>
      <c r="M17" t="str">
        <f t="shared" si="0"/>
        <v>TRUE</v>
      </c>
      <c r="N17" t="s">
        <v>35</v>
      </c>
      <c r="O17">
        <v>124.87</v>
      </c>
      <c r="P17">
        <v>20.12</v>
      </c>
      <c r="Q17">
        <v>29.24</v>
      </c>
      <c r="R17">
        <v>254.62</v>
      </c>
      <c r="S17">
        <v>182.41</v>
      </c>
      <c r="T17">
        <v>30.69</v>
      </c>
      <c r="U17">
        <v>13.5</v>
      </c>
    </row>
    <row r="18" spans="1:21">
      <c r="A18" s="1" t="s">
        <v>515</v>
      </c>
      <c r="B18" s="1" t="s">
        <v>37</v>
      </c>
      <c r="C18" s="1" t="s">
        <v>490</v>
      </c>
      <c r="D18" s="1" t="s">
        <v>498</v>
      </c>
      <c r="E18" s="1" t="s">
        <v>499</v>
      </c>
      <c r="F18" s="2">
        <v>23573</v>
      </c>
      <c r="G18" s="2">
        <v>43392</v>
      </c>
      <c r="H18" s="1">
        <v>54</v>
      </c>
      <c r="I18" s="1">
        <v>1</v>
      </c>
      <c r="J18" s="1" t="s">
        <v>488</v>
      </c>
      <c r="K18" s="1">
        <v>6000</v>
      </c>
      <c r="L18" s="1">
        <v>7</v>
      </c>
      <c r="M18" t="str">
        <f t="shared" si="0"/>
        <v>TRUE</v>
      </c>
      <c r="N18" t="s">
        <v>37</v>
      </c>
      <c r="O18">
        <v>24.69</v>
      </c>
      <c r="P18">
        <v>2.4900000000000002</v>
      </c>
      <c r="Q18">
        <v>0.99</v>
      </c>
      <c r="R18">
        <v>4.63</v>
      </c>
      <c r="S18">
        <v>4.99</v>
      </c>
      <c r="T18" s="1">
        <v>2.4900000000000002</v>
      </c>
      <c r="U18">
        <v>5.64</v>
      </c>
    </row>
    <row r="19" spans="1:21">
      <c r="A19" s="1" t="s">
        <v>516</v>
      </c>
      <c r="B19" s="1" t="s">
        <v>39</v>
      </c>
      <c r="C19" s="1" t="s">
        <v>485</v>
      </c>
      <c r="D19" s="1" t="s">
        <v>496</v>
      </c>
      <c r="E19" s="1" t="s">
        <v>487</v>
      </c>
      <c r="F19" s="2">
        <v>26190</v>
      </c>
      <c r="G19" s="2">
        <v>43409</v>
      </c>
      <c r="H19" s="1">
        <v>47</v>
      </c>
      <c r="I19" s="1">
        <v>1</v>
      </c>
      <c r="J19" s="1" t="s">
        <v>488</v>
      </c>
      <c r="K19" s="1">
        <v>189</v>
      </c>
      <c r="L19" s="1">
        <v>5</v>
      </c>
      <c r="M19" t="str">
        <f t="shared" si="0"/>
        <v>TRUE</v>
      </c>
      <c r="N19" t="s">
        <v>39</v>
      </c>
      <c r="O19">
        <v>58.07</v>
      </c>
      <c r="P19">
        <v>14.81</v>
      </c>
      <c r="Q19">
        <v>14.82</v>
      </c>
      <c r="R19">
        <v>231.43</v>
      </c>
      <c r="S19">
        <v>204.76</v>
      </c>
      <c r="T19">
        <v>36.54</v>
      </c>
      <c r="U19">
        <v>294.86</v>
      </c>
    </row>
    <row r="20" spans="1:21">
      <c r="A20" s="1" t="s">
        <v>517</v>
      </c>
      <c r="B20" s="1" t="s">
        <v>41</v>
      </c>
      <c r="C20" s="1" t="s">
        <v>490</v>
      </c>
      <c r="D20" s="1" t="s">
        <v>498</v>
      </c>
      <c r="E20" s="1" t="s">
        <v>499</v>
      </c>
      <c r="F20" s="2">
        <v>24908</v>
      </c>
      <c r="G20" s="2">
        <v>43411</v>
      </c>
      <c r="H20" s="1">
        <v>50</v>
      </c>
      <c r="I20" s="1">
        <v>1</v>
      </c>
      <c r="J20" s="1" t="s">
        <v>488</v>
      </c>
      <c r="K20" s="1">
        <v>322</v>
      </c>
      <c r="L20" s="1">
        <v>4</v>
      </c>
      <c r="M20" t="str">
        <f t="shared" si="0"/>
        <v>TRUE</v>
      </c>
      <c r="N20" t="s">
        <v>41</v>
      </c>
      <c r="O20">
        <v>56.28</v>
      </c>
      <c r="P20">
        <v>15.35</v>
      </c>
      <c r="Q20">
        <v>20.88</v>
      </c>
      <c r="R20">
        <v>50.43</v>
      </c>
      <c r="S20">
        <v>117.06</v>
      </c>
      <c r="T20">
        <v>7.81</v>
      </c>
      <c r="U20">
        <v>10.56</v>
      </c>
    </row>
    <row r="21" spans="1:21">
      <c r="A21" s="1" t="s">
        <v>518</v>
      </c>
      <c r="B21" s="1" t="s">
        <v>43</v>
      </c>
      <c r="C21" s="1" t="s">
        <v>490</v>
      </c>
      <c r="D21" s="1" t="s">
        <v>498</v>
      </c>
      <c r="E21" s="1" t="s">
        <v>499</v>
      </c>
      <c r="F21" s="2">
        <v>29437</v>
      </c>
      <c r="G21" s="2">
        <v>43417</v>
      </c>
      <c r="H21" s="1">
        <v>38</v>
      </c>
      <c r="I21" s="1">
        <v>1</v>
      </c>
      <c r="J21" s="1" t="s">
        <v>488</v>
      </c>
      <c r="K21" s="1">
        <v>1073</v>
      </c>
      <c r="L21" s="1">
        <v>10</v>
      </c>
      <c r="M21" t="str">
        <f t="shared" si="0"/>
        <v>TRUE</v>
      </c>
      <c r="N21" t="s">
        <v>43</v>
      </c>
      <c r="O21">
        <v>21.17</v>
      </c>
      <c r="P21">
        <v>2.4900000000000002</v>
      </c>
      <c r="Q21">
        <v>0.99</v>
      </c>
      <c r="R21">
        <v>8.84</v>
      </c>
      <c r="S21">
        <v>2.4900000000000002</v>
      </c>
      <c r="T21" s="1">
        <v>2.4900000000000002</v>
      </c>
      <c r="U21">
        <v>3.78</v>
      </c>
    </row>
    <row r="22" spans="1:21">
      <c r="A22" s="1" t="s">
        <v>519</v>
      </c>
      <c r="B22" s="1" t="s">
        <v>45</v>
      </c>
      <c r="C22" s="1" t="s">
        <v>490</v>
      </c>
      <c r="D22" s="1" t="s">
        <v>512</v>
      </c>
      <c r="E22" s="1" t="s">
        <v>499</v>
      </c>
      <c r="F22" s="2">
        <v>25575</v>
      </c>
      <c r="G22" s="2">
        <v>43426</v>
      </c>
      <c r="H22" s="1">
        <v>48</v>
      </c>
      <c r="I22" s="1">
        <v>1</v>
      </c>
      <c r="J22" s="1" t="s">
        <v>488</v>
      </c>
      <c r="K22" s="1">
        <v>98</v>
      </c>
      <c r="L22" s="1">
        <v>4</v>
      </c>
      <c r="M22" t="str">
        <f t="shared" si="0"/>
        <v>TRUE</v>
      </c>
      <c r="N22" t="s">
        <v>45</v>
      </c>
      <c r="O22">
        <v>41.07</v>
      </c>
      <c r="P22">
        <v>23.19</v>
      </c>
      <c r="Q22">
        <v>17.39</v>
      </c>
      <c r="R22">
        <v>103.89</v>
      </c>
      <c r="S22">
        <v>145.83000000000001</v>
      </c>
      <c r="T22">
        <v>18.59</v>
      </c>
      <c r="U22">
        <v>8.16</v>
      </c>
    </row>
    <row r="23" spans="1:21">
      <c r="A23" s="1" t="s">
        <v>520</v>
      </c>
      <c r="B23" s="1" t="s">
        <v>47</v>
      </c>
      <c r="C23" s="1" t="s">
        <v>485</v>
      </c>
      <c r="D23" s="1" t="s">
        <v>486</v>
      </c>
      <c r="E23" s="1" t="s">
        <v>487</v>
      </c>
      <c r="F23" s="2">
        <v>32770</v>
      </c>
      <c r="G23" s="2">
        <v>43432</v>
      </c>
      <c r="H23" s="1">
        <v>29</v>
      </c>
      <c r="I23" s="1">
        <v>2</v>
      </c>
      <c r="J23" s="1" t="s">
        <v>488</v>
      </c>
      <c r="K23" s="1">
        <v>20</v>
      </c>
      <c r="L23" s="1" t="s">
        <v>487</v>
      </c>
      <c r="M23" t="str">
        <f t="shared" si="0"/>
        <v>TRUE</v>
      </c>
      <c r="N23" t="s">
        <v>47</v>
      </c>
      <c r="O23">
        <v>64.2</v>
      </c>
      <c r="P23">
        <v>59.39</v>
      </c>
      <c r="Q23">
        <v>26.69</v>
      </c>
      <c r="R23">
        <v>143.29</v>
      </c>
      <c r="S23">
        <v>141.58000000000001</v>
      </c>
      <c r="T23">
        <v>21.88</v>
      </c>
      <c r="U23">
        <v>43.64</v>
      </c>
    </row>
    <row r="24" spans="1:21">
      <c r="A24" s="1" t="s">
        <v>521</v>
      </c>
      <c r="B24" s="1" t="s">
        <v>49</v>
      </c>
      <c r="C24" s="1" t="s">
        <v>501</v>
      </c>
      <c r="D24" s="1" t="s">
        <v>502</v>
      </c>
      <c r="E24" s="1" t="s">
        <v>492</v>
      </c>
      <c r="F24" s="2">
        <v>29526</v>
      </c>
      <c r="G24" s="2">
        <v>43430</v>
      </c>
      <c r="H24" s="1">
        <v>38</v>
      </c>
      <c r="I24" s="1">
        <v>2</v>
      </c>
      <c r="J24" s="1" t="s">
        <v>493</v>
      </c>
      <c r="K24" s="1">
        <v>99</v>
      </c>
      <c r="L24" s="1">
        <v>7</v>
      </c>
      <c r="M24" t="str">
        <f t="shared" si="0"/>
        <v>TRUE</v>
      </c>
      <c r="N24" t="s">
        <v>49</v>
      </c>
      <c r="O24">
        <v>1000.000011</v>
      </c>
      <c r="P24">
        <v>17.690000000000001</v>
      </c>
      <c r="Q24">
        <v>134.54</v>
      </c>
      <c r="R24">
        <v>95.86</v>
      </c>
      <c r="S24">
        <v>96.61</v>
      </c>
      <c r="T24">
        <v>40.619999999999997</v>
      </c>
      <c r="U24">
        <v>2.4900000000000002</v>
      </c>
    </row>
    <row r="25" spans="1:21">
      <c r="A25" s="1" t="s">
        <v>522</v>
      </c>
      <c r="B25" s="1" t="s">
        <v>51</v>
      </c>
      <c r="C25" s="1" t="s">
        <v>490</v>
      </c>
      <c r="D25" s="1" t="s">
        <v>491</v>
      </c>
      <c r="E25" s="1" t="s">
        <v>499</v>
      </c>
      <c r="F25" s="2">
        <v>17139</v>
      </c>
      <c r="G25" s="2">
        <v>43427</v>
      </c>
      <c r="H25" s="1">
        <v>71</v>
      </c>
      <c r="I25" s="1">
        <v>1</v>
      </c>
      <c r="J25" s="1" t="s">
        <v>488</v>
      </c>
      <c r="K25" s="1">
        <v>164</v>
      </c>
      <c r="L25" s="1">
        <v>4</v>
      </c>
      <c r="M25" t="str">
        <f t="shared" si="0"/>
        <v>TRUE</v>
      </c>
      <c r="N25" t="s">
        <v>51</v>
      </c>
      <c r="O25">
        <v>82.8</v>
      </c>
      <c r="P25">
        <v>39.46</v>
      </c>
      <c r="Q25">
        <v>72.86</v>
      </c>
      <c r="R25">
        <v>334.32</v>
      </c>
      <c r="S25">
        <v>657.43</v>
      </c>
      <c r="T25">
        <v>127.49</v>
      </c>
      <c r="U25">
        <v>81.03</v>
      </c>
    </row>
    <row r="26" spans="1:21">
      <c r="A26" s="1" t="s">
        <v>523</v>
      </c>
      <c r="B26" s="1" t="s">
        <v>53</v>
      </c>
      <c r="C26" s="1" t="s">
        <v>501</v>
      </c>
      <c r="D26" s="1" t="s">
        <v>502</v>
      </c>
      <c r="E26" s="1" t="s">
        <v>499</v>
      </c>
      <c r="F26" s="2">
        <v>32901</v>
      </c>
      <c r="G26" s="2">
        <v>43431</v>
      </c>
      <c r="H26" s="1">
        <v>28</v>
      </c>
      <c r="I26" s="1">
        <v>2</v>
      </c>
      <c r="J26" s="1" t="s">
        <v>488</v>
      </c>
      <c r="K26" s="1">
        <v>23</v>
      </c>
      <c r="L26" s="1">
        <v>2</v>
      </c>
      <c r="M26" t="str">
        <f t="shared" si="0"/>
        <v>TRUE</v>
      </c>
      <c r="N26" t="s">
        <v>53</v>
      </c>
      <c r="O26">
        <v>50.59</v>
      </c>
      <c r="P26">
        <v>42.29</v>
      </c>
      <c r="Q26">
        <v>5.25</v>
      </c>
      <c r="R26">
        <v>189.99</v>
      </c>
      <c r="S26">
        <v>234.1</v>
      </c>
      <c r="T26">
        <v>24.92</v>
      </c>
      <c r="U26">
        <v>11.24</v>
      </c>
    </row>
    <row r="27" spans="1:21">
      <c r="A27" s="1" t="s">
        <v>524</v>
      </c>
      <c r="B27" s="1" t="s">
        <v>55</v>
      </c>
      <c r="C27" s="1" t="s">
        <v>490</v>
      </c>
      <c r="D27" s="1" t="s">
        <v>491</v>
      </c>
      <c r="E27" s="1" t="s">
        <v>499</v>
      </c>
      <c r="F27" s="2">
        <v>36196</v>
      </c>
      <c r="G27" s="2">
        <v>43462</v>
      </c>
      <c r="H27" s="1">
        <v>19</v>
      </c>
      <c r="I27" s="1">
        <v>2</v>
      </c>
      <c r="J27" s="1" t="s">
        <v>488</v>
      </c>
      <c r="K27" s="1">
        <v>108</v>
      </c>
      <c r="L27" s="1">
        <v>3</v>
      </c>
      <c r="M27" t="str">
        <f t="shared" si="0"/>
        <v>TRUE</v>
      </c>
      <c r="N27" t="s">
        <v>55</v>
      </c>
      <c r="O27">
        <v>98.58</v>
      </c>
      <c r="P27">
        <v>14.82</v>
      </c>
      <c r="Q27">
        <v>258.13</v>
      </c>
      <c r="R27">
        <v>518.42999999999995</v>
      </c>
      <c r="S27">
        <v>277.64</v>
      </c>
      <c r="T27">
        <v>95.73</v>
      </c>
      <c r="U27">
        <v>189.31</v>
      </c>
    </row>
    <row r="28" spans="1:21">
      <c r="A28" s="1" t="s">
        <v>525</v>
      </c>
      <c r="B28" s="1" t="s">
        <v>57</v>
      </c>
      <c r="C28" s="1" t="s">
        <v>501</v>
      </c>
      <c r="D28" s="1" t="s">
        <v>502</v>
      </c>
      <c r="E28" s="1" t="s">
        <v>499</v>
      </c>
      <c r="F28" s="2">
        <v>33939</v>
      </c>
      <c r="G28" s="2">
        <v>43465</v>
      </c>
      <c r="H28" s="1">
        <v>26</v>
      </c>
      <c r="I28" s="1">
        <v>1</v>
      </c>
      <c r="J28" s="1" t="s">
        <v>488</v>
      </c>
      <c r="K28" s="1">
        <v>2103</v>
      </c>
      <c r="L28" s="1">
        <v>10</v>
      </c>
      <c r="M28" t="str">
        <f t="shared" si="0"/>
        <v>TRUE</v>
      </c>
      <c r="N28" t="s">
        <v>57</v>
      </c>
      <c r="O28">
        <v>1000.000011</v>
      </c>
      <c r="P28">
        <v>36.94</v>
      </c>
      <c r="Q28">
        <v>158.11000000000001</v>
      </c>
      <c r="R28">
        <v>973.94</v>
      </c>
      <c r="S28">
        <v>325.24</v>
      </c>
      <c r="T28">
        <v>8.66</v>
      </c>
      <c r="U28">
        <v>419.14</v>
      </c>
    </row>
    <row r="29" spans="1:21">
      <c r="A29" s="1" t="s">
        <v>526</v>
      </c>
      <c r="B29" s="1" t="s">
        <v>59</v>
      </c>
      <c r="C29" s="1" t="s">
        <v>490</v>
      </c>
      <c r="D29" s="1" t="s">
        <v>498</v>
      </c>
      <c r="E29" s="1" t="s">
        <v>499</v>
      </c>
      <c r="F29" s="2">
        <v>29437</v>
      </c>
      <c r="G29" s="2">
        <v>43467</v>
      </c>
      <c r="H29" s="1">
        <v>38</v>
      </c>
      <c r="I29" s="1">
        <v>2</v>
      </c>
      <c r="J29" s="1" t="s">
        <v>488</v>
      </c>
      <c r="K29" s="1">
        <v>1248</v>
      </c>
      <c r="L29" s="1">
        <v>5</v>
      </c>
      <c r="M29" t="str">
        <f t="shared" si="0"/>
        <v>TRUE</v>
      </c>
      <c r="N29" t="s">
        <v>59</v>
      </c>
      <c r="O29">
        <v>17.86</v>
      </c>
      <c r="P29">
        <v>9.77</v>
      </c>
      <c r="Q29">
        <v>8.15</v>
      </c>
      <c r="R29">
        <v>52.74</v>
      </c>
      <c r="S29">
        <v>40.880000000000003</v>
      </c>
      <c r="T29">
        <v>4.49</v>
      </c>
      <c r="U29">
        <v>11.01</v>
      </c>
    </row>
    <row r="30" spans="1:21">
      <c r="A30" s="1" t="s">
        <v>527</v>
      </c>
      <c r="B30" s="1" t="s">
        <v>61</v>
      </c>
      <c r="C30" s="1" t="s">
        <v>490</v>
      </c>
      <c r="D30" s="1" t="s">
        <v>498</v>
      </c>
      <c r="E30" s="1" t="s">
        <v>499</v>
      </c>
      <c r="F30" s="2">
        <v>30401</v>
      </c>
      <c r="G30" s="2">
        <v>43469</v>
      </c>
      <c r="H30" s="1">
        <v>35</v>
      </c>
      <c r="I30" s="1">
        <v>2</v>
      </c>
      <c r="J30" s="1" t="s">
        <v>488</v>
      </c>
      <c r="K30" s="1">
        <v>35</v>
      </c>
      <c r="L30" s="1">
        <v>3</v>
      </c>
      <c r="M30" t="str">
        <f t="shared" si="0"/>
        <v>TRUE</v>
      </c>
      <c r="N30" t="s">
        <v>61</v>
      </c>
      <c r="O30">
        <v>20.079999999999998</v>
      </c>
      <c r="P30">
        <v>2.4900000000000002</v>
      </c>
      <c r="Q30">
        <v>0.99</v>
      </c>
      <c r="R30">
        <v>7.92</v>
      </c>
      <c r="S30">
        <v>3.42</v>
      </c>
      <c r="T30" s="1">
        <v>2.4900000000000002</v>
      </c>
      <c r="U30">
        <v>2.4900000000000002</v>
      </c>
    </row>
    <row r="31" spans="1:21">
      <c r="A31" s="1" t="s">
        <v>528</v>
      </c>
      <c r="B31" s="1" t="s">
        <v>63</v>
      </c>
      <c r="C31" s="1" t="s">
        <v>490</v>
      </c>
      <c r="D31" s="1" t="s">
        <v>498</v>
      </c>
      <c r="E31" s="1" t="s">
        <v>499</v>
      </c>
      <c r="F31" s="2">
        <v>32618</v>
      </c>
      <c r="G31" s="2">
        <v>43476</v>
      </c>
      <c r="H31" s="1">
        <v>29</v>
      </c>
      <c r="I31" s="1">
        <v>2</v>
      </c>
      <c r="J31" s="1" t="s">
        <v>488</v>
      </c>
      <c r="K31" s="1">
        <v>103</v>
      </c>
      <c r="L31" s="1">
        <v>2</v>
      </c>
      <c r="M31" t="str">
        <f t="shared" si="0"/>
        <v>TRUE</v>
      </c>
      <c r="N31" t="s">
        <v>63</v>
      </c>
      <c r="O31">
        <v>256.48</v>
      </c>
      <c r="P31">
        <v>22.37</v>
      </c>
      <c r="Q31">
        <v>44.8</v>
      </c>
      <c r="R31">
        <v>1902.11</v>
      </c>
      <c r="S31">
        <v>1801.06</v>
      </c>
      <c r="T31">
        <v>259.83999999999997</v>
      </c>
      <c r="U31">
        <v>362.62</v>
      </c>
    </row>
    <row r="32" spans="1:21">
      <c r="A32" s="1" t="s">
        <v>529</v>
      </c>
      <c r="B32" s="1" t="s">
        <v>65</v>
      </c>
      <c r="C32" s="1" t="s">
        <v>490</v>
      </c>
      <c r="D32" s="1" t="s">
        <v>498</v>
      </c>
      <c r="E32" s="1" t="s">
        <v>499</v>
      </c>
      <c r="F32" s="2">
        <v>23573</v>
      </c>
      <c r="G32" s="2">
        <v>43483</v>
      </c>
      <c r="H32" s="1">
        <v>54</v>
      </c>
      <c r="I32" s="1">
        <v>2</v>
      </c>
      <c r="J32" s="1" t="s">
        <v>488</v>
      </c>
      <c r="K32" s="1">
        <v>15</v>
      </c>
      <c r="L32" s="1">
        <v>0</v>
      </c>
      <c r="M32" t="str">
        <f t="shared" si="0"/>
        <v>TRUE</v>
      </c>
      <c r="N32" t="s">
        <v>65</v>
      </c>
      <c r="O32">
        <v>38.83</v>
      </c>
      <c r="P32">
        <v>5.45</v>
      </c>
      <c r="Q32">
        <v>1.08</v>
      </c>
      <c r="R32">
        <v>126.31</v>
      </c>
      <c r="S32">
        <v>97.89</v>
      </c>
      <c r="T32">
        <v>10.71</v>
      </c>
      <c r="U32">
        <v>7.93</v>
      </c>
    </row>
    <row r="33" spans="1:21">
      <c r="A33" s="1" t="s">
        <v>530</v>
      </c>
      <c r="B33" s="1" t="s">
        <v>67</v>
      </c>
      <c r="C33" s="1" t="s">
        <v>501</v>
      </c>
      <c r="D33" s="1" t="s">
        <v>502</v>
      </c>
      <c r="E33" s="1" t="s">
        <v>499</v>
      </c>
      <c r="F33" s="2">
        <v>33786</v>
      </c>
      <c r="G33" s="2">
        <v>43491</v>
      </c>
      <c r="H33" s="1">
        <v>26</v>
      </c>
      <c r="I33" s="1">
        <v>1</v>
      </c>
      <c r="J33" s="1" t="s">
        <v>493</v>
      </c>
      <c r="K33" s="1">
        <v>15</v>
      </c>
      <c r="L33" s="1">
        <v>1</v>
      </c>
      <c r="M33" t="str">
        <f t="shared" si="0"/>
        <v>TRUE</v>
      </c>
      <c r="N33" t="s">
        <v>67</v>
      </c>
      <c r="O33">
        <v>26.25</v>
      </c>
      <c r="P33">
        <v>15</v>
      </c>
      <c r="Q33">
        <v>7.02</v>
      </c>
      <c r="R33">
        <v>19.27</v>
      </c>
      <c r="S33">
        <v>16.66</v>
      </c>
      <c r="T33">
        <v>8.56</v>
      </c>
      <c r="U33">
        <v>2.87</v>
      </c>
    </row>
    <row r="34" spans="1:21">
      <c r="A34" s="1" t="s">
        <v>531</v>
      </c>
      <c r="B34" s="1" t="s">
        <v>69</v>
      </c>
      <c r="C34" s="1" t="s">
        <v>501</v>
      </c>
      <c r="D34" s="1" t="s">
        <v>532</v>
      </c>
      <c r="E34" s="1" t="s">
        <v>499</v>
      </c>
      <c r="F34" s="2">
        <v>33519</v>
      </c>
      <c r="G34" s="2">
        <v>43487</v>
      </c>
      <c r="H34" s="1">
        <v>27</v>
      </c>
      <c r="I34" s="1">
        <v>1</v>
      </c>
      <c r="J34" s="1" t="s">
        <v>488</v>
      </c>
      <c r="K34" s="1">
        <v>448</v>
      </c>
      <c r="L34" s="1">
        <v>2</v>
      </c>
      <c r="M34" t="str">
        <f t="shared" si="0"/>
        <v>TRUE</v>
      </c>
      <c r="N34" t="s">
        <v>69</v>
      </c>
      <c r="O34">
        <v>1000.000011</v>
      </c>
      <c r="P34">
        <v>4.7300000000000004</v>
      </c>
      <c r="Q34">
        <v>1.39</v>
      </c>
      <c r="R34">
        <v>12.42</v>
      </c>
      <c r="S34">
        <v>58.21</v>
      </c>
      <c r="T34">
        <v>11.56</v>
      </c>
      <c r="U34">
        <v>9.5500000000000007</v>
      </c>
    </row>
    <row r="35" spans="1:21">
      <c r="A35" s="1" t="s">
        <v>533</v>
      </c>
      <c r="B35" s="1" t="s">
        <v>71</v>
      </c>
      <c r="C35" s="1" t="s">
        <v>490</v>
      </c>
      <c r="D35" s="1" t="s">
        <v>491</v>
      </c>
      <c r="E35" s="1" t="s">
        <v>492</v>
      </c>
      <c r="F35" s="2">
        <v>21589</v>
      </c>
      <c r="G35" s="2">
        <v>43487</v>
      </c>
      <c r="H35" s="1">
        <v>59</v>
      </c>
      <c r="I35" s="1">
        <v>3</v>
      </c>
      <c r="J35" s="1" t="s">
        <v>488</v>
      </c>
      <c r="K35" s="1">
        <v>34</v>
      </c>
      <c r="L35" s="1">
        <v>0</v>
      </c>
      <c r="M35" t="str">
        <f t="shared" si="0"/>
        <v>TRUE</v>
      </c>
      <c r="N35" t="s">
        <v>71</v>
      </c>
      <c r="O35">
        <v>216.95</v>
      </c>
      <c r="P35">
        <v>8.77</v>
      </c>
      <c r="Q35">
        <v>23.36</v>
      </c>
      <c r="R35">
        <v>156.06</v>
      </c>
      <c r="S35">
        <v>113.34</v>
      </c>
      <c r="T35">
        <v>259.58</v>
      </c>
      <c r="U35">
        <v>300.73</v>
      </c>
    </row>
    <row r="36" spans="1:21">
      <c r="A36" s="1" t="s">
        <v>534</v>
      </c>
      <c r="B36" s="1" t="s">
        <v>73</v>
      </c>
      <c r="C36" s="1" t="s">
        <v>490</v>
      </c>
      <c r="D36" s="1" t="s">
        <v>491</v>
      </c>
      <c r="E36" s="1" t="s">
        <v>499</v>
      </c>
      <c r="F36" s="2">
        <v>29445</v>
      </c>
      <c r="G36" s="2">
        <v>43497</v>
      </c>
      <c r="H36" s="1">
        <v>38</v>
      </c>
      <c r="I36" s="1">
        <v>2</v>
      </c>
      <c r="J36" s="1" t="s">
        <v>488</v>
      </c>
      <c r="K36" s="1">
        <v>803</v>
      </c>
      <c r="L36" s="1">
        <v>1</v>
      </c>
      <c r="M36" t="str">
        <f t="shared" si="0"/>
        <v>TRUE</v>
      </c>
      <c r="N36" t="s">
        <v>73</v>
      </c>
      <c r="O36">
        <v>68.680000000000007</v>
      </c>
      <c r="P36">
        <v>54.61</v>
      </c>
      <c r="Q36">
        <v>51.86</v>
      </c>
      <c r="R36">
        <v>302.45</v>
      </c>
      <c r="S36">
        <v>227.68</v>
      </c>
      <c r="T36">
        <v>16.920000000000002</v>
      </c>
      <c r="U36">
        <v>5.6</v>
      </c>
    </row>
    <row r="37" spans="1:21">
      <c r="A37" s="1" t="s">
        <v>535</v>
      </c>
      <c r="B37" s="1" t="s">
        <v>75</v>
      </c>
      <c r="C37" s="1" t="s">
        <v>501</v>
      </c>
      <c r="D37" s="1" t="s">
        <v>502</v>
      </c>
      <c r="E37" s="1" t="s">
        <v>499</v>
      </c>
      <c r="F37" s="2">
        <v>33939</v>
      </c>
      <c r="G37" s="2">
        <v>43502</v>
      </c>
      <c r="H37" s="1">
        <v>26</v>
      </c>
      <c r="I37" s="1">
        <v>2</v>
      </c>
      <c r="J37" s="1" t="s">
        <v>488</v>
      </c>
      <c r="K37" s="1">
        <v>1248</v>
      </c>
      <c r="L37" s="1">
        <v>2</v>
      </c>
      <c r="M37" t="str">
        <f t="shared" si="0"/>
        <v>TRUE</v>
      </c>
      <c r="N37" t="s">
        <v>75</v>
      </c>
      <c r="O37">
        <v>1000.000011</v>
      </c>
      <c r="P37">
        <v>48.17</v>
      </c>
      <c r="Q37">
        <v>96.97</v>
      </c>
      <c r="R37">
        <v>184.67</v>
      </c>
      <c r="S37">
        <v>217.35</v>
      </c>
      <c r="T37">
        <v>3.64</v>
      </c>
      <c r="U37">
        <v>84.64</v>
      </c>
    </row>
    <row r="38" spans="1:21">
      <c r="A38" s="1" t="s">
        <v>536</v>
      </c>
      <c r="B38" s="1" t="s">
        <v>77</v>
      </c>
      <c r="C38" s="1" t="s">
        <v>490</v>
      </c>
      <c r="D38" s="1" t="s">
        <v>491</v>
      </c>
      <c r="E38" s="1" t="s">
        <v>492</v>
      </c>
      <c r="F38" s="2">
        <v>36595</v>
      </c>
      <c r="G38" s="2">
        <v>43490</v>
      </c>
      <c r="H38" s="1">
        <v>18</v>
      </c>
      <c r="I38" s="1">
        <v>1</v>
      </c>
      <c r="J38" s="1" t="s">
        <v>493</v>
      </c>
      <c r="K38" s="1">
        <v>1276</v>
      </c>
      <c r="L38" s="1">
        <v>11</v>
      </c>
      <c r="M38" t="str">
        <f t="shared" si="0"/>
        <v>TRUE</v>
      </c>
      <c r="N38" t="s">
        <v>77</v>
      </c>
      <c r="O38">
        <v>87.14</v>
      </c>
      <c r="P38">
        <v>7.67</v>
      </c>
      <c r="Q38">
        <v>102.57</v>
      </c>
      <c r="R38">
        <v>82.58</v>
      </c>
      <c r="S38">
        <v>63.29</v>
      </c>
      <c r="T38">
        <v>25.77</v>
      </c>
      <c r="U38">
        <v>10.16</v>
      </c>
    </row>
    <row r="39" spans="1:21">
      <c r="A39" s="1" t="s">
        <v>537</v>
      </c>
      <c r="B39" s="1" t="s">
        <v>79</v>
      </c>
      <c r="C39" s="1" t="s">
        <v>501</v>
      </c>
      <c r="D39" s="1" t="s">
        <v>538</v>
      </c>
      <c r="E39" s="1" t="s">
        <v>499</v>
      </c>
      <c r="F39" s="2">
        <v>35185</v>
      </c>
      <c r="G39" s="2">
        <v>43501</v>
      </c>
      <c r="H39" s="1">
        <v>22</v>
      </c>
      <c r="I39" s="1">
        <v>1</v>
      </c>
      <c r="J39" s="1" t="s">
        <v>493</v>
      </c>
      <c r="K39" s="1">
        <v>307</v>
      </c>
      <c r="L39" s="1">
        <v>4</v>
      </c>
      <c r="M39" t="str">
        <f t="shared" si="0"/>
        <v>TRUE</v>
      </c>
      <c r="N39" t="s">
        <v>79</v>
      </c>
      <c r="O39">
        <v>150.5</v>
      </c>
      <c r="P39">
        <v>5.48</v>
      </c>
      <c r="Q39">
        <v>265.95</v>
      </c>
      <c r="R39">
        <v>150.59</v>
      </c>
      <c r="S39">
        <v>42.14</v>
      </c>
      <c r="T39">
        <v>310.70999999999998</v>
      </c>
      <c r="U39">
        <v>2.4900000000000002</v>
      </c>
    </row>
    <row r="40" spans="1:21">
      <c r="A40" s="1" t="s">
        <v>539</v>
      </c>
      <c r="B40" s="1" t="s">
        <v>81</v>
      </c>
      <c r="C40" s="1" t="s">
        <v>485</v>
      </c>
      <c r="D40" s="1" t="s">
        <v>496</v>
      </c>
      <c r="E40" s="1" t="s">
        <v>487</v>
      </c>
      <c r="F40" s="2">
        <v>26190</v>
      </c>
      <c r="G40" s="2">
        <v>43504</v>
      </c>
      <c r="H40" s="1">
        <v>47</v>
      </c>
      <c r="I40" s="1">
        <v>2</v>
      </c>
      <c r="J40" s="1" t="s">
        <v>488</v>
      </c>
      <c r="K40" s="1">
        <v>15</v>
      </c>
      <c r="L40" s="1">
        <v>0</v>
      </c>
      <c r="M40" t="str">
        <f t="shared" si="0"/>
        <v>TRUE</v>
      </c>
      <c r="N40" t="s">
        <v>81</v>
      </c>
      <c r="O40">
        <v>37.17</v>
      </c>
      <c r="P40">
        <v>20.12</v>
      </c>
      <c r="Q40">
        <v>23.68</v>
      </c>
      <c r="R40">
        <v>104.98</v>
      </c>
      <c r="S40">
        <v>90.83</v>
      </c>
      <c r="T40">
        <v>17.489999999999998</v>
      </c>
      <c r="U40">
        <v>45.87</v>
      </c>
    </row>
    <row r="41" spans="1:21">
      <c r="A41" s="1" t="s">
        <v>540</v>
      </c>
      <c r="B41" s="1" t="s">
        <v>83</v>
      </c>
      <c r="C41" s="1" t="s">
        <v>490</v>
      </c>
      <c r="D41" s="1" t="s">
        <v>512</v>
      </c>
      <c r="E41" s="1" t="s">
        <v>499</v>
      </c>
      <c r="F41" s="2">
        <v>30482</v>
      </c>
      <c r="G41" s="2">
        <v>43518</v>
      </c>
      <c r="H41" s="1">
        <v>35</v>
      </c>
      <c r="I41" s="3">
        <v>1</v>
      </c>
      <c r="J41" s="1" t="s">
        <v>488</v>
      </c>
      <c r="K41" s="1">
        <v>42</v>
      </c>
      <c r="L41" s="1">
        <v>3</v>
      </c>
      <c r="M41" t="str">
        <f t="shared" si="0"/>
        <v>TRUE</v>
      </c>
      <c r="N41" t="s">
        <v>83</v>
      </c>
      <c r="O41">
        <v>223.24</v>
      </c>
      <c r="P41">
        <v>48.22</v>
      </c>
      <c r="Q41">
        <v>79.38</v>
      </c>
      <c r="R41">
        <v>270.36</v>
      </c>
      <c r="S41">
        <v>158.79</v>
      </c>
      <c r="T41">
        <v>26.82</v>
      </c>
      <c r="U41">
        <v>149.94</v>
      </c>
    </row>
    <row r="42" spans="1:21">
      <c r="A42" s="1" t="s">
        <v>541</v>
      </c>
      <c r="B42" s="1" t="s">
        <v>85</v>
      </c>
      <c r="C42" s="1" t="s">
        <v>490</v>
      </c>
      <c r="D42" s="1" t="s">
        <v>498</v>
      </c>
      <c r="E42" s="1" t="s">
        <v>499</v>
      </c>
      <c r="F42" s="2">
        <v>24908</v>
      </c>
      <c r="G42" s="2">
        <v>43509</v>
      </c>
      <c r="H42" s="1">
        <v>50</v>
      </c>
      <c r="I42" s="1">
        <v>2</v>
      </c>
      <c r="J42" s="1" t="s">
        <v>488</v>
      </c>
      <c r="K42" s="1">
        <v>15</v>
      </c>
      <c r="L42" s="1">
        <v>2</v>
      </c>
      <c r="M42" t="str">
        <f t="shared" si="0"/>
        <v>TRUE</v>
      </c>
      <c r="N42" t="s">
        <v>85</v>
      </c>
      <c r="O42">
        <v>45.69</v>
      </c>
      <c r="P42">
        <v>8.17</v>
      </c>
      <c r="Q42">
        <v>9.3000000000000007</v>
      </c>
      <c r="R42">
        <v>78.55</v>
      </c>
      <c r="S42">
        <v>144.9</v>
      </c>
      <c r="T42">
        <v>8.49</v>
      </c>
      <c r="U42">
        <v>9.34</v>
      </c>
    </row>
    <row r="43" spans="1:21">
      <c r="A43" s="1" t="s">
        <v>542</v>
      </c>
      <c r="B43" s="1" t="s">
        <v>87</v>
      </c>
      <c r="C43" s="1" t="s">
        <v>490</v>
      </c>
      <c r="D43" s="1" t="s">
        <v>491</v>
      </c>
      <c r="E43" s="1" t="s">
        <v>499</v>
      </c>
      <c r="F43" s="2">
        <v>25311</v>
      </c>
      <c r="G43" s="2">
        <v>43511</v>
      </c>
      <c r="H43" s="1">
        <v>49</v>
      </c>
      <c r="I43" s="1">
        <v>1</v>
      </c>
      <c r="J43" s="1" t="s">
        <v>488</v>
      </c>
      <c r="K43" s="1">
        <v>2216</v>
      </c>
      <c r="L43" s="1">
        <v>7</v>
      </c>
      <c r="M43" t="str">
        <f t="shared" si="0"/>
        <v>TRUE</v>
      </c>
      <c r="N43" t="s">
        <v>87</v>
      </c>
      <c r="O43">
        <v>1000.000011</v>
      </c>
      <c r="P43">
        <v>25.89</v>
      </c>
      <c r="Q43">
        <v>149.68</v>
      </c>
      <c r="R43">
        <v>970.32</v>
      </c>
      <c r="S43">
        <v>361.13</v>
      </c>
      <c r="T43">
        <v>141.37</v>
      </c>
      <c r="U43">
        <v>268.05</v>
      </c>
    </row>
    <row r="44" spans="1:21">
      <c r="A44" s="1" t="s">
        <v>543</v>
      </c>
      <c r="B44" s="1" t="s">
        <v>89</v>
      </c>
      <c r="C44" s="1" t="s">
        <v>501</v>
      </c>
      <c r="D44" s="1" t="s">
        <v>502</v>
      </c>
      <c r="E44" s="1" t="s">
        <v>492</v>
      </c>
      <c r="F44" s="2">
        <v>29526</v>
      </c>
      <c r="G44" s="2">
        <v>43518</v>
      </c>
      <c r="H44" s="1">
        <v>38</v>
      </c>
      <c r="I44" s="1">
        <v>3</v>
      </c>
      <c r="J44" s="1" t="s">
        <v>493</v>
      </c>
      <c r="K44" s="1">
        <v>27</v>
      </c>
      <c r="L44" s="1">
        <v>3</v>
      </c>
      <c r="M44" t="str">
        <f t="shared" si="0"/>
        <v>TRUE</v>
      </c>
      <c r="N44" t="s">
        <v>89</v>
      </c>
      <c r="O44">
        <v>616.46</v>
      </c>
      <c r="P44">
        <v>18.52</v>
      </c>
      <c r="Q44">
        <v>112.58</v>
      </c>
      <c r="R44">
        <v>104.66</v>
      </c>
      <c r="S44">
        <v>146.03</v>
      </c>
      <c r="T44">
        <v>33.22</v>
      </c>
      <c r="U44">
        <v>14.01</v>
      </c>
    </row>
    <row r="45" spans="1:21">
      <c r="A45" s="1" t="s">
        <v>544</v>
      </c>
      <c r="B45" s="1" t="s">
        <v>91</v>
      </c>
      <c r="C45" s="1" t="s">
        <v>490</v>
      </c>
      <c r="D45" s="1" t="s">
        <v>512</v>
      </c>
      <c r="E45" s="1" t="s">
        <v>499</v>
      </c>
      <c r="F45" s="2">
        <v>25575</v>
      </c>
      <c r="G45" s="2">
        <v>43518</v>
      </c>
      <c r="H45" s="1">
        <v>49</v>
      </c>
      <c r="I45" s="1">
        <v>2</v>
      </c>
      <c r="J45" s="1" t="s">
        <v>488</v>
      </c>
      <c r="K45" s="1">
        <v>19</v>
      </c>
      <c r="L45" s="1">
        <v>2</v>
      </c>
      <c r="M45" t="str">
        <f t="shared" si="0"/>
        <v>TRUE</v>
      </c>
      <c r="N45" t="s">
        <v>91</v>
      </c>
      <c r="O45">
        <v>43.32</v>
      </c>
      <c r="P45">
        <v>25.97</v>
      </c>
      <c r="Q45">
        <v>15.24</v>
      </c>
      <c r="R45">
        <v>175.67</v>
      </c>
      <c r="S45">
        <v>199.14</v>
      </c>
      <c r="T45">
        <v>15.2</v>
      </c>
      <c r="U45">
        <v>18.39</v>
      </c>
    </row>
    <row r="46" spans="1:21">
      <c r="A46" s="1" t="s">
        <v>545</v>
      </c>
      <c r="B46" s="1" t="s">
        <v>93</v>
      </c>
      <c r="C46" s="1" t="s">
        <v>490</v>
      </c>
      <c r="D46" s="1" t="s">
        <v>491</v>
      </c>
      <c r="E46" s="1" t="s">
        <v>499</v>
      </c>
      <c r="F46" s="2">
        <v>17139</v>
      </c>
      <c r="G46" s="2">
        <v>43518</v>
      </c>
      <c r="H46" s="1">
        <v>72</v>
      </c>
      <c r="I46" s="1">
        <v>2</v>
      </c>
      <c r="J46" s="1" t="s">
        <v>488</v>
      </c>
      <c r="K46" s="1">
        <v>15</v>
      </c>
      <c r="L46" s="1">
        <v>1</v>
      </c>
      <c r="M46" t="str">
        <f t="shared" si="0"/>
        <v>TRUE</v>
      </c>
      <c r="N46" t="s">
        <v>93</v>
      </c>
      <c r="O46">
        <v>105.46</v>
      </c>
      <c r="P46">
        <v>8.89</v>
      </c>
      <c r="Q46">
        <v>15.77</v>
      </c>
      <c r="R46">
        <v>121.93</v>
      </c>
      <c r="S46">
        <v>155.13999999999999</v>
      </c>
      <c r="T46">
        <v>56.63</v>
      </c>
      <c r="U46">
        <v>32.479999999999997</v>
      </c>
    </row>
    <row r="47" spans="1:21">
      <c r="A47" s="1" t="s">
        <v>546</v>
      </c>
      <c r="B47" s="1" t="s">
        <v>95</v>
      </c>
      <c r="C47" s="1" t="s">
        <v>490</v>
      </c>
      <c r="D47" s="1" t="s">
        <v>491</v>
      </c>
      <c r="E47" s="1" t="s">
        <v>492</v>
      </c>
      <c r="F47" s="2">
        <v>34403</v>
      </c>
      <c r="G47" s="2">
        <v>43529</v>
      </c>
      <c r="H47" s="1">
        <v>24</v>
      </c>
      <c r="I47" s="1">
        <v>2</v>
      </c>
      <c r="J47" s="1" t="s">
        <v>493</v>
      </c>
      <c r="K47" s="1">
        <v>2021</v>
      </c>
      <c r="L47" s="1">
        <v>5</v>
      </c>
      <c r="M47" t="str">
        <f t="shared" si="0"/>
        <v>TRUE</v>
      </c>
      <c r="N47" t="s">
        <v>95</v>
      </c>
      <c r="O47">
        <v>47.11</v>
      </c>
      <c r="P47">
        <v>7.51</v>
      </c>
      <c r="Q47">
        <v>14.92</v>
      </c>
      <c r="R47">
        <v>141.72</v>
      </c>
      <c r="S47">
        <v>321.89</v>
      </c>
      <c r="T47">
        <v>22.31</v>
      </c>
      <c r="U47">
        <v>101.89</v>
      </c>
    </row>
    <row r="48" spans="1:21">
      <c r="A48" s="1" t="s">
        <v>547</v>
      </c>
      <c r="B48" s="1" t="s">
        <v>97</v>
      </c>
      <c r="C48" s="1" t="s">
        <v>501</v>
      </c>
      <c r="D48" s="1" t="s">
        <v>502</v>
      </c>
      <c r="E48" s="1" t="s">
        <v>499</v>
      </c>
      <c r="F48" s="2">
        <v>32901</v>
      </c>
      <c r="G48" s="2">
        <v>43522</v>
      </c>
      <c r="H48" s="1">
        <v>29</v>
      </c>
      <c r="I48" s="1">
        <v>3</v>
      </c>
      <c r="J48" s="1" t="s">
        <v>488</v>
      </c>
      <c r="K48" s="1">
        <v>47</v>
      </c>
      <c r="L48" s="1">
        <v>2</v>
      </c>
      <c r="M48" t="str">
        <f t="shared" si="0"/>
        <v>TRUE</v>
      </c>
      <c r="N48" t="s">
        <v>97</v>
      </c>
      <c r="O48">
        <v>43.9</v>
      </c>
      <c r="P48">
        <v>33.26</v>
      </c>
      <c r="Q48">
        <v>3.93</v>
      </c>
      <c r="R48">
        <v>137.84</v>
      </c>
      <c r="S48">
        <v>305.12</v>
      </c>
      <c r="T48">
        <v>145.09</v>
      </c>
      <c r="U48">
        <v>7.09</v>
      </c>
    </row>
    <row r="49" spans="1:21">
      <c r="A49" s="1" t="s">
        <v>548</v>
      </c>
      <c r="B49" s="1" t="s">
        <v>99</v>
      </c>
      <c r="C49" s="1" t="s">
        <v>490</v>
      </c>
      <c r="D49" s="1" t="s">
        <v>498</v>
      </c>
      <c r="E49" s="1" t="s">
        <v>492</v>
      </c>
      <c r="F49" s="2">
        <v>29943</v>
      </c>
      <c r="G49" s="2">
        <v>43525</v>
      </c>
      <c r="H49" s="1">
        <v>37</v>
      </c>
      <c r="I49" s="1">
        <v>1</v>
      </c>
      <c r="J49" s="1" t="s">
        <v>488</v>
      </c>
      <c r="K49" s="1">
        <v>922</v>
      </c>
      <c r="L49" s="1">
        <v>8</v>
      </c>
      <c r="M49" t="str">
        <f t="shared" si="0"/>
        <v>TRUE</v>
      </c>
      <c r="N49" t="s">
        <v>99</v>
      </c>
      <c r="O49">
        <v>81.599999999999994</v>
      </c>
      <c r="P49">
        <v>34.159999999999997</v>
      </c>
      <c r="Q49">
        <v>13.66</v>
      </c>
      <c r="R49">
        <v>285.99</v>
      </c>
      <c r="S49">
        <v>268.24</v>
      </c>
      <c r="T49">
        <v>26.69</v>
      </c>
      <c r="U49">
        <v>22.29</v>
      </c>
    </row>
    <row r="50" spans="1:21">
      <c r="A50" s="1" t="s">
        <v>549</v>
      </c>
      <c r="B50" s="1" t="s">
        <v>101</v>
      </c>
      <c r="C50" s="1" t="s">
        <v>501</v>
      </c>
      <c r="D50" s="1" t="s">
        <v>532</v>
      </c>
      <c r="E50" s="1" t="s">
        <v>499</v>
      </c>
      <c r="F50" s="2">
        <v>33519</v>
      </c>
      <c r="G50" s="2">
        <v>43525</v>
      </c>
      <c r="H50" s="1">
        <v>27</v>
      </c>
      <c r="I50" s="1">
        <v>2</v>
      </c>
      <c r="J50" s="1" t="s">
        <v>488</v>
      </c>
      <c r="K50" s="1">
        <v>110</v>
      </c>
      <c r="L50" s="1">
        <v>0</v>
      </c>
      <c r="M50" t="str">
        <f t="shared" si="0"/>
        <v>TRUE</v>
      </c>
      <c r="N50" t="s">
        <v>101</v>
      </c>
      <c r="O50">
        <v>210.76</v>
      </c>
      <c r="P50">
        <v>17.899999999999999</v>
      </c>
      <c r="Q50">
        <v>8.19</v>
      </c>
      <c r="R50">
        <v>125.09</v>
      </c>
      <c r="S50">
        <v>722.83</v>
      </c>
      <c r="T50">
        <v>31.63</v>
      </c>
      <c r="U50">
        <v>20.04</v>
      </c>
    </row>
    <row r="51" spans="1:21">
      <c r="A51" s="1" t="s">
        <v>550</v>
      </c>
      <c r="B51" s="1" t="s">
        <v>103</v>
      </c>
      <c r="C51" s="1" t="s">
        <v>490</v>
      </c>
      <c r="D51" s="1" t="s">
        <v>498</v>
      </c>
      <c r="E51" s="1" t="s">
        <v>499</v>
      </c>
      <c r="F51" s="2">
        <v>35129</v>
      </c>
      <c r="G51" s="2">
        <v>43532</v>
      </c>
      <c r="H51" s="1">
        <v>23</v>
      </c>
      <c r="I51" s="1">
        <v>2</v>
      </c>
      <c r="J51" s="1" t="s">
        <v>488</v>
      </c>
      <c r="K51" s="1">
        <v>80</v>
      </c>
      <c r="L51" s="1">
        <v>2</v>
      </c>
      <c r="M51" t="str">
        <f t="shared" si="0"/>
        <v>TRUE</v>
      </c>
      <c r="N51" t="s">
        <v>103</v>
      </c>
      <c r="O51">
        <v>66.14</v>
      </c>
      <c r="P51">
        <v>29.03</v>
      </c>
      <c r="Q51">
        <v>26.94</v>
      </c>
      <c r="R51">
        <v>154.85</v>
      </c>
      <c r="S51">
        <v>315.24</v>
      </c>
      <c r="T51">
        <v>142.86000000000001</v>
      </c>
      <c r="U51">
        <v>68.400000000000006</v>
      </c>
    </row>
    <row r="52" spans="1:21">
      <c r="A52" s="1" t="s">
        <v>551</v>
      </c>
      <c r="B52" s="1" t="s">
        <v>105</v>
      </c>
      <c r="C52" s="1" t="s">
        <v>501</v>
      </c>
      <c r="D52" s="1" t="s">
        <v>502</v>
      </c>
      <c r="E52" s="1" t="s">
        <v>499</v>
      </c>
      <c r="F52" s="2">
        <v>33939</v>
      </c>
      <c r="G52" s="2">
        <v>43539</v>
      </c>
      <c r="H52" s="1">
        <v>26</v>
      </c>
      <c r="I52" s="1">
        <v>3</v>
      </c>
      <c r="J52" s="1" t="s">
        <v>488</v>
      </c>
      <c r="K52" s="1">
        <v>15</v>
      </c>
      <c r="L52" s="1">
        <v>0</v>
      </c>
      <c r="M52" t="str">
        <f t="shared" si="0"/>
        <v>TRUE</v>
      </c>
      <c r="N52" t="s">
        <v>105</v>
      </c>
      <c r="O52">
        <v>1000.000011</v>
      </c>
      <c r="P52">
        <v>33.26</v>
      </c>
      <c r="Q52">
        <v>400.01</v>
      </c>
      <c r="R52">
        <v>583.35</v>
      </c>
      <c r="S52">
        <v>357.2</v>
      </c>
      <c r="T52">
        <v>122.04</v>
      </c>
      <c r="U52">
        <v>27.6</v>
      </c>
    </row>
    <row r="53" spans="1:21">
      <c r="A53" s="1" t="s">
        <v>552</v>
      </c>
      <c r="B53" s="1" t="s">
        <v>107</v>
      </c>
      <c r="C53" s="1" t="s">
        <v>490</v>
      </c>
      <c r="D53" s="1" t="s">
        <v>491</v>
      </c>
      <c r="E53" s="1" t="s">
        <v>499</v>
      </c>
      <c r="F53" s="2">
        <v>31823</v>
      </c>
      <c r="G53" s="2">
        <v>43546</v>
      </c>
      <c r="H53" s="1">
        <v>32</v>
      </c>
      <c r="I53" s="1">
        <v>1</v>
      </c>
      <c r="J53" s="1" t="s">
        <v>493</v>
      </c>
      <c r="K53" s="1">
        <v>306</v>
      </c>
      <c r="L53" s="1">
        <v>4</v>
      </c>
      <c r="M53" t="str">
        <f t="shared" si="0"/>
        <v>TRUE</v>
      </c>
      <c r="N53" t="s">
        <v>107</v>
      </c>
      <c r="O53">
        <v>107.76</v>
      </c>
      <c r="P53">
        <v>61.57</v>
      </c>
      <c r="Q53">
        <v>65.92</v>
      </c>
      <c r="R53">
        <v>84.59</v>
      </c>
      <c r="S53">
        <v>137.82</v>
      </c>
      <c r="T53">
        <v>58.01</v>
      </c>
      <c r="U53">
        <v>7.02</v>
      </c>
    </row>
    <row r="54" spans="1:21">
      <c r="A54" s="1" t="s">
        <v>553</v>
      </c>
      <c r="B54" s="1" t="s">
        <v>109</v>
      </c>
      <c r="C54" s="1" t="s">
        <v>490</v>
      </c>
      <c r="D54" s="1" t="s">
        <v>498</v>
      </c>
      <c r="E54" s="1" t="s">
        <v>499</v>
      </c>
      <c r="F54" s="2">
        <v>29437</v>
      </c>
      <c r="G54" s="2">
        <v>43558</v>
      </c>
      <c r="H54" s="1">
        <v>38</v>
      </c>
      <c r="I54" s="1">
        <v>3</v>
      </c>
      <c r="J54" s="1" t="s">
        <v>488</v>
      </c>
      <c r="K54" s="1">
        <v>56</v>
      </c>
      <c r="L54" s="1">
        <v>0</v>
      </c>
      <c r="M54" t="str">
        <f t="shared" si="0"/>
        <v>TRUE</v>
      </c>
      <c r="N54" t="s">
        <v>109</v>
      </c>
      <c r="O54">
        <v>87.38</v>
      </c>
      <c r="P54">
        <v>77.14</v>
      </c>
      <c r="Q54">
        <v>86.14</v>
      </c>
      <c r="R54">
        <v>197.88</v>
      </c>
      <c r="S54">
        <v>126.59</v>
      </c>
      <c r="T54">
        <v>28.1</v>
      </c>
      <c r="U54">
        <v>98.82</v>
      </c>
    </row>
    <row r="55" spans="1:21">
      <c r="A55" s="1" t="s">
        <v>554</v>
      </c>
      <c r="B55" s="1" t="s">
        <v>111</v>
      </c>
      <c r="C55" s="1" t="s">
        <v>490</v>
      </c>
      <c r="D55" s="1" t="s">
        <v>498</v>
      </c>
      <c r="E55" s="1" t="s">
        <v>499</v>
      </c>
      <c r="F55" s="2">
        <v>30401</v>
      </c>
      <c r="G55" s="2">
        <v>43560</v>
      </c>
      <c r="H55" s="1">
        <v>36</v>
      </c>
      <c r="I55" s="1">
        <v>3</v>
      </c>
      <c r="J55" s="1" t="s">
        <v>488</v>
      </c>
      <c r="K55" s="1">
        <v>28</v>
      </c>
      <c r="L55" s="1">
        <v>0</v>
      </c>
      <c r="M55" t="str">
        <f t="shared" si="0"/>
        <v>TRUE</v>
      </c>
      <c r="N55" t="s">
        <v>111</v>
      </c>
      <c r="O55">
        <v>43.64</v>
      </c>
      <c r="P55">
        <v>27.09</v>
      </c>
      <c r="Q55">
        <v>4.42</v>
      </c>
      <c r="R55">
        <v>73.959999999999994</v>
      </c>
      <c r="S55">
        <v>62.24</v>
      </c>
      <c r="T55">
        <v>9.2799999999999994</v>
      </c>
      <c r="U55">
        <v>2.94</v>
      </c>
    </row>
    <row r="56" spans="1:21">
      <c r="A56" s="1" t="s">
        <v>555</v>
      </c>
      <c r="B56" s="1" t="s">
        <v>113</v>
      </c>
      <c r="C56" s="1" t="s">
        <v>490</v>
      </c>
      <c r="D56" s="1" t="s">
        <v>498</v>
      </c>
      <c r="E56" s="1" t="s">
        <v>499</v>
      </c>
      <c r="F56" s="2">
        <v>23573</v>
      </c>
      <c r="G56" s="2">
        <v>43560</v>
      </c>
      <c r="H56" s="1">
        <v>54</v>
      </c>
      <c r="I56" s="1">
        <v>3</v>
      </c>
      <c r="J56" s="1" t="s">
        <v>488</v>
      </c>
      <c r="K56" s="1">
        <v>35</v>
      </c>
      <c r="L56" s="1">
        <v>0</v>
      </c>
      <c r="M56" t="str">
        <f t="shared" si="0"/>
        <v>TRUE</v>
      </c>
      <c r="N56" t="s">
        <v>113</v>
      </c>
      <c r="O56">
        <v>21.99</v>
      </c>
      <c r="P56">
        <v>10.32</v>
      </c>
      <c r="Q56">
        <v>2.1</v>
      </c>
      <c r="R56">
        <v>207.88</v>
      </c>
      <c r="S56">
        <v>121.03</v>
      </c>
      <c r="T56">
        <v>14.79</v>
      </c>
      <c r="U56">
        <v>25.47</v>
      </c>
    </row>
    <row r="57" spans="1:21">
      <c r="A57" s="1" t="s">
        <v>556</v>
      </c>
      <c r="B57" s="1" t="s">
        <v>115</v>
      </c>
      <c r="C57" s="1" t="s">
        <v>490</v>
      </c>
      <c r="D57" s="1" t="s">
        <v>491</v>
      </c>
      <c r="E57" s="1" t="s">
        <v>499</v>
      </c>
      <c r="F57" s="2">
        <v>36196</v>
      </c>
      <c r="G57" s="2">
        <v>43560</v>
      </c>
      <c r="H57" s="1">
        <v>20</v>
      </c>
      <c r="I57" s="1">
        <v>3</v>
      </c>
      <c r="J57" s="1" t="s">
        <v>488</v>
      </c>
      <c r="K57" s="1">
        <v>68</v>
      </c>
      <c r="L57" s="1">
        <v>1</v>
      </c>
      <c r="M57" t="str">
        <f t="shared" si="0"/>
        <v>TRUE</v>
      </c>
      <c r="N57" t="s">
        <v>115</v>
      </c>
      <c r="O57">
        <v>88.42</v>
      </c>
      <c r="P57">
        <v>7.99</v>
      </c>
      <c r="Q57">
        <v>183.53</v>
      </c>
      <c r="R57">
        <v>121.39</v>
      </c>
      <c r="S57">
        <v>53.98</v>
      </c>
      <c r="T57">
        <v>70.349999999999994</v>
      </c>
      <c r="U57">
        <v>4.95</v>
      </c>
    </row>
    <row r="58" spans="1:21">
      <c r="A58" s="1" t="s">
        <v>557</v>
      </c>
      <c r="B58" s="1" t="s">
        <v>117</v>
      </c>
      <c r="C58" s="1" t="s">
        <v>490</v>
      </c>
      <c r="D58" s="1" t="s">
        <v>491</v>
      </c>
      <c r="E58" s="1" t="s">
        <v>492</v>
      </c>
      <c r="F58" s="2">
        <v>34403</v>
      </c>
      <c r="G58" s="2">
        <v>43546</v>
      </c>
      <c r="H58" s="1">
        <v>25</v>
      </c>
      <c r="I58" s="1">
        <v>2</v>
      </c>
      <c r="J58" s="1" t="s">
        <v>493</v>
      </c>
      <c r="K58" s="1">
        <v>2155</v>
      </c>
      <c r="L58" s="1">
        <v>15</v>
      </c>
      <c r="M58" t="str">
        <f t="shared" si="0"/>
        <v>TRUE</v>
      </c>
      <c r="N58" t="s">
        <v>117</v>
      </c>
      <c r="O58">
        <v>47.99</v>
      </c>
      <c r="P58">
        <v>5.75</v>
      </c>
      <c r="Q58">
        <v>40.22</v>
      </c>
      <c r="R58">
        <v>31.61</v>
      </c>
      <c r="S58">
        <v>76.97</v>
      </c>
      <c r="T58">
        <v>7.65</v>
      </c>
      <c r="U58">
        <v>30.6</v>
      </c>
    </row>
    <row r="59" spans="1:21">
      <c r="A59" s="1" t="s">
        <v>558</v>
      </c>
      <c r="B59" s="1" t="s">
        <v>119</v>
      </c>
      <c r="C59" s="1" t="s">
        <v>490</v>
      </c>
      <c r="D59" s="1" t="s">
        <v>491</v>
      </c>
      <c r="E59" s="1" t="s">
        <v>499</v>
      </c>
      <c r="F59" s="2">
        <v>31823</v>
      </c>
      <c r="G59" s="2">
        <v>43579</v>
      </c>
      <c r="H59" s="1">
        <v>32</v>
      </c>
      <c r="I59" s="1">
        <v>2</v>
      </c>
      <c r="J59" s="1" t="s">
        <v>493</v>
      </c>
      <c r="K59" s="1">
        <v>15</v>
      </c>
      <c r="L59" s="1">
        <v>0</v>
      </c>
      <c r="M59" t="str">
        <f t="shared" si="0"/>
        <v>TRUE</v>
      </c>
      <c r="N59" t="s">
        <v>119</v>
      </c>
      <c r="O59">
        <v>559.26</v>
      </c>
      <c r="P59">
        <v>24.05</v>
      </c>
      <c r="Q59">
        <v>75.08</v>
      </c>
      <c r="R59">
        <v>252.76</v>
      </c>
      <c r="S59">
        <v>184.58</v>
      </c>
      <c r="T59">
        <v>129.13999999999999</v>
      </c>
      <c r="U59">
        <v>113.05</v>
      </c>
    </row>
    <row r="60" spans="1:21">
      <c r="A60" s="1" t="s">
        <v>559</v>
      </c>
      <c r="B60" s="1" t="s">
        <v>121</v>
      </c>
      <c r="C60" s="1" t="s">
        <v>501</v>
      </c>
      <c r="D60" s="1" t="s">
        <v>538</v>
      </c>
      <c r="E60" s="1" t="s">
        <v>499</v>
      </c>
      <c r="F60" s="2">
        <v>35185</v>
      </c>
      <c r="G60" s="2">
        <v>43580</v>
      </c>
      <c r="H60" s="1">
        <v>22</v>
      </c>
      <c r="I60" s="1">
        <v>2</v>
      </c>
      <c r="J60" s="1" t="s">
        <v>493</v>
      </c>
      <c r="K60" s="1">
        <v>26</v>
      </c>
      <c r="L60" s="1">
        <v>3</v>
      </c>
      <c r="M60" t="str">
        <f t="shared" si="0"/>
        <v>TRUE</v>
      </c>
      <c r="N60" t="s">
        <v>121</v>
      </c>
      <c r="O60">
        <v>37.36</v>
      </c>
      <c r="P60">
        <v>2.4900000000000002</v>
      </c>
      <c r="Q60">
        <v>29.73</v>
      </c>
      <c r="R60">
        <v>118.18</v>
      </c>
      <c r="S60">
        <v>27.57</v>
      </c>
      <c r="T60">
        <v>52.87</v>
      </c>
      <c r="U60">
        <v>2.4900000000000002</v>
      </c>
    </row>
    <row r="61" spans="1:21">
      <c r="A61" s="1" t="s">
        <v>560</v>
      </c>
      <c r="B61" s="1" t="s">
        <v>123</v>
      </c>
      <c r="C61" s="1" t="s">
        <v>490</v>
      </c>
      <c r="D61" s="1" t="s">
        <v>498</v>
      </c>
      <c r="E61" s="1" t="s">
        <v>492</v>
      </c>
      <c r="F61" s="2">
        <v>29943</v>
      </c>
      <c r="G61" s="2">
        <v>43567</v>
      </c>
      <c r="H61" s="1">
        <v>37</v>
      </c>
      <c r="I61" s="1">
        <v>2</v>
      </c>
      <c r="J61" s="1" t="s">
        <v>488</v>
      </c>
      <c r="K61" s="1">
        <v>31</v>
      </c>
      <c r="L61" s="1">
        <v>0</v>
      </c>
      <c r="M61" t="str">
        <f t="shared" si="0"/>
        <v>TRUE</v>
      </c>
      <c r="N61" t="s">
        <v>123</v>
      </c>
      <c r="O61">
        <v>107.48</v>
      </c>
      <c r="P61">
        <v>30.68</v>
      </c>
      <c r="Q61">
        <v>19.190000000000001</v>
      </c>
      <c r="R61">
        <v>214.11</v>
      </c>
      <c r="S61">
        <v>325.41000000000003</v>
      </c>
      <c r="T61">
        <v>26.23</v>
      </c>
      <c r="U61">
        <v>10.32</v>
      </c>
    </row>
    <row r="62" spans="1:21">
      <c r="A62" s="1" t="s">
        <v>561</v>
      </c>
      <c r="B62" s="1" t="s">
        <v>125</v>
      </c>
      <c r="C62" s="1" t="s">
        <v>490</v>
      </c>
      <c r="D62" s="1" t="s">
        <v>491</v>
      </c>
      <c r="E62" s="1" t="s">
        <v>499</v>
      </c>
      <c r="F62" s="2">
        <v>25311</v>
      </c>
      <c r="G62" s="2">
        <v>43581</v>
      </c>
      <c r="H62" s="1">
        <v>50</v>
      </c>
      <c r="I62" s="1">
        <v>2</v>
      </c>
      <c r="J62" s="1" t="s">
        <v>488</v>
      </c>
      <c r="K62" s="1">
        <v>67</v>
      </c>
      <c r="L62" s="1">
        <v>2</v>
      </c>
      <c r="M62" t="str">
        <f t="shared" si="0"/>
        <v>TRUE</v>
      </c>
      <c r="N62" t="s">
        <v>125</v>
      </c>
      <c r="O62">
        <v>81.739999999999995</v>
      </c>
      <c r="P62">
        <v>7.18</v>
      </c>
      <c r="Q62">
        <v>10.029999999999999</v>
      </c>
      <c r="R62">
        <v>133.80000000000001</v>
      </c>
      <c r="S62">
        <v>603.88</v>
      </c>
      <c r="T62">
        <v>82.37</v>
      </c>
      <c r="U62">
        <v>5.2</v>
      </c>
    </row>
    <row r="63" spans="1:21">
      <c r="A63" s="1" t="s">
        <v>562</v>
      </c>
      <c r="B63" s="1" t="s">
        <v>127</v>
      </c>
      <c r="C63" s="1" t="s">
        <v>490</v>
      </c>
      <c r="D63" s="1" t="s">
        <v>491</v>
      </c>
      <c r="E63" s="1" t="s">
        <v>499</v>
      </c>
      <c r="F63" s="2">
        <v>17139</v>
      </c>
      <c r="G63" s="2">
        <v>43609</v>
      </c>
      <c r="H63" s="1">
        <v>72</v>
      </c>
      <c r="I63" s="1">
        <v>3</v>
      </c>
      <c r="J63" s="1" t="s">
        <v>488</v>
      </c>
      <c r="K63" s="1">
        <v>15</v>
      </c>
      <c r="L63" s="1">
        <v>2</v>
      </c>
      <c r="M63" t="str">
        <f t="shared" si="0"/>
        <v>TRUE</v>
      </c>
      <c r="N63" t="s">
        <v>127</v>
      </c>
      <c r="O63">
        <v>29.32</v>
      </c>
      <c r="P63">
        <v>5.77</v>
      </c>
      <c r="Q63">
        <v>5.26</v>
      </c>
      <c r="R63">
        <v>46.61</v>
      </c>
      <c r="S63">
        <v>29.47</v>
      </c>
      <c r="T63">
        <v>13.04</v>
      </c>
      <c r="U63">
        <v>10.130000000000001</v>
      </c>
    </row>
    <row r="64" spans="1:21">
      <c r="A64" s="1" t="s">
        <v>563</v>
      </c>
      <c r="B64" s="1" t="s">
        <v>129</v>
      </c>
      <c r="C64" s="1" t="s">
        <v>490</v>
      </c>
      <c r="D64" s="1" t="s">
        <v>491</v>
      </c>
      <c r="E64" s="1" t="s">
        <v>492</v>
      </c>
      <c r="F64" s="2">
        <v>34403</v>
      </c>
      <c r="G64" s="2">
        <v>43627</v>
      </c>
      <c r="H64" s="1">
        <v>25</v>
      </c>
      <c r="I64" s="1">
        <v>3</v>
      </c>
      <c r="J64" s="1" t="s">
        <v>493</v>
      </c>
      <c r="K64" s="1">
        <v>667</v>
      </c>
      <c r="L64" s="1">
        <v>6</v>
      </c>
      <c r="M64" t="str">
        <f t="shared" si="0"/>
        <v>TRUE</v>
      </c>
      <c r="N64" t="s">
        <v>129</v>
      </c>
      <c r="O64">
        <v>13.91</v>
      </c>
      <c r="P64">
        <v>2.4900000000000002</v>
      </c>
      <c r="Q64">
        <v>13.13</v>
      </c>
      <c r="R64">
        <v>562.61</v>
      </c>
      <c r="S64">
        <v>2500.0100000000002</v>
      </c>
      <c r="T64">
        <v>250.71</v>
      </c>
      <c r="U64">
        <v>15.58</v>
      </c>
    </row>
    <row r="65" spans="1:21">
      <c r="A65" s="1" t="s">
        <v>564</v>
      </c>
      <c r="B65" s="1" t="s">
        <v>131</v>
      </c>
      <c r="C65" s="1" t="s">
        <v>490</v>
      </c>
      <c r="D65" s="1" t="s">
        <v>491</v>
      </c>
      <c r="E65" s="1" t="s">
        <v>492</v>
      </c>
      <c r="F65" s="2">
        <v>34403</v>
      </c>
      <c r="G65" s="2">
        <v>43664</v>
      </c>
      <c r="H65" s="1">
        <v>25</v>
      </c>
      <c r="I65" s="3">
        <v>1</v>
      </c>
      <c r="J65" s="1" t="s">
        <v>493</v>
      </c>
      <c r="K65" s="1">
        <v>312</v>
      </c>
      <c r="L65" s="1">
        <v>3</v>
      </c>
      <c r="M65" t="str">
        <f t="shared" si="0"/>
        <v>TRUE</v>
      </c>
      <c r="N65" t="s">
        <v>131</v>
      </c>
      <c r="O65">
        <v>17.68</v>
      </c>
      <c r="P65">
        <v>6.94</v>
      </c>
      <c r="Q65">
        <v>73.709999999999994</v>
      </c>
      <c r="R65">
        <v>179.86</v>
      </c>
      <c r="S65">
        <v>1012.88</v>
      </c>
      <c r="T65">
        <v>15.11</v>
      </c>
      <c r="U65">
        <v>2.4900000000000002</v>
      </c>
    </row>
    <row r="66" spans="1:21">
      <c r="A66" s="1" t="s">
        <v>565</v>
      </c>
      <c r="B66" s="1" t="s">
        <v>133</v>
      </c>
      <c r="C66" s="1" t="s">
        <v>485</v>
      </c>
      <c r="D66" s="1" t="s">
        <v>496</v>
      </c>
      <c r="E66" s="1" t="s">
        <v>487</v>
      </c>
      <c r="F66" s="2">
        <v>34502</v>
      </c>
      <c r="G66" s="2">
        <v>43677</v>
      </c>
      <c r="H66" s="1">
        <v>25</v>
      </c>
      <c r="I66" s="1">
        <v>1</v>
      </c>
      <c r="J66" s="1" t="s">
        <v>493</v>
      </c>
      <c r="K66" s="1">
        <v>769</v>
      </c>
      <c r="L66" s="1" t="s">
        <v>487</v>
      </c>
      <c r="M66" t="str">
        <f t="shared" si="0"/>
        <v>TRUE</v>
      </c>
      <c r="N66" t="s">
        <v>133</v>
      </c>
      <c r="O66">
        <v>280.72000000000003</v>
      </c>
      <c r="P66">
        <v>137.34</v>
      </c>
      <c r="Q66">
        <v>500.01</v>
      </c>
      <c r="R66">
        <v>132.81</v>
      </c>
      <c r="S66">
        <v>103.44</v>
      </c>
      <c r="T66">
        <v>26.28</v>
      </c>
      <c r="U66">
        <v>6.46</v>
      </c>
    </row>
    <row r="67" spans="1:21">
      <c r="A67" s="1" t="s">
        <v>566</v>
      </c>
      <c r="B67" s="1" t="s">
        <v>135</v>
      </c>
      <c r="C67" s="1" t="s">
        <v>490</v>
      </c>
      <c r="D67" s="1" t="s">
        <v>491</v>
      </c>
      <c r="E67" s="1" t="s">
        <v>499</v>
      </c>
      <c r="F67" s="2">
        <v>25311</v>
      </c>
      <c r="G67" s="2">
        <v>43672</v>
      </c>
      <c r="H67" s="1">
        <v>50</v>
      </c>
      <c r="I67" s="1">
        <v>3</v>
      </c>
      <c r="J67" s="1" t="s">
        <v>488</v>
      </c>
      <c r="K67" s="1">
        <v>786</v>
      </c>
      <c r="L67" s="1">
        <v>3</v>
      </c>
      <c r="M67" t="str">
        <f t="shared" ref="M67:M130" si="1">IF(N67=B67,"TRUE","FALSE")</f>
        <v>TRUE</v>
      </c>
      <c r="N67" t="s">
        <v>135</v>
      </c>
      <c r="O67">
        <v>66.78</v>
      </c>
      <c r="P67">
        <v>19.059999999999999</v>
      </c>
      <c r="Q67">
        <v>8.15</v>
      </c>
      <c r="R67">
        <v>257.77</v>
      </c>
      <c r="S67">
        <v>397.52</v>
      </c>
      <c r="T67">
        <v>84.4</v>
      </c>
      <c r="U67">
        <v>131.49</v>
      </c>
    </row>
    <row r="68" spans="1:21">
      <c r="A68" s="1" t="s">
        <v>567</v>
      </c>
      <c r="B68" s="1" t="s">
        <v>137</v>
      </c>
      <c r="C68" s="1" t="s">
        <v>501</v>
      </c>
      <c r="D68" s="1" t="s">
        <v>502</v>
      </c>
      <c r="E68" s="1" t="s">
        <v>499</v>
      </c>
      <c r="F68" s="2">
        <v>22293</v>
      </c>
      <c r="G68" s="2">
        <v>43657</v>
      </c>
      <c r="H68" s="1">
        <v>58</v>
      </c>
      <c r="I68" s="1">
        <v>1</v>
      </c>
      <c r="J68" s="1" t="s">
        <v>493</v>
      </c>
      <c r="K68" s="1">
        <v>1013</v>
      </c>
      <c r="L68" s="1">
        <v>8</v>
      </c>
      <c r="M68" t="str">
        <f t="shared" si="1"/>
        <v>TRUE</v>
      </c>
      <c r="N68" t="s">
        <v>137</v>
      </c>
      <c r="O68">
        <v>124.01</v>
      </c>
      <c r="P68">
        <v>37</v>
      </c>
      <c r="Q68">
        <v>20.57</v>
      </c>
      <c r="R68">
        <v>2500.0100000000002</v>
      </c>
      <c r="S68">
        <v>2500.0100000000002</v>
      </c>
      <c r="T68">
        <v>554.33000000000004</v>
      </c>
      <c r="U68">
        <v>405.08</v>
      </c>
    </row>
    <row r="69" spans="1:21">
      <c r="A69" s="1" t="s">
        <v>568</v>
      </c>
      <c r="B69" s="1" t="s">
        <v>139</v>
      </c>
      <c r="C69" s="1" t="s">
        <v>490</v>
      </c>
      <c r="D69" s="1" t="s">
        <v>491</v>
      </c>
      <c r="E69" s="1" t="s">
        <v>499</v>
      </c>
      <c r="F69" s="2">
        <v>23568</v>
      </c>
      <c r="G69" s="2">
        <v>43658</v>
      </c>
      <c r="H69" s="1">
        <v>55</v>
      </c>
      <c r="I69" s="1">
        <v>1</v>
      </c>
      <c r="J69" s="1" t="s">
        <v>488</v>
      </c>
      <c r="K69" s="1">
        <v>4750</v>
      </c>
      <c r="L69" s="1">
        <v>10</v>
      </c>
      <c r="M69" t="str">
        <f t="shared" si="1"/>
        <v>TRUE</v>
      </c>
      <c r="N69" t="s">
        <v>139</v>
      </c>
      <c r="O69">
        <v>37.22</v>
      </c>
      <c r="P69">
        <v>40.74</v>
      </c>
      <c r="Q69">
        <v>7.02</v>
      </c>
      <c r="R69">
        <v>335.38</v>
      </c>
      <c r="S69">
        <v>377.07</v>
      </c>
      <c r="T69">
        <v>21.94</v>
      </c>
      <c r="U69">
        <v>31.97</v>
      </c>
    </row>
    <row r="70" spans="1:21">
      <c r="A70" s="1" t="s">
        <v>569</v>
      </c>
      <c r="B70" s="1" t="s">
        <v>141</v>
      </c>
      <c r="C70" s="1" t="s">
        <v>490</v>
      </c>
      <c r="D70" s="1" t="s">
        <v>491</v>
      </c>
      <c r="E70" s="1" t="s">
        <v>499</v>
      </c>
      <c r="F70" s="2">
        <v>29445</v>
      </c>
      <c r="G70" s="2">
        <v>43679</v>
      </c>
      <c r="H70" s="1">
        <v>38</v>
      </c>
      <c r="I70" s="1">
        <v>3</v>
      </c>
      <c r="J70" s="1" t="s">
        <v>488</v>
      </c>
      <c r="K70" s="1">
        <v>155</v>
      </c>
      <c r="L70" s="1">
        <v>1</v>
      </c>
      <c r="M70" t="str">
        <f t="shared" si="1"/>
        <v>TRUE</v>
      </c>
      <c r="N70" t="s">
        <v>141</v>
      </c>
      <c r="O70">
        <v>100.18</v>
      </c>
      <c r="P70">
        <v>37.93</v>
      </c>
      <c r="Q70">
        <v>26.92</v>
      </c>
      <c r="R70">
        <v>534.03</v>
      </c>
      <c r="S70">
        <v>449.87</v>
      </c>
      <c r="T70">
        <v>33.67</v>
      </c>
      <c r="U70">
        <v>49.13</v>
      </c>
    </row>
    <row r="71" spans="1:21">
      <c r="A71" s="1" t="s">
        <v>570</v>
      </c>
      <c r="B71" s="1" t="s">
        <v>143</v>
      </c>
      <c r="C71" s="1" t="s">
        <v>501</v>
      </c>
      <c r="D71" s="1" t="s">
        <v>571</v>
      </c>
      <c r="E71" s="1" t="s">
        <v>492</v>
      </c>
      <c r="F71" s="2">
        <v>31009</v>
      </c>
      <c r="G71" s="2">
        <v>43699</v>
      </c>
      <c r="H71" s="1">
        <v>34</v>
      </c>
      <c r="I71" s="1">
        <v>1</v>
      </c>
      <c r="J71" s="1" t="s">
        <v>488</v>
      </c>
      <c r="K71" s="1">
        <v>2000</v>
      </c>
      <c r="L71" s="1">
        <v>10</v>
      </c>
      <c r="M71" t="str">
        <f t="shared" si="1"/>
        <v>TRUE</v>
      </c>
      <c r="N71" t="s">
        <v>143</v>
      </c>
      <c r="O71">
        <v>34.880000000000003</v>
      </c>
      <c r="P71">
        <v>36.369999999999997</v>
      </c>
      <c r="Q71">
        <v>16.62</v>
      </c>
      <c r="R71">
        <v>724.12</v>
      </c>
      <c r="S71">
        <v>184.96</v>
      </c>
      <c r="T71">
        <v>78.23</v>
      </c>
      <c r="U71">
        <v>896.09</v>
      </c>
    </row>
    <row r="72" spans="1:21">
      <c r="A72" s="1" t="s">
        <v>572</v>
      </c>
      <c r="B72" s="1" t="s">
        <v>145</v>
      </c>
      <c r="C72" s="1" t="s">
        <v>490</v>
      </c>
      <c r="D72" s="1" t="s">
        <v>512</v>
      </c>
      <c r="E72" s="1" t="s">
        <v>499</v>
      </c>
      <c r="F72" s="2">
        <v>25575</v>
      </c>
      <c r="G72" s="2">
        <v>43700</v>
      </c>
      <c r="H72" s="1">
        <v>49</v>
      </c>
      <c r="I72" s="1">
        <v>3</v>
      </c>
      <c r="J72" s="1" t="s">
        <v>488</v>
      </c>
      <c r="K72" s="1">
        <v>15</v>
      </c>
      <c r="L72" s="1">
        <v>2</v>
      </c>
      <c r="M72" t="str">
        <f t="shared" si="1"/>
        <v>TRUE</v>
      </c>
      <c r="N72" t="s">
        <v>145</v>
      </c>
      <c r="O72">
        <v>65.75</v>
      </c>
      <c r="P72">
        <v>20.9</v>
      </c>
      <c r="Q72">
        <v>19.38</v>
      </c>
      <c r="R72">
        <v>1496.62</v>
      </c>
      <c r="S72">
        <v>994.96</v>
      </c>
      <c r="T72">
        <v>336.53</v>
      </c>
      <c r="U72">
        <v>48.4</v>
      </c>
    </row>
    <row r="73" spans="1:21">
      <c r="A73" s="1" t="s">
        <v>573</v>
      </c>
      <c r="B73" s="1" t="s">
        <v>147</v>
      </c>
      <c r="C73" s="1" t="s">
        <v>490</v>
      </c>
      <c r="D73" s="1" t="s">
        <v>491</v>
      </c>
      <c r="E73" s="1" t="s">
        <v>499</v>
      </c>
      <c r="F73" s="2">
        <v>31823</v>
      </c>
      <c r="G73" s="2">
        <v>43726</v>
      </c>
      <c r="H73" s="1">
        <v>32</v>
      </c>
      <c r="I73" s="1">
        <v>3</v>
      </c>
      <c r="J73" s="1" t="s">
        <v>493</v>
      </c>
      <c r="K73" s="1">
        <v>15</v>
      </c>
      <c r="L73" s="1">
        <v>0</v>
      </c>
      <c r="M73" t="str">
        <f t="shared" si="1"/>
        <v>TRUE</v>
      </c>
      <c r="N73" t="s">
        <v>147</v>
      </c>
      <c r="O73">
        <v>121.54</v>
      </c>
      <c r="P73">
        <v>10.220000000000001</v>
      </c>
      <c r="Q73">
        <v>10.31</v>
      </c>
      <c r="R73">
        <v>22.26</v>
      </c>
      <c r="S73">
        <v>46.18</v>
      </c>
      <c r="T73">
        <v>21.35</v>
      </c>
      <c r="U73">
        <v>2.67</v>
      </c>
    </row>
    <row r="74" spans="1:21">
      <c r="A74" s="1" t="s">
        <v>574</v>
      </c>
      <c r="B74" s="1" t="s">
        <v>149</v>
      </c>
      <c r="C74" s="1" t="s">
        <v>501</v>
      </c>
      <c r="D74" s="1" t="s">
        <v>532</v>
      </c>
      <c r="E74" s="1" t="s">
        <v>499</v>
      </c>
      <c r="F74" s="2">
        <v>33519</v>
      </c>
      <c r="G74" s="2">
        <v>43718</v>
      </c>
      <c r="H74" s="1">
        <v>27</v>
      </c>
      <c r="I74" s="1">
        <v>3</v>
      </c>
      <c r="J74" s="1" t="s">
        <v>488</v>
      </c>
      <c r="K74" s="1">
        <v>335</v>
      </c>
      <c r="L74" s="1">
        <v>1</v>
      </c>
      <c r="M74" t="str">
        <f t="shared" si="1"/>
        <v>TRUE</v>
      </c>
      <c r="N74" t="s">
        <v>149</v>
      </c>
      <c r="O74">
        <v>180.05</v>
      </c>
      <c r="P74">
        <v>19.3</v>
      </c>
      <c r="Q74">
        <v>6.22</v>
      </c>
      <c r="R74">
        <v>67.14</v>
      </c>
      <c r="S74">
        <v>138.18</v>
      </c>
      <c r="T74">
        <v>8.65</v>
      </c>
      <c r="U74">
        <v>18.16</v>
      </c>
    </row>
    <row r="75" spans="1:21">
      <c r="A75" s="1" t="s">
        <v>575</v>
      </c>
      <c r="B75" s="1" t="s">
        <v>151</v>
      </c>
      <c r="C75" s="1" t="s">
        <v>490</v>
      </c>
      <c r="D75" s="1" t="s">
        <v>491</v>
      </c>
      <c r="E75" s="1" t="s">
        <v>499</v>
      </c>
      <c r="F75" s="2">
        <v>35211</v>
      </c>
      <c r="G75" s="2">
        <v>43728</v>
      </c>
      <c r="H75" s="1">
        <v>23</v>
      </c>
      <c r="I75" s="1">
        <v>2</v>
      </c>
      <c r="J75" s="1" t="s">
        <v>488</v>
      </c>
      <c r="K75" s="1">
        <v>64</v>
      </c>
      <c r="L75" s="1">
        <v>2</v>
      </c>
      <c r="M75" t="str">
        <f t="shared" si="1"/>
        <v>TRUE</v>
      </c>
      <c r="N75" t="s">
        <v>151</v>
      </c>
      <c r="O75">
        <v>28.14</v>
      </c>
      <c r="P75">
        <v>36.700000000000003</v>
      </c>
      <c r="Q75">
        <v>21.99</v>
      </c>
      <c r="R75">
        <v>404.35</v>
      </c>
      <c r="S75">
        <v>662.65</v>
      </c>
      <c r="T75">
        <v>162.86000000000001</v>
      </c>
      <c r="U75">
        <v>104.21</v>
      </c>
    </row>
    <row r="76" spans="1:21">
      <c r="A76" s="1" t="s">
        <v>576</v>
      </c>
      <c r="B76" s="1" t="s">
        <v>153</v>
      </c>
      <c r="C76" s="1" t="s">
        <v>501</v>
      </c>
      <c r="D76" s="1" t="s">
        <v>538</v>
      </c>
      <c r="E76" s="1" t="s">
        <v>499</v>
      </c>
      <c r="F76" s="2">
        <v>25311</v>
      </c>
      <c r="G76" s="2">
        <v>43731</v>
      </c>
      <c r="H76" s="1">
        <v>50</v>
      </c>
      <c r="I76" s="1">
        <v>1</v>
      </c>
      <c r="J76" s="1" t="s">
        <v>488</v>
      </c>
      <c r="K76" s="1">
        <v>1112</v>
      </c>
      <c r="L76" s="1">
        <v>8</v>
      </c>
      <c r="M76" t="str">
        <f t="shared" si="1"/>
        <v>TRUE</v>
      </c>
      <c r="N76" t="s">
        <v>153</v>
      </c>
      <c r="O76">
        <v>83.52</v>
      </c>
      <c r="P76">
        <v>39.950000000000003</v>
      </c>
      <c r="Q76">
        <v>15.23</v>
      </c>
      <c r="R76">
        <v>305.74</v>
      </c>
      <c r="S76">
        <v>193.85</v>
      </c>
      <c r="T76">
        <v>28.37</v>
      </c>
      <c r="U76">
        <v>106.11</v>
      </c>
    </row>
    <row r="77" spans="1:21">
      <c r="A77" s="1" t="s">
        <v>577</v>
      </c>
      <c r="B77" s="1" t="s">
        <v>155</v>
      </c>
      <c r="C77" s="1" t="s">
        <v>490</v>
      </c>
      <c r="D77" s="1" t="s">
        <v>491</v>
      </c>
      <c r="E77" s="1" t="s">
        <v>499</v>
      </c>
      <c r="F77" s="2">
        <v>36196</v>
      </c>
      <c r="G77" s="2">
        <v>43748</v>
      </c>
      <c r="H77" s="1">
        <v>20</v>
      </c>
      <c r="I77" s="1">
        <v>3</v>
      </c>
      <c r="J77" s="1" t="s">
        <v>488</v>
      </c>
      <c r="K77" s="1">
        <v>60</v>
      </c>
      <c r="L77" s="1">
        <v>1</v>
      </c>
      <c r="M77" t="str">
        <f t="shared" si="1"/>
        <v>TRUE</v>
      </c>
      <c r="N77" t="s">
        <v>155</v>
      </c>
      <c r="O77">
        <v>41.52</v>
      </c>
      <c r="P77">
        <v>9.31</v>
      </c>
      <c r="Q77">
        <v>68.349999999999994</v>
      </c>
      <c r="R77">
        <v>139.34</v>
      </c>
      <c r="S77">
        <v>63.66</v>
      </c>
      <c r="T77">
        <v>12.8</v>
      </c>
      <c r="U77">
        <v>34.93</v>
      </c>
    </row>
    <row r="78" spans="1:21">
      <c r="A78" s="1" t="s">
        <v>578</v>
      </c>
      <c r="B78" s="1" t="s">
        <v>157</v>
      </c>
      <c r="C78" s="1" t="s">
        <v>490</v>
      </c>
      <c r="D78" s="1" t="s">
        <v>498</v>
      </c>
      <c r="E78" s="1" t="s">
        <v>499</v>
      </c>
      <c r="F78" s="2">
        <v>23573</v>
      </c>
      <c r="G78" s="2">
        <v>43742</v>
      </c>
      <c r="H78" s="1">
        <v>55</v>
      </c>
      <c r="I78" s="1">
        <v>4</v>
      </c>
      <c r="J78" s="1" t="s">
        <v>488</v>
      </c>
      <c r="K78" s="1">
        <v>4476</v>
      </c>
      <c r="L78" s="1">
        <v>1</v>
      </c>
      <c r="M78" t="str">
        <f t="shared" si="1"/>
        <v>TRUE</v>
      </c>
      <c r="N78" t="s">
        <v>157</v>
      </c>
      <c r="O78">
        <v>24.68</v>
      </c>
      <c r="P78">
        <v>4.59</v>
      </c>
      <c r="Q78">
        <v>1.42</v>
      </c>
      <c r="R78">
        <v>112.05</v>
      </c>
      <c r="S78">
        <v>89.84</v>
      </c>
      <c r="T78">
        <v>14.16</v>
      </c>
      <c r="U78">
        <v>7.7</v>
      </c>
    </row>
    <row r="79" spans="1:21">
      <c r="A79" s="1" t="s">
        <v>579</v>
      </c>
      <c r="B79" s="1" t="s">
        <v>159</v>
      </c>
      <c r="C79" s="1" t="s">
        <v>490</v>
      </c>
      <c r="D79" s="1" t="s">
        <v>498</v>
      </c>
      <c r="E79" s="1" t="s">
        <v>499</v>
      </c>
      <c r="F79" s="2">
        <v>32618</v>
      </c>
      <c r="G79" s="2">
        <v>43843</v>
      </c>
      <c r="H79" s="1">
        <v>30</v>
      </c>
      <c r="I79" s="1">
        <v>3</v>
      </c>
      <c r="J79" s="1" t="s">
        <v>488</v>
      </c>
      <c r="K79" s="1">
        <v>180</v>
      </c>
      <c r="L79" s="1">
        <v>3</v>
      </c>
      <c r="M79" t="str">
        <f t="shared" si="1"/>
        <v>TRUE</v>
      </c>
      <c r="N79" t="s">
        <v>159</v>
      </c>
      <c r="O79">
        <v>293.17</v>
      </c>
      <c r="P79">
        <v>21.79</v>
      </c>
      <c r="Q79">
        <v>67.16</v>
      </c>
      <c r="R79">
        <v>475.69</v>
      </c>
      <c r="S79">
        <v>385.5</v>
      </c>
      <c r="T79">
        <v>42.77</v>
      </c>
      <c r="U79">
        <v>25.93</v>
      </c>
    </row>
    <row r="80" spans="1:21">
      <c r="A80" s="1" t="s">
        <v>580</v>
      </c>
      <c r="B80" s="1" t="s">
        <v>161</v>
      </c>
      <c r="C80" s="1" t="s">
        <v>490</v>
      </c>
      <c r="D80" s="1" t="s">
        <v>498</v>
      </c>
      <c r="E80" s="1" t="s">
        <v>492</v>
      </c>
      <c r="F80" s="2">
        <v>29943</v>
      </c>
      <c r="G80" s="2">
        <v>43733</v>
      </c>
      <c r="H80" s="1">
        <v>37</v>
      </c>
      <c r="I80" s="1">
        <v>3</v>
      </c>
      <c r="J80" s="1" t="s">
        <v>488</v>
      </c>
      <c r="K80" s="1">
        <v>11409</v>
      </c>
      <c r="L80" s="1">
        <v>10</v>
      </c>
      <c r="M80" t="str">
        <f t="shared" si="1"/>
        <v>TRUE</v>
      </c>
      <c r="N80" t="s">
        <v>161</v>
      </c>
      <c r="O80">
        <v>214.3</v>
      </c>
      <c r="P80">
        <v>28.99</v>
      </c>
      <c r="Q80">
        <v>51.67</v>
      </c>
      <c r="R80">
        <v>128.13</v>
      </c>
      <c r="S80">
        <v>51.05</v>
      </c>
      <c r="T80">
        <v>28.3</v>
      </c>
      <c r="U80">
        <v>48.18</v>
      </c>
    </row>
    <row r="81" spans="1:21">
      <c r="A81" s="1" t="s">
        <v>581</v>
      </c>
      <c r="B81" s="1" t="s">
        <v>163</v>
      </c>
      <c r="C81" s="1" t="s">
        <v>501</v>
      </c>
      <c r="D81" s="1" t="s">
        <v>582</v>
      </c>
      <c r="E81" s="1" t="s">
        <v>492</v>
      </c>
      <c r="F81" s="2">
        <v>21300</v>
      </c>
      <c r="G81" s="2">
        <v>43741</v>
      </c>
      <c r="H81" s="1">
        <v>61</v>
      </c>
      <c r="I81" s="1">
        <v>1</v>
      </c>
      <c r="J81" s="1" t="s">
        <v>493</v>
      </c>
      <c r="K81" s="1">
        <v>1217</v>
      </c>
      <c r="L81" s="1">
        <v>8</v>
      </c>
      <c r="M81" t="str">
        <f t="shared" si="1"/>
        <v>TRUE</v>
      </c>
      <c r="N81" t="s">
        <v>163</v>
      </c>
      <c r="O81">
        <v>1000.000011</v>
      </c>
      <c r="P81">
        <v>8.7200000000000006</v>
      </c>
      <c r="Q81">
        <v>65.84</v>
      </c>
      <c r="R81">
        <v>293.35000000000002</v>
      </c>
      <c r="S81">
        <v>93.95</v>
      </c>
      <c r="T81">
        <v>152.97</v>
      </c>
      <c r="U81">
        <v>2.4900000000000002</v>
      </c>
    </row>
    <row r="82" spans="1:21">
      <c r="A82" s="1" t="s">
        <v>583</v>
      </c>
      <c r="B82" s="1" t="s">
        <v>165</v>
      </c>
      <c r="C82" s="1" t="s">
        <v>501</v>
      </c>
      <c r="D82" s="1" t="s">
        <v>571</v>
      </c>
      <c r="E82" s="1" t="s">
        <v>492</v>
      </c>
      <c r="F82" s="2">
        <v>31009</v>
      </c>
      <c r="G82" s="2">
        <v>43812</v>
      </c>
      <c r="H82" s="1">
        <v>35</v>
      </c>
      <c r="I82" s="1">
        <v>4</v>
      </c>
      <c r="J82" s="1" t="s">
        <v>488</v>
      </c>
      <c r="K82" s="1">
        <v>545</v>
      </c>
      <c r="L82" s="1">
        <v>4</v>
      </c>
      <c r="M82" t="str">
        <f t="shared" si="1"/>
        <v>TRUE</v>
      </c>
      <c r="N82" t="s">
        <v>165</v>
      </c>
      <c r="O82">
        <v>75.540000000000006</v>
      </c>
      <c r="P82">
        <v>151.47</v>
      </c>
      <c r="Q82">
        <v>64.8</v>
      </c>
      <c r="R82">
        <v>463.28</v>
      </c>
      <c r="S82">
        <v>339.97</v>
      </c>
      <c r="T82">
        <v>111.37</v>
      </c>
      <c r="U82">
        <v>77.05</v>
      </c>
    </row>
    <row r="83" spans="1:21">
      <c r="A83" s="1" t="s">
        <v>584</v>
      </c>
      <c r="B83" s="1" t="s">
        <v>167</v>
      </c>
      <c r="C83" s="1" t="s">
        <v>501</v>
      </c>
      <c r="D83" s="1" t="s">
        <v>571</v>
      </c>
      <c r="E83" s="1" t="s">
        <v>499</v>
      </c>
      <c r="F83" s="2">
        <v>29371</v>
      </c>
      <c r="G83" s="2">
        <v>43812</v>
      </c>
      <c r="H83" s="1">
        <v>39</v>
      </c>
      <c r="I83" s="1">
        <v>2</v>
      </c>
      <c r="J83" s="1" t="s">
        <v>493</v>
      </c>
      <c r="K83" s="1">
        <v>45</v>
      </c>
      <c r="L83" s="1">
        <v>2</v>
      </c>
      <c r="M83" t="str">
        <f t="shared" si="1"/>
        <v>TRUE</v>
      </c>
      <c r="N83" t="s">
        <v>167</v>
      </c>
      <c r="O83">
        <v>58.61</v>
      </c>
      <c r="P83">
        <v>14.96</v>
      </c>
      <c r="Q83">
        <v>82.78</v>
      </c>
      <c r="R83">
        <v>330.22</v>
      </c>
      <c r="S83">
        <v>229.44</v>
      </c>
      <c r="T83">
        <v>38.47</v>
      </c>
      <c r="U83">
        <v>2.4900000000000002</v>
      </c>
    </row>
    <row r="84" spans="1:21">
      <c r="A84" s="1" t="s">
        <v>585</v>
      </c>
      <c r="B84" s="1" t="s">
        <v>169</v>
      </c>
      <c r="C84" s="1" t="s">
        <v>485</v>
      </c>
      <c r="D84" s="1" t="s">
        <v>496</v>
      </c>
      <c r="E84" s="1" t="s">
        <v>487</v>
      </c>
      <c r="F84" s="2">
        <v>34502</v>
      </c>
      <c r="G84" s="2">
        <v>43763</v>
      </c>
      <c r="H84" s="1">
        <v>25</v>
      </c>
      <c r="I84" s="1">
        <v>2</v>
      </c>
      <c r="J84" s="1" t="s">
        <v>493</v>
      </c>
      <c r="K84" s="1">
        <v>106</v>
      </c>
      <c r="L84" s="1" t="s">
        <v>487</v>
      </c>
      <c r="M84" t="str">
        <f t="shared" si="1"/>
        <v>TRUE</v>
      </c>
      <c r="N84" t="s">
        <v>169</v>
      </c>
      <c r="O84">
        <v>83.41</v>
      </c>
      <c r="P84">
        <v>93.55</v>
      </c>
      <c r="Q84">
        <v>248.35</v>
      </c>
      <c r="R84">
        <v>121.56</v>
      </c>
      <c r="S84">
        <v>152.52000000000001</v>
      </c>
      <c r="T84">
        <v>31.21</v>
      </c>
      <c r="U84">
        <v>14.49</v>
      </c>
    </row>
    <row r="85" spans="1:21">
      <c r="A85" s="1" t="s">
        <v>586</v>
      </c>
      <c r="B85" s="1" t="s">
        <v>171</v>
      </c>
      <c r="C85" s="1" t="s">
        <v>490</v>
      </c>
      <c r="D85" s="1" t="s">
        <v>498</v>
      </c>
      <c r="E85" s="1" t="s">
        <v>499</v>
      </c>
      <c r="F85" s="2">
        <v>29437</v>
      </c>
      <c r="G85" s="2">
        <v>43796</v>
      </c>
      <c r="H85" s="1">
        <v>39</v>
      </c>
      <c r="I85" s="1">
        <v>4</v>
      </c>
      <c r="J85" s="1" t="s">
        <v>488</v>
      </c>
      <c r="K85" s="1">
        <v>98</v>
      </c>
      <c r="L85" s="1">
        <v>0</v>
      </c>
      <c r="M85" t="str">
        <f t="shared" si="1"/>
        <v>TRUE</v>
      </c>
      <c r="N85" t="s">
        <v>171</v>
      </c>
      <c r="O85">
        <v>15.54</v>
      </c>
      <c r="P85">
        <v>45.09</v>
      </c>
      <c r="Q85">
        <v>19.73</v>
      </c>
      <c r="R85">
        <v>70.48</v>
      </c>
      <c r="S85">
        <v>63.46</v>
      </c>
      <c r="T85">
        <v>8.49</v>
      </c>
      <c r="U85">
        <v>20.43</v>
      </c>
    </row>
    <row r="86" spans="1:21">
      <c r="A86" s="1" t="s">
        <v>587</v>
      </c>
      <c r="B86" s="1" t="s">
        <v>173</v>
      </c>
      <c r="C86" s="1" t="s">
        <v>490</v>
      </c>
      <c r="D86" s="1" t="s">
        <v>512</v>
      </c>
      <c r="E86" s="1" t="s">
        <v>499</v>
      </c>
      <c r="F86" s="2">
        <v>34720</v>
      </c>
      <c r="G86" s="2">
        <v>43812</v>
      </c>
      <c r="H86" s="1">
        <v>24</v>
      </c>
      <c r="I86" s="1">
        <v>1</v>
      </c>
      <c r="J86" s="1" t="s">
        <v>488</v>
      </c>
      <c r="K86" s="1">
        <v>375</v>
      </c>
      <c r="L86" s="1">
        <v>9</v>
      </c>
      <c r="M86" t="str">
        <f t="shared" si="1"/>
        <v>TRUE</v>
      </c>
      <c r="N86" t="s">
        <v>173</v>
      </c>
      <c r="O86">
        <v>59.92</v>
      </c>
      <c r="P86">
        <v>13.09</v>
      </c>
      <c r="Q86">
        <v>10.48</v>
      </c>
      <c r="R86">
        <v>28.43</v>
      </c>
      <c r="S86">
        <v>67.12</v>
      </c>
      <c r="T86">
        <v>15.14</v>
      </c>
      <c r="U86">
        <v>54.26</v>
      </c>
    </row>
    <row r="87" spans="1:21">
      <c r="A87" s="1" t="s">
        <v>588</v>
      </c>
      <c r="B87" s="1" t="s">
        <v>175</v>
      </c>
      <c r="C87" s="1" t="s">
        <v>490</v>
      </c>
      <c r="D87" s="1" t="s">
        <v>498</v>
      </c>
      <c r="E87" s="1" t="s">
        <v>499</v>
      </c>
      <c r="F87" s="2">
        <v>33760</v>
      </c>
      <c r="G87" s="2">
        <v>43815</v>
      </c>
      <c r="H87" s="1">
        <v>27</v>
      </c>
      <c r="I87" s="1">
        <v>1</v>
      </c>
      <c r="J87" s="1" t="s">
        <v>488</v>
      </c>
      <c r="K87" s="1">
        <v>704</v>
      </c>
      <c r="L87" s="1">
        <v>10</v>
      </c>
      <c r="M87" t="str">
        <f t="shared" si="1"/>
        <v>TRUE</v>
      </c>
      <c r="N87" t="s">
        <v>175</v>
      </c>
      <c r="O87">
        <v>41.01</v>
      </c>
      <c r="P87">
        <v>40.79</v>
      </c>
      <c r="Q87">
        <v>11.02</v>
      </c>
      <c r="R87">
        <v>71.599999999999994</v>
      </c>
      <c r="S87">
        <v>97.95</v>
      </c>
      <c r="T87">
        <v>15.17</v>
      </c>
      <c r="U87">
        <v>11.85</v>
      </c>
    </row>
    <row r="88" spans="1:21">
      <c r="A88" s="1" t="s">
        <v>589</v>
      </c>
      <c r="B88" s="1" t="s">
        <v>177</v>
      </c>
      <c r="C88" s="1" t="s">
        <v>485</v>
      </c>
      <c r="D88" s="1" t="s">
        <v>496</v>
      </c>
      <c r="E88" s="1" t="s">
        <v>487</v>
      </c>
      <c r="F88" s="2">
        <v>29236</v>
      </c>
      <c r="G88" s="2">
        <v>43763</v>
      </c>
      <c r="H88" s="1">
        <v>39</v>
      </c>
      <c r="I88" s="1">
        <v>1</v>
      </c>
      <c r="J88" s="1" t="s">
        <v>488</v>
      </c>
      <c r="K88" s="1">
        <v>2317</v>
      </c>
      <c r="L88" s="1" t="s">
        <v>487</v>
      </c>
      <c r="M88" t="str">
        <f t="shared" si="1"/>
        <v>TRUE</v>
      </c>
      <c r="N88" t="s">
        <v>177</v>
      </c>
      <c r="O88">
        <v>612.82000000000005</v>
      </c>
      <c r="P88">
        <v>36.15</v>
      </c>
      <c r="Q88">
        <v>50.25</v>
      </c>
      <c r="R88">
        <v>132.72</v>
      </c>
      <c r="S88">
        <v>138.85</v>
      </c>
      <c r="T88">
        <v>21.98</v>
      </c>
      <c r="U88">
        <v>14.87</v>
      </c>
    </row>
    <row r="89" spans="1:21">
      <c r="A89" s="1" t="s">
        <v>590</v>
      </c>
      <c r="B89" s="1" t="s">
        <v>179</v>
      </c>
      <c r="C89" s="1" t="s">
        <v>485</v>
      </c>
      <c r="D89" s="1" t="s">
        <v>496</v>
      </c>
      <c r="E89" s="1" t="s">
        <v>487</v>
      </c>
      <c r="F89" s="2">
        <v>33514</v>
      </c>
      <c r="G89" s="2">
        <v>43805</v>
      </c>
      <c r="H89" s="1">
        <v>28</v>
      </c>
      <c r="I89" s="1">
        <v>1</v>
      </c>
      <c r="J89" s="1" t="s">
        <v>488</v>
      </c>
      <c r="K89" s="1">
        <v>874</v>
      </c>
      <c r="L89" s="1" t="s">
        <v>487</v>
      </c>
      <c r="M89" t="str">
        <f t="shared" si="1"/>
        <v>TRUE</v>
      </c>
      <c r="N89" t="s">
        <v>179</v>
      </c>
      <c r="O89">
        <v>517.59</v>
      </c>
      <c r="P89">
        <v>105.87</v>
      </c>
      <c r="Q89">
        <v>325.63</v>
      </c>
      <c r="R89">
        <v>336.38</v>
      </c>
      <c r="S89">
        <v>155.9</v>
      </c>
      <c r="T89">
        <v>17.13</v>
      </c>
      <c r="U89">
        <v>56.38</v>
      </c>
    </row>
    <row r="90" spans="1:21">
      <c r="A90" s="1" t="s">
        <v>591</v>
      </c>
      <c r="B90" s="1" t="s">
        <v>181</v>
      </c>
      <c r="C90" s="2" t="s">
        <v>485</v>
      </c>
      <c r="D90" s="2" t="s">
        <v>592</v>
      </c>
      <c r="E90" s="2" t="s">
        <v>487</v>
      </c>
      <c r="F90" s="2">
        <v>34656</v>
      </c>
      <c r="G90" s="2">
        <v>43756</v>
      </c>
      <c r="H90" s="1">
        <v>24</v>
      </c>
      <c r="I90" s="1">
        <v>1</v>
      </c>
      <c r="J90" s="1" t="s">
        <v>488</v>
      </c>
      <c r="K90" s="1">
        <v>2189</v>
      </c>
      <c r="L90" s="1" t="s">
        <v>487</v>
      </c>
      <c r="M90" t="str">
        <f t="shared" si="1"/>
        <v>TRUE</v>
      </c>
      <c r="N90" t="s">
        <v>181</v>
      </c>
      <c r="O90">
        <v>73.88</v>
      </c>
      <c r="P90">
        <v>40.18</v>
      </c>
      <c r="Q90">
        <v>6.67</v>
      </c>
      <c r="R90">
        <v>561.41999999999996</v>
      </c>
      <c r="S90">
        <v>700.46</v>
      </c>
      <c r="T90">
        <v>103.09</v>
      </c>
      <c r="U90">
        <v>42.42</v>
      </c>
    </row>
    <row r="91" spans="1:21">
      <c r="A91" s="1" t="s">
        <v>593</v>
      </c>
      <c r="B91" s="1" t="s">
        <v>183</v>
      </c>
      <c r="C91" s="1" t="s">
        <v>490</v>
      </c>
      <c r="D91" s="1" t="s">
        <v>498</v>
      </c>
      <c r="E91" s="1" t="s">
        <v>499</v>
      </c>
      <c r="F91" s="2">
        <v>33760</v>
      </c>
      <c r="G91" s="2">
        <v>43830</v>
      </c>
      <c r="H91" s="1">
        <v>27</v>
      </c>
      <c r="I91" s="1">
        <v>2</v>
      </c>
      <c r="J91" s="1" t="s">
        <v>488</v>
      </c>
      <c r="K91" s="1">
        <v>129</v>
      </c>
      <c r="L91" s="1">
        <v>0</v>
      </c>
      <c r="M91" t="str">
        <f t="shared" si="1"/>
        <v>TRUE</v>
      </c>
      <c r="N91" t="s">
        <v>183</v>
      </c>
      <c r="O91">
        <v>71.650000000000006</v>
      </c>
      <c r="P91">
        <v>13.32</v>
      </c>
      <c r="Q91">
        <v>13.51</v>
      </c>
      <c r="R91">
        <v>507.38</v>
      </c>
      <c r="S91">
        <v>1060.05</v>
      </c>
      <c r="T91">
        <v>182.85</v>
      </c>
      <c r="U91">
        <v>36.159999999999997</v>
      </c>
    </row>
    <row r="92" spans="1:21">
      <c r="A92" s="1" t="s">
        <v>594</v>
      </c>
      <c r="B92" s="1" t="s">
        <v>185</v>
      </c>
      <c r="C92" s="1" t="s">
        <v>490</v>
      </c>
      <c r="D92" s="1" t="s">
        <v>491</v>
      </c>
      <c r="E92" s="1" t="s">
        <v>492</v>
      </c>
      <c r="F92" s="2">
        <v>23236</v>
      </c>
      <c r="G92" s="2">
        <v>43866</v>
      </c>
      <c r="H92" s="1">
        <v>56</v>
      </c>
      <c r="I92" s="1">
        <v>1</v>
      </c>
      <c r="J92" s="1" t="s">
        <v>488</v>
      </c>
      <c r="K92" s="1">
        <v>1854</v>
      </c>
      <c r="L92" s="1">
        <v>14</v>
      </c>
      <c r="M92" t="str">
        <f t="shared" si="1"/>
        <v>TRUE</v>
      </c>
      <c r="N92" t="s">
        <v>185</v>
      </c>
      <c r="O92">
        <v>257.63</v>
      </c>
      <c r="P92">
        <v>23.44</v>
      </c>
      <c r="Q92">
        <v>29.2</v>
      </c>
      <c r="R92">
        <v>476.37</v>
      </c>
      <c r="S92">
        <v>1975.29</v>
      </c>
      <c r="T92">
        <v>115.82</v>
      </c>
      <c r="U92">
        <v>101.01</v>
      </c>
    </row>
    <row r="93" spans="1:21">
      <c r="A93" s="1" t="s">
        <v>595</v>
      </c>
      <c r="B93" s="1" t="s">
        <v>187</v>
      </c>
      <c r="C93" s="1" t="s">
        <v>501</v>
      </c>
      <c r="D93" s="1" t="s">
        <v>502</v>
      </c>
      <c r="E93" s="1" t="s">
        <v>499</v>
      </c>
      <c r="F93" s="2">
        <v>33242</v>
      </c>
      <c r="G93" s="2">
        <v>43878</v>
      </c>
      <c r="H93" s="1">
        <v>29</v>
      </c>
      <c r="I93" s="1">
        <v>1</v>
      </c>
      <c r="J93" s="1" t="s">
        <v>488</v>
      </c>
      <c r="K93" s="1">
        <v>148</v>
      </c>
      <c r="L93" s="1">
        <v>9</v>
      </c>
      <c r="M93" t="str">
        <f t="shared" si="1"/>
        <v>TRUE</v>
      </c>
      <c r="N93" t="s">
        <v>187</v>
      </c>
      <c r="O93">
        <v>361.28</v>
      </c>
      <c r="P93">
        <v>19.899999999999999</v>
      </c>
      <c r="Q93">
        <v>46.77</v>
      </c>
      <c r="R93">
        <v>753.63</v>
      </c>
      <c r="S93">
        <v>607.49</v>
      </c>
      <c r="T93">
        <v>27.61</v>
      </c>
      <c r="U93">
        <v>108.41</v>
      </c>
    </row>
    <row r="94" spans="1:21">
      <c r="A94" s="1" t="s">
        <v>596</v>
      </c>
      <c r="B94" s="1" t="s">
        <v>189</v>
      </c>
      <c r="C94" s="1" t="s">
        <v>490</v>
      </c>
      <c r="D94" s="1" t="s">
        <v>491</v>
      </c>
      <c r="E94" s="1" t="s">
        <v>492</v>
      </c>
      <c r="F94" s="2">
        <v>30355</v>
      </c>
      <c r="G94" s="2">
        <v>43854</v>
      </c>
      <c r="H94" s="1">
        <v>36</v>
      </c>
      <c r="I94" s="1">
        <v>1</v>
      </c>
      <c r="J94" s="1" t="s">
        <v>493</v>
      </c>
      <c r="K94" s="1">
        <v>2375</v>
      </c>
      <c r="L94" s="1">
        <v>14</v>
      </c>
      <c r="M94" t="str">
        <f t="shared" si="1"/>
        <v>TRUE</v>
      </c>
      <c r="N94" t="s">
        <v>189</v>
      </c>
      <c r="O94">
        <v>26.25</v>
      </c>
      <c r="P94">
        <v>61.86</v>
      </c>
      <c r="Q94">
        <v>4.28</v>
      </c>
      <c r="R94">
        <v>137.88999999999999</v>
      </c>
      <c r="S94">
        <v>406.69</v>
      </c>
      <c r="T94">
        <v>150.41</v>
      </c>
      <c r="U94">
        <v>28.82</v>
      </c>
    </row>
    <row r="95" spans="1:21">
      <c r="A95" s="1" t="s">
        <v>597</v>
      </c>
      <c r="B95" s="1" t="s">
        <v>191</v>
      </c>
      <c r="C95" s="1" t="s">
        <v>501</v>
      </c>
      <c r="D95" s="1" t="s">
        <v>538</v>
      </c>
      <c r="E95" s="1" t="s">
        <v>499</v>
      </c>
      <c r="F95" s="2">
        <v>34130</v>
      </c>
      <c r="G95" s="2">
        <v>43854</v>
      </c>
      <c r="H95" s="1">
        <v>26</v>
      </c>
      <c r="I95" s="1">
        <v>1</v>
      </c>
      <c r="J95" s="1" t="s">
        <v>493</v>
      </c>
      <c r="K95" s="1">
        <v>647</v>
      </c>
      <c r="L95" s="1">
        <v>4</v>
      </c>
      <c r="M95" t="str">
        <f t="shared" si="1"/>
        <v>TRUE</v>
      </c>
      <c r="N95" t="s">
        <v>191</v>
      </c>
      <c r="O95">
        <v>999.65</v>
      </c>
      <c r="P95">
        <v>43.31</v>
      </c>
      <c r="Q95">
        <v>141.22999999999999</v>
      </c>
      <c r="R95">
        <v>2500.0100000000002</v>
      </c>
      <c r="S95">
        <v>2500.0100000000002</v>
      </c>
      <c r="T95">
        <v>1433.58</v>
      </c>
      <c r="U95">
        <v>483.13</v>
      </c>
    </row>
    <row r="96" spans="1:21">
      <c r="A96" s="1" t="s">
        <v>598</v>
      </c>
      <c r="B96" s="1" t="s">
        <v>193</v>
      </c>
      <c r="C96" s="1" t="s">
        <v>490</v>
      </c>
      <c r="D96" s="1" t="s">
        <v>498</v>
      </c>
      <c r="E96" s="1" t="s">
        <v>499</v>
      </c>
      <c r="F96" s="2">
        <v>25518</v>
      </c>
      <c r="G96" s="2">
        <v>43864</v>
      </c>
      <c r="H96" s="1">
        <v>50</v>
      </c>
      <c r="I96" s="1">
        <v>1</v>
      </c>
      <c r="J96" s="1" t="s">
        <v>493</v>
      </c>
      <c r="K96" s="1">
        <v>1982</v>
      </c>
      <c r="L96" s="1">
        <v>10</v>
      </c>
      <c r="M96" t="str">
        <f t="shared" si="1"/>
        <v>TRUE</v>
      </c>
      <c r="N96" t="s">
        <v>193</v>
      </c>
      <c r="O96">
        <v>33.729999999999997</v>
      </c>
      <c r="P96">
        <v>30.45</v>
      </c>
      <c r="Q96">
        <v>6.86</v>
      </c>
      <c r="R96">
        <v>73.09</v>
      </c>
      <c r="S96">
        <v>78.36</v>
      </c>
      <c r="T96">
        <v>21.04</v>
      </c>
      <c r="U96">
        <v>4.9800000000000004</v>
      </c>
    </row>
    <row r="97" spans="1:21">
      <c r="A97" s="1" t="s">
        <v>599</v>
      </c>
      <c r="B97" s="1" t="s">
        <v>195</v>
      </c>
      <c r="C97" s="1" t="s">
        <v>490</v>
      </c>
      <c r="D97" s="1" t="s">
        <v>498</v>
      </c>
      <c r="E97" s="1" t="s">
        <v>499</v>
      </c>
      <c r="F97" s="2">
        <v>25518</v>
      </c>
      <c r="G97" s="2">
        <v>43916</v>
      </c>
      <c r="H97" s="1">
        <v>50</v>
      </c>
      <c r="I97" s="1">
        <v>2</v>
      </c>
      <c r="J97" s="1" t="s">
        <v>493</v>
      </c>
      <c r="K97" s="1">
        <v>178</v>
      </c>
      <c r="L97" s="1">
        <v>0</v>
      </c>
      <c r="M97" t="str">
        <f t="shared" si="1"/>
        <v>TRUE</v>
      </c>
      <c r="N97" t="s">
        <v>195</v>
      </c>
      <c r="O97">
        <v>133.94</v>
      </c>
      <c r="P97">
        <v>13.53</v>
      </c>
      <c r="Q97">
        <v>11.78</v>
      </c>
      <c r="R97">
        <v>146.5</v>
      </c>
      <c r="S97">
        <v>118.55</v>
      </c>
      <c r="T97">
        <v>101.83</v>
      </c>
      <c r="U97">
        <v>13.03</v>
      </c>
    </row>
    <row r="98" spans="1:21">
      <c r="A98" s="1" t="s">
        <v>600</v>
      </c>
      <c r="B98" s="1" t="s">
        <v>197</v>
      </c>
      <c r="C98" s="1" t="s">
        <v>485</v>
      </c>
      <c r="D98" s="1" t="s">
        <v>496</v>
      </c>
      <c r="E98" s="1" t="s">
        <v>487</v>
      </c>
      <c r="F98" s="2">
        <v>29236</v>
      </c>
      <c r="G98" s="2">
        <v>43868</v>
      </c>
      <c r="H98" s="1">
        <v>40</v>
      </c>
      <c r="I98" s="1">
        <v>2</v>
      </c>
      <c r="J98" s="1" t="s">
        <v>488</v>
      </c>
      <c r="K98" s="1">
        <v>37</v>
      </c>
      <c r="L98" s="1" t="s">
        <v>487</v>
      </c>
      <c r="M98" t="str">
        <f t="shared" si="1"/>
        <v>TRUE</v>
      </c>
      <c r="N98" t="s">
        <v>197</v>
      </c>
      <c r="O98">
        <v>253.17</v>
      </c>
      <c r="P98">
        <v>68.13</v>
      </c>
      <c r="Q98">
        <v>23.29</v>
      </c>
      <c r="R98">
        <v>150.19</v>
      </c>
      <c r="S98">
        <v>136.1</v>
      </c>
      <c r="T98">
        <v>129.38999999999999</v>
      </c>
      <c r="U98">
        <v>22.81</v>
      </c>
    </row>
    <row r="99" spans="1:21">
      <c r="A99" s="1" t="s">
        <v>601</v>
      </c>
      <c r="B99" s="1" t="s">
        <v>199</v>
      </c>
      <c r="C99" s="1" t="s">
        <v>490</v>
      </c>
      <c r="D99" s="1" t="s">
        <v>491</v>
      </c>
      <c r="E99" s="1" t="s">
        <v>492</v>
      </c>
      <c r="F99" s="2">
        <v>23236</v>
      </c>
      <c r="G99" s="2">
        <v>43905</v>
      </c>
      <c r="H99" s="1">
        <v>56</v>
      </c>
      <c r="I99" s="1">
        <v>2</v>
      </c>
      <c r="J99" s="1" t="s">
        <v>488</v>
      </c>
      <c r="K99" s="1">
        <v>373</v>
      </c>
      <c r="L99" s="1">
        <v>4</v>
      </c>
      <c r="M99" t="str">
        <f t="shared" si="1"/>
        <v>TRUE</v>
      </c>
      <c r="N99" t="s">
        <v>199</v>
      </c>
      <c r="O99">
        <v>43.27</v>
      </c>
      <c r="P99">
        <v>32.42</v>
      </c>
      <c r="Q99">
        <v>38.229999999999997</v>
      </c>
      <c r="R99">
        <v>106.95</v>
      </c>
      <c r="S99">
        <v>179.75</v>
      </c>
      <c r="T99">
        <v>8.0500000000000007</v>
      </c>
      <c r="U99">
        <v>36.28</v>
      </c>
    </row>
    <row r="100" spans="1:21">
      <c r="A100" s="1" t="s">
        <v>602</v>
      </c>
      <c r="B100" s="1" t="s">
        <v>201</v>
      </c>
      <c r="C100" s="1" t="s">
        <v>490</v>
      </c>
      <c r="D100" s="1" t="s">
        <v>512</v>
      </c>
      <c r="E100" s="1" t="s">
        <v>499</v>
      </c>
      <c r="F100" s="2">
        <v>34720</v>
      </c>
      <c r="G100" s="2">
        <v>43903</v>
      </c>
      <c r="H100" s="1">
        <v>25</v>
      </c>
      <c r="I100" s="1">
        <v>2</v>
      </c>
      <c r="J100" s="1" t="s">
        <v>488</v>
      </c>
      <c r="K100" s="1">
        <v>172</v>
      </c>
      <c r="L100" s="1">
        <v>0</v>
      </c>
      <c r="M100" t="str">
        <f t="shared" si="1"/>
        <v>TRUE</v>
      </c>
      <c r="N100" t="s">
        <v>201</v>
      </c>
      <c r="O100">
        <v>30.14</v>
      </c>
      <c r="P100">
        <v>21.56</v>
      </c>
      <c r="Q100">
        <v>13.11</v>
      </c>
      <c r="R100">
        <v>31.43</v>
      </c>
      <c r="S100">
        <v>71.400000000000006</v>
      </c>
      <c r="T100">
        <v>4.57</v>
      </c>
      <c r="U100">
        <v>36.909999999999997</v>
      </c>
    </row>
    <row r="101" spans="1:21">
      <c r="A101" s="1" t="s">
        <v>603</v>
      </c>
      <c r="B101" s="1" t="s">
        <v>203</v>
      </c>
      <c r="C101" s="1" t="s">
        <v>490</v>
      </c>
      <c r="D101" s="1" t="s">
        <v>512</v>
      </c>
      <c r="E101" s="1" t="s">
        <v>499</v>
      </c>
      <c r="F101" s="2">
        <v>21477</v>
      </c>
      <c r="G101" s="2">
        <v>44042</v>
      </c>
      <c r="H101" s="1">
        <v>61</v>
      </c>
      <c r="I101" s="1">
        <v>1</v>
      </c>
      <c r="J101" s="1" t="s">
        <v>488</v>
      </c>
      <c r="K101" s="1">
        <v>394</v>
      </c>
      <c r="L101" s="1">
        <v>6</v>
      </c>
      <c r="M101" t="str">
        <f t="shared" si="1"/>
        <v>TRUE</v>
      </c>
      <c r="N101" t="s">
        <v>203</v>
      </c>
      <c r="O101">
        <v>83.19</v>
      </c>
      <c r="P101">
        <v>76.319999999999993</v>
      </c>
      <c r="Q101">
        <v>5.23</v>
      </c>
      <c r="R101">
        <v>149.72999999999999</v>
      </c>
      <c r="S101">
        <v>112.24</v>
      </c>
      <c r="T101">
        <v>4.8099999999999996</v>
      </c>
      <c r="U101">
        <v>8.1199999999999992</v>
      </c>
    </row>
    <row r="102" spans="1:21">
      <c r="A102" s="1" t="s">
        <v>604</v>
      </c>
      <c r="B102" s="1" t="s">
        <v>205</v>
      </c>
      <c r="C102" s="1" t="s">
        <v>490</v>
      </c>
      <c r="D102" s="1" t="s">
        <v>498</v>
      </c>
      <c r="E102" s="1" t="s">
        <v>499</v>
      </c>
      <c r="F102" s="2">
        <v>36030</v>
      </c>
      <c r="G102" s="2">
        <v>44054</v>
      </c>
      <c r="H102" s="1">
        <v>21</v>
      </c>
      <c r="I102" s="1">
        <v>1</v>
      </c>
      <c r="J102" s="1" t="s">
        <v>488</v>
      </c>
      <c r="K102" s="1">
        <v>2208</v>
      </c>
      <c r="L102" s="1">
        <v>5</v>
      </c>
      <c r="M102" t="str">
        <f t="shared" si="1"/>
        <v>TRUE</v>
      </c>
      <c r="N102" t="s">
        <v>205</v>
      </c>
      <c r="O102">
        <v>27.29</v>
      </c>
      <c r="P102">
        <v>14.54</v>
      </c>
      <c r="Q102">
        <v>20.39</v>
      </c>
      <c r="R102">
        <v>13.71</v>
      </c>
      <c r="S102">
        <v>16.34</v>
      </c>
      <c r="T102" s="1">
        <v>2.4900000000000002</v>
      </c>
      <c r="U102">
        <v>2.4900000000000002</v>
      </c>
    </row>
    <row r="103" spans="1:21">
      <c r="A103" s="1" t="s">
        <v>605</v>
      </c>
      <c r="B103" s="1" t="s">
        <v>207</v>
      </c>
      <c r="C103" s="1" t="s">
        <v>490</v>
      </c>
      <c r="D103" s="1" t="s">
        <v>491</v>
      </c>
      <c r="E103" s="1" t="s">
        <v>492</v>
      </c>
      <c r="F103" s="2">
        <v>30355</v>
      </c>
      <c r="G103" s="2">
        <v>43978</v>
      </c>
      <c r="H103" s="1">
        <v>37</v>
      </c>
      <c r="I103" s="1">
        <v>2</v>
      </c>
      <c r="J103" s="1" t="s">
        <v>493</v>
      </c>
      <c r="K103" s="1">
        <v>3372</v>
      </c>
      <c r="L103" s="1">
        <v>13</v>
      </c>
      <c r="M103" t="str">
        <f t="shared" si="1"/>
        <v>TRUE</v>
      </c>
      <c r="N103" t="s">
        <v>207</v>
      </c>
      <c r="O103">
        <v>310.24</v>
      </c>
      <c r="P103">
        <v>56.87</v>
      </c>
      <c r="Q103">
        <v>75.040000000000006</v>
      </c>
      <c r="R103">
        <v>114.39</v>
      </c>
      <c r="S103">
        <v>65.739999999999995</v>
      </c>
      <c r="T103">
        <v>7.98</v>
      </c>
      <c r="U103">
        <v>21.63</v>
      </c>
    </row>
    <row r="104" spans="1:21">
      <c r="A104" s="1" t="s">
        <v>606</v>
      </c>
      <c r="B104" s="1" t="s">
        <v>209</v>
      </c>
      <c r="C104" s="1" t="s">
        <v>501</v>
      </c>
      <c r="D104" s="1" t="s">
        <v>571</v>
      </c>
      <c r="E104" s="1" t="s">
        <v>492</v>
      </c>
      <c r="F104" s="2">
        <v>32221</v>
      </c>
      <c r="G104" s="2">
        <v>44063</v>
      </c>
      <c r="H104" s="1">
        <v>32</v>
      </c>
      <c r="I104" s="1">
        <v>1</v>
      </c>
      <c r="J104" s="1" t="s">
        <v>488</v>
      </c>
      <c r="K104" s="1">
        <v>700</v>
      </c>
      <c r="L104" s="1">
        <v>4</v>
      </c>
      <c r="M104" t="str">
        <f t="shared" si="1"/>
        <v>TRUE</v>
      </c>
      <c r="N104" t="s">
        <v>209</v>
      </c>
      <c r="O104">
        <v>177.64</v>
      </c>
      <c r="P104">
        <v>31.74</v>
      </c>
      <c r="Q104">
        <v>34.14</v>
      </c>
      <c r="R104">
        <v>76.89</v>
      </c>
      <c r="S104">
        <v>88.22</v>
      </c>
      <c r="T104">
        <v>11.76</v>
      </c>
      <c r="U104">
        <v>4.3600000000000003</v>
      </c>
    </row>
    <row r="105" spans="1:21">
      <c r="A105" s="1" t="s">
        <v>607</v>
      </c>
      <c r="B105" s="1" t="s">
        <v>211</v>
      </c>
      <c r="C105" s="1" t="s">
        <v>485</v>
      </c>
      <c r="D105" s="1" t="s">
        <v>496</v>
      </c>
      <c r="E105" s="1" t="s">
        <v>487</v>
      </c>
      <c r="F105" s="2">
        <v>23988</v>
      </c>
      <c r="G105" s="2">
        <v>44084</v>
      </c>
      <c r="H105" s="1">
        <v>55</v>
      </c>
      <c r="I105" s="1">
        <v>1</v>
      </c>
      <c r="J105" s="1" t="s">
        <v>488</v>
      </c>
      <c r="K105" s="1">
        <v>264</v>
      </c>
      <c r="L105" s="1" t="s">
        <v>487</v>
      </c>
      <c r="M105" t="str">
        <f t="shared" si="1"/>
        <v>TRUE</v>
      </c>
      <c r="N105" t="s">
        <v>211</v>
      </c>
      <c r="O105">
        <v>38.65</v>
      </c>
      <c r="P105">
        <v>22.51</v>
      </c>
      <c r="Q105">
        <v>2.09</v>
      </c>
      <c r="R105">
        <v>110.16</v>
      </c>
      <c r="S105">
        <v>79.47</v>
      </c>
      <c r="T105">
        <v>13.56</v>
      </c>
      <c r="U105">
        <v>54.72</v>
      </c>
    </row>
    <row r="106" spans="1:21">
      <c r="A106" s="1" t="s">
        <v>608</v>
      </c>
      <c r="B106" s="1" t="s">
        <v>213</v>
      </c>
      <c r="C106" s="1" t="s">
        <v>485</v>
      </c>
      <c r="D106" s="1" t="s">
        <v>496</v>
      </c>
      <c r="E106" s="1" t="s">
        <v>487</v>
      </c>
      <c r="F106" s="2">
        <v>34492</v>
      </c>
      <c r="G106" s="2">
        <v>44084</v>
      </c>
      <c r="H106" s="1">
        <v>26</v>
      </c>
      <c r="I106" s="1">
        <v>1</v>
      </c>
      <c r="J106" s="1" t="s">
        <v>488</v>
      </c>
      <c r="K106" s="1">
        <v>1928</v>
      </c>
      <c r="L106" s="1" t="s">
        <v>487</v>
      </c>
      <c r="M106" t="str">
        <f t="shared" si="1"/>
        <v>TRUE</v>
      </c>
      <c r="N106" t="s">
        <v>213</v>
      </c>
      <c r="O106">
        <v>48.42</v>
      </c>
      <c r="P106">
        <v>43.78</v>
      </c>
      <c r="Q106">
        <v>16.600000000000001</v>
      </c>
      <c r="R106">
        <v>213.55</v>
      </c>
      <c r="S106">
        <v>212.28</v>
      </c>
      <c r="T106">
        <v>53.54</v>
      </c>
      <c r="U106">
        <v>10.48</v>
      </c>
    </row>
    <row r="107" spans="1:21">
      <c r="A107" s="1" t="s">
        <v>609</v>
      </c>
      <c r="B107" s="1" t="s">
        <v>215</v>
      </c>
      <c r="C107" s="1" t="s">
        <v>490</v>
      </c>
      <c r="D107" s="1" t="s">
        <v>512</v>
      </c>
      <c r="E107" s="1" t="s">
        <v>499</v>
      </c>
      <c r="F107" s="2">
        <v>33194</v>
      </c>
      <c r="G107" s="2">
        <v>44084</v>
      </c>
      <c r="H107" s="1">
        <v>29</v>
      </c>
      <c r="I107" s="1">
        <v>1</v>
      </c>
      <c r="J107" s="1" t="s">
        <v>493</v>
      </c>
      <c r="K107" s="1">
        <v>6689</v>
      </c>
      <c r="L107" s="1">
        <v>4</v>
      </c>
      <c r="M107" t="str">
        <f t="shared" si="1"/>
        <v>TRUE</v>
      </c>
      <c r="N107" t="s">
        <v>215</v>
      </c>
      <c r="O107">
        <v>36.08</v>
      </c>
      <c r="P107">
        <v>14.44</v>
      </c>
      <c r="Q107">
        <v>7.81</v>
      </c>
      <c r="R107">
        <v>35.590000000000003</v>
      </c>
      <c r="S107">
        <v>54.24</v>
      </c>
      <c r="T107">
        <v>22.08</v>
      </c>
      <c r="U107">
        <v>3.84</v>
      </c>
    </row>
    <row r="108" spans="1:21">
      <c r="A108" s="1" t="s">
        <v>610</v>
      </c>
      <c r="B108" s="1" t="s">
        <v>217</v>
      </c>
      <c r="C108" s="1" t="s">
        <v>501</v>
      </c>
      <c r="D108" s="1" t="s">
        <v>532</v>
      </c>
      <c r="E108" s="1" t="s">
        <v>492</v>
      </c>
      <c r="F108" s="2">
        <v>34219</v>
      </c>
      <c r="G108" s="2">
        <v>44092</v>
      </c>
      <c r="H108" s="1">
        <v>27</v>
      </c>
      <c r="I108" s="1">
        <v>1</v>
      </c>
      <c r="J108" s="1" t="s">
        <v>493</v>
      </c>
      <c r="K108" s="1">
        <v>2255</v>
      </c>
      <c r="L108" s="1">
        <v>11</v>
      </c>
      <c r="M108" t="str">
        <f t="shared" si="1"/>
        <v>TRUE</v>
      </c>
      <c r="N108" t="s">
        <v>217</v>
      </c>
      <c r="O108">
        <v>1000.000011</v>
      </c>
      <c r="P108">
        <v>39.630000000000003</v>
      </c>
      <c r="Q108">
        <v>193.18</v>
      </c>
      <c r="R108">
        <v>847.37</v>
      </c>
      <c r="S108">
        <v>2200.17</v>
      </c>
      <c r="T108">
        <v>1303.75</v>
      </c>
      <c r="U108">
        <v>2.4900000000000002</v>
      </c>
    </row>
    <row r="109" spans="1:21">
      <c r="A109" s="1" t="s">
        <v>611</v>
      </c>
      <c r="B109" s="1" t="s">
        <v>219</v>
      </c>
      <c r="C109" s="1" t="s">
        <v>485</v>
      </c>
      <c r="D109" s="1" t="s">
        <v>486</v>
      </c>
      <c r="E109" s="1" t="s">
        <v>487</v>
      </c>
      <c r="F109" s="2">
        <v>30903</v>
      </c>
      <c r="G109" s="2">
        <v>44095</v>
      </c>
      <c r="H109" s="1">
        <v>36</v>
      </c>
      <c r="I109" s="1">
        <v>1</v>
      </c>
      <c r="J109" s="1" t="s">
        <v>488</v>
      </c>
      <c r="K109" s="1">
        <v>1036</v>
      </c>
      <c r="L109" s="1" t="s">
        <v>487</v>
      </c>
      <c r="M109" t="str">
        <f t="shared" si="1"/>
        <v>TRUE</v>
      </c>
      <c r="N109" t="s">
        <v>219</v>
      </c>
      <c r="O109">
        <v>41.08</v>
      </c>
      <c r="P109">
        <v>26.23</v>
      </c>
      <c r="Q109">
        <v>8.85</v>
      </c>
      <c r="R109">
        <v>101.12</v>
      </c>
      <c r="S109">
        <v>113.08</v>
      </c>
      <c r="T109">
        <v>8.4700000000000006</v>
      </c>
      <c r="U109">
        <v>22.33</v>
      </c>
    </row>
    <row r="110" spans="1:21">
      <c r="A110" s="1" t="s">
        <v>612</v>
      </c>
      <c r="B110" s="1" t="s">
        <v>221</v>
      </c>
      <c r="C110" s="1" t="s">
        <v>490</v>
      </c>
      <c r="D110" s="1" t="s">
        <v>512</v>
      </c>
      <c r="E110" s="1" t="s">
        <v>499</v>
      </c>
      <c r="F110" s="2">
        <v>21477</v>
      </c>
      <c r="G110" s="2">
        <v>44098</v>
      </c>
      <c r="H110" s="1">
        <v>61</v>
      </c>
      <c r="I110" s="1">
        <v>2</v>
      </c>
      <c r="J110" s="1" t="s">
        <v>488</v>
      </c>
      <c r="K110" s="1">
        <v>66</v>
      </c>
      <c r="L110" s="1">
        <v>1</v>
      </c>
      <c r="M110" t="str">
        <f t="shared" si="1"/>
        <v>TRUE</v>
      </c>
      <c r="N110" t="s">
        <v>221</v>
      </c>
      <c r="O110">
        <v>72.180000000000007</v>
      </c>
      <c r="P110">
        <v>19.75</v>
      </c>
      <c r="Q110">
        <v>17.09</v>
      </c>
      <c r="R110">
        <v>111.14</v>
      </c>
      <c r="S110">
        <v>60</v>
      </c>
      <c r="T110">
        <v>2.54</v>
      </c>
      <c r="U110">
        <v>22.88</v>
      </c>
    </row>
    <row r="111" spans="1:21">
      <c r="A111" s="1" t="s">
        <v>613</v>
      </c>
      <c r="B111" s="1" t="s">
        <v>223</v>
      </c>
      <c r="C111" s="1" t="s">
        <v>490</v>
      </c>
      <c r="D111" s="1" t="s">
        <v>512</v>
      </c>
      <c r="E111" s="1" t="s">
        <v>499</v>
      </c>
      <c r="F111" s="2">
        <v>29096</v>
      </c>
      <c r="G111" s="2">
        <v>44099</v>
      </c>
      <c r="H111" s="1">
        <v>41</v>
      </c>
      <c r="I111" s="1">
        <v>1</v>
      </c>
      <c r="J111" s="1" t="s">
        <v>488</v>
      </c>
      <c r="K111" s="1">
        <v>1897</v>
      </c>
      <c r="L111" s="1">
        <v>13</v>
      </c>
      <c r="M111" t="str">
        <f t="shared" si="1"/>
        <v>TRUE</v>
      </c>
      <c r="N111" t="s">
        <v>223</v>
      </c>
      <c r="O111">
        <v>24.03</v>
      </c>
      <c r="P111">
        <v>29.06</v>
      </c>
      <c r="Q111">
        <v>28.2</v>
      </c>
      <c r="R111">
        <v>99.87</v>
      </c>
      <c r="S111">
        <v>63.91</v>
      </c>
      <c r="T111">
        <v>5.66</v>
      </c>
      <c r="U111">
        <v>13.87</v>
      </c>
    </row>
    <row r="112" spans="1:21">
      <c r="A112" s="1" t="s">
        <v>614</v>
      </c>
      <c r="B112" s="1" t="s">
        <v>225</v>
      </c>
      <c r="C112" s="1" t="s">
        <v>490</v>
      </c>
      <c r="D112" s="1" t="s">
        <v>498</v>
      </c>
      <c r="E112" s="1" t="s">
        <v>492</v>
      </c>
      <c r="F112" s="2">
        <v>24431</v>
      </c>
      <c r="G112" s="2">
        <v>44099</v>
      </c>
      <c r="H112" s="1">
        <v>53</v>
      </c>
      <c r="I112" s="1">
        <v>1</v>
      </c>
      <c r="J112" s="1" t="s">
        <v>493</v>
      </c>
      <c r="K112" s="1">
        <v>1126</v>
      </c>
      <c r="L112" s="1">
        <v>15</v>
      </c>
      <c r="M112" t="str">
        <f t="shared" si="1"/>
        <v>TRUE</v>
      </c>
      <c r="N112" t="s">
        <v>225</v>
      </c>
      <c r="O112">
        <v>50.38</v>
      </c>
      <c r="P112">
        <v>82.9</v>
      </c>
      <c r="Q112">
        <v>22.31</v>
      </c>
      <c r="R112">
        <v>119.35</v>
      </c>
      <c r="S112">
        <v>91.25</v>
      </c>
      <c r="T112">
        <v>7.5</v>
      </c>
      <c r="U112">
        <v>76.17</v>
      </c>
    </row>
    <row r="113" spans="1:21">
      <c r="A113" s="1" t="s">
        <v>615</v>
      </c>
      <c r="B113" s="1" t="s">
        <v>227</v>
      </c>
      <c r="C113" s="1" t="s">
        <v>501</v>
      </c>
      <c r="D113" s="1" t="s">
        <v>532</v>
      </c>
      <c r="E113" s="1" t="s">
        <v>499</v>
      </c>
      <c r="F113" s="2">
        <v>35213</v>
      </c>
      <c r="G113" s="2">
        <v>44104</v>
      </c>
      <c r="H113" s="1">
        <v>24</v>
      </c>
      <c r="I113" s="1">
        <v>1</v>
      </c>
      <c r="J113" s="1" t="s">
        <v>488</v>
      </c>
      <c r="K113" s="1">
        <v>1123</v>
      </c>
      <c r="L113" s="1">
        <v>6</v>
      </c>
      <c r="M113" t="str">
        <f t="shared" si="1"/>
        <v>TRUE</v>
      </c>
      <c r="N113" t="s">
        <v>227</v>
      </c>
      <c r="O113">
        <v>54.54</v>
      </c>
      <c r="P113">
        <v>47.35</v>
      </c>
      <c r="Q113">
        <v>17.55</v>
      </c>
      <c r="R113">
        <v>258.93</v>
      </c>
      <c r="S113">
        <v>117.46</v>
      </c>
      <c r="T113">
        <v>11.74</v>
      </c>
      <c r="U113">
        <v>32.6</v>
      </c>
    </row>
    <row r="114" spans="1:21">
      <c r="A114" s="1" t="s">
        <v>616</v>
      </c>
      <c r="B114" s="1" t="s">
        <v>229</v>
      </c>
      <c r="C114" s="1" t="s">
        <v>490</v>
      </c>
      <c r="D114" s="1" t="s">
        <v>498</v>
      </c>
      <c r="E114" s="1" t="s">
        <v>499</v>
      </c>
      <c r="F114" s="2">
        <v>23988</v>
      </c>
      <c r="G114" s="2">
        <v>44104</v>
      </c>
      <c r="H114" s="1">
        <v>55</v>
      </c>
      <c r="I114" s="1">
        <v>1</v>
      </c>
      <c r="J114" s="1" t="s">
        <v>493</v>
      </c>
      <c r="K114" s="1">
        <v>4713</v>
      </c>
      <c r="L114" s="1">
        <v>6</v>
      </c>
      <c r="M114" t="str">
        <f t="shared" si="1"/>
        <v>TRUE</v>
      </c>
      <c r="N114" t="s">
        <v>229</v>
      </c>
      <c r="O114">
        <v>30.61</v>
      </c>
      <c r="P114">
        <v>5.51</v>
      </c>
      <c r="Q114">
        <v>3.29</v>
      </c>
      <c r="R114">
        <v>30.09</v>
      </c>
      <c r="S114">
        <v>54.85</v>
      </c>
      <c r="T114">
        <v>9.5299999999999994</v>
      </c>
      <c r="U114">
        <v>2.7</v>
      </c>
    </row>
    <row r="115" spans="1:21">
      <c r="A115" s="1" t="s">
        <v>617</v>
      </c>
      <c r="B115" s="1" t="s">
        <v>231</v>
      </c>
      <c r="C115" s="1" t="s">
        <v>490</v>
      </c>
      <c r="D115" s="1" t="s">
        <v>491</v>
      </c>
      <c r="E115" s="1" t="s">
        <v>499</v>
      </c>
      <c r="F115" s="2">
        <v>16624</v>
      </c>
      <c r="G115" s="2">
        <v>44106</v>
      </c>
      <c r="H115" s="1">
        <v>75</v>
      </c>
      <c r="I115" s="1">
        <v>1</v>
      </c>
      <c r="J115" s="1" t="s">
        <v>493</v>
      </c>
      <c r="K115" s="1">
        <v>4146</v>
      </c>
      <c r="L115" s="1">
        <v>6</v>
      </c>
      <c r="M115" t="str">
        <f t="shared" si="1"/>
        <v>TRUE</v>
      </c>
      <c r="N115" t="s">
        <v>231</v>
      </c>
      <c r="O115">
        <v>30.88</v>
      </c>
      <c r="P115">
        <v>50.13</v>
      </c>
      <c r="Q115">
        <v>2.9</v>
      </c>
      <c r="R115">
        <v>874.51</v>
      </c>
      <c r="S115">
        <v>555.59</v>
      </c>
      <c r="T115">
        <v>10.43</v>
      </c>
      <c r="U115">
        <v>11.01</v>
      </c>
    </row>
    <row r="116" spans="1:21">
      <c r="A116" s="1" t="s">
        <v>618</v>
      </c>
      <c r="B116" s="1" t="s">
        <v>233</v>
      </c>
      <c r="C116" s="1" t="s">
        <v>490</v>
      </c>
      <c r="D116" s="1" t="s">
        <v>491</v>
      </c>
      <c r="E116" s="1" t="s">
        <v>492</v>
      </c>
      <c r="F116" s="2">
        <v>33801</v>
      </c>
      <c r="G116" s="2">
        <v>44110</v>
      </c>
      <c r="H116" s="1">
        <v>28</v>
      </c>
      <c r="I116" s="1">
        <v>1</v>
      </c>
      <c r="J116" s="1" t="s">
        <v>488</v>
      </c>
      <c r="K116" s="1">
        <v>2363</v>
      </c>
      <c r="L116" s="1">
        <v>9</v>
      </c>
      <c r="M116" t="str">
        <f t="shared" si="1"/>
        <v>TRUE</v>
      </c>
      <c r="N116" t="s">
        <v>233</v>
      </c>
      <c r="O116">
        <v>112.06</v>
      </c>
      <c r="P116">
        <v>29.48</v>
      </c>
      <c r="Q116">
        <v>26.77</v>
      </c>
      <c r="R116">
        <v>324.39</v>
      </c>
      <c r="S116">
        <v>379.46</v>
      </c>
      <c r="T116">
        <v>25.49</v>
      </c>
      <c r="U116">
        <v>42.62</v>
      </c>
    </row>
    <row r="117" spans="1:21">
      <c r="A117" s="1" t="s">
        <v>619</v>
      </c>
      <c r="B117" s="1" t="s">
        <v>235</v>
      </c>
      <c r="C117" s="1" t="s">
        <v>501</v>
      </c>
      <c r="D117" s="1" t="s">
        <v>502</v>
      </c>
      <c r="E117" s="1" t="s">
        <v>499</v>
      </c>
      <c r="F117" s="2">
        <v>33242</v>
      </c>
      <c r="G117" s="2">
        <v>44113</v>
      </c>
      <c r="H117" s="1">
        <v>29</v>
      </c>
      <c r="I117" s="1">
        <v>1</v>
      </c>
      <c r="J117" s="1" t="s">
        <v>488</v>
      </c>
      <c r="K117" s="1">
        <v>38</v>
      </c>
      <c r="L117" s="1">
        <v>1</v>
      </c>
      <c r="M117" t="str">
        <f t="shared" si="1"/>
        <v>TRUE</v>
      </c>
      <c r="N117" t="s">
        <v>235</v>
      </c>
      <c r="O117">
        <v>462.24</v>
      </c>
      <c r="P117">
        <v>18.82</v>
      </c>
      <c r="Q117">
        <v>73.53</v>
      </c>
      <c r="R117">
        <v>265.89</v>
      </c>
      <c r="S117">
        <v>158.78</v>
      </c>
      <c r="T117">
        <v>9.7200000000000006</v>
      </c>
      <c r="U117">
        <v>7.59</v>
      </c>
    </row>
    <row r="118" spans="1:21">
      <c r="A118" s="1" t="s">
        <v>620</v>
      </c>
      <c r="B118" s="1" t="s">
        <v>237</v>
      </c>
      <c r="C118" s="1" t="s">
        <v>485</v>
      </c>
      <c r="D118" s="1" t="s">
        <v>486</v>
      </c>
      <c r="E118" s="1" t="s">
        <v>487</v>
      </c>
      <c r="F118" s="2">
        <v>24811</v>
      </c>
      <c r="G118" s="2">
        <v>44118</v>
      </c>
      <c r="H118" s="1">
        <v>52</v>
      </c>
      <c r="I118" s="1">
        <v>1</v>
      </c>
      <c r="J118" s="1" t="s">
        <v>493</v>
      </c>
      <c r="K118" s="1">
        <v>236</v>
      </c>
      <c r="L118" s="1" t="s">
        <v>487</v>
      </c>
      <c r="M118" t="str">
        <f t="shared" si="1"/>
        <v>TRUE</v>
      </c>
      <c r="N118" t="s">
        <v>237</v>
      </c>
      <c r="O118">
        <v>917.01</v>
      </c>
      <c r="P118">
        <v>32.71</v>
      </c>
      <c r="Q118">
        <v>100.25</v>
      </c>
      <c r="R118">
        <v>204.57</v>
      </c>
      <c r="S118">
        <v>226.16</v>
      </c>
      <c r="T118">
        <v>84.24</v>
      </c>
      <c r="U118">
        <v>50.21</v>
      </c>
    </row>
    <row r="119" spans="1:21">
      <c r="A119" s="1" t="s">
        <v>621</v>
      </c>
      <c r="B119" s="1" t="s">
        <v>239</v>
      </c>
      <c r="C119" s="1" t="s">
        <v>501</v>
      </c>
      <c r="D119" s="1" t="s">
        <v>532</v>
      </c>
      <c r="E119" s="1" t="s">
        <v>492</v>
      </c>
      <c r="F119" s="2">
        <v>19739</v>
      </c>
      <c r="G119" s="2">
        <v>44119</v>
      </c>
      <c r="H119" s="1">
        <v>66</v>
      </c>
      <c r="I119" s="1">
        <v>1</v>
      </c>
      <c r="J119" s="1" t="s">
        <v>488</v>
      </c>
      <c r="K119" s="1">
        <v>900</v>
      </c>
      <c r="L119" s="1">
        <v>10</v>
      </c>
      <c r="M119" t="str">
        <f t="shared" si="1"/>
        <v>TRUE</v>
      </c>
      <c r="N119" t="s">
        <v>239</v>
      </c>
      <c r="O119">
        <v>60.69</v>
      </c>
      <c r="P119">
        <v>39.04</v>
      </c>
      <c r="Q119">
        <v>9.73</v>
      </c>
      <c r="R119">
        <v>614.26</v>
      </c>
      <c r="S119">
        <v>1052.0899999999999</v>
      </c>
      <c r="T119">
        <v>112.35</v>
      </c>
      <c r="U119">
        <v>66.59</v>
      </c>
    </row>
    <row r="120" spans="1:21">
      <c r="A120" s="1" t="s">
        <v>622</v>
      </c>
      <c r="B120" s="1" t="s">
        <v>241</v>
      </c>
      <c r="C120" s="1" t="s">
        <v>501</v>
      </c>
      <c r="D120" s="1" t="s">
        <v>532</v>
      </c>
      <c r="E120" s="1" t="s">
        <v>499</v>
      </c>
      <c r="F120" s="2">
        <v>34804</v>
      </c>
      <c r="G120" s="2">
        <v>44127</v>
      </c>
      <c r="H120" s="1">
        <v>25</v>
      </c>
      <c r="I120" s="1">
        <v>1</v>
      </c>
      <c r="J120" s="1" t="s">
        <v>488</v>
      </c>
      <c r="K120" s="1">
        <v>904</v>
      </c>
      <c r="L120" s="1">
        <v>6</v>
      </c>
      <c r="M120" t="str">
        <f t="shared" si="1"/>
        <v>TRUE</v>
      </c>
      <c r="N120" t="s">
        <v>241</v>
      </c>
      <c r="O120">
        <v>86.53</v>
      </c>
      <c r="P120">
        <v>11.41</v>
      </c>
      <c r="Q120">
        <v>13.56</v>
      </c>
      <c r="R120">
        <v>145.13</v>
      </c>
      <c r="S120">
        <v>156.61000000000001</v>
      </c>
      <c r="T120">
        <v>14.44</v>
      </c>
      <c r="U120">
        <v>41.3</v>
      </c>
    </row>
    <row r="121" spans="1:21">
      <c r="A121" s="1" t="s">
        <v>623</v>
      </c>
      <c r="B121" s="1" t="s">
        <v>243</v>
      </c>
      <c r="C121" s="1" t="s">
        <v>501</v>
      </c>
      <c r="D121" s="1" t="s">
        <v>502</v>
      </c>
      <c r="E121" s="1" t="s">
        <v>499</v>
      </c>
      <c r="F121" s="2">
        <v>23778</v>
      </c>
      <c r="G121" s="2">
        <v>44130</v>
      </c>
      <c r="H121" s="1">
        <v>55</v>
      </c>
      <c r="I121" s="1">
        <v>1</v>
      </c>
      <c r="J121" s="1" t="s">
        <v>488</v>
      </c>
      <c r="K121" s="1">
        <v>319</v>
      </c>
      <c r="L121" s="1">
        <v>11</v>
      </c>
      <c r="M121" t="str">
        <f t="shared" si="1"/>
        <v>TRUE</v>
      </c>
      <c r="N121" t="s">
        <v>243</v>
      </c>
      <c r="O121">
        <v>164.6</v>
      </c>
      <c r="P121">
        <v>9.01</v>
      </c>
      <c r="Q121">
        <v>18.45</v>
      </c>
      <c r="R121">
        <v>59.26</v>
      </c>
      <c r="S121">
        <v>25.5</v>
      </c>
      <c r="T121">
        <v>4.74</v>
      </c>
      <c r="U121">
        <v>31.47</v>
      </c>
    </row>
    <row r="122" spans="1:21">
      <c r="A122" s="1" t="s">
        <v>624</v>
      </c>
      <c r="B122" s="1" t="s">
        <v>245</v>
      </c>
      <c r="C122" s="1" t="s">
        <v>490</v>
      </c>
      <c r="D122" s="1" t="s">
        <v>498</v>
      </c>
      <c r="E122" s="1" t="s">
        <v>499</v>
      </c>
      <c r="F122" s="2">
        <v>36030</v>
      </c>
      <c r="G122" s="2">
        <v>44134</v>
      </c>
      <c r="H122" s="1">
        <v>22</v>
      </c>
      <c r="I122" s="1">
        <v>2</v>
      </c>
      <c r="J122" s="1" t="s">
        <v>488</v>
      </c>
      <c r="K122" s="1">
        <v>73</v>
      </c>
      <c r="L122" s="1">
        <v>0</v>
      </c>
      <c r="M122" t="str">
        <f t="shared" si="1"/>
        <v>TRUE</v>
      </c>
      <c r="N122" t="s">
        <v>245</v>
      </c>
      <c r="O122">
        <v>26.65</v>
      </c>
      <c r="P122">
        <v>22.29</v>
      </c>
      <c r="Q122">
        <v>24.73</v>
      </c>
      <c r="R122">
        <v>101.23</v>
      </c>
      <c r="S122">
        <v>114.34</v>
      </c>
      <c r="T122">
        <v>19.71</v>
      </c>
      <c r="U122">
        <v>13.48</v>
      </c>
    </row>
    <row r="123" spans="1:21">
      <c r="A123" s="1" t="s">
        <v>625</v>
      </c>
      <c r="B123" s="1" t="s">
        <v>247</v>
      </c>
      <c r="C123" s="1" t="s">
        <v>485</v>
      </c>
      <c r="D123" s="1" t="s">
        <v>592</v>
      </c>
      <c r="E123" s="1" t="s">
        <v>487</v>
      </c>
      <c r="F123" s="2">
        <v>37328</v>
      </c>
      <c r="G123" s="2">
        <v>44146</v>
      </c>
      <c r="H123" s="1">
        <v>18</v>
      </c>
      <c r="I123" s="1">
        <v>1</v>
      </c>
      <c r="J123" s="1" t="s">
        <v>488</v>
      </c>
      <c r="K123" s="1">
        <v>472</v>
      </c>
      <c r="L123" s="1" t="s">
        <v>487</v>
      </c>
      <c r="M123" t="str">
        <f t="shared" si="1"/>
        <v>TRUE</v>
      </c>
      <c r="N123" t="s">
        <v>247</v>
      </c>
      <c r="O123">
        <v>1000.000011</v>
      </c>
      <c r="P123">
        <v>109.21</v>
      </c>
      <c r="Q123">
        <v>500.01</v>
      </c>
      <c r="R123">
        <v>261.55</v>
      </c>
      <c r="S123">
        <v>358.02</v>
      </c>
      <c r="T123">
        <v>101.34</v>
      </c>
      <c r="U123">
        <v>23.63</v>
      </c>
    </row>
    <row r="124" spans="1:21">
      <c r="A124" s="1" t="s">
        <v>626</v>
      </c>
      <c r="B124" s="1" t="s">
        <v>249</v>
      </c>
      <c r="C124" s="1" t="s">
        <v>490</v>
      </c>
      <c r="D124" s="1" t="s">
        <v>512</v>
      </c>
      <c r="E124" s="1" t="s">
        <v>499</v>
      </c>
      <c r="F124" s="2">
        <v>29096</v>
      </c>
      <c r="G124" s="2">
        <v>44148</v>
      </c>
      <c r="H124" s="1">
        <v>41</v>
      </c>
      <c r="I124" s="1">
        <v>2</v>
      </c>
      <c r="J124" s="1" t="s">
        <v>488</v>
      </c>
      <c r="K124" s="1">
        <v>55</v>
      </c>
      <c r="L124" s="1">
        <v>1</v>
      </c>
      <c r="M124" t="str">
        <f t="shared" si="1"/>
        <v>TRUE</v>
      </c>
      <c r="N124" t="s">
        <v>249</v>
      </c>
      <c r="O124">
        <v>19.59</v>
      </c>
      <c r="P124">
        <v>14.31</v>
      </c>
      <c r="Q124">
        <v>31.77</v>
      </c>
      <c r="R124">
        <v>72.41</v>
      </c>
      <c r="S124">
        <v>41.8</v>
      </c>
      <c r="T124">
        <v>3.9</v>
      </c>
      <c r="U124">
        <v>22.29</v>
      </c>
    </row>
    <row r="125" spans="1:21">
      <c r="A125" s="1" t="s">
        <v>627</v>
      </c>
      <c r="B125" s="1" t="s">
        <v>251</v>
      </c>
      <c r="C125" s="1" t="s">
        <v>490</v>
      </c>
      <c r="D125" s="1" t="s">
        <v>498</v>
      </c>
      <c r="E125" s="1" t="s">
        <v>492</v>
      </c>
      <c r="F125" s="2">
        <v>24431</v>
      </c>
      <c r="G125" s="2">
        <v>44148</v>
      </c>
      <c r="H125" s="1">
        <v>53</v>
      </c>
      <c r="I125" s="1">
        <v>2</v>
      </c>
      <c r="J125" s="1" t="s">
        <v>493</v>
      </c>
      <c r="K125" s="1">
        <v>1780</v>
      </c>
      <c r="L125" s="1">
        <v>5</v>
      </c>
      <c r="M125" t="str">
        <f t="shared" si="1"/>
        <v>TRUE</v>
      </c>
      <c r="N125" t="s">
        <v>251</v>
      </c>
      <c r="O125">
        <v>23.92</v>
      </c>
      <c r="P125">
        <v>28.8</v>
      </c>
      <c r="Q125">
        <v>9.93</v>
      </c>
      <c r="R125">
        <v>95.15</v>
      </c>
      <c r="S125">
        <v>53.62</v>
      </c>
      <c r="T125">
        <v>2.89</v>
      </c>
      <c r="U125">
        <v>7</v>
      </c>
    </row>
    <row r="126" spans="1:21">
      <c r="A126" s="1" t="s">
        <v>628</v>
      </c>
      <c r="B126" s="1" t="s">
        <v>253</v>
      </c>
      <c r="C126" s="1" t="s">
        <v>490</v>
      </c>
      <c r="D126" s="1" t="s">
        <v>498</v>
      </c>
      <c r="E126" s="1" t="s">
        <v>492</v>
      </c>
      <c r="F126" s="2">
        <v>34311</v>
      </c>
      <c r="G126" s="2">
        <v>44148</v>
      </c>
      <c r="H126" s="1">
        <v>26</v>
      </c>
      <c r="I126" s="1">
        <v>1</v>
      </c>
      <c r="J126" s="1" t="s">
        <v>488</v>
      </c>
      <c r="K126" s="1">
        <v>1823</v>
      </c>
      <c r="L126" s="1">
        <v>9</v>
      </c>
      <c r="M126" t="str">
        <f t="shared" si="1"/>
        <v>TRUE</v>
      </c>
      <c r="N126" t="s">
        <v>253</v>
      </c>
      <c r="O126">
        <v>39.17</v>
      </c>
      <c r="P126">
        <v>42.31</v>
      </c>
      <c r="Q126">
        <v>4.3499999999999996</v>
      </c>
      <c r="R126">
        <v>10.130000000000001</v>
      </c>
      <c r="S126">
        <v>14.77</v>
      </c>
      <c r="T126">
        <v>15.99</v>
      </c>
      <c r="U126">
        <v>19.05</v>
      </c>
    </row>
    <row r="127" spans="1:21">
      <c r="A127" s="1" t="s">
        <v>629</v>
      </c>
      <c r="B127" s="1" t="s">
        <v>255</v>
      </c>
      <c r="C127" s="1" t="s">
        <v>501</v>
      </c>
      <c r="D127" s="1" t="s">
        <v>532</v>
      </c>
      <c r="E127" s="1" t="s">
        <v>492</v>
      </c>
      <c r="F127" s="2">
        <v>34219</v>
      </c>
      <c r="G127" s="2">
        <v>44151</v>
      </c>
      <c r="H127" s="1">
        <v>27</v>
      </c>
      <c r="I127" s="1">
        <v>2</v>
      </c>
      <c r="J127" s="1" t="s">
        <v>493</v>
      </c>
      <c r="K127" s="1">
        <v>2739</v>
      </c>
      <c r="L127" s="1">
        <v>8</v>
      </c>
      <c r="M127" t="str">
        <f t="shared" si="1"/>
        <v>TRUE</v>
      </c>
      <c r="N127" t="s">
        <v>255</v>
      </c>
      <c r="O127">
        <v>749.85</v>
      </c>
      <c r="P127">
        <v>35.96</v>
      </c>
      <c r="Q127">
        <v>130.21</v>
      </c>
      <c r="R127">
        <v>149.53</v>
      </c>
      <c r="S127">
        <v>247.74</v>
      </c>
      <c r="T127">
        <v>102.68</v>
      </c>
      <c r="U127">
        <v>3.98</v>
      </c>
    </row>
    <row r="128" spans="1:21">
      <c r="A128" s="1" t="s">
        <v>630</v>
      </c>
      <c r="B128" s="1" t="s">
        <v>257</v>
      </c>
      <c r="C128" s="1" t="s">
        <v>490</v>
      </c>
      <c r="D128" s="1" t="s">
        <v>498</v>
      </c>
      <c r="E128" s="1" t="s">
        <v>499</v>
      </c>
      <c r="F128" s="2">
        <v>33826</v>
      </c>
      <c r="G128" s="2">
        <v>44152</v>
      </c>
      <c r="H128" s="1">
        <v>28</v>
      </c>
      <c r="I128" s="1">
        <v>1</v>
      </c>
      <c r="J128" s="1" t="s">
        <v>488</v>
      </c>
      <c r="K128" s="1">
        <v>221</v>
      </c>
      <c r="L128" s="1">
        <v>10</v>
      </c>
      <c r="M128" t="str">
        <f t="shared" si="1"/>
        <v>TRUE</v>
      </c>
      <c r="N128" t="s">
        <v>257</v>
      </c>
      <c r="O128">
        <v>34.119999999999997</v>
      </c>
      <c r="P128">
        <v>15.4</v>
      </c>
      <c r="Q128">
        <v>2.19</v>
      </c>
      <c r="R128">
        <v>20.41</v>
      </c>
      <c r="S128">
        <v>20.16</v>
      </c>
      <c r="T128">
        <v>3.48</v>
      </c>
      <c r="U128">
        <v>2.4900000000000002</v>
      </c>
    </row>
    <row r="129" spans="1:21">
      <c r="A129" s="1" t="s">
        <v>631</v>
      </c>
      <c r="B129" s="1" t="s">
        <v>259</v>
      </c>
      <c r="C129" s="1" t="s">
        <v>501</v>
      </c>
      <c r="D129" s="1" t="s">
        <v>538</v>
      </c>
      <c r="E129" s="1" t="s">
        <v>499</v>
      </c>
      <c r="F129" s="2">
        <v>25311</v>
      </c>
      <c r="G129" s="2">
        <v>44161</v>
      </c>
      <c r="H129" s="1">
        <v>51</v>
      </c>
      <c r="I129" s="1">
        <v>1</v>
      </c>
      <c r="J129" s="1" t="s">
        <v>488</v>
      </c>
      <c r="K129" s="1">
        <v>496</v>
      </c>
      <c r="L129" s="1">
        <v>3</v>
      </c>
      <c r="M129" t="str">
        <f t="shared" si="1"/>
        <v>TRUE</v>
      </c>
      <c r="N129" t="s">
        <v>259</v>
      </c>
      <c r="O129">
        <v>29.56</v>
      </c>
      <c r="P129">
        <v>20.39</v>
      </c>
      <c r="Q129">
        <v>11.02</v>
      </c>
      <c r="R129">
        <v>56.03</v>
      </c>
      <c r="S129">
        <v>40.17</v>
      </c>
      <c r="T129">
        <v>4.8600000000000003</v>
      </c>
      <c r="U129">
        <v>16.190000000000001</v>
      </c>
    </row>
    <row r="130" spans="1:21">
      <c r="A130" s="1" t="s">
        <v>632</v>
      </c>
      <c r="B130" s="1" t="s">
        <v>261</v>
      </c>
      <c r="C130" s="1" t="s">
        <v>490</v>
      </c>
      <c r="D130" s="1" t="s">
        <v>498</v>
      </c>
      <c r="E130" s="1" t="s">
        <v>499</v>
      </c>
      <c r="F130" s="2">
        <v>35769</v>
      </c>
      <c r="G130" s="2">
        <v>44162</v>
      </c>
      <c r="H130" s="1">
        <v>22</v>
      </c>
      <c r="I130" s="1">
        <v>1</v>
      </c>
      <c r="J130" s="1" t="s">
        <v>493</v>
      </c>
      <c r="K130" s="1">
        <v>7900</v>
      </c>
      <c r="L130" s="1">
        <v>13</v>
      </c>
      <c r="M130" t="str">
        <f t="shared" si="1"/>
        <v>TRUE</v>
      </c>
      <c r="N130" t="s">
        <v>261</v>
      </c>
      <c r="O130">
        <v>199.77</v>
      </c>
      <c r="P130">
        <v>14.91</v>
      </c>
      <c r="Q130">
        <v>22.54</v>
      </c>
      <c r="R130">
        <v>26.55</v>
      </c>
      <c r="S130">
        <v>18</v>
      </c>
      <c r="T130">
        <v>3.75</v>
      </c>
      <c r="U130">
        <v>11.22</v>
      </c>
    </row>
    <row r="131" spans="1:21">
      <c r="A131" s="1" t="s">
        <v>633</v>
      </c>
      <c r="B131" s="1" t="s">
        <v>263</v>
      </c>
      <c r="C131" s="1" t="s">
        <v>490</v>
      </c>
      <c r="D131" s="1" t="s">
        <v>498</v>
      </c>
      <c r="E131" s="1" t="s">
        <v>499</v>
      </c>
      <c r="F131" s="2">
        <v>28094</v>
      </c>
      <c r="G131" s="2">
        <v>44169</v>
      </c>
      <c r="H131" s="1">
        <v>44</v>
      </c>
      <c r="I131" s="1">
        <v>2</v>
      </c>
      <c r="J131" s="1" t="s">
        <v>488</v>
      </c>
      <c r="K131" s="1">
        <v>659</v>
      </c>
      <c r="L131" s="1">
        <v>6</v>
      </c>
      <c r="M131" t="str">
        <f t="shared" ref="M131:M194" si="2">IF(N131=B131,"TRUE","FALSE")</f>
        <v>TRUE</v>
      </c>
      <c r="N131" t="s">
        <v>263</v>
      </c>
      <c r="O131">
        <v>66.61</v>
      </c>
      <c r="P131">
        <v>93.45</v>
      </c>
      <c r="Q131">
        <v>8.65</v>
      </c>
      <c r="R131">
        <v>452.32</v>
      </c>
      <c r="S131">
        <v>300.83</v>
      </c>
      <c r="T131">
        <v>23.05</v>
      </c>
      <c r="U131">
        <v>96.89</v>
      </c>
    </row>
    <row r="132" spans="1:21">
      <c r="A132" s="1" t="s">
        <v>634</v>
      </c>
      <c r="B132" s="1" t="s">
        <v>265</v>
      </c>
      <c r="C132" s="1" t="s">
        <v>501</v>
      </c>
      <c r="D132" s="1" t="s">
        <v>532</v>
      </c>
      <c r="E132" s="1" t="s">
        <v>499</v>
      </c>
      <c r="F132" s="2">
        <v>35213</v>
      </c>
      <c r="G132" s="2">
        <v>44169</v>
      </c>
      <c r="H132" s="1">
        <v>24</v>
      </c>
      <c r="I132" s="1">
        <v>2</v>
      </c>
      <c r="J132" s="1" t="s">
        <v>488</v>
      </c>
      <c r="K132" s="1">
        <v>1858</v>
      </c>
      <c r="L132" s="1">
        <v>0</v>
      </c>
      <c r="M132" t="str">
        <f t="shared" si="2"/>
        <v>TRUE</v>
      </c>
      <c r="N132" t="s">
        <v>265</v>
      </c>
      <c r="O132">
        <v>27.14</v>
      </c>
      <c r="P132">
        <v>10.48</v>
      </c>
      <c r="Q132">
        <v>4.74</v>
      </c>
      <c r="R132">
        <v>593.14</v>
      </c>
      <c r="S132">
        <v>539.63</v>
      </c>
      <c r="T132">
        <v>37.380000000000003</v>
      </c>
      <c r="U132">
        <v>29.53</v>
      </c>
    </row>
    <row r="133" spans="1:21">
      <c r="A133" s="1" t="s">
        <v>635</v>
      </c>
      <c r="B133" s="1" t="s">
        <v>267</v>
      </c>
      <c r="C133" s="1" t="s">
        <v>490</v>
      </c>
      <c r="D133" s="1" t="s">
        <v>491</v>
      </c>
      <c r="E133" s="1" t="s">
        <v>499</v>
      </c>
      <c r="F133" s="2">
        <v>16624</v>
      </c>
      <c r="G133" s="2">
        <v>44172</v>
      </c>
      <c r="H133" s="1">
        <v>75</v>
      </c>
      <c r="I133" s="1">
        <v>2</v>
      </c>
      <c r="J133" s="1" t="s">
        <v>493</v>
      </c>
      <c r="K133" s="1">
        <v>324</v>
      </c>
      <c r="L133" s="1">
        <v>0</v>
      </c>
      <c r="M133" t="str">
        <f t="shared" si="2"/>
        <v>TRUE</v>
      </c>
      <c r="N133" t="s">
        <v>267</v>
      </c>
      <c r="O133">
        <v>35.04</v>
      </c>
      <c r="P133">
        <v>17.62</v>
      </c>
      <c r="Q133">
        <v>16.21</v>
      </c>
      <c r="R133">
        <v>924.55</v>
      </c>
      <c r="S133">
        <v>1271.42</v>
      </c>
      <c r="T133">
        <v>70.650000000000006</v>
      </c>
      <c r="U133">
        <v>39.799999999999997</v>
      </c>
    </row>
    <row r="134" spans="1:21">
      <c r="A134" s="1" t="s">
        <v>636</v>
      </c>
      <c r="B134" s="1" t="s">
        <v>269</v>
      </c>
      <c r="C134" s="1" t="s">
        <v>501</v>
      </c>
      <c r="D134" s="1" t="s">
        <v>532</v>
      </c>
      <c r="E134" s="1" t="s">
        <v>499</v>
      </c>
      <c r="F134" s="2">
        <v>25846</v>
      </c>
      <c r="G134" s="2">
        <v>44172</v>
      </c>
      <c r="H134" s="1">
        <v>50</v>
      </c>
      <c r="I134" s="1">
        <v>1</v>
      </c>
      <c r="J134" s="1" t="s">
        <v>493</v>
      </c>
      <c r="K134" s="1">
        <v>549</v>
      </c>
      <c r="L134" s="1">
        <v>9</v>
      </c>
      <c r="M134" t="str">
        <f t="shared" si="2"/>
        <v>TRUE</v>
      </c>
      <c r="N134" t="s">
        <v>269</v>
      </c>
      <c r="O134">
        <v>58.83</v>
      </c>
      <c r="P134">
        <v>33.25</v>
      </c>
      <c r="Q134">
        <v>41.42</v>
      </c>
      <c r="R134">
        <v>15.03</v>
      </c>
      <c r="S134">
        <v>11.4</v>
      </c>
      <c r="T134">
        <v>3.08</v>
      </c>
      <c r="U134">
        <v>3.27</v>
      </c>
    </row>
    <row r="135" spans="1:21">
      <c r="A135" s="1" t="s">
        <v>637</v>
      </c>
      <c r="B135" s="1" t="s">
        <v>271</v>
      </c>
      <c r="C135" s="1" t="s">
        <v>490</v>
      </c>
      <c r="D135" s="1" t="s">
        <v>491</v>
      </c>
      <c r="E135" s="1" t="s">
        <v>492</v>
      </c>
      <c r="F135" s="2">
        <v>33801</v>
      </c>
      <c r="G135" s="2">
        <v>44173</v>
      </c>
      <c r="H135" s="1">
        <v>28</v>
      </c>
      <c r="I135" s="1">
        <v>2</v>
      </c>
      <c r="J135" s="1" t="s">
        <v>488</v>
      </c>
      <c r="K135" s="1">
        <v>470</v>
      </c>
      <c r="L135" s="1">
        <v>0</v>
      </c>
      <c r="M135" t="str">
        <f t="shared" si="2"/>
        <v>TRUE</v>
      </c>
      <c r="N135" t="s">
        <v>271</v>
      </c>
      <c r="O135">
        <v>186.89</v>
      </c>
      <c r="P135">
        <v>13.67</v>
      </c>
      <c r="Q135">
        <v>37.5</v>
      </c>
      <c r="R135">
        <v>88</v>
      </c>
      <c r="S135">
        <v>105.51</v>
      </c>
      <c r="T135">
        <v>7.53</v>
      </c>
      <c r="U135">
        <v>7.35</v>
      </c>
    </row>
    <row r="136" spans="1:21">
      <c r="A136" s="1" t="s">
        <v>638</v>
      </c>
      <c r="B136" s="1" t="s">
        <v>273</v>
      </c>
      <c r="C136" s="1" t="s">
        <v>501</v>
      </c>
      <c r="D136" s="1" t="s">
        <v>532</v>
      </c>
      <c r="E136" s="1" t="s">
        <v>499</v>
      </c>
      <c r="F136" s="2">
        <v>34804</v>
      </c>
      <c r="G136" s="2">
        <v>44174</v>
      </c>
      <c r="H136" s="1">
        <v>25</v>
      </c>
      <c r="I136" s="1">
        <v>2</v>
      </c>
      <c r="J136" s="1" t="s">
        <v>488</v>
      </c>
      <c r="K136" s="1">
        <v>44</v>
      </c>
      <c r="L136" s="1">
        <v>3</v>
      </c>
      <c r="M136" t="str">
        <f t="shared" si="2"/>
        <v>TRUE</v>
      </c>
      <c r="N136" t="s">
        <v>273</v>
      </c>
      <c r="O136">
        <v>178.97</v>
      </c>
      <c r="P136">
        <v>15.68</v>
      </c>
      <c r="Q136">
        <v>162.72999999999999</v>
      </c>
      <c r="R136">
        <v>144.29</v>
      </c>
      <c r="S136">
        <v>130.33000000000001</v>
      </c>
      <c r="T136">
        <v>38.47</v>
      </c>
      <c r="U136">
        <v>62.68</v>
      </c>
    </row>
    <row r="137" spans="1:21">
      <c r="A137" s="1" t="s">
        <v>639</v>
      </c>
      <c r="B137" s="1" t="s">
        <v>275</v>
      </c>
      <c r="C137" s="1" t="s">
        <v>501</v>
      </c>
      <c r="D137" s="1" t="s">
        <v>502</v>
      </c>
      <c r="E137" s="1" t="s">
        <v>499</v>
      </c>
      <c r="F137" s="2">
        <v>35547</v>
      </c>
      <c r="G137" s="2">
        <v>44181</v>
      </c>
      <c r="H137" s="1">
        <v>23</v>
      </c>
      <c r="I137" s="1">
        <v>1</v>
      </c>
      <c r="J137" s="1" t="s">
        <v>493</v>
      </c>
      <c r="K137" s="1">
        <v>338</v>
      </c>
      <c r="L137" s="1">
        <v>7</v>
      </c>
      <c r="M137" t="str">
        <f t="shared" si="2"/>
        <v>TRUE</v>
      </c>
      <c r="N137" t="s">
        <v>275</v>
      </c>
      <c r="O137">
        <v>591.39</v>
      </c>
      <c r="P137">
        <v>23.03</v>
      </c>
      <c r="Q137">
        <v>97.43</v>
      </c>
      <c r="R137">
        <v>37.5</v>
      </c>
      <c r="S137">
        <v>35.630000000000003</v>
      </c>
      <c r="T137">
        <v>4.1900000000000004</v>
      </c>
      <c r="U137">
        <v>4.53</v>
      </c>
    </row>
    <row r="138" spans="1:21">
      <c r="A138" s="1" t="s">
        <v>640</v>
      </c>
      <c r="B138" s="1" t="s">
        <v>277</v>
      </c>
      <c r="C138" s="1" t="s">
        <v>490</v>
      </c>
      <c r="D138" s="1" t="s">
        <v>498</v>
      </c>
      <c r="E138" s="1" t="s">
        <v>499</v>
      </c>
      <c r="F138" s="2">
        <v>35769</v>
      </c>
      <c r="G138" s="2">
        <v>44182</v>
      </c>
      <c r="H138" s="1">
        <v>23</v>
      </c>
      <c r="I138" s="1">
        <v>2</v>
      </c>
      <c r="J138" s="1" t="s">
        <v>493</v>
      </c>
      <c r="K138" s="1">
        <v>282</v>
      </c>
      <c r="L138" s="1">
        <v>1</v>
      </c>
      <c r="M138" t="str">
        <f t="shared" si="2"/>
        <v>TRUE</v>
      </c>
      <c r="N138" t="s">
        <v>277</v>
      </c>
      <c r="O138">
        <v>34.08</v>
      </c>
      <c r="P138">
        <v>8.5500000000000007</v>
      </c>
      <c r="Q138">
        <v>14.54</v>
      </c>
      <c r="R138">
        <v>97.23</v>
      </c>
      <c r="S138">
        <v>56.1</v>
      </c>
      <c r="T138">
        <v>7.37</v>
      </c>
      <c r="U138">
        <v>11.52</v>
      </c>
    </row>
    <row r="139" spans="1:21">
      <c r="A139" s="1" t="s">
        <v>641</v>
      </c>
      <c r="B139" s="1" t="s">
        <v>279</v>
      </c>
      <c r="C139" s="1" t="s">
        <v>642</v>
      </c>
      <c r="D139" s="1" t="s">
        <v>496</v>
      </c>
      <c r="E139" s="1" t="s">
        <v>487</v>
      </c>
      <c r="F139" s="2">
        <v>21616</v>
      </c>
      <c r="G139" s="2">
        <v>43237</v>
      </c>
      <c r="H139" s="1">
        <v>59</v>
      </c>
      <c r="I139" s="1">
        <v>1</v>
      </c>
      <c r="J139" s="1" t="s">
        <v>488</v>
      </c>
      <c r="K139" s="1">
        <v>206</v>
      </c>
      <c r="L139" s="1" t="s">
        <v>487</v>
      </c>
      <c r="M139" t="str">
        <f t="shared" si="2"/>
        <v>TRUE</v>
      </c>
      <c r="N139" t="s">
        <v>279</v>
      </c>
      <c r="O139">
        <v>95.64</v>
      </c>
      <c r="P139">
        <v>47.5</v>
      </c>
      <c r="Q139">
        <v>13.61</v>
      </c>
      <c r="R139">
        <v>171.7</v>
      </c>
      <c r="S139">
        <v>191.17</v>
      </c>
      <c r="T139">
        <v>23.41</v>
      </c>
      <c r="U139">
        <v>26.33</v>
      </c>
    </row>
    <row r="140" spans="1:21">
      <c r="A140" s="1" t="s">
        <v>643</v>
      </c>
      <c r="B140" s="1" t="s">
        <v>281</v>
      </c>
      <c r="C140" s="1" t="s">
        <v>490</v>
      </c>
      <c r="D140" s="1" t="s">
        <v>498</v>
      </c>
      <c r="E140" s="1" t="s">
        <v>499</v>
      </c>
      <c r="F140" s="2">
        <v>28094</v>
      </c>
      <c r="G140" s="2">
        <v>44251</v>
      </c>
      <c r="H140" s="1">
        <v>44</v>
      </c>
      <c r="I140" s="1">
        <v>2</v>
      </c>
      <c r="J140" s="1" t="s">
        <v>488</v>
      </c>
      <c r="K140" s="1">
        <v>20</v>
      </c>
      <c r="L140" s="1">
        <v>0</v>
      </c>
      <c r="M140" t="str">
        <f t="shared" si="2"/>
        <v>TRUE</v>
      </c>
      <c r="N140" t="s">
        <v>281</v>
      </c>
      <c r="O140">
        <v>57.34</v>
      </c>
      <c r="P140">
        <v>23.03</v>
      </c>
      <c r="Q140">
        <v>8.65</v>
      </c>
      <c r="R140">
        <v>407.42</v>
      </c>
      <c r="S140">
        <v>398.88</v>
      </c>
      <c r="T140">
        <v>20.55</v>
      </c>
      <c r="U140">
        <v>38.659999999999997</v>
      </c>
    </row>
    <row r="141" spans="1:21">
      <c r="A141" s="1" t="s">
        <v>644</v>
      </c>
      <c r="B141" s="1" t="s">
        <v>283</v>
      </c>
      <c r="C141" s="1" t="s">
        <v>490</v>
      </c>
      <c r="D141" s="1" t="s">
        <v>498</v>
      </c>
      <c r="E141" s="1" t="s">
        <v>492</v>
      </c>
      <c r="F141" s="2">
        <v>34311</v>
      </c>
      <c r="G141" s="2">
        <v>44259</v>
      </c>
      <c r="H141" s="1">
        <v>27</v>
      </c>
      <c r="I141" s="1">
        <v>2</v>
      </c>
      <c r="J141" s="1" t="s">
        <v>488</v>
      </c>
      <c r="K141" s="1">
        <v>1826</v>
      </c>
      <c r="L141" s="1">
        <v>6</v>
      </c>
      <c r="M141" t="str">
        <f t="shared" si="2"/>
        <v>TRUE</v>
      </c>
      <c r="N141" t="s">
        <v>283</v>
      </c>
      <c r="O141">
        <v>26.24</v>
      </c>
      <c r="P141">
        <v>22.49</v>
      </c>
      <c r="Q141">
        <v>5.41</v>
      </c>
      <c r="R141">
        <v>40.67</v>
      </c>
      <c r="S141">
        <v>34.479999999999997</v>
      </c>
      <c r="T141">
        <v>30.14</v>
      </c>
      <c r="U141">
        <v>11.57</v>
      </c>
    </row>
    <row r="142" spans="1:21">
      <c r="A142" s="1" t="s">
        <v>645</v>
      </c>
      <c r="B142" s="1" t="s">
        <v>285</v>
      </c>
      <c r="C142" s="1" t="s">
        <v>490</v>
      </c>
      <c r="D142" s="1" t="s">
        <v>498</v>
      </c>
      <c r="E142" s="1" t="s">
        <v>499</v>
      </c>
      <c r="F142" s="2">
        <v>23988</v>
      </c>
      <c r="G142" s="2">
        <v>44264</v>
      </c>
      <c r="H142" s="1">
        <v>55</v>
      </c>
      <c r="I142" s="1">
        <v>2</v>
      </c>
      <c r="J142" s="1" t="s">
        <v>493</v>
      </c>
      <c r="K142" s="1">
        <v>57</v>
      </c>
      <c r="L142" s="1">
        <v>1</v>
      </c>
      <c r="M142" t="str">
        <f t="shared" si="2"/>
        <v>TRUE</v>
      </c>
      <c r="N142" t="s">
        <v>285</v>
      </c>
      <c r="O142">
        <v>434.84</v>
      </c>
      <c r="P142">
        <v>8.9</v>
      </c>
      <c r="Q142">
        <v>24.34</v>
      </c>
      <c r="R142">
        <v>1797.56</v>
      </c>
      <c r="S142">
        <v>24.32</v>
      </c>
      <c r="T142">
        <v>7.47</v>
      </c>
      <c r="U142">
        <v>235.49</v>
      </c>
    </row>
    <row r="143" spans="1:21">
      <c r="A143" s="1" t="s">
        <v>646</v>
      </c>
      <c r="B143" s="1" t="s">
        <v>287</v>
      </c>
      <c r="C143" s="1" t="s">
        <v>647</v>
      </c>
      <c r="D143" s="1" t="s">
        <v>487</v>
      </c>
      <c r="E143" s="1" t="s">
        <v>487</v>
      </c>
      <c r="F143" s="2">
        <v>26667</v>
      </c>
      <c r="G143" s="2">
        <v>44231</v>
      </c>
      <c r="H143" s="1">
        <v>48</v>
      </c>
      <c r="I143" s="1">
        <v>1</v>
      </c>
      <c r="J143" s="1" t="s">
        <v>488</v>
      </c>
      <c r="K143" s="1" t="s">
        <v>487</v>
      </c>
      <c r="L143" s="1" t="s">
        <v>487</v>
      </c>
      <c r="M143" t="str">
        <f t="shared" si="2"/>
        <v>TRUE</v>
      </c>
      <c r="N143" t="s">
        <v>287</v>
      </c>
      <c r="O143">
        <v>36.590000000000003</v>
      </c>
      <c r="P143">
        <v>43.91</v>
      </c>
      <c r="Q143">
        <v>14.68</v>
      </c>
      <c r="R143">
        <v>496.4</v>
      </c>
      <c r="S143">
        <v>386.91</v>
      </c>
      <c r="T143">
        <v>23.44</v>
      </c>
      <c r="U143">
        <v>49.5</v>
      </c>
    </row>
    <row r="144" spans="1:21">
      <c r="A144" s="1" t="s">
        <v>648</v>
      </c>
      <c r="B144" s="1" t="s">
        <v>289</v>
      </c>
      <c r="C144" s="1" t="s">
        <v>647</v>
      </c>
      <c r="D144" s="1" t="s">
        <v>487</v>
      </c>
      <c r="E144" s="1" t="s">
        <v>487</v>
      </c>
      <c r="F144" s="2">
        <v>24872</v>
      </c>
      <c r="G144" s="2">
        <v>44231</v>
      </c>
      <c r="H144" s="1">
        <v>53</v>
      </c>
      <c r="I144" s="1">
        <v>1</v>
      </c>
      <c r="J144" s="1" t="s">
        <v>488</v>
      </c>
      <c r="K144" s="1" t="s">
        <v>487</v>
      </c>
      <c r="L144" s="1" t="s">
        <v>487</v>
      </c>
      <c r="M144" t="str">
        <f t="shared" si="2"/>
        <v>TRUE</v>
      </c>
      <c r="N144" t="s">
        <v>289</v>
      </c>
      <c r="O144">
        <v>47.27</v>
      </c>
      <c r="P144">
        <v>71.739999999999995</v>
      </c>
      <c r="Q144">
        <v>20.16</v>
      </c>
      <c r="R144">
        <v>436.21</v>
      </c>
      <c r="S144">
        <v>245.83</v>
      </c>
      <c r="T144">
        <v>52.67</v>
      </c>
      <c r="U144">
        <v>99.09</v>
      </c>
    </row>
    <row r="145" spans="1:21">
      <c r="A145" s="1" t="s">
        <v>649</v>
      </c>
      <c r="B145" s="1" t="s">
        <v>291</v>
      </c>
      <c r="C145" s="1" t="s">
        <v>647</v>
      </c>
      <c r="D145" s="1" t="s">
        <v>487</v>
      </c>
      <c r="E145" s="1" t="s">
        <v>487</v>
      </c>
      <c r="F145" s="2">
        <v>24477</v>
      </c>
      <c r="G145" s="2">
        <v>44233</v>
      </c>
      <c r="H145" s="1">
        <v>54</v>
      </c>
      <c r="I145" s="1">
        <v>1</v>
      </c>
      <c r="J145" s="1" t="s">
        <v>493</v>
      </c>
      <c r="K145" s="1" t="s">
        <v>487</v>
      </c>
      <c r="L145" s="1" t="s">
        <v>487</v>
      </c>
      <c r="M145" t="str">
        <f t="shared" si="2"/>
        <v>TRUE</v>
      </c>
      <c r="N145" t="s">
        <v>291</v>
      </c>
      <c r="O145">
        <v>25.22</v>
      </c>
      <c r="P145">
        <v>23.16</v>
      </c>
      <c r="Q145">
        <v>8.77</v>
      </c>
      <c r="R145">
        <v>292.7</v>
      </c>
      <c r="S145">
        <v>66.540000000000006</v>
      </c>
      <c r="T145">
        <v>13.72</v>
      </c>
      <c r="U145">
        <v>10.68</v>
      </c>
    </row>
    <row r="146" spans="1:21">
      <c r="A146" s="1" t="s">
        <v>650</v>
      </c>
      <c r="B146" s="1" t="s">
        <v>293</v>
      </c>
      <c r="C146" s="1" t="s">
        <v>647</v>
      </c>
      <c r="D146" s="1" t="s">
        <v>487</v>
      </c>
      <c r="E146" s="1" t="s">
        <v>487</v>
      </c>
      <c r="F146" s="2">
        <v>32884</v>
      </c>
      <c r="G146" s="2">
        <v>44233</v>
      </c>
      <c r="H146" s="1">
        <v>31</v>
      </c>
      <c r="I146" s="1">
        <v>1</v>
      </c>
      <c r="J146" s="1" t="s">
        <v>488</v>
      </c>
      <c r="K146" s="1" t="s">
        <v>487</v>
      </c>
      <c r="L146" s="1" t="s">
        <v>487</v>
      </c>
      <c r="M146" t="str">
        <f t="shared" si="2"/>
        <v>TRUE</v>
      </c>
      <c r="N146" t="s">
        <v>293</v>
      </c>
      <c r="O146">
        <v>38.21</v>
      </c>
      <c r="P146">
        <v>16.77</v>
      </c>
      <c r="Q146">
        <v>11.46</v>
      </c>
      <c r="R146">
        <v>106.05</v>
      </c>
      <c r="S146">
        <v>94.5</v>
      </c>
      <c r="T146">
        <v>11.75</v>
      </c>
      <c r="U146">
        <v>18.920000000000002</v>
      </c>
    </row>
    <row r="147" spans="1:21">
      <c r="A147" s="1" t="s">
        <v>651</v>
      </c>
      <c r="B147" s="1" t="s">
        <v>295</v>
      </c>
      <c r="C147" s="1" t="s">
        <v>647</v>
      </c>
      <c r="D147" s="1" t="s">
        <v>487</v>
      </c>
      <c r="E147" s="1" t="s">
        <v>487</v>
      </c>
      <c r="F147" s="2">
        <v>33635</v>
      </c>
      <c r="G147" s="2">
        <v>44236</v>
      </c>
      <c r="H147" s="1">
        <v>29</v>
      </c>
      <c r="I147" s="1">
        <v>1</v>
      </c>
      <c r="J147" s="1" t="s">
        <v>488</v>
      </c>
      <c r="K147" s="1" t="s">
        <v>487</v>
      </c>
      <c r="L147" s="1" t="s">
        <v>487</v>
      </c>
      <c r="M147" t="str">
        <f t="shared" si="2"/>
        <v>TRUE</v>
      </c>
      <c r="N147" t="s">
        <v>295</v>
      </c>
      <c r="O147">
        <v>32.93</v>
      </c>
      <c r="P147">
        <v>8.3000000000000007</v>
      </c>
      <c r="Q147">
        <v>5.93</v>
      </c>
      <c r="R147">
        <v>90.94</v>
      </c>
      <c r="S147">
        <v>308.02999999999997</v>
      </c>
      <c r="T147">
        <v>45.19</v>
      </c>
      <c r="U147">
        <v>8.68</v>
      </c>
    </row>
    <row r="148" spans="1:21">
      <c r="A148" s="1" t="s">
        <v>652</v>
      </c>
      <c r="B148" s="1" t="s">
        <v>297</v>
      </c>
      <c r="C148" s="1" t="s">
        <v>647</v>
      </c>
      <c r="D148" s="1" t="s">
        <v>487</v>
      </c>
      <c r="E148" s="1" t="s">
        <v>487</v>
      </c>
      <c r="F148" s="2">
        <v>33608</v>
      </c>
      <c r="G148" s="2">
        <v>44237</v>
      </c>
      <c r="H148" s="1">
        <v>29</v>
      </c>
      <c r="I148" s="1">
        <v>1</v>
      </c>
      <c r="J148" s="1" t="s">
        <v>488</v>
      </c>
      <c r="K148" s="1" t="s">
        <v>487</v>
      </c>
      <c r="L148" s="1" t="s">
        <v>487</v>
      </c>
      <c r="M148" t="str">
        <f t="shared" si="2"/>
        <v>TRUE</v>
      </c>
      <c r="N148" t="s">
        <v>297</v>
      </c>
      <c r="O148">
        <v>21.15</v>
      </c>
      <c r="P148">
        <v>12.17</v>
      </c>
      <c r="Q148">
        <v>5.4</v>
      </c>
      <c r="R148">
        <v>163.66</v>
      </c>
      <c r="S148">
        <v>115.1</v>
      </c>
      <c r="T148">
        <v>8.43</v>
      </c>
      <c r="U148">
        <v>13.32</v>
      </c>
    </row>
    <row r="149" spans="1:21">
      <c r="A149" s="1" t="s">
        <v>653</v>
      </c>
      <c r="B149" s="1" t="s">
        <v>299</v>
      </c>
      <c r="C149" s="1" t="s">
        <v>647</v>
      </c>
      <c r="D149" s="1" t="s">
        <v>487</v>
      </c>
      <c r="E149" s="1" t="s">
        <v>487</v>
      </c>
      <c r="F149" s="2">
        <v>34726</v>
      </c>
      <c r="G149" s="2">
        <v>44237</v>
      </c>
      <c r="H149" s="1">
        <v>26</v>
      </c>
      <c r="I149" s="1">
        <v>1</v>
      </c>
      <c r="J149" s="1" t="s">
        <v>488</v>
      </c>
      <c r="K149" s="1" t="s">
        <v>487</v>
      </c>
      <c r="L149" s="1" t="s">
        <v>487</v>
      </c>
      <c r="M149" t="str">
        <f t="shared" si="2"/>
        <v>TRUE</v>
      </c>
      <c r="N149" t="s">
        <v>299</v>
      </c>
      <c r="O149">
        <v>46.59</v>
      </c>
      <c r="P149">
        <v>39.4</v>
      </c>
      <c r="Q149">
        <v>19.63</v>
      </c>
      <c r="R149">
        <v>61.76</v>
      </c>
      <c r="S149">
        <v>63.93</v>
      </c>
      <c r="T149">
        <v>66.91</v>
      </c>
      <c r="U149">
        <v>6.18</v>
      </c>
    </row>
    <row r="150" spans="1:21">
      <c r="A150" s="1" t="s">
        <v>654</v>
      </c>
      <c r="B150" s="1" t="s">
        <v>301</v>
      </c>
      <c r="C150" s="1" t="s">
        <v>647</v>
      </c>
      <c r="D150" s="1" t="s">
        <v>487</v>
      </c>
      <c r="E150" s="1" t="s">
        <v>487</v>
      </c>
      <c r="F150" s="2">
        <v>31660</v>
      </c>
      <c r="G150" s="2">
        <v>44237</v>
      </c>
      <c r="H150" s="1">
        <v>34</v>
      </c>
      <c r="I150" s="1">
        <v>1</v>
      </c>
      <c r="J150" s="1" t="s">
        <v>493</v>
      </c>
      <c r="K150" s="1" t="s">
        <v>487</v>
      </c>
      <c r="L150" s="1" t="s">
        <v>487</v>
      </c>
      <c r="M150" t="str">
        <f t="shared" si="2"/>
        <v>TRUE</v>
      </c>
      <c r="N150" t="s">
        <v>301</v>
      </c>
      <c r="O150">
        <v>21.51</v>
      </c>
      <c r="P150">
        <v>12.94</v>
      </c>
      <c r="Q150">
        <v>8.18</v>
      </c>
      <c r="R150">
        <v>89.52</v>
      </c>
      <c r="S150">
        <v>99.35</v>
      </c>
      <c r="T150">
        <v>10.78</v>
      </c>
      <c r="U150">
        <v>19.66</v>
      </c>
    </row>
    <row r="151" spans="1:21">
      <c r="A151" s="1" t="s">
        <v>655</v>
      </c>
      <c r="B151" s="1" t="s">
        <v>303</v>
      </c>
      <c r="C151" s="1" t="s">
        <v>647</v>
      </c>
      <c r="D151" s="1" t="s">
        <v>487</v>
      </c>
      <c r="E151" s="1" t="s">
        <v>487</v>
      </c>
      <c r="F151" s="2">
        <v>33457</v>
      </c>
      <c r="G151" s="2">
        <v>44238</v>
      </c>
      <c r="H151" s="1">
        <v>29</v>
      </c>
      <c r="I151" s="1">
        <v>1</v>
      </c>
      <c r="J151" s="1" t="s">
        <v>488</v>
      </c>
      <c r="K151" s="1" t="s">
        <v>487</v>
      </c>
      <c r="L151" s="1" t="s">
        <v>487</v>
      </c>
      <c r="M151" t="str">
        <f t="shared" si="2"/>
        <v>TRUE</v>
      </c>
      <c r="N151" t="s">
        <v>303</v>
      </c>
      <c r="O151">
        <v>37.44</v>
      </c>
      <c r="P151">
        <v>55.96</v>
      </c>
      <c r="Q151">
        <v>6.55</v>
      </c>
      <c r="R151">
        <v>106.06</v>
      </c>
      <c r="S151">
        <v>95.38</v>
      </c>
      <c r="T151">
        <v>30.18</v>
      </c>
      <c r="U151">
        <v>24.57</v>
      </c>
    </row>
    <row r="152" spans="1:21">
      <c r="A152" s="1" t="s">
        <v>656</v>
      </c>
      <c r="B152" s="1" t="s">
        <v>305</v>
      </c>
      <c r="C152" s="1" t="s">
        <v>647</v>
      </c>
      <c r="D152" s="1" t="s">
        <v>487</v>
      </c>
      <c r="E152" s="1" t="s">
        <v>487</v>
      </c>
      <c r="F152" s="2">
        <v>31079</v>
      </c>
      <c r="G152" s="2">
        <v>44238</v>
      </c>
      <c r="H152" s="1">
        <v>36</v>
      </c>
      <c r="I152" s="1">
        <v>1</v>
      </c>
      <c r="J152" s="1" t="s">
        <v>493</v>
      </c>
      <c r="K152" s="1" t="s">
        <v>487</v>
      </c>
      <c r="L152" s="1" t="s">
        <v>487</v>
      </c>
      <c r="M152" t="str">
        <f t="shared" si="2"/>
        <v>TRUE</v>
      </c>
      <c r="N152" t="s">
        <v>305</v>
      </c>
      <c r="O152">
        <v>73.73</v>
      </c>
      <c r="P152">
        <v>37.840000000000003</v>
      </c>
      <c r="Q152">
        <v>36.090000000000003</v>
      </c>
      <c r="R152">
        <v>413.66</v>
      </c>
      <c r="S152">
        <v>245.49</v>
      </c>
      <c r="T152">
        <v>13.46</v>
      </c>
      <c r="U152">
        <v>47.58</v>
      </c>
    </row>
    <row r="153" spans="1:21">
      <c r="A153" s="1" t="s">
        <v>657</v>
      </c>
      <c r="B153" s="1" t="s">
        <v>307</v>
      </c>
      <c r="C153" s="1" t="s">
        <v>647</v>
      </c>
      <c r="D153" s="1" t="s">
        <v>487</v>
      </c>
      <c r="E153" s="1" t="s">
        <v>487</v>
      </c>
      <c r="F153" s="2">
        <v>31751</v>
      </c>
      <c r="G153" s="2">
        <v>44244</v>
      </c>
      <c r="H153" s="1">
        <v>34</v>
      </c>
      <c r="I153" s="1">
        <v>1</v>
      </c>
      <c r="J153" s="1" t="s">
        <v>493</v>
      </c>
      <c r="K153" s="1" t="s">
        <v>487</v>
      </c>
      <c r="L153" s="1" t="s">
        <v>487</v>
      </c>
      <c r="M153" t="str">
        <f t="shared" si="2"/>
        <v>TRUE</v>
      </c>
      <c r="N153" t="s">
        <v>307</v>
      </c>
      <c r="O153">
        <v>65.790000000000006</v>
      </c>
      <c r="P153">
        <v>24.05</v>
      </c>
      <c r="Q153">
        <v>19.59</v>
      </c>
      <c r="R153">
        <v>115.19</v>
      </c>
      <c r="S153">
        <v>174.91</v>
      </c>
      <c r="T153">
        <v>14.39</v>
      </c>
      <c r="U153">
        <v>10.5</v>
      </c>
    </row>
    <row r="154" spans="1:21">
      <c r="A154" s="1" t="s">
        <v>658</v>
      </c>
      <c r="B154" s="1" t="s">
        <v>309</v>
      </c>
      <c r="C154" s="1" t="s">
        <v>647</v>
      </c>
      <c r="D154" s="1" t="s">
        <v>487</v>
      </c>
      <c r="E154" s="1" t="s">
        <v>487</v>
      </c>
      <c r="F154" s="2">
        <v>31873</v>
      </c>
      <c r="G154" s="2">
        <v>44244</v>
      </c>
      <c r="H154" s="1">
        <v>33</v>
      </c>
      <c r="I154" s="1">
        <v>1</v>
      </c>
      <c r="J154" s="1" t="s">
        <v>488</v>
      </c>
      <c r="K154" s="1" t="s">
        <v>487</v>
      </c>
      <c r="L154" s="1" t="s">
        <v>487</v>
      </c>
      <c r="M154" t="str">
        <f t="shared" si="2"/>
        <v>TRUE</v>
      </c>
      <c r="N154" t="s">
        <v>309</v>
      </c>
      <c r="O154">
        <v>26.96</v>
      </c>
      <c r="P154">
        <v>28.87</v>
      </c>
      <c r="Q154">
        <v>14.95</v>
      </c>
      <c r="R154">
        <v>31.18</v>
      </c>
      <c r="S154">
        <v>127.84</v>
      </c>
      <c r="T154">
        <v>16.23</v>
      </c>
      <c r="U154">
        <v>5.17</v>
      </c>
    </row>
    <row r="155" spans="1:21">
      <c r="A155" s="1" t="s">
        <v>659</v>
      </c>
      <c r="B155" s="1" t="s">
        <v>311</v>
      </c>
      <c r="C155" s="1" t="s">
        <v>647</v>
      </c>
      <c r="D155" s="1" t="s">
        <v>487</v>
      </c>
      <c r="E155" s="1" t="s">
        <v>487</v>
      </c>
      <c r="F155" s="2">
        <v>34733</v>
      </c>
      <c r="G155" s="2">
        <v>44244</v>
      </c>
      <c r="H155" s="1">
        <v>26</v>
      </c>
      <c r="I155" s="1">
        <v>1</v>
      </c>
      <c r="J155" s="1" t="s">
        <v>488</v>
      </c>
      <c r="K155" s="1" t="s">
        <v>487</v>
      </c>
      <c r="L155" s="1" t="s">
        <v>487</v>
      </c>
      <c r="M155" t="str">
        <f t="shared" si="2"/>
        <v>TRUE</v>
      </c>
      <c r="N155" t="s">
        <v>311</v>
      </c>
      <c r="O155">
        <v>44.81</v>
      </c>
      <c r="P155">
        <v>62.72</v>
      </c>
      <c r="Q155">
        <v>23.96</v>
      </c>
      <c r="R155">
        <v>293.72000000000003</v>
      </c>
      <c r="S155">
        <v>301.14999999999998</v>
      </c>
      <c r="T155">
        <v>15.4</v>
      </c>
      <c r="U155">
        <v>51</v>
      </c>
    </row>
    <row r="156" spans="1:21">
      <c r="A156" s="1" t="s">
        <v>660</v>
      </c>
      <c r="B156" s="1" t="s">
        <v>313</v>
      </c>
      <c r="C156" s="1" t="s">
        <v>661</v>
      </c>
      <c r="D156" s="1" t="s">
        <v>487</v>
      </c>
      <c r="E156" s="1" t="s">
        <v>487</v>
      </c>
      <c r="F156" s="2">
        <v>24855</v>
      </c>
      <c r="G156" s="2">
        <v>44245</v>
      </c>
      <c r="H156" s="1">
        <v>53</v>
      </c>
      <c r="I156" s="1">
        <v>1</v>
      </c>
      <c r="J156" s="1" t="s">
        <v>488</v>
      </c>
      <c r="K156" s="1" t="s">
        <v>487</v>
      </c>
      <c r="L156" s="1" t="s">
        <v>487</v>
      </c>
      <c r="M156" t="str">
        <f t="shared" si="2"/>
        <v>TRUE</v>
      </c>
      <c r="N156" t="s">
        <v>313</v>
      </c>
      <c r="O156">
        <v>35.619999999999997</v>
      </c>
      <c r="P156">
        <v>51.61</v>
      </c>
      <c r="Q156">
        <v>6.91</v>
      </c>
      <c r="R156">
        <v>105.66</v>
      </c>
      <c r="S156">
        <v>118.32</v>
      </c>
      <c r="T156">
        <v>14.38</v>
      </c>
      <c r="U156">
        <v>10.91</v>
      </c>
    </row>
    <row r="157" spans="1:21">
      <c r="A157" s="1" t="s">
        <v>662</v>
      </c>
      <c r="B157" s="1" t="s">
        <v>315</v>
      </c>
      <c r="C157" s="1" t="s">
        <v>647</v>
      </c>
      <c r="D157" s="1" t="s">
        <v>487</v>
      </c>
      <c r="E157" s="1" t="s">
        <v>487</v>
      </c>
      <c r="F157" s="2">
        <v>32239</v>
      </c>
      <c r="G157" s="2">
        <v>44245</v>
      </c>
      <c r="H157" s="1">
        <v>32</v>
      </c>
      <c r="I157" s="1">
        <v>1</v>
      </c>
      <c r="J157" s="1" t="s">
        <v>488</v>
      </c>
      <c r="K157" s="1" t="s">
        <v>487</v>
      </c>
      <c r="L157" s="1" t="s">
        <v>487</v>
      </c>
      <c r="M157" t="str">
        <f t="shared" si="2"/>
        <v>TRUE</v>
      </c>
      <c r="N157" t="s">
        <v>315</v>
      </c>
      <c r="O157">
        <v>129.46</v>
      </c>
      <c r="P157">
        <v>52.05</v>
      </c>
      <c r="Q157">
        <v>23.39</v>
      </c>
      <c r="R157">
        <v>567.44000000000005</v>
      </c>
      <c r="S157">
        <v>575.54999999999995</v>
      </c>
      <c r="T157">
        <v>48.52</v>
      </c>
      <c r="U157">
        <v>47.59</v>
      </c>
    </row>
    <row r="158" spans="1:21">
      <c r="A158" s="1" t="s">
        <v>663</v>
      </c>
      <c r="B158" s="1" t="s">
        <v>317</v>
      </c>
      <c r="C158" s="1" t="s">
        <v>647</v>
      </c>
      <c r="D158" s="1" t="s">
        <v>487</v>
      </c>
      <c r="E158" s="1" t="s">
        <v>487</v>
      </c>
      <c r="F158" s="2">
        <v>30318</v>
      </c>
      <c r="G158" s="2">
        <v>44250</v>
      </c>
      <c r="H158" s="1">
        <v>38</v>
      </c>
      <c r="I158" s="1">
        <v>1</v>
      </c>
      <c r="J158" s="1" t="s">
        <v>493</v>
      </c>
      <c r="K158" s="1" t="s">
        <v>487</v>
      </c>
      <c r="L158" s="1" t="s">
        <v>487</v>
      </c>
      <c r="M158" t="str">
        <f t="shared" si="2"/>
        <v>TRUE</v>
      </c>
      <c r="N158" t="s">
        <v>317</v>
      </c>
      <c r="O158">
        <v>77.08</v>
      </c>
      <c r="P158">
        <v>82.93</v>
      </c>
      <c r="Q158">
        <v>39.590000000000003</v>
      </c>
      <c r="R158">
        <v>194.3</v>
      </c>
      <c r="S158">
        <v>123.58</v>
      </c>
      <c r="T158">
        <v>13.44</v>
      </c>
      <c r="U158">
        <v>87.67</v>
      </c>
    </row>
    <row r="159" spans="1:21">
      <c r="A159" s="1" t="s">
        <v>664</v>
      </c>
      <c r="B159" s="1" t="s">
        <v>319</v>
      </c>
      <c r="C159" s="1" t="s">
        <v>647</v>
      </c>
      <c r="D159" s="1" t="s">
        <v>487</v>
      </c>
      <c r="E159" s="1" t="s">
        <v>487</v>
      </c>
      <c r="F159" s="2">
        <v>29625</v>
      </c>
      <c r="G159" s="2">
        <v>44251</v>
      </c>
      <c r="H159" s="1">
        <v>40</v>
      </c>
      <c r="I159" s="1">
        <v>1</v>
      </c>
      <c r="J159" s="1" t="s">
        <v>488</v>
      </c>
      <c r="K159" s="1" t="s">
        <v>487</v>
      </c>
      <c r="L159" s="1" t="s">
        <v>487</v>
      </c>
      <c r="M159" t="str">
        <f t="shared" si="2"/>
        <v>TRUE</v>
      </c>
      <c r="N159" t="s">
        <v>319</v>
      </c>
      <c r="O159">
        <v>41.21</v>
      </c>
      <c r="P159">
        <v>40.14</v>
      </c>
      <c r="Q159">
        <v>12.29</v>
      </c>
      <c r="R159">
        <v>96.66</v>
      </c>
      <c r="S159">
        <v>54.85</v>
      </c>
      <c r="T159">
        <v>4.74</v>
      </c>
      <c r="U159">
        <v>15.06</v>
      </c>
    </row>
    <row r="160" spans="1:21">
      <c r="A160" s="1" t="s">
        <v>665</v>
      </c>
      <c r="B160" s="1" t="s">
        <v>321</v>
      </c>
      <c r="C160" s="1" t="s">
        <v>647</v>
      </c>
      <c r="D160" s="1" t="s">
        <v>487</v>
      </c>
      <c r="E160" s="1" t="s">
        <v>487</v>
      </c>
      <c r="F160" s="2">
        <v>30742</v>
      </c>
      <c r="G160" s="2">
        <v>44256</v>
      </c>
      <c r="H160" s="1">
        <v>37</v>
      </c>
      <c r="I160" s="1">
        <v>1</v>
      </c>
      <c r="J160" s="1" t="s">
        <v>493</v>
      </c>
      <c r="K160" s="1" t="s">
        <v>487</v>
      </c>
      <c r="L160" s="1" t="s">
        <v>487</v>
      </c>
      <c r="M160" t="str">
        <f t="shared" si="2"/>
        <v>TRUE</v>
      </c>
      <c r="N160" t="s">
        <v>321</v>
      </c>
      <c r="O160">
        <v>100.06</v>
      </c>
      <c r="P160">
        <v>160.97</v>
      </c>
      <c r="Q160">
        <v>31.52</v>
      </c>
      <c r="R160">
        <v>220.3</v>
      </c>
      <c r="S160">
        <v>145.63</v>
      </c>
      <c r="T160">
        <v>30.6</v>
      </c>
      <c r="U160">
        <v>38.07</v>
      </c>
    </row>
    <row r="161" spans="1:21">
      <c r="A161" s="1" t="s">
        <v>666</v>
      </c>
      <c r="B161" s="1" t="s">
        <v>323</v>
      </c>
      <c r="C161" s="1" t="s">
        <v>647</v>
      </c>
      <c r="D161" s="1" t="s">
        <v>487</v>
      </c>
      <c r="E161" s="1" t="s">
        <v>487</v>
      </c>
      <c r="F161" s="2">
        <v>31628</v>
      </c>
      <c r="G161" s="2">
        <v>44258</v>
      </c>
      <c r="H161" s="1">
        <v>34</v>
      </c>
      <c r="I161" s="1">
        <v>1</v>
      </c>
      <c r="J161" s="1" t="s">
        <v>493</v>
      </c>
      <c r="K161" s="1" t="s">
        <v>487</v>
      </c>
      <c r="L161" s="1" t="s">
        <v>487</v>
      </c>
      <c r="M161" t="str">
        <f t="shared" si="2"/>
        <v>TRUE</v>
      </c>
      <c r="N161" t="s">
        <v>323</v>
      </c>
      <c r="O161">
        <v>59.81</v>
      </c>
      <c r="P161">
        <v>31.59</v>
      </c>
      <c r="Q161">
        <v>25.72</v>
      </c>
      <c r="R161">
        <v>181.92</v>
      </c>
      <c r="S161">
        <v>333.39</v>
      </c>
      <c r="T161">
        <v>74.64</v>
      </c>
      <c r="U161">
        <v>57.97</v>
      </c>
    </row>
    <row r="162" spans="1:21">
      <c r="A162" s="1" t="s">
        <v>667</v>
      </c>
      <c r="B162" s="1" t="s">
        <v>325</v>
      </c>
      <c r="C162" s="1" t="s">
        <v>647</v>
      </c>
      <c r="D162" s="1" t="s">
        <v>487</v>
      </c>
      <c r="E162" s="1" t="s">
        <v>487</v>
      </c>
      <c r="F162" s="2">
        <v>31809</v>
      </c>
      <c r="G162" s="2">
        <v>44258</v>
      </c>
      <c r="H162" s="1">
        <v>34</v>
      </c>
      <c r="I162" s="1">
        <v>1</v>
      </c>
      <c r="J162" s="1" t="s">
        <v>493</v>
      </c>
      <c r="K162" s="1" t="s">
        <v>487</v>
      </c>
      <c r="L162" s="1" t="s">
        <v>487</v>
      </c>
      <c r="M162" t="str">
        <f t="shared" si="2"/>
        <v>TRUE</v>
      </c>
      <c r="N162" t="s">
        <v>325</v>
      </c>
      <c r="O162">
        <v>1000.000011</v>
      </c>
      <c r="P162">
        <v>32.159999999999997</v>
      </c>
      <c r="Q162">
        <v>200.89</v>
      </c>
      <c r="R162">
        <v>885.68</v>
      </c>
      <c r="S162">
        <v>366.24</v>
      </c>
      <c r="T162">
        <v>28.87</v>
      </c>
      <c r="U162">
        <v>102.91</v>
      </c>
    </row>
    <row r="163" spans="1:21">
      <c r="A163" s="1" t="s">
        <v>668</v>
      </c>
      <c r="B163" s="1" t="s">
        <v>327</v>
      </c>
      <c r="C163" s="1" t="s">
        <v>501</v>
      </c>
      <c r="D163" s="1" t="s">
        <v>538</v>
      </c>
      <c r="E163" s="1" t="s">
        <v>499</v>
      </c>
      <c r="F163" s="2">
        <v>19925</v>
      </c>
      <c r="G163" s="2">
        <v>43677</v>
      </c>
      <c r="H163" s="1">
        <v>65</v>
      </c>
      <c r="I163" s="1">
        <v>1</v>
      </c>
      <c r="J163" s="1" t="s">
        <v>493</v>
      </c>
      <c r="K163" s="1">
        <v>329</v>
      </c>
      <c r="L163" s="1">
        <v>2</v>
      </c>
      <c r="M163" t="str">
        <f t="shared" si="2"/>
        <v>TRUE</v>
      </c>
      <c r="N163" t="s">
        <v>327</v>
      </c>
      <c r="O163">
        <v>19.7</v>
      </c>
      <c r="P163">
        <v>32.630000000000003</v>
      </c>
      <c r="Q163">
        <v>8.66</v>
      </c>
      <c r="R163">
        <v>43.25</v>
      </c>
      <c r="S163">
        <v>34.58</v>
      </c>
      <c r="T163">
        <v>7.22</v>
      </c>
      <c r="U163">
        <v>12.39</v>
      </c>
    </row>
    <row r="164" spans="1:21">
      <c r="A164" s="1" t="s">
        <v>669</v>
      </c>
      <c r="B164" s="1" t="s">
        <v>329</v>
      </c>
      <c r="C164" s="1" t="s">
        <v>490</v>
      </c>
      <c r="D164" s="1" t="s">
        <v>491</v>
      </c>
      <c r="E164" s="1" t="s">
        <v>499</v>
      </c>
      <c r="F164" s="2">
        <v>34948</v>
      </c>
      <c r="G164" s="2">
        <v>43690</v>
      </c>
      <c r="H164" s="1">
        <v>23</v>
      </c>
      <c r="I164" s="1">
        <v>1</v>
      </c>
      <c r="J164" s="1" t="s">
        <v>493</v>
      </c>
      <c r="K164" s="1">
        <v>7699</v>
      </c>
      <c r="L164" s="1">
        <v>6</v>
      </c>
      <c r="M164" t="str">
        <f t="shared" si="2"/>
        <v>TRUE</v>
      </c>
      <c r="N164" t="s">
        <v>329</v>
      </c>
      <c r="O164">
        <v>28.77</v>
      </c>
      <c r="P164">
        <v>13.94</v>
      </c>
      <c r="Q164">
        <v>13.5</v>
      </c>
      <c r="R164">
        <v>9.18</v>
      </c>
      <c r="S164">
        <v>21.38</v>
      </c>
      <c r="T164">
        <v>6.42</v>
      </c>
      <c r="U164">
        <v>2.4900000000000002</v>
      </c>
    </row>
    <row r="165" spans="1:21">
      <c r="A165" s="1" t="s">
        <v>670</v>
      </c>
      <c r="B165" s="1" t="s">
        <v>331</v>
      </c>
      <c r="C165" s="1" t="s">
        <v>490</v>
      </c>
      <c r="D165" s="1" t="s">
        <v>491</v>
      </c>
      <c r="E165" s="1" t="s">
        <v>492</v>
      </c>
      <c r="F165" s="2">
        <v>34403</v>
      </c>
      <c r="G165" s="2">
        <v>43690</v>
      </c>
      <c r="H165" s="1">
        <v>25</v>
      </c>
      <c r="I165" s="1">
        <v>6</v>
      </c>
      <c r="J165" s="1" t="s">
        <v>493</v>
      </c>
      <c r="K165" s="1">
        <v>3772</v>
      </c>
      <c r="L165" s="1">
        <v>7</v>
      </c>
      <c r="M165" t="str">
        <f t="shared" si="2"/>
        <v>TRUE</v>
      </c>
      <c r="N165" t="s">
        <v>331</v>
      </c>
      <c r="O165">
        <v>24.89</v>
      </c>
      <c r="P165">
        <v>5.71</v>
      </c>
      <c r="Q165">
        <v>30.51</v>
      </c>
      <c r="R165">
        <v>50.31</v>
      </c>
      <c r="S165">
        <v>118.34</v>
      </c>
      <c r="T165">
        <v>11.57</v>
      </c>
      <c r="U165">
        <v>2.4900000000000002</v>
      </c>
    </row>
    <row r="166" spans="1:21">
      <c r="A166" s="1" t="s">
        <v>671</v>
      </c>
      <c r="B166" s="1" t="s">
        <v>333</v>
      </c>
      <c r="C166" s="1" t="s">
        <v>490</v>
      </c>
      <c r="D166" s="1" t="s">
        <v>491</v>
      </c>
      <c r="E166" s="1" t="s">
        <v>499</v>
      </c>
      <c r="F166" s="2">
        <v>23568</v>
      </c>
      <c r="G166" s="2">
        <v>43699</v>
      </c>
      <c r="H166" s="1">
        <v>55</v>
      </c>
      <c r="I166" s="1">
        <v>2</v>
      </c>
      <c r="J166" s="1" t="s">
        <v>488</v>
      </c>
      <c r="K166" s="1">
        <v>57</v>
      </c>
      <c r="L166" s="1">
        <v>4</v>
      </c>
      <c r="M166" t="str">
        <f t="shared" si="2"/>
        <v>TRUE</v>
      </c>
      <c r="N166" t="s">
        <v>333</v>
      </c>
      <c r="O166">
        <v>31.3</v>
      </c>
      <c r="P166">
        <v>32.31</v>
      </c>
      <c r="Q166">
        <v>7.63</v>
      </c>
      <c r="R166">
        <v>54.8</v>
      </c>
      <c r="S166">
        <v>106.37</v>
      </c>
      <c r="T166">
        <v>7.38</v>
      </c>
      <c r="U166">
        <v>17.829999999999998</v>
      </c>
    </row>
    <row r="167" spans="1:21">
      <c r="A167" s="1" t="s">
        <v>672</v>
      </c>
      <c r="B167" s="1" t="s">
        <v>335</v>
      </c>
      <c r="C167" s="1" t="s">
        <v>501</v>
      </c>
      <c r="D167" s="1" t="s">
        <v>532</v>
      </c>
      <c r="E167" s="1" t="s">
        <v>492</v>
      </c>
      <c r="F167" s="2">
        <v>18937</v>
      </c>
      <c r="G167" s="2">
        <v>43711</v>
      </c>
      <c r="H167" s="1">
        <v>67</v>
      </c>
      <c r="I167" s="1">
        <v>1</v>
      </c>
      <c r="J167" s="1" t="s">
        <v>488</v>
      </c>
      <c r="K167" s="1">
        <v>715</v>
      </c>
      <c r="L167" s="1">
        <v>5</v>
      </c>
      <c r="M167" t="str">
        <f t="shared" si="2"/>
        <v>TRUE</v>
      </c>
      <c r="N167" t="s">
        <v>335</v>
      </c>
      <c r="O167">
        <v>18.14</v>
      </c>
      <c r="P167">
        <v>29.49</v>
      </c>
      <c r="Q167">
        <v>7.13</v>
      </c>
      <c r="R167">
        <v>53.87</v>
      </c>
      <c r="S167">
        <v>56.99</v>
      </c>
      <c r="T167">
        <v>5.88</v>
      </c>
      <c r="U167">
        <v>10.53</v>
      </c>
    </row>
    <row r="168" spans="1:21">
      <c r="A168" s="1" t="s">
        <v>673</v>
      </c>
      <c r="B168" s="1" t="s">
        <v>337</v>
      </c>
      <c r="C168" s="1" t="s">
        <v>490</v>
      </c>
      <c r="D168" s="1" t="s">
        <v>491</v>
      </c>
      <c r="E168" s="1" t="s">
        <v>492</v>
      </c>
      <c r="F168" s="2">
        <v>34403</v>
      </c>
      <c r="G168" s="2">
        <v>43718</v>
      </c>
      <c r="H168" s="1">
        <v>25</v>
      </c>
      <c r="I168" s="1">
        <v>7</v>
      </c>
      <c r="J168" s="1" t="s">
        <v>493</v>
      </c>
      <c r="K168" s="1">
        <v>904</v>
      </c>
      <c r="L168" s="1">
        <v>5</v>
      </c>
      <c r="M168" t="str">
        <f t="shared" si="2"/>
        <v>TRUE</v>
      </c>
      <c r="N168" t="s">
        <v>337</v>
      </c>
      <c r="O168">
        <v>29.54</v>
      </c>
      <c r="P168">
        <v>16.329999999999998</v>
      </c>
      <c r="Q168">
        <v>64.63</v>
      </c>
      <c r="R168">
        <v>2500.0100000000002</v>
      </c>
      <c r="S168">
        <v>1900.76</v>
      </c>
      <c r="T168">
        <v>40.86</v>
      </c>
      <c r="U168">
        <v>27.79</v>
      </c>
    </row>
    <row r="169" spans="1:21">
      <c r="A169" s="1" t="s">
        <v>674</v>
      </c>
      <c r="B169" s="1" t="s">
        <v>339</v>
      </c>
      <c r="C169" s="1" t="s">
        <v>490</v>
      </c>
      <c r="D169" s="1" t="s">
        <v>491</v>
      </c>
      <c r="E169" s="1" t="s">
        <v>499</v>
      </c>
      <c r="F169" s="2">
        <v>34948</v>
      </c>
      <c r="G169" s="2">
        <v>43719</v>
      </c>
      <c r="H169" s="1">
        <v>24</v>
      </c>
      <c r="I169" s="1">
        <v>2</v>
      </c>
      <c r="J169" s="1" t="s">
        <v>493</v>
      </c>
      <c r="K169" s="1">
        <v>251</v>
      </c>
      <c r="L169" s="1">
        <v>4</v>
      </c>
      <c r="M169" t="str">
        <f t="shared" si="2"/>
        <v>TRUE</v>
      </c>
      <c r="N169" t="s">
        <v>339</v>
      </c>
      <c r="O169">
        <v>52.89</v>
      </c>
      <c r="P169">
        <v>26.21</v>
      </c>
      <c r="Q169">
        <v>27.28</v>
      </c>
      <c r="R169">
        <v>49.23</v>
      </c>
      <c r="S169">
        <v>59.18</v>
      </c>
      <c r="T169">
        <v>8.7899999999999991</v>
      </c>
      <c r="U169">
        <v>5.75</v>
      </c>
    </row>
    <row r="170" spans="1:21">
      <c r="A170" s="1" t="s">
        <v>675</v>
      </c>
      <c r="B170" s="1" t="s">
        <v>341</v>
      </c>
      <c r="C170" s="1" t="s">
        <v>501</v>
      </c>
      <c r="D170" s="1" t="s">
        <v>538</v>
      </c>
      <c r="E170" s="1" t="s">
        <v>499</v>
      </c>
      <c r="F170" s="2">
        <v>19925</v>
      </c>
      <c r="G170" s="2">
        <v>43705</v>
      </c>
      <c r="H170" s="1">
        <v>65</v>
      </c>
      <c r="I170" s="1">
        <v>2</v>
      </c>
      <c r="J170" s="1" t="s">
        <v>493</v>
      </c>
      <c r="K170" s="1">
        <v>122</v>
      </c>
      <c r="L170" s="1">
        <v>2</v>
      </c>
      <c r="M170" t="str">
        <f t="shared" si="2"/>
        <v>TRUE</v>
      </c>
      <c r="N170" t="s">
        <v>341</v>
      </c>
      <c r="O170">
        <v>20.34</v>
      </c>
      <c r="P170">
        <v>11.87</v>
      </c>
      <c r="Q170">
        <v>9.2100000000000009</v>
      </c>
      <c r="R170">
        <v>31.62</v>
      </c>
      <c r="S170">
        <v>33.43</v>
      </c>
      <c r="T170">
        <v>4.38</v>
      </c>
      <c r="U170">
        <v>5.84</v>
      </c>
    </row>
    <row r="171" spans="1:21">
      <c r="A171" s="1" t="s">
        <v>676</v>
      </c>
      <c r="B171" s="1" t="s">
        <v>343</v>
      </c>
      <c r="C171" s="1" t="s">
        <v>501</v>
      </c>
      <c r="D171" s="1" t="s">
        <v>538</v>
      </c>
      <c r="E171" s="1" t="s">
        <v>499</v>
      </c>
      <c r="F171" s="2">
        <v>19925</v>
      </c>
      <c r="G171" s="2">
        <v>43733</v>
      </c>
      <c r="H171" s="1">
        <v>65</v>
      </c>
      <c r="I171" s="1">
        <v>3</v>
      </c>
      <c r="J171" s="1" t="s">
        <v>493</v>
      </c>
      <c r="K171" s="1">
        <v>220</v>
      </c>
      <c r="L171" s="1">
        <v>2</v>
      </c>
      <c r="M171" t="str">
        <f t="shared" si="2"/>
        <v>TRUE</v>
      </c>
      <c r="N171" t="s">
        <v>343</v>
      </c>
      <c r="O171">
        <v>27.09</v>
      </c>
      <c r="P171">
        <v>13.21</v>
      </c>
      <c r="Q171">
        <v>7.47</v>
      </c>
      <c r="R171">
        <v>120.9</v>
      </c>
      <c r="S171">
        <v>118.33</v>
      </c>
      <c r="T171">
        <v>8.9</v>
      </c>
      <c r="U171">
        <v>18.64</v>
      </c>
    </row>
    <row r="172" spans="1:21">
      <c r="A172" s="1" t="s">
        <v>677</v>
      </c>
      <c r="B172" s="1" t="s">
        <v>345</v>
      </c>
      <c r="C172" s="1" t="s">
        <v>501</v>
      </c>
      <c r="D172" s="1" t="s">
        <v>571</v>
      </c>
      <c r="E172" s="1" t="s">
        <v>492</v>
      </c>
      <c r="F172" s="2">
        <v>31009</v>
      </c>
      <c r="G172" s="2">
        <v>43763</v>
      </c>
      <c r="H172" s="1">
        <v>34</v>
      </c>
      <c r="I172" s="1">
        <v>2</v>
      </c>
      <c r="J172" s="1" t="s">
        <v>488</v>
      </c>
      <c r="K172" s="1">
        <v>445</v>
      </c>
      <c r="L172" s="1">
        <v>2</v>
      </c>
      <c r="M172" t="str">
        <f t="shared" si="2"/>
        <v>TRUE</v>
      </c>
      <c r="N172" t="s">
        <v>345</v>
      </c>
      <c r="O172">
        <v>42.02</v>
      </c>
      <c r="P172">
        <v>87.47</v>
      </c>
      <c r="Q172">
        <v>34.61</v>
      </c>
      <c r="R172">
        <v>246.84</v>
      </c>
      <c r="S172">
        <v>141.99</v>
      </c>
      <c r="T172">
        <v>32.869999999999997</v>
      </c>
      <c r="U172">
        <v>72.599999999999994</v>
      </c>
    </row>
    <row r="173" spans="1:21">
      <c r="A173" s="1" t="s">
        <v>678</v>
      </c>
      <c r="B173" s="1" t="s">
        <v>347</v>
      </c>
      <c r="C173" s="1" t="s">
        <v>490</v>
      </c>
      <c r="D173" s="1" t="s">
        <v>491</v>
      </c>
      <c r="E173" s="1" t="s">
        <v>499</v>
      </c>
      <c r="F173" s="2">
        <v>23568</v>
      </c>
      <c r="G173" s="2">
        <v>43728</v>
      </c>
      <c r="H173" s="1">
        <v>55</v>
      </c>
      <c r="I173" s="1">
        <v>3</v>
      </c>
      <c r="J173" s="1" t="s">
        <v>488</v>
      </c>
      <c r="K173" s="1">
        <v>15</v>
      </c>
      <c r="L173" s="1">
        <v>3</v>
      </c>
      <c r="M173" t="str">
        <f t="shared" si="2"/>
        <v>TRUE</v>
      </c>
      <c r="N173" t="s">
        <v>347</v>
      </c>
      <c r="O173">
        <v>36.659999999999997</v>
      </c>
      <c r="P173">
        <v>32.729999999999997</v>
      </c>
      <c r="Q173">
        <v>15.26</v>
      </c>
      <c r="R173">
        <v>157.94</v>
      </c>
      <c r="S173">
        <v>182.32</v>
      </c>
      <c r="T173">
        <v>40.21</v>
      </c>
      <c r="U173">
        <v>22.11</v>
      </c>
    </row>
    <row r="174" spans="1:21">
      <c r="A174" s="1" t="s">
        <v>679</v>
      </c>
      <c r="B174" s="1" t="s">
        <v>349</v>
      </c>
      <c r="C174" s="1" t="s">
        <v>501</v>
      </c>
      <c r="D174" s="1" t="s">
        <v>502</v>
      </c>
      <c r="E174" s="1" t="s">
        <v>499</v>
      </c>
      <c r="F174" s="2">
        <v>22293</v>
      </c>
      <c r="G174" s="2">
        <v>43754</v>
      </c>
      <c r="H174" s="1">
        <v>58</v>
      </c>
      <c r="I174" s="1">
        <v>2</v>
      </c>
      <c r="J174" s="1" t="s">
        <v>493</v>
      </c>
      <c r="K174" s="1">
        <v>254</v>
      </c>
      <c r="L174" s="1">
        <v>2</v>
      </c>
      <c r="M174" t="str">
        <f t="shared" si="2"/>
        <v>TRUE</v>
      </c>
      <c r="N174" t="s">
        <v>349</v>
      </c>
      <c r="O174">
        <v>279.95</v>
      </c>
      <c r="P174">
        <v>64.44</v>
      </c>
      <c r="Q174">
        <v>46.04</v>
      </c>
      <c r="R174">
        <v>278.26</v>
      </c>
      <c r="S174">
        <v>342.46</v>
      </c>
      <c r="T174">
        <v>67.87</v>
      </c>
      <c r="U174">
        <v>56.36</v>
      </c>
    </row>
    <row r="175" spans="1:21">
      <c r="A175" s="1" t="s">
        <v>680</v>
      </c>
      <c r="B175" s="1" t="s">
        <v>351</v>
      </c>
      <c r="C175" s="1" t="s">
        <v>490</v>
      </c>
      <c r="D175" s="1" t="s">
        <v>491</v>
      </c>
      <c r="E175" s="1" t="s">
        <v>499</v>
      </c>
      <c r="F175" s="2">
        <v>34948</v>
      </c>
      <c r="G175" s="2">
        <v>43755</v>
      </c>
      <c r="H175" s="1">
        <v>24</v>
      </c>
      <c r="I175" s="1">
        <v>3</v>
      </c>
      <c r="J175" s="1" t="s">
        <v>493</v>
      </c>
      <c r="K175" s="1">
        <v>15</v>
      </c>
      <c r="L175" s="1">
        <v>1</v>
      </c>
      <c r="M175" t="str">
        <f t="shared" si="2"/>
        <v>TRUE</v>
      </c>
      <c r="N175" t="s">
        <v>351</v>
      </c>
      <c r="O175">
        <v>68.58</v>
      </c>
      <c r="P175">
        <v>30.56</v>
      </c>
      <c r="Q175">
        <v>32.24</v>
      </c>
      <c r="R175">
        <v>139.19999999999999</v>
      </c>
      <c r="S175">
        <v>213.79</v>
      </c>
      <c r="T175">
        <v>76.86</v>
      </c>
      <c r="U175">
        <v>20.49</v>
      </c>
    </row>
    <row r="176" spans="1:21">
      <c r="A176" s="1" t="s">
        <v>681</v>
      </c>
      <c r="B176" s="1" t="s">
        <v>353</v>
      </c>
      <c r="C176" s="1" t="s">
        <v>490</v>
      </c>
      <c r="D176" s="1" t="s">
        <v>491</v>
      </c>
      <c r="E176" s="1" t="s">
        <v>499</v>
      </c>
      <c r="F176" s="2">
        <v>23568</v>
      </c>
      <c r="G176" s="2">
        <v>43756</v>
      </c>
      <c r="H176" s="1">
        <v>55</v>
      </c>
      <c r="I176" s="1">
        <v>4</v>
      </c>
      <c r="J176" s="1" t="s">
        <v>488</v>
      </c>
      <c r="K176" s="1">
        <v>51</v>
      </c>
      <c r="L176" s="1">
        <v>2</v>
      </c>
      <c r="M176" t="str">
        <f t="shared" si="2"/>
        <v>TRUE</v>
      </c>
      <c r="N176" t="s">
        <v>353</v>
      </c>
      <c r="O176">
        <v>23.12</v>
      </c>
      <c r="P176">
        <v>27.33</v>
      </c>
      <c r="Q176">
        <v>10.98</v>
      </c>
      <c r="R176">
        <v>47.04</v>
      </c>
      <c r="S176">
        <v>69.790000000000006</v>
      </c>
      <c r="T176">
        <v>6.92</v>
      </c>
      <c r="U176">
        <v>3.68</v>
      </c>
    </row>
    <row r="177" spans="1:21">
      <c r="A177" s="1" t="s">
        <v>682</v>
      </c>
      <c r="B177" s="1" t="s">
        <v>355</v>
      </c>
      <c r="C177" s="1" t="s">
        <v>501</v>
      </c>
      <c r="D177" s="1" t="s">
        <v>538</v>
      </c>
      <c r="E177" s="1" t="s">
        <v>499</v>
      </c>
      <c r="F177" s="2">
        <v>19925</v>
      </c>
      <c r="G177" s="2">
        <v>43768</v>
      </c>
      <c r="H177" s="1">
        <v>65</v>
      </c>
      <c r="I177" s="1">
        <v>4</v>
      </c>
      <c r="J177" s="1" t="s">
        <v>493</v>
      </c>
      <c r="K177" s="1">
        <v>157</v>
      </c>
      <c r="L177" s="1">
        <v>3</v>
      </c>
      <c r="M177" t="str">
        <f t="shared" si="2"/>
        <v>TRUE</v>
      </c>
      <c r="N177" t="s">
        <v>355</v>
      </c>
      <c r="O177">
        <v>19.38</v>
      </c>
      <c r="P177">
        <v>21.28</v>
      </c>
      <c r="Q177">
        <v>16.7</v>
      </c>
      <c r="R177">
        <v>102.11</v>
      </c>
      <c r="S177">
        <v>210.33</v>
      </c>
      <c r="T177">
        <v>16.91</v>
      </c>
      <c r="U177">
        <v>16.899999999999999</v>
      </c>
    </row>
    <row r="178" spans="1:21">
      <c r="A178" s="1" t="s">
        <v>683</v>
      </c>
      <c r="B178" s="1" t="s">
        <v>357</v>
      </c>
      <c r="C178" s="1" t="s">
        <v>501</v>
      </c>
      <c r="D178" s="1" t="s">
        <v>582</v>
      </c>
      <c r="E178" s="1" t="s">
        <v>492</v>
      </c>
      <c r="F178" s="2">
        <v>21300</v>
      </c>
      <c r="G178" s="2">
        <v>43770</v>
      </c>
      <c r="H178" s="1">
        <v>61</v>
      </c>
      <c r="I178" s="1">
        <v>2</v>
      </c>
      <c r="J178" s="1" t="s">
        <v>493</v>
      </c>
      <c r="K178" s="1">
        <v>921</v>
      </c>
      <c r="L178" s="1">
        <v>12</v>
      </c>
      <c r="M178" t="str">
        <f t="shared" si="2"/>
        <v>TRUE</v>
      </c>
      <c r="N178" t="s">
        <v>357</v>
      </c>
      <c r="O178">
        <v>1000.000011</v>
      </c>
      <c r="P178">
        <v>5.0599999999999996</v>
      </c>
      <c r="Q178">
        <v>89.35</v>
      </c>
      <c r="R178">
        <v>2500.0100000000002</v>
      </c>
      <c r="S178">
        <v>2500.0100000000002</v>
      </c>
      <c r="T178">
        <v>705.28</v>
      </c>
      <c r="U178">
        <v>4.8600000000000003</v>
      </c>
    </row>
    <row r="179" spans="1:21">
      <c r="A179" s="1" t="s">
        <v>684</v>
      </c>
      <c r="B179" s="1" t="s">
        <v>359</v>
      </c>
      <c r="C179" s="1" t="s">
        <v>490</v>
      </c>
      <c r="D179" s="1" t="s">
        <v>491</v>
      </c>
      <c r="E179" s="1" t="s">
        <v>499</v>
      </c>
      <c r="F179" s="2">
        <v>34948</v>
      </c>
      <c r="G179" s="2">
        <v>43788</v>
      </c>
      <c r="H179" s="1">
        <v>24</v>
      </c>
      <c r="I179" s="1">
        <v>4</v>
      </c>
      <c r="J179" s="1" t="s">
        <v>493</v>
      </c>
      <c r="K179" s="1">
        <v>61</v>
      </c>
      <c r="L179" s="1">
        <v>1</v>
      </c>
      <c r="M179" t="str">
        <f t="shared" si="2"/>
        <v>TRUE</v>
      </c>
      <c r="N179" t="s">
        <v>359</v>
      </c>
      <c r="O179">
        <v>523.33000000000004</v>
      </c>
      <c r="P179">
        <v>125.33</v>
      </c>
      <c r="Q179">
        <v>130.28</v>
      </c>
      <c r="R179">
        <v>713.13</v>
      </c>
      <c r="S179">
        <v>630.09</v>
      </c>
      <c r="T179">
        <v>233.73</v>
      </c>
      <c r="U179">
        <v>198.36</v>
      </c>
    </row>
    <row r="180" spans="1:21">
      <c r="A180" s="1" t="s">
        <v>685</v>
      </c>
      <c r="B180" s="1" t="s">
        <v>361</v>
      </c>
      <c r="C180" s="1" t="s">
        <v>501</v>
      </c>
      <c r="D180" s="1" t="s">
        <v>502</v>
      </c>
      <c r="E180" s="1" t="s">
        <v>499</v>
      </c>
      <c r="F180" s="2">
        <v>22293</v>
      </c>
      <c r="G180" s="2">
        <v>43816</v>
      </c>
      <c r="H180" s="1">
        <v>58</v>
      </c>
      <c r="I180" s="1">
        <v>4</v>
      </c>
      <c r="J180" s="1" t="s">
        <v>493</v>
      </c>
      <c r="K180" s="1">
        <v>653</v>
      </c>
      <c r="L180" s="1">
        <v>0</v>
      </c>
      <c r="M180" t="str">
        <f t="shared" si="2"/>
        <v>TRUE</v>
      </c>
      <c r="N180" t="s">
        <v>361</v>
      </c>
      <c r="O180">
        <v>220.23</v>
      </c>
      <c r="P180">
        <v>18.03</v>
      </c>
      <c r="Q180">
        <v>40.049999999999997</v>
      </c>
      <c r="R180">
        <v>16.63</v>
      </c>
      <c r="S180">
        <v>9.27</v>
      </c>
      <c r="T180">
        <v>2.5099999999999998</v>
      </c>
      <c r="U180">
        <v>9.64</v>
      </c>
    </row>
    <row r="181" spans="1:21">
      <c r="A181" s="1" t="s">
        <v>686</v>
      </c>
      <c r="B181" s="1" t="s">
        <v>363</v>
      </c>
      <c r="C181" s="1" t="s">
        <v>501</v>
      </c>
      <c r="D181" s="1" t="s">
        <v>502</v>
      </c>
      <c r="E181" s="1" t="s">
        <v>499</v>
      </c>
      <c r="F181" s="2">
        <v>33023</v>
      </c>
      <c r="G181" s="2">
        <v>43817</v>
      </c>
      <c r="H181" s="1">
        <v>29</v>
      </c>
      <c r="I181" s="1">
        <v>2</v>
      </c>
      <c r="J181" s="1" t="s">
        <v>488</v>
      </c>
      <c r="K181" s="1">
        <v>368</v>
      </c>
      <c r="L181" s="1">
        <v>7</v>
      </c>
      <c r="M181" t="str">
        <f t="shared" si="2"/>
        <v>TRUE</v>
      </c>
      <c r="N181" t="s">
        <v>363</v>
      </c>
      <c r="O181">
        <v>1000.000011</v>
      </c>
      <c r="P181">
        <v>82.14</v>
      </c>
      <c r="Q181">
        <v>479.66</v>
      </c>
      <c r="R181">
        <v>219.48</v>
      </c>
      <c r="S181">
        <v>278.3</v>
      </c>
      <c r="T181">
        <v>75.88</v>
      </c>
      <c r="U181">
        <v>82.12</v>
      </c>
    </row>
    <row r="182" spans="1:21">
      <c r="A182" s="1" t="s">
        <v>687</v>
      </c>
      <c r="B182" s="1" t="s">
        <v>365</v>
      </c>
      <c r="C182" s="1" t="s">
        <v>501</v>
      </c>
      <c r="D182" s="1" t="s">
        <v>571</v>
      </c>
      <c r="E182" s="1" t="s">
        <v>499</v>
      </c>
      <c r="F182" s="2">
        <v>29371</v>
      </c>
      <c r="G182" s="2">
        <v>43840</v>
      </c>
      <c r="H182" s="1">
        <v>39</v>
      </c>
      <c r="I182" s="1">
        <v>3</v>
      </c>
      <c r="J182" s="1" t="s">
        <v>493</v>
      </c>
      <c r="K182" s="1">
        <v>29</v>
      </c>
      <c r="L182" s="1">
        <v>2</v>
      </c>
      <c r="M182" t="str">
        <f t="shared" si="2"/>
        <v>TRUE</v>
      </c>
      <c r="N182" t="s">
        <v>365</v>
      </c>
      <c r="O182">
        <v>95.95</v>
      </c>
      <c r="P182">
        <v>8.8800000000000008</v>
      </c>
      <c r="Q182">
        <v>70.650000000000006</v>
      </c>
      <c r="R182">
        <v>131.06</v>
      </c>
      <c r="S182">
        <v>112.56</v>
      </c>
      <c r="T182">
        <v>41.93</v>
      </c>
      <c r="U182">
        <v>2.4900000000000002</v>
      </c>
    </row>
    <row r="183" spans="1:21">
      <c r="A183" s="1" t="s">
        <v>688</v>
      </c>
      <c r="B183" s="1" t="s">
        <v>367</v>
      </c>
      <c r="C183" s="1" t="s">
        <v>501</v>
      </c>
      <c r="D183" s="1" t="s">
        <v>502</v>
      </c>
      <c r="E183" s="1" t="s">
        <v>499</v>
      </c>
      <c r="F183" s="2">
        <v>33023</v>
      </c>
      <c r="G183" s="2">
        <v>43847</v>
      </c>
      <c r="H183" s="1">
        <v>29</v>
      </c>
      <c r="I183" s="1">
        <v>3</v>
      </c>
      <c r="J183" s="1" t="s">
        <v>488</v>
      </c>
      <c r="K183" s="1">
        <v>426</v>
      </c>
      <c r="L183" s="1">
        <v>3</v>
      </c>
      <c r="M183" t="str">
        <f t="shared" si="2"/>
        <v>TRUE</v>
      </c>
      <c r="N183" t="s">
        <v>367</v>
      </c>
      <c r="O183">
        <v>54.18</v>
      </c>
      <c r="P183">
        <v>39.74</v>
      </c>
      <c r="Q183">
        <v>52.05</v>
      </c>
      <c r="R183">
        <v>61.67</v>
      </c>
      <c r="S183">
        <v>79.05</v>
      </c>
      <c r="T183">
        <v>27.46</v>
      </c>
      <c r="U183">
        <v>7.82</v>
      </c>
    </row>
    <row r="184" spans="1:21">
      <c r="A184" s="1" t="s">
        <v>689</v>
      </c>
      <c r="B184" s="1" t="s">
        <v>369</v>
      </c>
      <c r="C184" s="1" t="s">
        <v>490</v>
      </c>
      <c r="D184" s="1" t="s">
        <v>498</v>
      </c>
      <c r="E184" s="1" t="s">
        <v>499</v>
      </c>
      <c r="F184" s="2">
        <v>29354</v>
      </c>
      <c r="G184" s="2">
        <v>43868</v>
      </c>
      <c r="H184" s="1">
        <v>39</v>
      </c>
      <c r="I184" s="1">
        <v>1</v>
      </c>
      <c r="J184" s="1" t="s">
        <v>488</v>
      </c>
      <c r="K184" s="1">
        <v>11611</v>
      </c>
      <c r="L184" s="1">
        <v>10</v>
      </c>
      <c r="M184" t="str">
        <f t="shared" si="2"/>
        <v>TRUE</v>
      </c>
      <c r="N184" t="s">
        <v>369</v>
      </c>
      <c r="O184">
        <v>48.02</v>
      </c>
      <c r="P184">
        <v>18.29</v>
      </c>
      <c r="Q184">
        <v>11.8</v>
      </c>
      <c r="R184">
        <v>250.8</v>
      </c>
      <c r="S184">
        <v>163.99</v>
      </c>
      <c r="T184">
        <v>33.69</v>
      </c>
      <c r="U184">
        <v>51.32</v>
      </c>
    </row>
    <row r="185" spans="1:21">
      <c r="A185" s="1" t="s">
        <v>690</v>
      </c>
      <c r="B185" s="1" t="s">
        <v>371</v>
      </c>
      <c r="C185" s="1" t="s">
        <v>501</v>
      </c>
      <c r="D185" s="1" t="s">
        <v>502</v>
      </c>
      <c r="E185" s="1" t="s">
        <v>499</v>
      </c>
      <c r="F185" s="2">
        <v>33023</v>
      </c>
      <c r="G185" s="2">
        <v>43510</v>
      </c>
      <c r="H185" s="1">
        <v>28</v>
      </c>
      <c r="I185" s="1">
        <v>4</v>
      </c>
      <c r="J185" s="1" t="s">
        <v>488</v>
      </c>
      <c r="K185" s="1">
        <v>391</v>
      </c>
      <c r="L185" s="1">
        <v>2</v>
      </c>
      <c r="M185" t="str">
        <f t="shared" si="2"/>
        <v>TRUE</v>
      </c>
      <c r="N185" t="s">
        <v>371</v>
      </c>
      <c r="O185">
        <v>296.35000000000002</v>
      </c>
      <c r="P185">
        <v>83.46</v>
      </c>
      <c r="Q185">
        <v>139.15</v>
      </c>
      <c r="R185">
        <v>203.39</v>
      </c>
      <c r="S185">
        <v>181.29</v>
      </c>
      <c r="T185">
        <v>31.35</v>
      </c>
      <c r="U185">
        <v>27.47</v>
      </c>
    </row>
    <row r="186" spans="1:21">
      <c r="A186" s="1" t="s">
        <v>691</v>
      </c>
      <c r="B186" s="1" t="s">
        <v>373</v>
      </c>
      <c r="C186" s="1" t="s">
        <v>501</v>
      </c>
      <c r="D186" s="1" t="s">
        <v>538</v>
      </c>
      <c r="E186" s="1" t="s">
        <v>492</v>
      </c>
      <c r="F186" s="2">
        <v>26203</v>
      </c>
      <c r="G186" s="2">
        <v>43885</v>
      </c>
      <c r="H186" s="1">
        <v>48</v>
      </c>
      <c r="I186" s="1">
        <v>1</v>
      </c>
      <c r="J186" s="1" t="s">
        <v>493</v>
      </c>
      <c r="K186" s="1">
        <v>247</v>
      </c>
      <c r="L186" s="1">
        <v>6</v>
      </c>
      <c r="M186" t="str">
        <f t="shared" si="2"/>
        <v>TRUE</v>
      </c>
      <c r="N186" t="s">
        <v>373</v>
      </c>
      <c r="O186">
        <v>65.36</v>
      </c>
      <c r="P186">
        <v>31.38</v>
      </c>
      <c r="Q186">
        <v>28.76</v>
      </c>
      <c r="R186">
        <v>106.83</v>
      </c>
      <c r="S186">
        <v>25.08</v>
      </c>
      <c r="T186">
        <v>8.82</v>
      </c>
      <c r="U186">
        <v>33.409999999999997</v>
      </c>
    </row>
    <row r="187" spans="1:21">
      <c r="A187" s="1" t="s">
        <v>692</v>
      </c>
      <c r="B187" s="1" t="s">
        <v>375</v>
      </c>
      <c r="C187" s="1" t="s">
        <v>490</v>
      </c>
      <c r="D187" s="1" t="s">
        <v>498</v>
      </c>
      <c r="E187" s="1" t="s">
        <v>499</v>
      </c>
      <c r="F187" s="2">
        <v>29354</v>
      </c>
      <c r="G187" s="2">
        <v>43894</v>
      </c>
      <c r="H187" s="1">
        <v>39</v>
      </c>
      <c r="I187" s="1">
        <v>2</v>
      </c>
      <c r="J187" s="1" t="s">
        <v>488</v>
      </c>
      <c r="K187" s="1">
        <v>4033</v>
      </c>
      <c r="L187" s="1">
        <v>8</v>
      </c>
      <c r="M187" t="str">
        <f t="shared" si="2"/>
        <v>TRUE</v>
      </c>
      <c r="N187" t="s">
        <v>375</v>
      </c>
      <c r="O187">
        <v>87.16</v>
      </c>
      <c r="P187">
        <v>9.93</v>
      </c>
      <c r="Q187">
        <v>19.38</v>
      </c>
      <c r="R187">
        <v>80.349999999999994</v>
      </c>
      <c r="S187">
        <v>154.03</v>
      </c>
      <c r="T187">
        <v>59.45</v>
      </c>
      <c r="U187">
        <v>6.45</v>
      </c>
    </row>
    <row r="188" spans="1:21">
      <c r="A188" s="1" t="s">
        <v>693</v>
      </c>
      <c r="B188" s="1" t="s">
        <v>377</v>
      </c>
      <c r="C188" s="1" t="s">
        <v>490</v>
      </c>
      <c r="D188" s="1" t="s">
        <v>498</v>
      </c>
      <c r="E188" s="1" t="s">
        <v>492</v>
      </c>
      <c r="F188" s="2">
        <v>29943</v>
      </c>
      <c r="G188" s="2">
        <v>43896</v>
      </c>
      <c r="H188" s="1">
        <v>38</v>
      </c>
      <c r="I188" s="1">
        <v>4</v>
      </c>
      <c r="J188" s="1" t="s">
        <v>488</v>
      </c>
      <c r="K188" s="1">
        <v>1144</v>
      </c>
      <c r="L188" s="1">
        <v>5</v>
      </c>
      <c r="M188" t="str">
        <f t="shared" si="2"/>
        <v>TRUE</v>
      </c>
      <c r="N188" t="s">
        <v>377</v>
      </c>
      <c r="O188">
        <v>54.33</v>
      </c>
      <c r="P188">
        <v>23.9</v>
      </c>
      <c r="Q188">
        <v>100.78</v>
      </c>
      <c r="R188">
        <v>1542.58</v>
      </c>
      <c r="S188">
        <v>1431.07</v>
      </c>
      <c r="T188">
        <v>464.44</v>
      </c>
      <c r="U188">
        <v>93.29</v>
      </c>
    </row>
    <row r="189" spans="1:21">
      <c r="A189" s="1" t="s">
        <v>694</v>
      </c>
      <c r="B189" s="1" t="s">
        <v>379</v>
      </c>
      <c r="C189" s="1" t="s">
        <v>501</v>
      </c>
      <c r="D189" s="1" t="s">
        <v>571</v>
      </c>
      <c r="E189" s="1" t="s">
        <v>499</v>
      </c>
      <c r="F189" s="2">
        <v>29371</v>
      </c>
      <c r="G189" s="2">
        <v>43896</v>
      </c>
      <c r="H189" s="1">
        <v>39</v>
      </c>
      <c r="I189" s="1">
        <v>4</v>
      </c>
      <c r="J189" s="1" t="s">
        <v>493</v>
      </c>
      <c r="K189" s="1">
        <v>1822</v>
      </c>
      <c r="L189" s="1">
        <v>3</v>
      </c>
      <c r="M189" t="str">
        <f t="shared" si="2"/>
        <v>TRUE</v>
      </c>
      <c r="N189" t="s">
        <v>379</v>
      </c>
      <c r="O189">
        <v>1000.000011</v>
      </c>
      <c r="P189">
        <v>41.51</v>
      </c>
      <c r="Q189">
        <v>118.55</v>
      </c>
      <c r="R189">
        <v>1361.27</v>
      </c>
      <c r="S189">
        <v>1772.76</v>
      </c>
      <c r="T189">
        <v>222.71</v>
      </c>
      <c r="U189">
        <v>704.15</v>
      </c>
    </row>
    <row r="190" spans="1:21">
      <c r="A190" s="1" t="s">
        <v>695</v>
      </c>
      <c r="B190" s="1" t="s">
        <v>381</v>
      </c>
      <c r="C190" s="1" t="s">
        <v>490</v>
      </c>
      <c r="D190" s="1" t="s">
        <v>498</v>
      </c>
      <c r="E190" s="1" t="s">
        <v>499</v>
      </c>
      <c r="F190" s="2">
        <v>29354</v>
      </c>
      <c r="G190" s="2">
        <v>44007</v>
      </c>
      <c r="H190" s="1">
        <v>40</v>
      </c>
      <c r="I190" s="1">
        <v>3</v>
      </c>
      <c r="J190" s="1" t="s">
        <v>488</v>
      </c>
      <c r="K190" s="1">
        <v>43</v>
      </c>
      <c r="L190" s="1">
        <v>2</v>
      </c>
      <c r="M190" t="str">
        <f t="shared" si="2"/>
        <v>TRUE</v>
      </c>
      <c r="N190" t="s">
        <v>381</v>
      </c>
      <c r="O190">
        <v>678.46</v>
      </c>
      <c r="P190">
        <v>40.56</v>
      </c>
      <c r="Q190">
        <v>83.62</v>
      </c>
      <c r="R190">
        <v>522.74</v>
      </c>
      <c r="S190">
        <v>368.89</v>
      </c>
      <c r="T190">
        <v>89.47</v>
      </c>
      <c r="U190">
        <v>118.41</v>
      </c>
    </row>
    <row r="191" spans="1:21">
      <c r="A191" s="1" t="s">
        <v>696</v>
      </c>
      <c r="B191" s="1" t="s">
        <v>383</v>
      </c>
      <c r="C191" s="1" t="s">
        <v>490</v>
      </c>
      <c r="D191" s="1" t="s">
        <v>498</v>
      </c>
      <c r="E191" s="1" t="s">
        <v>492</v>
      </c>
      <c r="F191" s="2">
        <v>29943</v>
      </c>
      <c r="G191" s="2">
        <v>44011</v>
      </c>
      <c r="H191" s="1">
        <v>38</v>
      </c>
      <c r="I191" s="1">
        <v>5</v>
      </c>
      <c r="J191" s="1" t="s">
        <v>488</v>
      </c>
      <c r="K191" s="1">
        <v>20</v>
      </c>
      <c r="L191" s="1">
        <v>0</v>
      </c>
      <c r="M191" t="str">
        <f t="shared" si="2"/>
        <v>TRUE</v>
      </c>
      <c r="N191" t="s">
        <v>383</v>
      </c>
      <c r="O191">
        <v>980.97</v>
      </c>
      <c r="P191">
        <v>38.07</v>
      </c>
      <c r="Q191">
        <v>168.96</v>
      </c>
      <c r="R191">
        <v>708.43</v>
      </c>
      <c r="S191">
        <v>1206.68</v>
      </c>
      <c r="T191">
        <v>341.34</v>
      </c>
      <c r="U191">
        <v>62.86</v>
      </c>
    </row>
    <row r="192" spans="1:21">
      <c r="A192" s="1" t="s">
        <v>697</v>
      </c>
      <c r="B192" s="1" t="s">
        <v>385</v>
      </c>
      <c r="C192" s="1" t="s">
        <v>501</v>
      </c>
      <c r="D192" s="1" t="s">
        <v>571</v>
      </c>
      <c r="E192" s="1" t="s">
        <v>492</v>
      </c>
      <c r="F192" s="2">
        <v>31009</v>
      </c>
      <c r="G192" s="2">
        <v>43775</v>
      </c>
      <c r="H192" s="1">
        <v>34</v>
      </c>
      <c r="I192" s="1">
        <v>3</v>
      </c>
      <c r="J192" s="1" t="s">
        <v>488</v>
      </c>
      <c r="K192" s="1">
        <v>843</v>
      </c>
      <c r="L192" s="1">
        <v>5</v>
      </c>
      <c r="M192" t="str">
        <f t="shared" si="2"/>
        <v>TRUE</v>
      </c>
      <c r="N192" t="s">
        <v>385</v>
      </c>
      <c r="O192">
        <v>38.44</v>
      </c>
      <c r="P192">
        <v>76.31</v>
      </c>
      <c r="Q192">
        <v>115.98</v>
      </c>
      <c r="R192">
        <v>177.62</v>
      </c>
      <c r="S192">
        <v>108.2</v>
      </c>
      <c r="T192">
        <v>29.57</v>
      </c>
      <c r="U192">
        <v>74.67</v>
      </c>
    </row>
    <row r="193" spans="1:21">
      <c r="A193" s="1" t="s">
        <v>698</v>
      </c>
      <c r="B193" s="1" t="s">
        <v>387</v>
      </c>
      <c r="C193" s="1" t="s">
        <v>501</v>
      </c>
      <c r="D193" s="1" t="s">
        <v>571</v>
      </c>
      <c r="E193" s="1" t="s">
        <v>499</v>
      </c>
      <c r="F193" s="2">
        <v>29371</v>
      </c>
      <c r="G193" s="2">
        <v>43784</v>
      </c>
      <c r="H193" s="1">
        <v>39</v>
      </c>
      <c r="I193" s="1"/>
      <c r="J193" s="1" t="s">
        <v>493</v>
      </c>
      <c r="K193" s="1">
        <v>3792</v>
      </c>
      <c r="L193" s="1">
        <v>8</v>
      </c>
      <c r="M193" t="str">
        <f t="shared" si="2"/>
        <v>TRUE</v>
      </c>
      <c r="N193" t="s">
        <v>387</v>
      </c>
      <c r="O193">
        <v>742.57</v>
      </c>
      <c r="P193">
        <v>33.92</v>
      </c>
      <c r="Q193">
        <v>284.62</v>
      </c>
      <c r="R193">
        <v>786.3</v>
      </c>
      <c r="S193">
        <v>294.74</v>
      </c>
      <c r="T193">
        <v>51.74</v>
      </c>
      <c r="U193">
        <v>8.77</v>
      </c>
    </row>
    <row r="194" spans="1:21">
      <c r="A194" s="1" t="s">
        <v>699</v>
      </c>
      <c r="B194" s="1" t="s">
        <v>389</v>
      </c>
      <c r="C194" s="1" t="s">
        <v>501</v>
      </c>
      <c r="D194" s="1" t="s">
        <v>502</v>
      </c>
      <c r="E194" s="1" t="s">
        <v>499</v>
      </c>
      <c r="F194" s="2">
        <v>22293</v>
      </c>
      <c r="G194" s="2">
        <v>43788</v>
      </c>
      <c r="H194" s="1">
        <v>58</v>
      </c>
      <c r="I194" s="1">
        <v>3</v>
      </c>
      <c r="J194" s="1" t="s">
        <v>493</v>
      </c>
      <c r="K194" s="1">
        <v>467</v>
      </c>
      <c r="L194" s="1">
        <v>1</v>
      </c>
      <c r="M194" t="str">
        <f t="shared" si="2"/>
        <v>TRUE</v>
      </c>
      <c r="N194" t="s">
        <v>389</v>
      </c>
      <c r="O194">
        <v>351.65</v>
      </c>
      <c r="P194">
        <v>36.76</v>
      </c>
      <c r="Q194">
        <v>50.25</v>
      </c>
      <c r="R194">
        <v>2500.0100000000002</v>
      </c>
      <c r="S194">
        <v>2480.13</v>
      </c>
      <c r="T194">
        <v>477.79</v>
      </c>
      <c r="U194">
        <v>123.12</v>
      </c>
    </row>
    <row r="195" spans="1:21">
      <c r="A195" s="1" t="s">
        <v>700</v>
      </c>
      <c r="B195" s="1" t="s">
        <v>391</v>
      </c>
      <c r="C195" s="1" t="s">
        <v>501</v>
      </c>
      <c r="D195" s="1" t="s">
        <v>502</v>
      </c>
      <c r="E195" s="1" t="s">
        <v>499</v>
      </c>
      <c r="F195" s="2">
        <v>33023</v>
      </c>
      <c r="G195" s="2">
        <v>43788</v>
      </c>
      <c r="H195" s="1">
        <v>29</v>
      </c>
      <c r="I195" s="1">
        <v>1</v>
      </c>
      <c r="J195" s="1" t="s">
        <v>488</v>
      </c>
      <c r="K195" s="1">
        <v>1213</v>
      </c>
      <c r="L195" s="1">
        <v>7</v>
      </c>
      <c r="M195" t="str">
        <f t="shared" ref="M195:M197" si="3">IF(N195=B195,"TRUE","FALSE")</f>
        <v>TRUE</v>
      </c>
      <c r="N195" t="s">
        <v>391</v>
      </c>
      <c r="O195">
        <v>1000.000011</v>
      </c>
      <c r="P195">
        <v>42.91</v>
      </c>
      <c r="Q195">
        <v>145.51</v>
      </c>
      <c r="R195">
        <v>53.07</v>
      </c>
      <c r="S195">
        <v>58.36</v>
      </c>
      <c r="T195">
        <v>108.98</v>
      </c>
      <c r="U195">
        <v>12.7</v>
      </c>
    </row>
    <row r="196" spans="1:21">
      <c r="A196" s="1" t="s">
        <v>701</v>
      </c>
      <c r="B196" s="1" t="s">
        <v>393</v>
      </c>
      <c r="C196" s="1" t="s">
        <v>501</v>
      </c>
      <c r="D196" s="1" t="s">
        <v>582</v>
      </c>
      <c r="E196" s="1" t="s">
        <v>492</v>
      </c>
      <c r="F196" s="2">
        <v>21300</v>
      </c>
      <c r="G196" s="2">
        <v>43791</v>
      </c>
      <c r="H196" s="1">
        <v>61</v>
      </c>
      <c r="I196" s="1">
        <v>3</v>
      </c>
      <c r="J196" s="1" t="s">
        <v>493</v>
      </c>
      <c r="K196" s="1">
        <v>784</v>
      </c>
      <c r="L196" s="1">
        <v>6</v>
      </c>
      <c r="M196" t="str">
        <f t="shared" si="3"/>
        <v>TRUE</v>
      </c>
      <c r="N196" t="s">
        <v>393</v>
      </c>
      <c r="O196">
        <v>36.74</v>
      </c>
      <c r="P196">
        <v>4.05</v>
      </c>
      <c r="Q196">
        <v>138.97</v>
      </c>
      <c r="R196">
        <v>322.77</v>
      </c>
      <c r="S196">
        <v>1138.99</v>
      </c>
      <c r="T196">
        <v>79.569999999999993</v>
      </c>
      <c r="U196">
        <v>3.72</v>
      </c>
    </row>
    <row r="197" spans="1:21">
      <c r="A197" s="1" t="s">
        <v>702</v>
      </c>
      <c r="B197" s="1" t="s">
        <v>395</v>
      </c>
      <c r="C197" s="1" t="s">
        <v>501</v>
      </c>
      <c r="D197" s="1" t="s">
        <v>532</v>
      </c>
      <c r="E197" s="1" t="s">
        <v>492</v>
      </c>
      <c r="F197" s="2">
        <v>18937</v>
      </c>
      <c r="G197" s="2">
        <v>43802</v>
      </c>
      <c r="H197" s="1">
        <v>68</v>
      </c>
      <c r="I197" s="1">
        <v>2</v>
      </c>
      <c r="J197" s="1" t="s">
        <v>488</v>
      </c>
      <c r="K197" s="1">
        <v>2388</v>
      </c>
      <c r="L197" s="1">
        <v>6</v>
      </c>
      <c r="M197" t="str">
        <f t="shared" si="3"/>
        <v>TRUE</v>
      </c>
      <c r="N197" t="s">
        <v>395</v>
      </c>
      <c r="O197">
        <v>41.33</v>
      </c>
      <c r="P197">
        <v>41.98</v>
      </c>
      <c r="Q197">
        <v>10.98</v>
      </c>
      <c r="R197">
        <v>2500.0100000000002</v>
      </c>
      <c r="S197">
        <v>489.29</v>
      </c>
      <c r="T197">
        <v>25.38</v>
      </c>
      <c r="U197">
        <v>117.12</v>
      </c>
    </row>
    <row r="198" spans="1:21">
      <c r="S198" t="s">
        <v>429</v>
      </c>
      <c r="T198" t="s">
        <v>438</v>
      </c>
      <c r="U198" t="s">
        <v>448</v>
      </c>
    </row>
    <row r="199" spans="1:21">
      <c r="S199" t="s">
        <v>455</v>
      </c>
      <c r="T199" t="s">
        <v>455</v>
      </c>
      <c r="U199" t="s">
        <v>455</v>
      </c>
    </row>
    <row r="200" spans="1:21">
      <c r="S200" t="s">
        <v>458</v>
      </c>
      <c r="T200" t="s">
        <v>458</v>
      </c>
      <c r="U200" t="s">
        <v>458</v>
      </c>
    </row>
    <row r="201" spans="1:21">
      <c r="S201" t="s">
        <v>460</v>
      </c>
      <c r="T201" t="s">
        <v>460</v>
      </c>
      <c r="U201" t="s">
        <v>460</v>
      </c>
    </row>
    <row r="202" spans="1:21">
      <c r="S202">
        <v>2.5</v>
      </c>
      <c r="T202">
        <v>2.5</v>
      </c>
      <c r="U202">
        <v>2.5</v>
      </c>
    </row>
    <row r="203" spans="1:21">
      <c r="S203">
        <v>2500</v>
      </c>
      <c r="T203">
        <v>2500</v>
      </c>
      <c r="U203">
        <v>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B94"/>
  <sheetViews>
    <sheetView tabSelected="1" workbookViewId="0">
      <pane ySplit="1" topLeftCell="A2" activePane="bottomLeft" state="frozen"/>
      <selection pane="bottomLeft" activeCell="Q30" sqref="Q30"/>
    </sheetView>
  </sheetViews>
  <sheetFormatPr defaultColWidth="11" defaultRowHeight="15.95"/>
  <cols>
    <col min="1" max="1" width="23.375" customWidth="1"/>
  </cols>
  <sheetData>
    <row r="1" spans="1:28">
      <c r="A1" t="s">
        <v>463</v>
      </c>
      <c r="B1" t="s">
        <v>464</v>
      </c>
      <c r="C1" t="s">
        <v>465</v>
      </c>
      <c r="D1" t="s">
        <v>466</v>
      </c>
      <c r="E1" t="s">
        <v>466</v>
      </c>
      <c r="F1" t="s">
        <v>467</v>
      </c>
      <c r="G1" t="s">
        <v>468</v>
      </c>
      <c r="H1" t="s">
        <v>469</v>
      </c>
      <c r="I1" t="s">
        <v>470</v>
      </c>
      <c r="J1" t="s">
        <v>471</v>
      </c>
      <c r="K1" t="s">
        <v>472</v>
      </c>
      <c r="L1" t="s">
        <v>473</v>
      </c>
      <c r="M1" t="s">
        <v>474</v>
      </c>
      <c r="N1" s="8" t="s">
        <v>703</v>
      </c>
      <c r="O1" s="8" t="s">
        <v>704</v>
      </c>
      <c r="P1" s="8" t="s">
        <v>705</v>
      </c>
      <c r="Q1" s="8" t="s">
        <v>706</v>
      </c>
      <c r="R1" t="s">
        <v>707</v>
      </c>
      <c r="S1" t="s">
        <v>476</v>
      </c>
      <c r="T1" t="s">
        <v>477</v>
      </c>
      <c r="U1" t="s">
        <v>478</v>
      </c>
      <c r="V1" t="s">
        <v>479</v>
      </c>
      <c r="W1" t="s">
        <v>480</v>
      </c>
      <c r="X1" t="s">
        <v>481</v>
      </c>
      <c r="Y1" t="s">
        <v>482</v>
      </c>
      <c r="Z1" t="s">
        <v>483</v>
      </c>
      <c r="AA1" t="s">
        <v>707</v>
      </c>
      <c r="AB1" t="s">
        <v>476</v>
      </c>
    </row>
    <row r="2" spans="1:28">
      <c r="A2" t="s">
        <v>484</v>
      </c>
      <c r="B2" t="s">
        <v>3</v>
      </c>
      <c r="C2" t="s">
        <v>485</v>
      </c>
      <c r="D2" t="s">
        <v>708</v>
      </c>
      <c r="E2" t="s">
        <v>486</v>
      </c>
      <c r="F2" t="s">
        <v>487</v>
      </c>
      <c r="G2" s="4">
        <v>36363</v>
      </c>
      <c r="H2" s="4">
        <v>43210</v>
      </c>
      <c r="I2">
        <f t="shared" ref="I2:I64" si="0">DATEDIF(G2,H2,"Y")</f>
        <v>18</v>
      </c>
      <c r="J2">
        <v>1</v>
      </c>
      <c r="K2" t="s">
        <v>488</v>
      </c>
      <c r="L2">
        <v>200</v>
      </c>
      <c r="M2" t="s">
        <v>487</v>
      </c>
      <c r="N2">
        <v>1</v>
      </c>
      <c r="O2">
        <v>3</v>
      </c>
      <c r="P2">
        <v>1</v>
      </c>
      <c r="Q2">
        <v>0</v>
      </c>
      <c r="R2" t="str">
        <f t="shared" ref="R2:R33" si="1">IF(S2=B2, "TRUE", "FALSE")</f>
        <v>TRUE</v>
      </c>
      <c r="S2" t="s">
        <v>3</v>
      </c>
      <c r="T2">
        <v>223.62</v>
      </c>
      <c r="U2">
        <v>4.59</v>
      </c>
      <c r="V2">
        <v>10.029999999999999</v>
      </c>
      <c r="W2">
        <v>391.21</v>
      </c>
      <c r="X2">
        <v>556.16</v>
      </c>
      <c r="Y2">
        <v>37.15</v>
      </c>
      <c r="Z2">
        <v>2.4900000000000002</v>
      </c>
      <c r="AA2" t="str">
        <f t="shared" ref="AA2:AA33" si="2">IF(AB2=B2, "TRUE", "FALSE")</f>
        <v>TRUE</v>
      </c>
      <c r="AB2" t="s">
        <v>3</v>
      </c>
    </row>
    <row r="3" spans="1:28">
      <c r="A3" t="s">
        <v>489</v>
      </c>
      <c r="B3" t="s">
        <v>7</v>
      </c>
      <c r="C3" t="s">
        <v>490</v>
      </c>
      <c r="D3" t="s">
        <v>709</v>
      </c>
      <c r="E3" t="s">
        <v>491</v>
      </c>
      <c r="F3" t="s">
        <v>492</v>
      </c>
      <c r="G3" s="4">
        <v>21294</v>
      </c>
      <c r="H3" s="4">
        <v>43210</v>
      </c>
      <c r="I3">
        <f t="shared" si="0"/>
        <v>60</v>
      </c>
      <c r="J3">
        <v>1</v>
      </c>
      <c r="K3" t="s">
        <v>493</v>
      </c>
      <c r="L3">
        <v>1269</v>
      </c>
      <c r="M3">
        <v>8</v>
      </c>
      <c r="N3">
        <v>0</v>
      </c>
      <c r="O3">
        <v>3</v>
      </c>
      <c r="P3">
        <v>0</v>
      </c>
      <c r="Q3">
        <v>1</v>
      </c>
      <c r="R3" t="str">
        <f t="shared" si="1"/>
        <v>TRUE</v>
      </c>
      <c r="S3" t="s">
        <v>7</v>
      </c>
      <c r="T3">
        <v>724.77</v>
      </c>
      <c r="U3">
        <v>8.2799999999999994</v>
      </c>
      <c r="V3">
        <v>54.99</v>
      </c>
      <c r="W3">
        <v>47.41</v>
      </c>
      <c r="X3">
        <v>54.51</v>
      </c>
      <c r="Y3">
        <v>57.06</v>
      </c>
      <c r="Z3">
        <v>2.4900000000000002</v>
      </c>
      <c r="AA3" t="str">
        <f t="shared" si="2"/>
        <v>TRUE</v>
      </c>
      <c r="AB3" t="s">
        <v>7</v>
      </c>
    </row>
    <row r="4" spans="1:28">
      <c r="A4" t="s">
        <v>494</v>
      </c>
      <c r="B4" t="s">
        <v>9</v>
      </c>
      <c r="C4" t="s">
        <v>490</v>
      </c>
      <c r="D4" t="s">
        <v>709</v>
      </c>
      <c r="E4" t="s">
        <v>491</v>
      </c>
      <c r="F4" t="s">
        <v>492</v>
      </c>
      <c r="G4" s="4">
        <v>21589</v>
      </c>
      <c r="H4" s="4">
        <v>43291</v>
      </c>
      <c r="I4">
        <f t="shared" si="0"/>
        <v>59</v>
      </c>
      <c r="J4">
        <v>1</v>
      </c>
      <c r="K4" t="s">
        <v>488</v>
      </c>
      <c r="L4">
        <v>3000</v>
      </c>
      <c r="M4">
        <v>9</v>
      </c>
      <c r="N4">
        <v>1</v>
      </c>
      <c r="O4">
        <v>2</v>
      </c>
      <c r="P4" s="9">
        <v>1</v>
      </c>
      <c r="Q4" s="9">
        <v>0</v>
      </c>
      <c r="R4" t="str">
        <f t="shared" si="1"/>
        <v>TRUE</v>
      </c>
      <c r="S4" t="s">
        <v>9</v>
      </c>
      <c r="T4">
        <v>19.91</v>
      </c>
      <c r="U4">
        <v>2.4900000000000002</v>
      </c>
      <c r="V4">
        <v>1.65</v>
      </c>
      <c r="W4">
        <v>27.12</v>
      </c>
      <c r="X4">
        <v>74.94</v>
      </c>
      <c r="Y4">
        <v>134.82</v>
      </c>
      <c r="Z4">
        <v>8.66</v>
      </c>
      <c r="AA4" t="str">
        <f t="shared" si="2"/>
        <v>TRUE</v>
      </c>
      <c r="AB4" t="s">
        <v>9</v>
      </c>
    </row>
    <row r="5" spans="1:28">
      <c r="A5" t="s">
        <v>495</v>
      </c>
      <c r="B5" t="s">
        <v>11</v>
      </c>
      <c r="C5" t="s">
        <v>485</v>
      </c>
      <c r="D5" t="s">
        <v>708</v>
      </c>
      <c r="E5" t="s">
        <v>496</v>
      </c>
      <c r="F5" t="s">
        <v>487</v>
      </c>
      <c r="G5" s="4">
        <v>21741</v>
      </c>
      <c r="H5" s="4">
        <v>43297</v>
      </c>
      <c r="I5">
        <f t="shared" si="0"/>
        <v>59</v>
      </c>
      <c r="J5">
        <v>1</v>
      </c>
      <c r="K5" t="s">
        <v>493</v>
      </c>
      <c r="L5">
        <v>289</v>
      </c>
      <c r="M5" t="s">
        <v>487</v>
      </c>
      <c r="N5">
        <v>0</v>
      </c>
      <c r="O5">
        <v>2</v>
      </c>
      <c r="P5">
        <v>1</v>
      </c>
      <c r="Q5">
        <v>0</v>
      </c>
      <c r="R5" t="str">
        <f t="shared" si="1"/>
        <v>TRUE</v>
      </c>
      <c r="S5" t="s">
        <v>11</v>
      </c>
      <c r="T5">
        <v>19.8</v>
      </c>
      <c r="U5">
        <v>2.4900000000000002</v>
      </c>
      <c r="V5">
        <v>15.9</v>
      </c>
      <c r="W5">
        <v>2500.0100000000002</v>
      </c>
      <c r="X5">
        <v>2500.0100000000002</v>
      </c>
      <c r="Y5">
        <v>2500.0100000000002</v>
      </c>
      <c r="Z5">
        <v>17.62</v>
      </c>
      <c r="AA5" t="str">
        <f t="shared" si="2"/>
        <v>TRUE</v>
      </c>
      <c r="AB5" t="s">
        <v>11</v>
      </c>
    </row>
    <row r="6" spans="1:28">
      <c r="A6" t="s">
        <v>497</v>
      </c>
      <c r="B6" t="s">
        <v>13</v>
      </c>
      <c r="C6" t="s">
        <v>490</v>
      </c>
      <c r="D6" t="s">
        <v>709</v>
      </c>
      <c r="E6" t="s">
        <v>498</v>
      </c>
      <c r="F6" t="s">
        <v>499</v>
      </c>
      <c r="G6" s="4">
        <v>30401</v>
      </c>
      <c r="H6" s="4">
        <v>43300</v>
      </c>
      <c r="I6">
        <f t="shared" si="0"/>
        <v>35</v>
      </c>
      <c r="J6">
        <v>1</v>
      </c>
      <c r="K6" t="s">
        <v>488</v>
      </c>
      <c r="L6">
        <v>250</v>
      </c>
      <c r="M6">
        <v>0</v>
      </c>
      <c r="N6">
        <v>0</v>
      </c>
      <c r="O6">
        <v>2</v>
      </c>
      <c r="P6" s="9">
        <v>1</v>
      </c>
      <c r="Q6" s="9">
        <v>0</v>
      </c>
      <c r="R6" t="str">
        <f t="shared" si="1"/>
        <v>TRUE</v>
      </c>
      <c r="S6" t="s">
        <v>13</v>
      </c>
      <c r="T6">
        <v>30.2</v>
      </c>
      <c r="U6">
        <v>7.66</v>
      </c>
      <c r="V6">
        <v>0.99</v>
      </c>
      <c r="W6">
        <v>11.61</v>
      </c>
      <c r="X6">
        <v>23.99</v>
      </c>
      <c r="Y6">
        <v>4.8099999999999996</v>
      </c>
      <c r="Z6">
        <v>2.4900000000000002</v>
      </c>
      <c r="AA6" t="str">
        <f t="shared" si="2"/>
        <v>TRUE</v>
      </c>
      <c r="AB6" t="s">
        <v>13</v>
      </c>
    </row>
    <row r="7" spans="1:28">
      <c r="A7" t="s">
        <v>500</v>
      </c>
      <c r="B7" t="s">
        <v>15</v>
      </c>
      <c r="C7" t="s">
        <v>501</v>
      </c>
      <c r="D7" t="s">
        <v>709</v>
      </c>
      <c r="E7" t="s">
        <v>502</v>
      </c>
      <c r="F7" t="s">
        <v>492</v>
      </c>
      <c r="G7" s="4">
        <v>29526</v>
      </c>
      <c r="H7" s="4">
        <v>43301</v>
      </c>
      <c r="I7">
        <f t="shared" si="0"/>
        <v>37</v>
      </c>
      <c r="J7">
        <v>1</v>
      </c>
      <c r="K7" t="s">
        <v>493</v>
      </c>
      <c r="L7">
        <v>70</v>
      </c>
      <c r="M7">
        <v>6</v>
      </c>
      <c r="N7">
        <v>0</v>
      </c>
      <c r="O7">
        <v>2</v>
      </c>
      <c r="P7" s="9">
        <v>1</v>
      </c>
      <c r="Q7" s="9">
        <v>0</v>
      </c>
      <c r="R7" t="str">
        <f t="shared" si="1"/>
        <v>TRUE</v>
      </c>
      <c r="S7" t="s">
        <v>15</v>
      </c>
      <c r="T7">
        <v>1000.000011</v>
      </c>
      <c r="U7">
        <v>9.02</v>
      </c>
      <c r="V7">
        <v>100.78</v>
      </c>
      <c r="W7">
        <v>83.2</v>
      </c>
      <c r="X7">
        <v>108.37</v>
      </c>
      <c r="Y7">
        <v>108.4</v>
      </c>
      <c r="Z7">
        <v>2.4900000000000002</v>
      </c>
      <c r="AA7" t="str">
        <f t="shared" si="2"/>
        <v>TRUE</v>
      </c>
      <c r="AB7" t="s">
        <v>15</v>
      </c>
    </row>
    <row r="8" spans="1:28">
      <c r="A8" t="s">
        <v>503</v>
      </c>
      <c r="B8" t="s">
        <v>17</v>
      </c>
      <c r="C8" t="s">
        <v>490</v>
      </c>
      <c r="D8" t="s">
        <v>709</v>
      </c>
      <c r="E8" t="s">
        <v>498</v>
      </c>
      <c r="F8" t="s">
        <v>499</v>
      </c>
      <c r="G8" s="4">
        <v>32618</v>
      </c>
      <c r="H8" s="4">
        <v>43308</v>
      </c>
      <c r="I8">
        <f t="shared" si="0"/>
        <v>29</v>
      </c>
      <c r="J8">
        <v>1</v>
      </c>
      <c r="K8" t="s">
        <v>488</v>
      </c>
      <c r="L8">
        <v>2826</v>
      </c>
      <c r="M8">
        <v>5</v>
      </c>
      <c r="N8">
        <v>0</v>
      </c>
      <c r="O8">
        <v>1</v>
      </c>
      <c r="P8" s="9">
        <v>1</v>
      </c>
      <c r="Q8" s="9">
        <v>0</v>
      </c>
      <c r="R8" t="str">
        <f t="shared" si="1"/>
        <v>TRUE</v>
      </c>
      <c r="S8" t="s">
        <v>17</v>
      </c>
      <c r="T8">
        <v>19.649999999999999</v>
      </c>
      <c r="U8">
        <v>4.6399999999999997</v>
      </c>
      <c r="V8">
        <v>3.87</v>
      </c>
      <c r="W8">
        <v>28.85</v>
      </c>
      <c r="X8">
        <v>23.43</v>
      </c>
      <c r="Y8">
        <v>3.4</v>
      </c>
      <c r="Z8">
        <v>2.4900000000000002</v>
      </c>
      <c r="AA8" t="str">
        <f t="shared" si="2"/>
        <v>TRUE</v>
      </c>
      <c r="AB8" t="s">
        <v>17</v>
      </c>
    </row>
    <row r="9" spans="1:28">
      <c r="A9" t="s">
        <v>504</v>
      </c>
      <c r="B9" t="s">
        <v>19</v>
      </c>
      <c r="C9" t="s">
        <v>485</v>
      </c>
      <c r="D9" t="s">
        <v>708</v>
      </c>
      <c r="E9" t="s">
        <v>496</v>
      </c>
      <c r="F9" t="s">
        <v>487</v>
      </c>
      <c r="G9" s="4">
        <v>36594</v>
      </c>
      <c r="H9" s="4">
        <v>43320</v>
      </c>
      <c r="I9">
        <f t="shared" si="0"/>
        <v>18</v>
      </c>
      <c r="J9">
        <v>1</v>
      </c>
      <c r="K9" t="s">
        <v>488</v>
      </c>
      <c r="L9">
        <v>133</v>
      </c>
      <c r="M9" t="s">
        <v>487</v>
      </c>
      <c r="N9">
        <v>0</v>
      </c>
      <c r="O9">
        <v>2</v>
      </c>
      <c r="P9">
        <v>1</v>
      </c>
      <c r="Q9">
        <v>0</v>
      </c>
      <c r="R9" t="str">
        <f t="shared" si="1"/>
        <v>TRUE</v>
      </c>
      <c r="S9" t="s">
        <v>19</v>
      </c>
      <c r="T9">
        <v>384.05</v>
      </c>
      <c r="U9">
        <v>8.01</v>
      </c>
      <c r="V9">
        <v>101.1</v>
      </c>
      <c r="W9">
        <v>49.57</v>
      </c>
      <c r="X9">
        <v>50.83</v>
      </c>
      <c r="Y9">
        <v>30.4</v>
      </c>
      <c r="Z9">
        <v>2.4900000000000002</v>
      </c>
      <c r="AA9" t="str">
        <f t="shared" si="2"/>
        <v>TRUE</v>
      </c>
      <c r="AB9" t="s">
        <v>19</v>
      </c>
    </row>
    <row r="10" spans="1:28">
      <c r="A10" t="s">
        <v>505</v>
      </c>
      <c r="B10" t="s">
        <v>21</v>
      </c>
      <c r="C10" t="s">
        <v>485</v>
      </c>
      <c r="D10" t="s">
        <v>708</v>
      </c>
      <c r="E10" t="s">
        <v>496</v>
      </c>
      <c r="F10" t="s">
        <v>487</v>
      </c>
      <c r="G10" s="4">
        <v>32592</v>
      </c>
      <c r="H10" s="4">
        <v>43321</v>
      </c>
      <c r="I10">
        <f t="shared" si="0"/>
        <v>29</v>
      </c>
      <c r="J10">
        <v>1</v>
      </c>
      <c r="K10" t="s">
        <v>488</v>
      </c>
      <c r="L10">
        <v>125</v>
      </c>
      <c r="M10" t="s">
        <v>487</v>
      </c>
      <c r="N10">
        <v>1</v>
      </c>
      <c r="O10">
        <v>3</v>
      </c>
      <c r="P10" s="9">
        <v>1</v>
      </c>
      <c r="Q10" s="9">
        <v>0</v>
      </c>
      <c r="R10" t="str">
        <f t="shared" si="1"/>
        <v>TRUE</v>
      </c>
      <c r="S10" t="s">
        <v>21</v>
      </c>
      <c r="T10">
        <v>448.3</v>
      </c>
      <c r="U10">
        <v>8.61</v>
      </c>
      <c r="V10">
        <v>22.96</v>
      </c>
      <c r="W10">
        <v>63.86</v>
      </c>
      <c r="X10">
        <v>34.04</v>
      </c>
      <c r="Y10">
        <v>13.6</v>
      </c>
      <c r="Z10">
        <v>3.25</v>
      </c>
      <c r="AA10" t="str">
        <f t="shared" si="2"/>
        <v>TRUE</v>
      </c>
      <c r="AB10" t="s">
        <v>21</v>
      </c>
    </row>
    <row r="11" spans="1:28">
      <c r="A11" t="s">
        <v>507</v>
      </c>
      <c r="B11" t="s">
        <v>23</v>
      </c>
      <c r="C11" t="s">
        <v>501</v>
      </c>
      <c r="D11" t="s">
        <v>709</v>
      </c>
      <c r="E11" t="s">
        <v>502</v>
      </c>
      <c r="F11" t="s">
        <v>499</v>
      </c>
      <c r="G11" s="4">
        <v>32901</v>
      </c>
      <c r="H11" s="4">
        <v>43296</v>
      </c>
      <c r="I11">
        <f t="shared" si="0"/>
        <v>28</v>
      </c>
      <c r="J11">
        <v>1</v>
      </c>
      <c r="K11" t="s">
        <v>488</v>
      </c>
      <c r="L11">
        <v>796</v>
      </c>
      <c r="M11">
        <v>6</v>
      </c>
      <c r="N11">
        <v>0</v>
      </c>
      <c r="O11">
        <v>2</v>
      </c>
      <c r="P11" s="9">
        <v>1</v>
      </c>
      <c r="Q11" s="9">
        <v>0</v>
      </c>
      <c r="R11" t="str">
        <f t="shared" si="1"/>
        <v>TRUE</v>
      </c>
      <c r="S11" t="s">
        <v>23</v>
      </c>
      <c r="T11">
        <v>32.04</v>
      </c>
      <c r="U11">
        <v>14.94</v>
      </c>
      <c r="V11">
        <v>1.07</v>
      </c>
      <c r="W11">
        <v>25.87</v>
      </c>
      <c r="X11">
        <v>46.87</v>
      </c>
      <c r="Y11" s="1">
        <v>2.4900000000000002</v>
      </c>
      <c r="Z11">
        <v>4.92</v>
      </c>
      <c r="AA11" t="str">
        <f t="shared" si="2"/>
        <v>TRUE</v>
      </c>
      <c r="AB11" t="s">
        <v>23</v>
      </c>
    </row>
    <row r="12" spans="1:28">
      <c r="A12" t="s">
        <v>508</v>
      </c>
      <c r="B12" t="s">
        <v>25</v>
      </c>
      <c r="C12" t="s">
        <v>490</v>
      </c>
      <c r="D12" t="s">
        <v>709</v>
      </c>
      <c r="E12" t="s">
        <v>491</v>
      </c>
      <c r="F12" t="s">
        <v>499</v>
      </c>
      <c r="G12" s="4">
        <v>29445</v>
      </c>
      <c r="H12" s="4">
        <v>43329</v>
      </c>
      <c r="I12">
        <f t="shared" si="0"/>
        <v>38</v>
      </c>
      <c r="J12">
        <v>1</v>
      </c>
      <c r="K12" t="s">
        <v>488</v>
      </c>
      <c r="L12">
        <v>2043</v>
      </c>
      <c r="M12">
        <v>8</v>
      </c>
      <c r="N12">
        <v>1</v>
      </c>
      <c r="O12">
        <v>2</v>
      </c>
      <c r="P12" s="9">
        <v>0</v>
      </c>
      <c r="Q12" s="9">
        <v>0</v>
      </c>
      <c r="R12" t="str">
        <f t="shared" si="1"/>
        <v>TRUE</v>
      </c>
      <c r="S12" t="s">
        <v>25</v>
      </c>
      <c r="T12">
        <v>25.08</v>
      </c>
      <c r="U12">
        <v>21.54</v>
      </c>
      <c r="V12">
        <v>8.18</v>
      </c>
      <c r="W12">
        <v>14.46</v>
      </c>
      <c r="X12">
        <v>9.1</v>
      </c>
      <c r="Y12" s="1">
        <v>2.4900000000000002</v>
      </c>
      <c r="Z12">
        <v>18.420000000000002</v>
      </c>
      <c r="AA12" t="str">
        <f t="shared" si="2"/>
        <v>TRUE</v>
      </c>
      <c r="AB12" t="s">
        <v>25</v>
      </c>
    </row>
    <row r="13" spans="1:28">
      <c r="A13" t="s">
        <v>509</v>
      </c>
      <c r="B13" t="s">
        <v>27</v>
      </c>
      <c r="C13" t="s">
        <v>485</v>
      </c>
      <c r="D13" t="s">
        <v>708</v>
      </c>
      <c r="E13" t="s">
        <v>486</v>
      </c>
      <c r="F13" t="s">
        <v>487</v>
      </c>
      <c r="G13" s="4">
        <v>32770</v>
      </c>
      <c r="H13" s="4">
        <v>43341</v>
      </c>
      <c r="I13">
        <f t="shared" si="0"/>
        <v>28</v>
      </c>
      <c r="J13">
        <v>1</v>
      </c>
      <c r="K13" t="s">
        <v>488</v>
      </c>
      <c r="L13">
        <v>56</v>
      </c>
      <c r="M13" t="s">
        <v>487</v>
      </c>
      <c r="N13">
        <v>1</v>
      </c>
      <c r="O13">
        <v>2</v>
      </c>
      <c r="P13">
        <v>1</v>
      </c>
      <c r="Q13">
        <v>0</v>
      </c>
      <c r="R13" t="str">
        <f t="shared" si="1"/>
        <v>TRUE</v>
      </c>
      <c r="S13" t="s">
        <v>27</v>
      </c>
      <c r="T13">
        <v>54.34</v>
      </c>
      <c r="U13">
        <v>14.01</v>
      </c>
      <c r="V13">
        <v>23.6</v>
      </c>
      <c r="W13">
        <v>105.26</v>
      </c>
      <c r="X13">
        <v>50.33</v>
      </c>
      <c r="Y13">
        <v>7.36</v>
      </c>
      <c r="Z13">
        <v>40.51</v>
      </c>
      <c r="AA13" t="str">
        <f t="shared" si="2"/>
        <v>TRUE</v>
      </c>
      <c r="AB13" t="s">
        <v>27</v>
      </c>
    </row>
    <row r="14" spans="1:28">
      <c r="A14" t="s">
        <v>510</v>
      </c>
      <c r="B14" t="s">
        <v>29</v>
      </c>
      <c r="C14" t="s">
        <v>501</v>
      </c>
      <c r="D14" t="s">
        <v>709</v>
      </c>
      <c r="E14" t="s">
        <v>502</v>
      </c>
      <c r="F14" t="s">
        <v>499</v>
      </c>
      <c r="G14" s="4">
        <v>21233</v>
      </c>
      <c r="H14" s="4">
        <v>43350</v>
      </c>
      <c r="I14">
        <f t="shared" si="0"/>
        <v>60</v>
      </c>
      <c r="J14">
        <v>1</v>
      </c>
      <c r="K14" t="s">
        <v>488</v>
      </c>
      <c r="L14">
        <v>992</v>
      </c>
      <c r="M14">
        <v>1</v>
      </c>
      <c r="N14">
        <v>0</v>
      </c>
      <c r="O14">
        <v>3</v>
      </c>
      <c r="P14" s="9">
        <v>1</v>
      </c>
      <c r="Q14" s="9">
        <v>0</v>
      </c>
      <c r="R14" t="str">
        <f t="shared" si="1"/>
        <v>TRUE</v>
      </c>
      <c r="S14" t="s">
        <v>29</v>
      </c>
      <c r="T14">
        <v>43.45</v>
      </c>
      <c r="U14">
        <v>6.24</v>
      </c>
      <c r="V14">
        <v>3.89</v>
      </c>
      <c r="W14">
        <v>9.09</v>
      </c>
      <c r="X14">
        <v>3.97</v>
      </c>
      <c r="Y14" s="1">
        <v>2.4900000000000002</v>
      </c>
      <c r="Z14">
        <v>48.74</v>
      </c>
      <c r="AA14" t="str">
        <f t="shared" si="2"/>
        <v>TRUE</v>
      </c>
      <c r="AB14" t="s">
        <v>29</v>
      </c>
    </row>
    <row r="15" spans="1:28">
      <c r="A15" t="s">
        <v>511</v>
      </c>
      <c r="B15" t="s">
        <v>31</v>
      </c>
      <c r="C15" t="s">
        <v>490</v>
      </c>
      <c r="D15" t="s">
        <v>709</v>
      </c>
      <c r="E15" t="s">
        <v>512</v>
      </c>
      <c r="F15" t="s">
        <v>499</v>
      </c>
      <c r="G15" s="4">
        <v>31343</v>
      </c>
      <c r="H15" s="4">
        <v>43371</v>
      </c>
      <c r="I15">
        <f t="shared" si="0"/>
        <v>32</v>
      </c>
      <c r="J15">
        <v>1</v>
      </c>
      <c r="K15" t="s">
        <v>488</v>
      </c>
      <c r="L15">
        <v>143</v>
      </c>
      <c r="M15">
        <v>5</v>
      </c>
      <c r="N15">
        <v>0</v>
      </c>
      <c r="O15">
        <v>2</v>
      </c>
      <c r="P15" s="9">
        <v>1</v>
      </c>
      <c r="Q15" s="9">
        <v>0</v>
      </c>
      <c r="R15" t="str">
        <f t="shared" si="1"/>
        <v>TRUE</v>
      </c>
      <c r="S15" t="s">
        <v>31</v>
      </c>
      <c r="T15">
        <v>42.87</v>
      </c>
      <c r="U15">
        <v>30.82</v>
      </c>
      <c r="V15">
        <v>9.18</v>
      </c>
      <c r="W15">
        <v>169.66</v>
      </c>
      <c r="X15">
        <v>176.33</v>
      </c>
      <c r="Y15">
        <v>47.67</v>
      </c>
      <c r="Z15">
        <v>15.91</v>
      </c>
      <c r="AA15" t="str">
        <f t="shared" si="2"/>
        <v>TRUE</v>
      </c>
      <c r="AB15" t="s">
        <v>31</v>
      </c>
    </row>
    <row r="16" spans="1:28">
      <c r="A16" t="s">
        <v>514</v>
      </c>
      <c r="B16" t="s">
        <v>35</v>
      </c>
      <c r="C16" t="s">
        <v>490</v>
      </c>
      <c r="D16" t="s">
        <v>709</v>
      </c>
      <c r="E16" t="s">
        <v>491</v>
      </c>
      <c r="F16" t="s">
        <v>499</v>
      </c>
      <c r="G16" s="4">
        <v>35211</v>
      </c>
      <c r="H16" s="4">
        <v>43104</v>
      </c>
      <c r="I16">
        <f t="shared" si="0"/>
        <v>21</v>
      </c>
      <c r="J16">
        <v>1</v>
      </c>
      <c r="K16" t="s">
        <v>488</v>
      </c>
      <c r="L16">
        <v>69</v>
      </c>
      <c r="M16">
        <v>4</v>
      </c>
      <c r="N16">
        <v>0</v>
      </c>
      <c r="O16">
        <v>2</v>
      </c>
      <c r="P16" s="9">
        <v>0</v>
      </c>
      <c r="Q16" s="9">
        <v>0</v>
      </c>
      <c r="R16" t="str">
        <f t="shared" si="1"/>
        <v>TRUE</v>
      </c>
      <c r="S16" t="s">
        <v>35</v>
      </c>
      <c r="T16">
        <v>124.87</v>
      </c>
      <c r="U16">
        <v>20.12</v>
      </c>
      <c r="V16">
        <v>29.24</v>
      </c>
      <c r="W16">
        <v>254.62</v>
      </c>
      <c r="X16">
        <v>182.41</v>
      </c>
      <c r="Y16">
        <v>30.69</v>
      </c>
      <c r="Z16">
        <v>13.5</v>
      </c>
      <c r="AA16" t="str">
        <f t="shared" si="2"/>
        <v>TRUE</v>
      </c>
      <c r="AB16" t="s">
        <v>35</v>
      </c>
    </row>
    <row r="17" spans="1:28">
      <c r="A17" t="s">
        <v>515</v>
      </c>
      <c r="B17" t="s">
        <v>37</v>
      </c>
      <c r="C17" t="s">
        <v>490</v>
      </c>
      <c r="D17" t="s">
        <v>709</v>
      </c>
      <c r="E17" t="s">
        <v>498</v>
      </c>
      <c r="F17" t="s">
        <v>499</v>
      </c>
      <c r="G17" s="4">
        <v>23573</v>
      </c>
      <c r="H17" s="4">
        <v>43392</v>
      </c>
      <c r="I17">
        <f t="shared" si="0"/>
        <v>54</v>
      </c>
      <c r="J17">
        <v>1</v>
      </c>
      <c r="K17" t="s">
        <v>488</v>
      </c>
      <c r="L17">
        <v>6000</v>
      </c>
      <c r="M17">
        <v>7</v>
      </c>
      <c r="N17">
        <v>0</v>
      </c>
      <c r="O17">
        <v>2</v>
      </c>
      <c r="P17" s="9">
        <v>1</v>
      </c>
      <c r="Q17" s="9">
        <v>0</v>
      </c>
      <c r="R17" t="str">
        <f t="shared" si="1"/>
        <v>TRUE</v>
      </c>
      <c r="S17" t="s">
        <v>37</v>
      </c>
      <c r="T17">
        <v>24.69</v>
      </c>
      <c r="U17">
        <v>2.4900000000000002</v>
      </c>
      <c r="V17">
        <v>0.99</v>
      </c>
      <c r="W17">
        <v>4.63</v>
      </c>
      <c r="X17">
        <v>4.99</v>
      </c>
      <c r="Y17" s="1">
        <v>2.4900000000000002</v>
      </c>
      <c r="Z17">
        <v>5.64</v>
      </c>
      <c r="AA17" t="str">
        <f t="shared" si="2"/>
        <v>TRUE</v>
      </c>
      <c r="AB17" t="s">
        <v>37</v>
      </c>
    </row>
    <row r="18" spans="1:28">
      <c r="A18" t="s">
        <v>516</v>
      </c>
      <c r="B18" t="s">
        <v>39</v>
      </c>
      <c r="C18" t="s">
        <v>485</v>
      </c>
      <c r="D18" t="s">
        <v>708</v>
      </c>
      <c r="E18" t="s">
        <v>496</v>
      </c>
      <c r="F18" t="s">
        <v>487</v>
      </c>
      <c r="G18" s="4">
        <v>26190</v>
      </c>
      <c r="H18" s="4">
        <v>43409</v>
      </c>
      <c r="I18">
        <f t="shared" si="0"/>
        <v>47</v>
      </c>
      <c r="J18">
        <v>1</v>
      </c>
      <c r="K18" t="s">
        <v>488</v>
      </c>
      <c r="L18">
        <v>189</v>
      </c>
      <c r="M18">
        <v>5</v>
      </c>
      <c r="N18">
        <v>0</v>
      </c>
      <c r="O18">
        <v>2</v>
      </c>
      <c r="P18">
        <v>1</v>
      </c>
      <c r="Q18">
        <v>0</v>
      </c>
      <c r="R18" t="str">
        <f t="shared" si="1"/>
        <v>TRUE</v>
      </c>
      <c r="S18" t="s">
        <v>39</v>
      </c>
      <c r="T18">
        <v>58.07</v>
      </c>
      <c r="U18">
        <v>14.81</v>
      </c>
      <c r="V18">
        <v>14.82</v>
      </c>
      <c r="W18">
        <v>231.43</v>
      </c>
      <c r="X18">
        <v>204.76</v>
      </c>
      <c r="Y18">
        <v>36.54</v>
      </c>
      <c r="Z18">
        <v>294.86</v>
      </c>
      <c r="AA18" t="str">
        <f t="shared" si="2"/>
        <v>TRUE</v>
      </c>
      <c r="AB18" t="s">
        <v>39</v>
      </c>
    </row>
    <row r="19" spans="1:28">
      <c r="A19" t="s">
        <v>517</v>
      </c>
      <c r="B19" t="s">
        <v>41</v>
      </c>
      <c r="C19" t="s">
        <v>490</v>
      </c>
      <c r="D19" t="s">
        <v>709</v>
      </c>
      <c r="E19" t="s">
        <v>498</v>
      </c>
      <c r="F19" t="s">
        <v>499</v>
      </c>
      <c r="G19" s="4">
        <v>24908</v>
      </c>
      <c r="H19" s="4">
        <v>43411</v>
      </c>
      <c r="I19">
        <f t="shared" si="0"/>
        <v>50</v>
      </c>
      <c r="J19">
        <v>1</v>
      </c>
      <c r="K19" t="s">
        <v>488</v>
      </c>
      <c r="L19">
        <v>322</v>
      </c>
      <c r="M19">
        <v>4</v>
      </c>
      <c r="N19">
        <v>1</v>
      </c>
      <c r="O19">
        <v>2</v>
      </c>
      <c r="P19" s="9">
        <v>0</v>
      </c>
      <c r="Q19" s="9">
        <v>0</v>
      </c>
      <c r="R19" t="str">
        <f t="shared" si="1"/>
        <v>TRUE</v>
      </c>
      <c r="S19" t="s">
        <v>41</v>
      </c>
      <c r="T19">
        <v>56.28</v>
      </c>
      <c r="U19">
        <v>15.35</v>
      </c>
      <c r="V19">
        <v>20.88</v>
      </c>
      <c r="W19">
        <v>50.43</v>
      </c>
      <c r="X19">
        <v>117.06</v>
      </c>
      <c r="Y19">
        <v>7.81</v>
      </c>
      <c r="Z19">
        <v>10.56</v>
      </c>
      <c r="AA19" t="str">
        <f t="shared" si="2"/>
        <v>TRUE</v>
      </c>
      <c r="AB19" t="s">
        <v>41</v>
      </c>
    </row>
    <row r="20" spans="1:28">
      <c r="A20" t="s">
        <v>518</v>
      </c>
      <c r="B20" t="s">
        <v>43</v>
      </c>
      <c r="C20" t="s">
        <v>490</v>
      </c>
      <c r="D20" t="s">
        <v>709</v>
      </c>
      <c r="E20" t="s">
        <v>498</v>
      </c>
      <c r="F20" t="s">
        <v>499</v>
      </c>
      <c r="G20" s="4">
        <v>29437</v>
      </c>
      <c r="H20" s="4">
        <v>43417</v>
      </c>
      <c r="I20">
        <f t="shared" si="0"/>
        <v>38</v>
      </c>
      <c r="J20">
        <v>1</v>
      </c>
      <c r="K20" t="s">
        <v>488</v>
      </c>
      <c r="L20">
        <v>1073</v>
      </c>
      <c r="M20">
        <v>10</v>
      </c>
      <c r="N20">
        <v>1</v>
      </c>
      <c r="O20">
        <v>3</v>
      </c>
      <c r="P20" s="9">
        <v>1</v>
      </c>
      <c r="Q20" s="9">
        <v>0</v>
      </c>
      <c r="R20" t="str">
        <f t="shared" si="1"/>
        <v>TRUE</v>
      </c>
      <c r="S20" t="s">
        <v>43</v>
      </c>
      <c r="T20">
        <v>21.17</v>
      </c>
      <c r="U20">
        <v>2.4900000000000002</v>
      </c>
      <c r="V20">
        <v>0.99</v>
      </c>
      <c r="W20">
        <v>8.84</v>
      </c>
      <c r="X20">
        <v>2.4900000000000002</v>
      </c>
      <c r="Y20" s="1">
        <v>2.4900000000000002</v>
      </c>
      <c r="Z20">
        <v>3.78</v>
      </c>
      <c r="AA20" t="str">
        <f t="shared" si="2"/>
        <v>TRUE</v>
      </c>
      <c r="AB20" t="s">
        <v>43</v>
      </c>
    </row>
    <row r="21" spans="1:28">
      <c r="A21" t="s">
        <v>519</v>
      </c>
      <c r="B21" t="s">
        <v>45</v>
      </c>
      <c r="C21" t="s">
        <v>490</v>
      </c>
      <c r="D21" t="s">
        <v>709</v>
      </c>
      <c r="E21" t="s">
        <v>512</v>
      </c>
      <c r="F21" t="s">
        <v>499</v>
      </c>
      <c r="G21" s="4">
        <v>25575</v>
      </c>
      <c r="H21" s="4">
        <v>43426</v>
      </c>
      <c r="I21">
        <f t="shared" si="0"/>
        <v>48</v>
      </c>
      <c r="J21">
        <v>1</v>
      </c>
      <c r="K21" t="s">
        <v>488</v>
      </c>
      <c r="L21">
        <v>98</v>
      </c>
      <c r="M21">
        <v>4</v>
      </c>
      <c r="N21">
        <v>0</v>
      </c>
      <c r="O21">
        <v>3</v>
      </c>
      <c r="P21" s="9">
        <v>1</v>
      </c>
      <c r="Q21" s="9">
        <v>0</v>
      </c>
      <c r="R21" t="str">
        <f t="shared" si="1"/>
        <v>TRUE</v>
      </c>
      <c r="S21" t="s">
        <v>45</v>
      </c>
      <c r="T21">
        <v>41.07</v>
      </c>
      <c r="U21">
        <v>23.19</v>
      </c>
      <c r="V21">
        <v>17.39</v>
      </c>
      <c r="W21">
        <v>103.89</v>
      </c>
      <c r="X21">
        <v>145.83000000000001</v>
      </c>
      <c r="Y21">
        <v>18.59</v>
      </c>
      <c r="Z21">
        <v>8.16</v>
      </c>
      <c r="AA21" t="str">
        <f t="shared" si="2"/>
        <v>TRUE</v>
      </c>
      <c r="AB21" t="s">
        <v>45</v>
      </c>
    </row>
    <row r="22" spans="1:28">
      <c r="A22" t="s">
        <v>522</v>
      </c>
      <c r="B22" t="s">
        <v>51</v>
      </c>
      <c r="C22" t="s">
        <v>490</v>
      </c>
      <c r="D22" t="s">
        <v>709</v>
      </c>
      <c r="E22" t="s">
        <v>491</v>
      </c>
      <c r="F22" t="s">
        <v>499</v>
      </c>
      <c r="G22" s="4">
        <v>17139</v>
      </c>
      <c r="H22" s="4">
        <v>43427</v>
      </c>
      <c r="I22">
        <f t="shared" si="0"/>
        <v>71</v>
      </c>
      <c r="J22">
        <v>1</v>
      </c>
      <c r="K22" t="s">
        <v>488</v>
      </c>
      <c r="L22">
        <v>164</v>
      </c>
      <c r="M22">
        <v>4</v>
      </c>
      <c r="N22">
        <v>0</v>
      </c>
      <c r="O22">
        <v>1</v>
      </c>
      <c r="P22" s="9">
        <v>1</v>
      </c>
      <c r="Q22" s="9">
        <v>0</v>
      </c>
      <c r="R22" t="str">
        <f t="shared" si="1"/>
        <v>TRUE</v>
      </c>
      <c r="S22" t="s">
        <v>51</v>
      </c>
      <c r="T22">
        <v>82.8</v>
      </c>
      <c r="U22">
        <v>39.46</v>
      </c>
      <c r="V22">
        <v>72.86</v>
      </c>
      <c r="W22">
        <v>334.32</v>
      </c>
      <c r="X22">
        <v>657.43</v>
      </c>
      <c r="Y22">
        <v>127.49</v>
      </c>
      <c r="Z22">
        <v>81.03</v>
      </c>
      <c r="AA22" t="str">
        <f t="shared" si="2"/>
        <v>TRUE</v>
      </c>
      <c r="AB22" t="s">
        <v>51</v>
      </c>
    </row>
    <row r="23" spans="1:28">
      <c r="A23" t="s">
        <v>524</v>
      </c>
      <c r="B23" t="s">
        <v>55</v>
      </c>
      <c r="C23" t="s">
        <v>490</v>
      </c>
      <c r="D23" t="s">
        <v>709</v>
      </c>
      <c r="E23" t="s">
        <v>491</v>
      </c>
      <c r="F23" t="s">
        <v>499</v>
      </c>
      <c r="G23" s="4">
        <v>36196</v>
      </c>
      <c r="H23" s="4">
        <v>43462</v>
      </c>
      <c r="I23">
        <f t="shared" si="0"/>
        <v>19</v>
      </c>
      <c r="J23">
        <v>1</v>
      </c>
      <c r="K23" t="s">
        <v>488</v>
      </c>
      <c r="L23">
        <v>108</v>
      </c>
      <c r="M23">
        <v>3</v>
      </c>
      <c r="N23">
        <v>1</v>
      </c>
      <c r="O23">
        <v>1</v>
      </c>
      <c r="P23" s="9">
        <v>1</v>
      </c>
      <c r="Q23" s="9">
        <v>0</v>
      </c>
      <c r="R23" t="str">
        <f t="shared" si="1"/>
        <v>TRUE</v>
      </c>
      <c r="S23" t="s">
        <v>55</v>
      </c>
      <c r="T23">
        <v>98.58</v>
      </c>
      <c r="U23">
        <v>14.82</v>
      </c>
      <c r="V23">
        <v>258.13</v>
      </c>
      <c r="W23">
        <v>518.42999999999995</v>
      </c>
      <c r="X23">
        <v>277.64</v>
      </c>
      <c r="Y23">
        <v>95.73</v>
      </c>
      <c r="Z23">
        <v>189.31</v>
      </c>
      <c r="AA23" t="str">
        <f t="shared" si="2"/>
        <v>TRUE</v>
      </c>
      <c r="AB23" t="s">
        <v>55</v>
      </c>
    </row>
    <row r="24" spans="1:28">
      <c r="A24" s="1" t="s">
        <v>525</v>
      </c>
      <c r="B24" s="1" t="s">
        <v>57</v>
      </c>
      <c r="C24" s="1" t="s">
        <v>501</v>
      </c>
      <c r="D24" s="1" t="s">
        <v>502</v>
      </c>
      <c r="E24" s="1" t="s">
        <v>499</v>
      </c>
      <c r="F24" s="1" t="s">
        <v>499</v>
      </c>
      <c r="G24" s="2">
        <v>33939</v>
      </c>
      <c r="H24" s="2">
        <v>43465</v>
      </c>
      <c r="I24" s="1">
        <v>26</v>
      </c>
      <c r="J24" s="1">
        <v>1</v>
      </c>
      <c r="K24" s="1" t="s">
        <v>488</v>
      </c>
      <c r="L24" s="1">
        <v>2103</v>
      </c>
      <c r="M24" s="1">
        <v>10</v>
      </c>
      <c r="N24" s="1">
        <v>1</v>
      </c>
      <c r="O24" s="1">
        <v>3</v>
      </c>
      <c r="P24" s="1">
        <v>1</v>
      </c>
      <c r="Q24" s="1">
        <v>0</v>
      </c>
      <c r="R24" t="str">
        <f t="shared" si="1"/>
        <v>TRUE</v>
      </c>
      <c r="S24" t="s">
        <v>57</v>
      </c>
      <c r="T24">
        <v>1000.000011</v>
      </c>
      <c r="U24">
        <v>36.94</v>
      </c>
      <c r="V24">
        <v>158.11000000000001</v>
      </c>
      <c r="W24">
        <v>973.94</v>
      </c>
      <c r="X24">
        <v>325.24</v>
      </c>
      <c r="Y24">
        <v>8.66</v>
      </c>
      <c r="Z24">
        <v>419.14</v>
      </c>
      <c r="AA24" t="str">
        <f t="shared" si="2"/>
        <v>TRUE</v>
      </c>
      <c r="AB24" t="s">
        <v>57</v>
      </c>
    </row>
    <row r="25" spans="1:28">
      <c r="A25" t="s">
        <v>530</v>
      </c>
      <c r="B25" t="s">
        <v>67</v>
      </c>
      <c r="C25" t="s">
        <v>501</v>
      </c>
      <c r="D25" t="s">
        <v>709</v>
      </c>
      <c r="E25" t="s">
        <v>502</v>
      </c>
      <c r="F25" t="s">
        <v>499</v>
      </c>
      <c r="G25" s="4">
        <v>33786</v>
      </c>
      <c r="H25" s="4">
        <v>43491</v>
      </c>
      <c r="I25">
        <f t="shared" si="0"/>
        <v>26</v>
      </c>
      <c r="J25">
        <v>1</v>
      </c>
      <c r="K25" t="s">
        <v>493</v>
      </c>
      <c r="L25">
        <v>15</v>
      </c>
      <c r="M25">
        <v>1</v>
      </c>
      <c r="N25">
        <v>0</v>
      </c>
      <c r="O25">
        <v>3</v>
      </c>
      <c r="P25" s="9">
        <v>1</v>
      </c>
      <c r="Q25" s="9">
        <v>0</v>
      </c>
      <c r="R25" t="str">
        <f t="shared" si="1"/>
        <v>TRUE</v>
      </c>
      <c r="S25" t="s">
        <v>67</v>
      </c>
      <c r="T25">
        <v>26.25</v>
      </c>
      <c r="U25">
        <v>15</v>
      </c>
      <c r="V25">
        <v>7.02</v>
      </c>
      <c r="W25">
        <v>19.27</v>
      </c>
      <c r="X25">
        <v>16.66</v>
      </c>
      <c r="Y25">
        <v>8.56</v>
      </c>
      <c r="Z25">
        <v>2.87</v>
      </c>
      <c r="AA25" t="str">
        <f t="shared" si="2"/>
        <v>TRUE</v>
      </c>
      <c r="AB25" t="s">
        <v>67</v>
      </c>
    </row>
    <row r="26" spans="1:28">
      <c r="A26" t="s">
        <v>531</v>
      </c>
      <c r="B26" t="s">
        <v>69</v>
      </c>
      <c r="C26" t="s">
        <v>501</v>
      </c>
      <c r="D26" t="s">
        <v>709</v>
      </c>
      <c r="E26" t="s">
        <v>532</v>
      </c>
      <c r="F26" t="s">
        <v>499</v>
      </c>
      <c r="G26" s="4">
        <v>33519</v>
      </c>
      <c r="H26" s="4">
        <v>43487</v>
      </c>
      <c r="I26">
        <f t="shared" si="0"/>
        <v>27</v>
      </c>
      <c r="J26">
        <v>1</v>
      </c>
      <c r="K26" t="s">
        <v>488</v>
      </c>
      <c r="L26">
        <v>448</v>
      </c>
      <c r="M26">
        <v>2</v>
      </c>
      <c r="N26">
        <v>1</v>
      </c>
      <c r="O26">
        <v>1</v>
      </c>
      <c r="P26" s="9">
        <v>0</v>
      </c>
      <c r="Q26" s="9">
        <v>0</v>
      </c>
      <c r="R26" t="str">
        <f t="shared" si="1"/>
        <v>TRUE</v>
      </c>
      <c r="S26" t="s">
        <v>69</v>
      </c>
      <c r="T26">
        <v>1000.000011</v>
      </c>
      <c r="U26">
        <v>4.7300000000000004</v>
      </c>
      <c r="V26">
        <v>1.39</v>
      </c>
      <c r="W26">
        <v>12.42</v>
      </c>
      <c r="X26">
        <v>58.21</v>
      </c>
      <c r="Y26">
        <v>11.56</v>
      </c>
      <c r="Z26">
        <v>9.5500000000000007</v>
      </c>
      <c r="AA26" t="str">
        <f t="shared" si="2"/>
        <v>TRUE</v>
      </c>
      <c r="AB26" t="s">
        <v>69</v>
      </c>
    </row>
    <row r="27" spans="1:28">
      <c r="A27" t="s">
        <v>536</v>
      </c>
      <c r="B27" t="s">
        <v>77</v>
      </c>
      <c r="C27" t="s">
        <v>490</v>
      </c>
      <c r="D27" t="s">
        <v>709</v>
      </c>
      <c r="E27" t="s">
        <v>491</v>
      </c>
      <c r="F27" t="s">
        <v>492</v>
      </c>
      <c r="G27" s="4">
        <v>36595</v>
      </c>
      <c r="H27" s="4">
        <v>43490</v>
      </c>
      <c r="I27">
        <f t="shared" si="0"/>
        <v>18</v>
      </c>
      <c r="J27">
        <v>1</v>
      </c>
      <c r="K27" t="s">
        <v>493</v>
      </c>
      <c r="L27">
        <v>1276</v>
      </c>
      <c r="M27">
        <v>11</v>
      </c>
      <c r="N27">
        <v>1</v>
      </c>
      <c r="O27">
        <v>2</v>
      </c>
      <c r="P27" s="9">
        <v>1</v>
      </c>
      <c r="Q27" s="9">
        <v>0</v>
      </c>
      <c r="R27" t="str">
        <f t="shared" si="1"/>
        <v>TRUE</v>
      </c>
      <c r="S27" t="s">
        <v>77</v>
      </c>
      <c r="T27">
        <v>87.14</v>
      </c>
      <c r="U27">
        <v>7.67</v>
      </c>
      <c r="V27">
        <v>102.57</v>
      </c>
      <c r="W27">
        <v>82.58</v>
      </c>
      <c r="X27">
        <v>63.29</v>
      </c>
      <c r="Y27">
        <v>25.77</v>
      </c>
      <c r="Z27">
        <v>10.16</v>
      </c>
      <c r="AA27" t="str">
        <f t="shared" si="2"/>
        <v>TRUE</v>
      </c>
      <c r="AB27" t="s">
        <v>77</v>
      </c>
    </row>
    <row r="28" spans="1:28">
      <c r="A28" t="s">
        <v>537</v>
      </c>
      <c r="B28" t="s">
        <v>79</v>
      </c>
      <c r="C28" t="s">
        <v>501</v>
      </c>
      <c r="D28" t="s">
        <v>709</v>
      </c>
      <c r="E28" t="s">
        <v>538</v>
      </c>
      <c r="F28" t="s">
        <v>499</v>
      </c>
      <c r="G28" s="4">
        <v>35185</v>
      </c>
      <c r="H28" s="4">
        <v>43501</v>
      </c>
      <c r="I28">
        <f t="shared" si="0"/>
        <v>22</v>
      </c>
      <c r="J28">
        <v>1</v>
      </c>
      <c r="K28" t="s">
        <v>493</v>
      </c>
      <c r="L28">
        <v>307</v>
      </c>
      <c r="M28">
        <v>4</v>
      </c>
      <c r="N28">
        <v>1</v>
      </c>
      <c r="O28">
        <v>2</v>
      </c>
      <c r="P28" s="9">
        <v>1</v>
      </c>
      <c r="Q28" s="9">
        <v>0</v>
      </c>
      <c r="R28" t="str">
        <f t="shared" si="1"/>
        <v>TRUE</v>
      </c>
      <c r="S28" t="s">
        <v>79</v>
      </c>
      <c r="T28">
        <v>150.5</v>
      </c>
      <c r="U28">
        <v>5.48</v>
      </c>
      <c r="V28">
        <v>265.95</v>
      </c>
      <c r="W28">
        <v>150.59</v>
      </c>
      <c r="X28">
        <v>42.14</v>
      </c>
      <c r="Y28">
        <v>310.70999999999998</v>
      </c>
      <c r="Z28">
        <v>2.4900000000000002</v>
      </c>
      <c r="AA28" t="str">
        <f t="shared" si="2"/>
        <v>TRUE</v>
      </c>
      <c r="AB28" t="s">
        <v>79</v>
      </c>
    </row>
    <row r="29" spans="1:28">
      <c r="A29" t="s">
        <v>540</v>
      </c>
      <c r="B29" t="s">
        <v>83</v>
      </c>
      <c r="C29" t="s">
        <v>490</v>
      </c>
      <c r="D29" t="s">
        <v>709</v>
      </c>
      <c r="E29" t="s">
        <v>512</v>
      </c>
      <c r="F29" t="s">
        <v>499</v>
      </c>
      <c r="G29" s="4">
        <v>30482</v>
      </c>
      <c r="H29" s="4">
        <v>43518</v>
      </c>
      <c r="I29">
        <f t="shared" si="0"/>
        <v>35</v>
      </c>
      <c r="J29" s="5">
        <v>1</v>
      </c>
      <c r="K29" t="s">
        <v>488</v>
      </c>
      <c r="L29">
        <v>42</v>
      </c>
      <c r="M29">
        <v>3</v>
      </c>
      <c r="N29">
        <v>0</v>
      </c>
      <c r="O29">
        <v>2</v>
      </c>
      <c r="P29" s="9">
        <v>1</v>
      </c>
      <c r="Q29" s="9">
        <v>0</v>
      </c>
      <c r="R29" t="str">
        <f t="shared" si="1"/>
        <v>TRUE</v>
      </c>
      <c r="S29" t="s">
        <v>83</v>
      </c>
      <c r="T29">
        <v>223.24</v>
      </c>
      <c r="U29">
        <v>48.22</v>
      </c>
      <c r="V29">
        <v>79.38</v>
      </c>
      <c r="W29">
        <v>270.36</v>
      </c>
      <c r="X29">
        <v>158.79</v>
      </c>
      <c r="Y29">
        <v>26.82</v>
      </c>
      <c r="Z29">
        <v>149.94</v>
      </c>
      <c r="AA29" t="str">
        <f t="shared" si="2"/>
        <v>TRUE</v>
      </c>
      <c r="AB29" t="s">
        <v>83</v>
      </c>
    </row>
    <row r="30" spans="1:28">
      <c r="A30" t="s">
        <v>542</v>
      </c>
      <c r="B30" t="s">
        <v>87</v>
      </c>
      <c r="C30" t="s">
        <v>490</v>
      </c>
      <c r="D30" t="s">
        <v>709</v>
      </c>
      <c r="E30" t="s">
        <v>491</v>
      </c>
      <c r="F30" t="s">
        <v>499</v>
      </c>
      <c r="G30" s="4">
        <v>25311</v>
      </c>
      <c r="H30" s="4">
        <v>43511</v>
      </c>
      <c r="I30">
        <f t="shared" si="0"/>
        <v>49</v>
      </c>
      <c r="J30">
        <v>1</v>
      </c>
      <c r="K30" t="s">
        <v>488</v>
      </c>
      <c r="L30">
        <v>2216</v>
      </c>
      <c r="M30">
        <v>7</v>
      </c>
      <c r="N30">
        <v>1</v>
      </c>
      <c r="O30">
        <v>3</v>
      </c>
      <c r="P30" s="9">
        <v>1</v>
      </c>
      <c r="Q30" s="9">
        <v>0</v>
      </c>
      <c r="R30" t="str">
        <f t="shared" si="1"/>
        <v>TRUE</v>
      </c>
      <c r="S30" t="s">
        <v>87</v>
      </c>
      <c r="T30">
        <v>1000.000011</v>
      </c>
      <c r="U30">
        <v>25.89</v>
      </c>
      <c r="V30">
        <v>149.68</v>
      </c>
      <c r="W30">
        <v>970.32</v>
      </c>
      <c r="X30">
        <v>361.13</v>
      </c>
      <c r="Y30">
        <v>141.37</v>
      </c>
      <c r="Z30">
        <v>268.05</v>
      </c>
      <c r="AA30" t="str">
        <f t="shared" si="2"/>
        <v>TRUE</v>
      </c>
      <c r="AB30" t="s">
        <v>87</v>
      </c>
    </row>
    <row r="31" spans="1:28">
      <c r="A31" t="s">
        <v>546</v>
      </c>
      <c r="B31" t="s">
        <v>95</v>
      </c>
      <c r="C31" t="s">
        <v>490</v>
      </c>
      <c r="D31" t="s">
        <v>709</v>
      </c>
      <c r="E31" t="s">
        <v>491</v>
      </c>
      <c r="F31" t="s">
        <v>492</v>
      </c>
      <c r="G31" s="4">
        <v>34403</v>
      </c>
      <c r="H31" s="4">
        <v>43529</v>
      </c>
      <c r="I31">
        <f t="shared" si="0"/>
        <v>24</v>
      </c>
      <c r="J31" s="5">
        <v>1</v>
      </c>
      <c r="K31" t="s">
        <v>493</v>
      </c>
      <c r="L31">
        <v>2021</v>
      </c>
      <c r="M31">
        <v>5</v>
      </c>
      <c r="N31">
        <v>0</v>
      </c>
      <c r="O31">
        <v>1</v>
      </c>
      <c r="P31" s="9">
        <v>0</v>
      </c>
      <c r="Q31" s="9">
        <v>1</v>
      </c>
      <c r="R31" t="str">
        <f t="shared" si="1"/>
        <v>TRUE</v>
      </c>
      <c r="S31" t="s">
        <v>95</v>
      </c>
      <c r="T31">
        <v>47.11</v>
      </c>
      <c r="U31">
        <v>7.51</v>
      </c>
      <c r="V31">
        <v>14.92</v>
      </c>
      <c r="W31">
        <v>141.72</v>
      </c>
      <c r="X31">
        <v>321.89</v>
      </c>
      <c r="Y31">
        <v>22.31</v>
      </c>
      <c r="Z31">
        <v>101.89</v>
      </c>
      <c r="AA31" t="str">
        <f t="shared" si="2"/>
        <v>TRUE</v>
      </c>
      <c r="AB31" t="s">
        <v>95</v>
      </c>
    </row>
    <row r="32" spans="1:28">
      <c r="A32" t="s">
        <v>548</v>
      </c>
      <c r="B32" t="s">
        <v>99</v>
      </c>
      <c r="C32" t="s">
        <v>490</v>
      </c>
      <c r="D32" t="s">
        <v>709</v>
      </c>
      <c r="E32" t="s">
        <v>498</v>
      </c>
      <c r="F32" t="s">
        <v>492</v>
      </c>
      <c r="G32" s="4">
        <v>29943</v>
      </c>
      <c r="H32" s="4">
        <v>43525</v>
      </c>
      <c r="I32">
        <f t="shared" si="0"/>
        <v>37</v>
      </c>
      <c r="J32">
        <v>1</v>
      </c>
      <c r="K32" t="s">
        <v>488</v>
      </c>
      <c r="L32">
        <v>922</v>
      </c>
      <c r="M32">
        <v>8</v>
      </c>
      <c r="N32">
        <v>0</v>
      </c>
      <c r="O32">
        <v>3</v>
      </c>
      <c r="P32" s="9">
        <v>1</v>
      </c>
      <c r="Q32" s="9">
        <v>0</v>
      </c>
      <c r="R32" t="str">
        <f t="shared" si="1"/>
        <v>TRUE</v>
      </c>
      <c r="S32" t="s">
        <v>99</v>
      </c>
      <c r="T32">
        <v>81.599999999999994</v>
      </c>
      <c r="U32">
        <v>34.159999999999997</v>
      </c>
      <c r="V32">
        <v>13.66</v>
      </c>
      <c r="W32">
        <v>285.99</v>
      </c>
      <c r="X32">
        <v>268.24</v>
      </c>
      <c r="Y32">
        <v>26.69</v>
      </c>
      <c r="Z32">
        <v>22.29</v>
      </c>
      <c r="AA32" t="str">
        <f t="shared" si="2"/>
        <v>TRUE</v>
      </c>
      <c r="AB32" t="s">
        <v>99</v>
      </c>
    </row>
    <row r="33" spans="1:28">
      <c r="A33" t="s">
        <v>550</v>
      </c>
      <c r="B33" t="s">
        <v>103</v>
      </c>
      <c r="C33" t="s">
        <v>490</v>
      </c>
      <c r="D33" t="s">
        <v>709</v>
      </c>
      <c r="E33" t="s">
        <v>498</v>
      </c>
      <c r="F33" t="s">
        <v>499</v>
      </c>
      <c r="G33" s="4">
        <v>35129</v>
      </c>
      <c r="H33" s="4">
        <v>43532</v>
      </c>
      <c r="I33">
        <f t="shared" si="0"/>
        <v>23</v>
      </c>
      <c r="J33">
        <v>2</v>
      </c>
      <c r="K33" t="s">
        <v>488</v>
      </c>
      <c r="L33">
        <v>80</v>
      </c>
      <c r="M33">
        <v>2</v>
      </c>
      <c r="N33">
        <v>0</v>
      </c>
      <c r="O33">
        <v>2</v>
      </c>
      <c r="P33" s="9">
        <v>1</v>
      </c>
      <c r="Q33" s="9">
        <v>0</v>
      </c>
      <c r="R33" t="str">
        <f t="shared" si="1"/>
        <v>TRUE</v>
      </c>
      <c r="S33" t="s">
        <v>103</v>
      </c>
      <c r="T33">
        <v>66.14</v>
      </c>
      <c r="U33">
        <v>29.03</v>
      </c>
      <c r="V33">
        <v>26.94</v>
      </c>
      <c r="W33">
        <v>154.85</v>
      </c>
      <c r="X33">
        <v>315.24</v>
      </c>
      <c r="Y33">
        <v>142.86000000000001</v>
      </c>
      <c r="Z33">
        <v>68.400000000000006</v>
      </c>
      <c r="AA33" t="str">
        <f t="shared" si="2"/>
        <v>TRUE</v>
      </c>
      <c r="AB33" t="s">
        <v>103</v>
      </c>
    </row>
    <row r="34" spans="1:28">
      <c r="A34" t="s">
        <v>552</v>
      </c>
      <c r="B34" t="s">
        <v>107</v>
      </c>
      <c r="C34" t="s">
        <v>490</v>
      </c>
      <c r="D34" t="s">
        <v>709</v>
      </c>
      <c r="E34" t="s">
        <v>491</v>
      </c>
      <c r="F34" t="s">
        <v>499</v>
      </c>
      <c r="G34" s="4">
        <v>31823</v>
      </c>
      <c r="H34" s="4">
        <v>43546</v>
      </c>
      <c r="I34">
        <f t="shared" si="0"/>
        <v>32</v>
      </c>
      <c r="J34">
        <v>1</v>
      </c>
      <c r="K34" t="s">
        <v>493</v>
      </c>
      <c r="L34">
        <v>306</v>
      </c>
      <c r="M34">
        <v>4</v>
      </c>
      <c r="N34">
        <v>0</v>
      </c>
      <c r="O34">
        <v>2</v>
      </c>
      <c r="P34" s="9">
        <v>0</v>
      </c>
      <c r="Q34" s="9">
        <v>0</v>
      </c>
      <c r="R34" t="str">
        <f t="shared" ref="R34:R65" si="3">IF(S34=B34, "TRUE", "FALSE")</f>
        <v>TRUE</v>
      </c>
      <c r="S34" t="s">
        <v>107</v>
      </c>
      <c r="T34">
        <v>107.76</v>
      </c>
      <c r="U34">
        <v>61.57</v>
      </c>
      <c r="V34">
        <v>65.92</v>
      </c>
      <c r="W34">
        <v>84.59</v>
      </c>
      <c r="X34">
        <v>137.82</v>
      </c>
      <c r="Y34">
        <v>58.01</v>
      </c>
      <c r="Z34">
        <v>7.02</v>
      </c>
      <c r="AA34" t="str">
        <f t="shared" ref="AA34:AA65" si="4">IF(AB34=B34, "TRUE", "FALSE")</f>
        <v>TRUE</v>
      </c>
      <c r="AB34" t="s">
        <v>107</v>
      </c>
    </row>
    <row r="35" spans="1:28">
      <c r="A35" t="s">
        <v>565</v>
      </c>
      <c r="B35" t="s">
        <v>133</v>
      </c>
      <c r="C35" t="s">
        <v>485</v>
      </c>
      <c r="D35" t="s">
        <v>708</v>
      </c>
      <c r="E35" t="s">
        <v>496</v>
      </c>
      <c r="F35" t="s">
        <v>487</v>
      </c>
      <c r="G35" s="4">
        <v>34502</v>
      </c>
      <c r="H35" s="4">
        <v>43677</v>
      </c>
      <c r="I35">
        <f t="shared" si="0"/>
        <v>25</v>
      </c>
      <c r="J35">
        <v>1</v>
      </c>
      <c r="K35" t="s">
        <v>493</v>
      </c>
      <c r="L35">
        <v>769</v>
      </c>
      <c r="M35" t="s">
        <v>487</v>
      </c>
      <c r="N35">
        <v>0</v>
      </c>
      <c r="O35">
        <v>2</v>
      </c>
      <c r="P35">
        <v>1</v>
      </c>
      <c r="Q35">
        <v>0</v>
      </c>
      <c r="R35" t="str">
        <f t="shared" si="3"/>
        <v>TRUE</v>
      </c>
      <c r="S35" t="s">
        <v>133</v>
      </c>
      <c r="T35">
        <v>280.72000000000003</v>
      </c>
      <c r="U35">
        <v>137.34</v>
      </c>
      <c r="V35">
        <v>500.01</v>
      </c>
      <c r="W35">
        <v>132.81</v>
      </c>
      <c r="X35">
        <v>103.44</v>
      </c>
      <c r="Y35">
        <v>26.28</v>
      </c>
      <c r="Z35">
        <v>6.46</v>
      </c>
      <c r="AA35" t="str">
        <f t="shared" si="4"/>
        <v>TRUE</v>
      </c>
      <c r="AB35" t="s">
        <v>133</v>
      </c>
    </row>
    <row r="36" spans="1:28">
      <c r="A36" t="s">
        <v>567</v>
      </c>
      <c r="B36" t="s">
        <v>137</v>
      </c>
      <c r="C36" t="s">
        <v>501</v>
      </c>
      <c r="D36" t="s">
        <v>709</v>
      </c>
      <c r="E36" t="s">
        <v>502</v>
      </c>
      <c r="F36" t="s">
        <v>499</v>
      </c>
      <c r="G36" s="4">
        <v>22293</v>
      </c>
      <c r="H36" s="4">
        <v>43657</v>
      </c>
      <c r="I36">
        <f t="shared" si="0"/>
        <v>58</v>
      </c>
      <c r="J36">
        <v>1</v>
      </c>
      <c r="K36" t="s">
        <v>493</v>
      </c>
      <c r="L36">
        <v>1013</v>
      </c>
      <c r="M36">
        <v>8</v>
      </c>
      <c r="N36">
        <v>1</v>
      </c>
      <c r="O36">
        <v>2</v>
      </c>
      <c r="P36">
        <v>1</v>
      </c>
      <c r="Q36">
        <v>0</v>
      </c>
      <c r="R36" t="str">
        <f t="shared" si="3"/>
        <v>TRUE</v>
      </c>
      <c r="S36" t="s">
        <v>137</v>
      </c>
      <c r="T36">
        <v>124.01</v>
      </c>
      <c r="U36">
        <v>37</v>
      </c>
      <c r="V36">
        <v>20.57</v>
      </c>
      <c r="W36">
        <v>2500.0100000000002</v>
      </c>
      <c r="X36">
        <v>2500.0100000000002</v>
      </c>
      <c r="Y36">
        <v>554.33000000000004</v>
      </c>
      <c r="Z36">
        <v>405.08</v>
      </c>
      <c r="AA36" t="str">
        <f t="shared" si="4"/>
        <v>TRUE</v>
      </c>
      <c r="AB36" t="s">
        <v>137</v>
      </c>
    </row>
    <row r="37" spans="1:28">
      <c r="A37" t="s">
        <v>570</v>
      </c>
      <c r="B37" t="s">
        <v>143</v>
      </c>
      <c r="C37" t="s">
        <v>501</v>
      </c>
      <c r="D37" t="s">
        <v>709</v>
      </c>
      <c r="E37" t="s">
        <v>571</v>
      </c>
      <c r="F37" t="s">
        <v>492</v>
      </c>
      <c r="G37" s="4">
        <v>31009</v>
      </c>
      <c r="H37" s="4">
        <v>43699</v>
      </c>
      <c r="I37">
        <f t="shared" si="0"/>
        <v>34</v>
      </c>
      <c r="J37">
        <v>1</v>
      </c>
      <c r="K37" t="s">
        <v>488</v>
      </c>
      <c r="L37">
        <v>2000</v>
      </c>
      <c r="M37">
        <v>10</v>
      </c>
      <c r="N37">
        <v>1</v>
      </c>
      <c r="O37">
        <v>2</v>
      </c>
      <c r="P37" s="1">
        <v>1</v>
      </c>
      <c r="Q37" s="1">
        <v>0</v>
      </c>
      <c r="R37" t="str">
        <f t="shared" si="3"/>
        <v>TRUE</v>
      </c>
      <c r="S37" t="s">
        <v>143</v>
      </c>
      <c r="T37">
        <v>34.880000000000003</v>
      </c>
      <c r="U37">
        <v>36.369999999999997</v>
      </c>
      <c r="V37">
        <v>16.62</v>
      </c>
      <c r="W37">
        <v>724.12</v>
      </c>
      <c r="X37">
        <v>184.96</v>
      </c>
      <c r="Y37">
        <v>78.23</v>
      </c>
      <c r="Z37">
        <v>896.09</v>
      </c>
      <c r="AA37" t="str">
        <f t="shared" si="4"/>
        <v>TRUE</v>
      </c>
      <c r="AB37" t="s">
        <v>143</v>
      </c>
    </row>
    <row r="38" spans="1:28">
      <c r="A38" t="s">
        <v>576</v>
      </c>
      <c r="B38" t="s">
        <v>153</v>
      </c>
      <c r="C38" t="s">
        <v>501</v>
      </c>
      <c r="D38" t="s">
        <v>709</v>
      </c>
      <c r="E38" t="s">
        <v>538</v>
      </c>
      <c r="F38" t="s">
        <v>499</v>
      </c>
      <c r="G38" s="4">
        <v>25311</v>
      </c>
      <c r="H38" s="4">
        <v>43731</v>
      </c>
      <c r="I38">
        <f t="shared" si="0"/>
        <v>50</v>
      </c>
      <c r="J38">
        <v>1</v>
      </c>
      <c r="K38" t="s">
        <v>488</v>
      </c>
      <c r="L38">
        <v>1112</v>
      </c>
      <c r="M38">
        <v>8</v>
      </c>
      <c r="N38">
        <v>0</v>
      </c>
      <c r="O38">
        <v>2</v>
      </c>
      <c r="P38" s="9">
        <v>1</v>
      </c>
      <c r="Q38" s="9">
        <v>0</v>
      </c>
      <c r="R38" t="str">
        <f t="shared" si="3"/>
        <v>TRUE</v>
      </c>
      <c r="S38" t="s">
        <v>153</v>
      </c>
      <c r="T38">
        <v>83.52</v>
      </c>
      <c r="U38">
        <v>39.950000000000003</v>
      </c>
      <c r="V38">
        <v>15.23</v>
      </c>
      <c r="W38">
        <v>305.74</v>
      </c>
      <c r="X38">
        <v>193.85</v>
      </c>
      <c r="Y38">
        <v>28.37</v>
      </c>
      <c r="Z38">
        <v>106.11</v>
      </c>
      <c r="AA38" t="str">
        <f t="shared" si="4"/>
        <v>TRUE</v>
      </c>
      <c r="AB38" t="s">
        <v>153</v>
      </c>
    </row>
    <row r="39" spans="1:28">
      <c r="A39" t="s">
        <v>581</v>
      </c>
      <c r="B39" t="s">
        <v>163</v>
      </c>
      <c r="C39" t="s">
        <v>501</v>
      </c>
      <c r="D39" t="s">
        <v>709</v>
      </c>
      <c r="E39" t="s">
        <v>582</v>
      </c>
      <c r="F39" t="s">
        <v>492</v>
      </c>
      <c r="G39" s="4">
        <v>21300</v>
      </c>
      <c r="H39" s="4">
        <v>43741</v>
      </c>
      <c r="I39">
        <f t="shared" si="0"/>
        <v>61</v>
      </c>
      <c r="J39">
        <v>1</v>
      </c>
      <c r="K39" t="s">
        <v>493</v>
      </c>
      <c r="L39">
        <v>1217</v>
      </c>
      <c r="M39">
        <v>8</v>
      </c>
      <c r="N39">
        <v>0</v>
      </c>
      <c r="O39">
        <v>1</v>
      </c>
      <c r="P39">
        <v>0</v>
      </c>
      <c r="Q39">
        <v>1</v>
      </c>
      <c r="R39" t="str">
        <f t="shared" si="3"/>
        <v>TRUE</v>
      </c>
      <c r="S39" t="s">
        <v>163</v>
      </c>
      <c r="T39">
        <v>1000.000011</v>
      </c>
      <c r="U39">
        <v>8.7200000000000006</v>
      </c>
      <c r="V39">
        <v>65.84</v>
      </c>
      <c r="W39">
        <v>293.35000000000002</v>
      </c>
      <c r="X39">
        <v>93.95</v>
      </c>
      <c r="Y39">
        <v>152.97</v>
      </c>
      <c r="Z39">
        <v>2.4900000000000002</v>
      </c>
      <c r="AA39" t="str">
        <f t="shared" si="4"/>
        <v>TRUE</v>
      </c>
      <c r="AB39" t="s">
        <v>163</v>
      </c>
    </row>
    <row r="40" spans="1:28">
      <c r="A40" t="s">
        <v>587</v>
      </c>
      <c r="B40" t="s">
        <v>173</v>
      </c>
      <c r="C40" t="s">
        <v>490</v>
      </c>
      <c r="D40" t="s">
        <v>709</v>
      </c>
      <c r="E40" t="s">
        <v>512</v>
      </c>
      <c r="F40" t="s">
        <v>499</v>
      </c>
      <c r="G40" s="4">
        <v>34720</v>
      </c>
      <c r="H40" s="4">
        <v>43812</v>
      </c>
      <c r="I40">
        <f t="shared" si="0"/>
        <v>24</v>
      </c>
      <c r="J40">
        <v>1</v>
      </c>
      <c r="K40" t="s">
        <v>488</v>
      </c>
      <c r="L40">
        <v>375</v>
      </c>
      <c r="M40">
        <v>9</v>
      </c>
      <c r="N40">
        <v>0</v>
      </c>
      <c r="O40">
        <v>1</v>
      </c>
      <c r="P40" s="10">
        <v>0</v>
      </c>
      <c r="Q40" s="10">
        <v>1</v>
      </c>
      <c r="R40" t="str">
        <f t="shared" si="3"/>
        <v>TRUE</v>
      </c>
      <c r="S40" t="s">
        <v>173</v>
      </c>
      <c r="T40">
        <v>59.92</v>
      </c>
      <c r="U40">
        <v>13.09</v>
      </c>
      <c r="V40">
        <v>10.48</v>
      </c>
      <c r="W40">
        <v>28.43</v>
      </c>
      <c r="X40">
        <v>67.12</v>
      </c>
      <c r="Y40">
        <v>15.14</v>
      </c>
      <c r="Z40">
        <v>54.26</v>
      </c>
      <c r="AA40" t="str">
        <f t="shared" si="4"/>
        <v>TRUE</v>
      </c>
      <c r="AB40" t="s">
        <v>173</v>
      </c>
    </row>
    <row r="41" spans="1:28">
      <c r="A41" t="s">
        <v>588</v>
      </c>
      <c r="B41" t="s">
        <v>175</v>
      </c>
      <c r="C41" t="s">
        <v>490</v>
      </c>
      <c r="D41" t="s">
        <v>709</v>
      </c>
      <c r="E41" t="s">
        <v>498</v>
      </c>
      <c r="F41" t="s">
        <v>499</v>
      </c>
      <c r="G41" s="4">
        <v>33760</v>
      </c>
      <c r="H41" s="4">
        <v>43815</v>
      </c>
      <c r="I41">
        <f t="shared" si="0"/>
        <v>27</v>
      </c>
      <c r="J41">
        <v>1</v>
      </c>
      <c r="K41" t="s">
        <v>488</v>
      </c>
      <c r="L41">
        <v>704</v>
      </c>
      <c r="M41">
        <v>10</v>
      </c>
      <c r="N41">
        <v>1</v>
      </c>
      <c r="O41">
        <v>2</v>
      </c>
      <c r="P41" s="9">
        <v>1</v>
      </c>
      <c r="Q41" s="9">
        <v>0</v>
      </c>
      <c r="R41" t="str">
        <f t="shared" si="3"/>
        <v>TRUE</v>
      </c>
      <c r="S41" t="s">
        <v>175</v>
      </c>
      <c r="T41">
        <v>41.01</v>
      </c>
      <c r="U41">
        <v>40.79</v>
      </c>
      <c r="V41">
        <v>11.02</v>
      </c>
      <c r="W41">
        <v>71.599999999999994</v>
      </c>
      <c r="X41">
        <v>97.95</v>
      </c>
      <c r="Y41">
        <v>15.17</v>
      </c>
      <c r="Z41">
        <v>11.85</v>
      </c>
      <c r="AA41" t="str">
        <f t="shared" si="4"/>
        <v>TRUE</v>
      </c>
      <c r="AB41" t="s">
        <v>175</v>
      </c>
    </row>
    <row r="42" spans="1:28">
      <c r="A42" t="s">
        <v>589</v>
      </c>
      <c r="B42" t="s">
        <v>177</v>
      </c>
      <c r="C42" t="s">
        <v>485</v>
      </c>
      <c r="D42" t="s">
        <v>708</v>
      </c>
      <c r="E42" t="s">
        <v>496</v>
      </c>
      <c r="F42" t="s">
        <v>487</v>
      </c>
      <c r="G42" s="4">
        <v>29236</v>
      </c>
      <c r="H42" s="4">
        <v>43763</v>
      </c>
      <c r="I42">
        <f t="shared" si="0"/>
        <v>39</v>
      </c>
      <c r="J42">
        <v>1</v>
      </c>
      <c r="K42" t="s">
        <v>488</v>
      </c>
      <c r="L42">
        <v>2317</v>
      </c>
      <c r="M42" t="s">
        <v>487</v>
      </c>
      <c r="N42">
        <v>1</v>
      </c>
      <c r="O42">
        <v>2</v>
      </c>
      <c r="P42">
        <v>1</v>
      </c>
      <c r="Q42">
        <v>0</v>
      </c>
      <c r="R42" t="str">
        <f t="shared" si="3"/>
        <v>TRUE</v>
      </c>
      <c r="S42" t="s">
        <v>177</v>
      </c>
      <c r="T42">
        <v>612.82000000000005</v>
      </c>
      <c r="U42">
        <v>36.15</v>
      </c>
      <c r="V42">
        <v>50.25</v>
      </c>
      <c r="W42">
        <v>132.72</v>
      </c>
      <c r="X42">
        <v>138.85</v>
      </c>
      <c r="Y42">
        <v>21.98</v>
      </c>
      <c r="Z42">
        <v>14.87</v>
      </c>
      <c r="AA42" t="str">
        <f t="shared" si="4"/>
        <v>TRUE</v>
      </c>
      <c r="AB42" t="s">
        <v>177</v>
      </c>
    </row>
    <row r="43" spans="1:28">
      <c r="A43" t="s">
        <v>591</v>
      </c>
      <c r="B43" t="s">
        <v>181</v>
      </c>
      <c r="C43" t="s">
        <v>485</v>
      </c>
      <c r="D43" t="s">
        <v>708</v>
      </c>
      <c r="E43" t="s">
        <v>592</v>
      </c>
      <c r="F43" t="s">
        <v>487</v>
      </c>
      <c r="G43" s="4">
        <v>34656</v>
      </c>
      <c r="H43" s="4">
        <v>43756</v>
      </c>
      <c r="I43">
        <f t="shared" si="0"/>
        <v>24</v>
      </c>
      <c r="J43">
        <v>1</v>
      </c>
      <c r="K43" t="s">
        <v>488</v>
      </c>
      <c r="L43">
        <v>2189</v>
      </c>
      <c r="M43" t="s">
        <v>487</v>
      </c>
      <c r="N43">
        <v>0</v>
      </c>
      <c r="O43">
        <v>2</v>
      </c>
      <c r="P43">
        <v>1</v>
      </c>
      <c r="Q43">
        <v>0</v>
      </c>
      <c r="R43" t="str">
        <f t="shared" si="3"/>
        <v>TRUE</v>
      </c>
      <c r="S43" t="s">
        <v>181</v>
      </c>
      <c r="T43">
        <v>73.88</v>
      </c>
      <c r="U43">
        <v>40.18</v>
      </c>
      <c r="V43">
        <v>6.67</v>
      </c>
      <c r="W43">
        <v>561.41999999999996</v>
      </c>
      <c r="X43">
        <v>700.46</v>
      </c>
      <c r="Y43">
        <v>103.09</v>
      </c>
      <c r="Z43">
        <v>42.42</v>
      </c>
      <c r="AA43" t="str">
        <f t="shared" si="4"/>
        <v>TRUE</v>
      </c>
      <c r="AB43" t="s">
        <v>181</v>
      </c>
    </row>
    <row r="44" spans="1:28">
      <c r="A44" t="s">
        <v>594</v>
      </c>
      <c r="B44" t="s">
        <v>185</v>
      </c>
      <c r="C44" t="s">
        <v>490</v>
      </c>
      <c r="D44" t="s">
        <v>709</v>
      </c>
      <c r="E44" t="s">
        <v>491</v>
      </c>
      <c r="F44" t="s">
        <v>492</v>
      </c>
      <c r="G44" s="4">
        <v>23236</v>
      </c>
      <c r="H44" s="4">
        <v>43866</v>
      </c>
      <c r="I44">
        <f t="shared" si="0"/>
        <v>56</v>
      </c>
      <c r="J44">
        <v>1</v>
      </c>
      <c r="K44" t="s">
        <v>488</v>
      </c>
      <c r="L44">
        <v>1854</v>
      </c>
      <c r="M44">
        <v>14</v>
      </c>
      <c r="N44">
        <v>0</v>
      </c>
      <c r="O44">
        <v>3</v>
      </c>
      <c r="P44" s="9">
        <v>0</v>
      </c>
      <c r="Q44" s="9">
        <v>0</v>
      </c>
      <c r="R44" t="str">
        <f t="shared" si="3"/>
        <v>TRUE</v>
      </c>
      <c r="S44" t="s">
        <v>185</v>
      </c>
      <c r="T44">
        <v>257.63</v>
      </c>
      <c r="U44">
        <v>23.44</v>
      </c>
      <c r="V44">
        <v>29.2</v>
      </c>
      <c r="W44">
        <v>476.37</v>
      </c>
      <c r="X44">
        <v>1975.29</v>
      </c>
      <c r="Y44">
        <v>115.82</v>
      </c>
      <c r="Z44">
        <v>101.01</v>
      </c>
      <c r="AA44" t="str">
        <f t="shared" si="4"/>
        <v>TRUE</v>
      </c>
      <c r="AB44" t="s">
        <v>185</v>
      </c>
    </row>
    <row r="45" spans="1:28">
      <c r="A45" t="s">
        <v>595</v>
      </c>
      <c r="B45" t="s">
        <v>187</v>
      </c>
      <c r="C45" t="s">
        <v>501</v>
      </c>
      <c r="D45" t="s">
        <v>709</v>
      </c>
      <c r="E45" t="s">
        <v>502</v>
      </c>
      <c r="F45" t="s">
        <v>499</v>
      </c>
      <c r="G45" s="4">
        <v>33242</v>
      </c>
      <c r="H45" s="4">
        <v>43878</v>
      </c>
      <c r="I45">
        <f t="shared" si="0"/>
        <v>29</v>
      </c>
      <c r="J45">
        <v>1</v>
      </c>
      <c r="K45" t="s">
        <v>488</v>
      </c>
      <c r="L45">
        <v>148</v>
      </c>
      <c r="M45">
        <v>9</v>
      </c>
      <c r="N45">
        <v>1</v>
      </c>
      <c r="O45">
        <v>2</v>
      </c>
      <c r="P45" s="9">
        <v>0</v>
      </c>
      <c r="Q45" s="9">
        <v>1</v>
      </c>
      <c r="R45" t="str">
        <f t="shared" si="3"/>
        <v>TRUE</v>
      </c>
      <c r="S45" t="s">
        <v>187</v>
      </c>
      <c r="T45">
        <v>361.28</v>
      </c>
      <c r="U45">
        <v>19.899999999999999</v>
      </c>
      <c r="V45">
        <v>46.77</v>
      </c>
      <c r="W45">
        <v>753.63</v>
      </c>
      <c r="X45">
        <v>607.49</v>
      </c>
      <c r="Y45">
        <v>27.61</v>
      </c>
      <c r="Z45">
        <v>108.41</v>
      </c>
      <c r="AA45" t="str">
        <f t="shared" si="4"/>
        <v>TRUE</v>
      </c>
      <c r="AB45" t="s">
        <v>187</v>
      </c>
    </row>
    <row r="46" spans="1:28">
      <c r="A46" t="s">
        <v>596</v>
      </c>
      <c r="B46" t="s">
        <v>189</v>
      </c>
      <c r="C46" t="s">
        <v>490</v>
      </c>
      <c r="D46" t="s">
        <v>709</v>
      </c>
      <c r="E46" t="s">
        <v>491</v>
      </c>
      <c r="F46" t="s">
        <v>492</v>
      </c>
      <c r="G46" s="4">
        <v>30355</v>
      </c>
      <c r="H46" s="4">
        <v>43854</v>
      </c>
      <c r="I46">
        <f t="shared" si="0"/>
        <v>36</v>
      </c>
      <c r="J46">
        <v>1</v>
      </c>
      <c r="K46" t="s">
        <v>493</v>
      </c>
      <c r="L46">
        <v>2375</v>
      </c>
      <c r="M46">
        <v>14</v>
      </c>
      <c r="N46">
        <v>1</v>
      </c>
      <c r="O46">
        <v>3</v>
      </c>
      <c r="P46" s="9">
        <v>1</v>
      </c>
      <c r="Q46" s="9">
        <v>0</v>
      </c>
      <c r="R46" t="str">
        <f t="shared" si="3"/>
        <v>TRUE</v>
      </c>
      <c r="S46" t="s">
        <v>189</v>
      </c>
      <c r="T46">
        <v>26.25</v>
      </c>
      <c r="U46">
        <v>61.86</v>
      </c>
      <c r="V46">
        <v>4.28</v>
      </c>
      <c r="W46">
        <v>137.88999999999999</v>
      </c>
      <c r="X46">
        <v>406.69</v>
      </c>
      <c r="Y46">
        <v>150.41</v>
      </c>
      <c r="Z46">
        <v>28.82</v>
      </c>
      <c r="AA46" t="str">
        <f t="shared" si="4"/>
        <v>TRUE</v>
      </c>
      <c r="AB46" t="s">
        <v>189</v>
      </c>
    </row>
    <row r="47" spans="1:28">
      <c r="A47" t="s">
        <v>597</v>
      </c>
      <c r="B47" t="s">
        <v>191</v>
      </c>
      <c r="C47" t="s">
        <v>501</v>
      </c>
      <c r="D47" t="s">
        <v>709</v>
      </c>
      <c r="E47" t="s">
        <v>538</v>
      </c>
      <c r="F47" t="s">
        <v>499</v>
      </c>
      <c r="G47" s="4">
        <v>34130</v>
      </c>
      <c r="H47" s="4">
        <v>43854</v>
      </c>
      <c r="I47">
        <f t="shared" si="0"/>
        <v>26</v>
      </c>
      <c r="J47">
        <v>1</v>
      </c>
      <c r="K47" t="s">
        <v>493</v>
      </c>
      <c r="L47">
        <v>647</v>
      </c>
      <c r="M47">
        <v>4</v>
      </c>
      <c r="N47">
        <v>0</v>
      </c>
      <c r="O47">
        <v>2</v>
      </c>
      <c r="P47" s="9">
        <v>0</v>
      </c>
      <c r="Q47" s="9">
        <v>0</v>
      </c>
      <c r="R47" t="str">
        <f t="shared" si="3"/>
        <v>TRUE</v>
      </c>
      <c r="S47" t="s">
        <v>191</v>
      </c>
      <c r="T47">
        <v>999.65</v>
      </c>
      <c r="U47">
        <v>43.31</v>
      </c>
      <c r="V47">
        <v>141.22999999999999</v>
      </c>
      <c r="W47">
        <v>2500.0100000000002</v>
      </c>
      <c r="X47">
        <v>2500.0100000000002</v>
      </c>
      <c r="Y47">
        <v>1433.58</v>
      </c>
      <c r="Z47">
        <v>483.13</v>
      </c>
      <c r="AA47" t="str">
        <f t="shared" si="4"/>
        <v>TRUE</v>
      </c>
      <c r="AB47" t="s">
        <v>191</v>
      </c>
    </row>
    <row r="48" spans="1:28">
      <c r="A48" t="s">
        <v>598</v>
      </c>
      <c r="B48" t="s">
        <v>193</v>
      </c>
      <c r="C48" t="s">
        <v>490</v>
      </c>
      <c r="D48" t="s">
        <v>709</v>
      </c>
      <c r="E48" t="s">
        <v>498</v>
      </c>
      <c r="F48" t="s">
        <v>499</v>
      </c>
      <c r="G48" s="4">
        <v>25518</v>
      </c>
      <c r="H48" s="4">
        <v>43864</v>
      </c>
      <c r="I48">
        <f t="shared" si="0"/>
        <v>50</v>
      </c>
      <c r="J48">
        <v>1</v>
      </c>
      <c r="K48" t="s">
        <v>493</v>
      </c>
      <c r="L48">
        <v>1982</v>
      </c>
      <c r="M48">
        <v>10</v>
      </c>
      <c r="N48">
        <v>0</v>
      </c>
      <c r="O48">
        <v>3</v>
      </c>
      <c r="P48" s="9">
        <v>1</v>
      </c>
      <c r="Q48" s="9">
        <v>0</v>
      </c>
      <c r="R48" t="str">
        <f t="shared" si="3"/>
        <v>TRUE</v>
      </c>
      <c r="S48" t="s">
        <v>193</v>
      </c>
      <c r="T48">
        <v>33.729999999999997</v>
      </c>
      <c r="U48">
        <v>30.45</v>
      </c>
      <c r="V48">
        <v>6.86</v>
      </c>
      <c r="W48">
        <v>73.09</v>
      </c>
      <c r="X48">
        <v>78.36</v>
      </c>
      <c r="Y48">
        <v>21.04</v>
      </c>
      <c r="Z48">
        <v>4.9800000000000004</v>
      </c>
      <c r="AA48" t="str">
        <f t="shared" si="4"/>
        <v>TRUE</v>
      </c>
      <c r="AB48" t="s">
        <v>193</v>
      </c>
    </row>
    <row r="49" spans="1:28">
      <c r="A49" t="s">
        <v>603</v>
      </c>
      <c r="B49" t="s">
        <v>203</v>
      </c>
      <c r="C49" t="s">
        <v>490</v>
      </c>
      <c r="D49" t="s">
        <v>709</v>
      </c>
      <c r="E49" t="s">
        <v>512</v>
      </c>
      <c r="F49" t="s">
        <v>499</v>
      </c>
      <c r="G49" s="4">
        <v>21477</v>
      </c>
      <c r="H49" s="4">
        <v>44042</v>
      </c>
      <c r="I49">
        <f t="shared" si="0"/>
        <v>61</v>
      </c>
      <c r="J49">
        <v>1</v>
      </c>
      <c r="K49" t="s">
        <v>488</v>
      </c>
      <c r="L49">
        <v>394</v>
      </c>
      <c r="M49">
        <v>6</v>
      </c>
      <c r="N49">
        <v>0</v>
      </c>
      <c r="O49">
        <v>2</v>
      </c>
      <c r="P49" s="9">
        <v>0</v>
      </c>
      <c r="Q49" s="9">
        <v>1</v>
      </c>
      <c r="R49" t="str">
        <f t="shared" si="3"/>
        <v>TRUE</v>
      </c>
      <c r="S49" t="s">
        <v>203</v>
      </c>
      <c r="T49">
        <v>83.19</v>
      </c>
      <c r="U49">
        <v>76.319999999999993</v>
      </c>
      <c r="V49">
        <v>5.23</v>
      </c>
      <c r="W49">
        <v>149.72999999999999</v>
      </c>
      <c r="X49">
        <v>112.24</v>
      </c>
      <c r="Y49">
        <v>4.8099999999999996</v>
      </c>
      <c r="Z49">
        <v>8.1199999999999992</v>
      </c>
      <c r="AA49" t="str">
        <f t="shared" si="4"/>
        <v>TRUE</v>
      </c>
      <c r="AB49" t="s">
        <v>203</v>
      </c>
    </row>
    <row r="50" spans="1:28">
      <c r="A50" t="s">
        <v>604</v>
      </c>
      <c r="B50" t="s">
        <v>205</v>
      </c>
      <c r="C50" t="s">
        <v>490</v>
      </c>
      <c r="D50" t="s">
        <v>709</v>
      </c>
      <c r="E50" t="s">
        <v>498</v>
      </c>
      <c r="F50" t="s">
        <v>499</v>
      </c>
      <c r="G50" s="4">
        <v>36030</v>
      </c>
      <c r="H50" s="4">
        <v>44054</v>
      </c>
      <c r="I50">
        <f t="shared" si="0"/>
        <v>21</v>
      </c>
      <c r="J50">
        <v>1</v>
      </c>
      <c r="K50" t="s">
        <v>488</v>
      </c>
      <c r="L50">
        <v>2208</v>
      </c>
      <c r="M50">
        <v>5</v>
      </c>
      <c r="N50">
        <v>1</v>
      </c>
      <c r="O50">
        <v>2</v>
      </c>
      <c r="P50" s="9">
        <v>1</v>
      </c>
      <c r="Q50" s="9">
        <v>0</v>
      </c>
      <c r="R50" t="str">
        <f t="shared" si="3"/>
        <v>TRUE</v>
      </c>
      <c r="S50" t="s">
        <v>205</v>
      </c>
      <c r="T50">
        <v>27.29</v>
      </c>
      <c r="U50">
        <v>14.54</v>
      </c>
      <c r="V50">
        <v>20.39</v>
      </c>
      <c r="W50">
        <v>13.71</v>
      </c>
      <c r="X50">
        <v>16.34</v>
      </c>
      <c r="Y50" s="1">
        <v>2.4900000000000002</v>
      </c>
      <c r="Z50">
        <v>2.4900000000000002</v>
      </c>
      <c r="AA50" t="str">
        <f t="shared" si="4"/>
        <v>TRUE</v>
      </c>
      <c r="AB50" t="s">
        <v>205</v>
      </c>
    </row>
    <row r="51" spans="1:28">
      <c r="A51" t="s">
        <v>606</v>
      </c>
      <c r="B51" t="s">
        <v>209</v>
      </c>
      <c r="C51" t="s">
        <v>501</v>
      </c>
      <c r="D51" t="s">
        <v>709</v>
      </c>
      <c r="E51" t="s">
        <v>571</v>
      </c>
      <c r="F51" t="s">
        <v>492</v>
      </c>
      <c r="G51" s="4">
        <v>32221</v>
      </c>
      <c r="H51" s="4">
        <v>44063</v>
      </c>
      <c r="I51">
        <f t="shared" si="0"/>
        <v>32</v>
      </c>
      <c r="J51">
        <v>1</v>
      </c>
      <c r="K51" t="s">
        <v>488</v>
      </c>
      <c r="L51">
        <v>700</v>
      </c>
      <c r="M51">
        <v>4</v>
      </c>
      <c r="N51">
        <v>1</v>
      </c>
      <c r="O51">
        <v>2</v>
      </c>
      <c r="P51" s="9">
        <v>1</v>
      </c>
      <c r="Q51" s="9">
        <v>0</v>
      </c>
      <c r="R51" t="str">
        <f t="shared" si="3"/>
        <v>TRUE</v>
      </c>
      <c r="S51" t="s">
        <v>209</v>
      </c>
      <c r="T51">
        <v>177.64</v>
      </c>
      <c r="U51">
        <v>31.74</v>
      </c>
      <c r="V51">
        <v>34.14</v>
      </c>
      <c r="W51">
        <v>76.89</v>
      </c>
      <c r="X51">
        <v>88.22</v>
      </c>
      <c r="Y51">
        <v>11.76</v>
      </c>
      <c r="Z51">
        <v>4.3600000000000003</v>
      </c>
      <c r="AA51" t="str">
        <f t="shared" si="4"/>
        <v>TRUE</v>
      </c>
      <c r="AB51" t="s">
        <v>209</v>
      </c>
    </row>
    <row r="52" spans="1:28">
      <c r="A52" t="s">
        <v>607</v>
      </c>
      <c r="B52" t="s">
        <v>211</v>
      </c>
      <c r="C52" t="s">
        <v>485</v>
      </c>
      <c r="D52" t="s">
        <v>708</v>
      </c>
      <c r="E52" t="s">
        <v>496</v>
      </c>
      <c r="F52" t="s">
        <v>487</v>
      </c>
      <c r="G52" s="4">
        <v>23988</v>
      </c>
      <c r="H52" s="4">
        <v>44084</v>
      </c>
      <c r="I52">
        <f t="shared" si="0"/>
        <v>55</v>
      </c>
      <c r="J52">
        <v>1</v>
      </c>
      <c r="K52" t="s">
        <v>488</v>
      </c>
      <c r="L52">
        <v>264</v>
      </c>
      <c r="M52" t="s">
        <v>487</v>
      </c>
      <c r="N52">
        <v>1</v>
      </c>
      <c r="O52">
        <v>2</v>
      </c>
      <c r="P52" s="1">
        <v>1</v>
      </c>
      <c r="Q52" s="1">
        <v>0</v>
      </c>
      <c r="R52" t="str">
        <f t="shared" si="3"/>
        <v>TRUE</v>
      </c>
      <c r="S52" t="s">
        <v>211</v>
      </c>
      <c r="T52">
        <v>38.65</v>
      </c>
      <c r="U52">
        <v>22.51</v>
      </c>
      <c r="V52">
        <v>2.09</v>
      </c>
      <c r="W52">
        <v>110.16</v>
      </c>
      <c r="X52">
        <v>79.47</v>
      </c>
      <c r="Y52">
        <v>13.56</v>
      </c>
      <c r="Z52">
        <v>54.72</v>
      </c>
      <c r="AA52" t="str">
        <f t="shared" si="4"/>
        <v>TRUE</v>
      </c>
      <c r="AB52" t="s">
        <v>211</v>
      </c>
    </row>
    <row r="53" spans="1:28">
      <c r="A53" t="s">
        <v>608</v>
      </c>
      <c r="B53" t="s">
        <v>213</v>
      </c>
      <c r="C53" t="s">
        <v>485</v>
      </c>
      <c r="D53" t="s">
        <v>708</v>
      </c>
      <c r="E53" t="s">
        <v>496</v>
      </c>
      <c r="F53" t="s">
        <v>487</v>
      </c>
      <c r="G53" s="4">
        <v>34492</v>
      </c>
      <c r="H53" s="4">
        <v>44084</v>
      </c>
      <c r="I53">
        <f t="shared" si="0"/>
        <v>26</v>
      </c>
      <c r="J53">
        <v>1</v>
      </c>
      <c r="K53" t="s">
        <v>488</v>
      </c>
      <c r="L53">
        <v>1928</v>
      </c>
      <c r="M53" t="s">
        <v>487</v>
      </c>
      <c r="N53">
        <v>0</v>
      </c>
      <c r="O53">
        <v>2</v>
      </c>
      <c r="P53" s="1">
        <v>0</v>
      </c>
      <c r="Q53" s="1">
        <v>1</v>
      </c>
      <c r="R53" t="str">
        <f t="shared" si="3"/>
        <v>TRUE</v>
      </c>
      <c r="S53" t="s">
        <v>213</v>
      </c>
      <c r="T53">
        <v>48.42</v>
      </c>
      <c r="U53">
        <v>43.78</v>
      </c>
      <c r="V53">
        <v>16.600000000000001</v>
      </c>
      <c r="W53">
        <v>213.55</v>
      </c>
      <c r="X53">
        <v>212.28</v>
      </c>
      <c r="Y53">
        <v>53.54</v>
      </c>
      <c r="Z53">
        <v>10.48</v>
      </c>
      <c r="AA53" t="str">
        <f t="shared" si="4"/>
        <v>TRUE</v>
      </c>
      <c r="AB53" t="s">
        <v>213</v>
      </c>
    </row>
    <row r="54" spans="1:28">
      <c r="A54" t="s">
        <v>609</v>
      </c>
      <c r="B54" t="s">
        <v>215</v>
      </c>
      <c r="C54" t="s">
        <v>490</v>
      </c>
      <c r="D54" t="s">
        <v>709</v>
      </c>
      <c r="E54" t="s">
        <v>512</v>
      </c>
      <c r="F54" t="s">
        <v>499</v>
      </c>
      <c r="G54" s="4">
        <v>33194</v>
      </c>
      <c r="H54" s="4">
        <v>44084</v>
      </c>
      <c r="I54">
        <f t="shared" si="0"/>
        <v>29</v>
      </c>
      <c r="J54">
        <v>1</v>
      </c>
      <c r="K54" t="s">
        <v>493</v>
      </c>
      <c r="L54">
        <v>6689</v>
      </c>
      <c r="M54">
        <v>4</v>
      </c>
      <c r="N54">
        <v>1</v>
      </c>
      <c r="O54">
        <v>2</v>
      </c>
      <c r="P54" s="10">
        <v>1</v>
      </c>
      <c r="Q54" s="10">
        <v>0</v>
      </c>
      <c r="R54" t="str">
        <f t="shared" si="3"/>
        <v>TRUE</v>
      </c>
      <c r="S54" t="s">
        <v>215</v>
      </c>
      <c r="T54">
        <v>36.08</v>
      </c>
      <c r="U54">
        <v>14.44</v>
      </c>
      <c r="V54">
        <v>7.81</v>
      </c>
      <c r="W54">
        <v>35.590000000000003</v>
      </c>
      <c r="X54">
        <v>54.24</v>
      </c>
      <c r="Y54">
        <v>22.08</v>
      </c>
      <c r="Z54">
        <v>3.84</v>
      </c>
      <c r="AA54" t="str">
        <f t="shared" si="4"/>
        <v>TRUE</v>
      </c>
      <c r="AB54" t="s">
        <v>215</v>
      </c>
    </row>
    <row r="55" spans="1:28">
      <c r="A55" t="s">
        <v>610</v>
      </c>
      <c r="B55" t="s">
        <v>217</v>
      </c>
      <c r="C55" t="s">
        <v>501</v>
      </c>
      <c r="D55" t="s">
        <v>709</v>
      </c>
      <c r="E55" t="s">
        <v>532</v>
      </c>
      <c r="F55" t="s">
        <v>492</v>
      </c>
      <c r="G55" s="4">
        <v>34219</v>
      </c>
      <c r="H55" s="4">
        <v>44092</v>
      </c>
      <c r="I55">
        <f t="shared" si="0"/>
        <v>27</v>
      </c>
      <c r="J55">
        <v>1</v>
      </c>
      <c r="K55" t="s">
        <v>493</v>
      </c>
      <c r="L55">
        <v>2255</v>
      </c>
      <c r="M55">
        <v>11</v>
      </c>
      <c r="N55">
        <v>1</v>
      </c>
      <c r="O55">
        <v>2</v>
      </c>
      <c r="P55" s="10">
        <v>1</v>
      </c>
      <c r="Q55" s="10">
        <v>0</v>
      </c>
      <c r="R55" t="str">
        <f t="shared" si="3"/>
        <v>TRUE</v>
      </c>
      <c r="S55" t="s">
        <v>217</v>
      </c>
      <c r="T55">
        <v>1000.000011</v>
      </c>
      <c r="U55">
        <v>39.630000000000003</v>
      </c>
      <c r="V55">
        <v>193.18</v>
      </c>
      <c r="W55">
        <v>847.37</v>
      </c>
      <c r="X55">
        <v>2200.17</v>
      </c>
      <c r="Y55">
        <v>1303.75</v>
      </c>
      <c r="Z55">
        <v>2.4900000000000002</v>
      </c>
      <c r="AA55" t="str">
        <f t="shared" si="4"/>
        <v>TRUE</v>
      </c>
      <c r="AB55" t="s">
        <v>217</v>
      </c>
    </row>
    <row r="56" spans="1:28">
      <c r="A56" t="s">
        <v>611</v>
      </c>
      <c r="B56" t="s">
        <v>219</v>
      </c>
      <c r="C56" t="s">
        <v>485</v>
      </c>
      <c r="D56" t="s">
        <v>708</v>
      </c>
      <c r="E56" t="s">
        <v>486</v>
      </c>
      <c r="F56" t="s">
        <v>487</v>
      </c>
      <c r="G56" s="4">
        <v>30903</v>
      </c>
      <c r="H56" s="4">
        <v>44095</v>
      </c>
      <c r="I56">
        <f t="shared" si="0"/>
        <v>36</v>
      </c>
      <c r="J56">
        <v>1</v>
      </c>
      <c r="K56" t="s">
        <v>488</v>
      </c>
      <c r="L56">
        <v>1036</v>
      </c>
      <c r="M56" t="s">
        <v>487</v>
      </c>
      <c r="N56">
        <v>1</v>
      </c>
      <c r="O56">
        <v>2</v>
      </c>
      <c r="P56">
        <v>0</v>
      </c>
      <c r="Q56">
        <v>1</v>
      </c>
      <c r="R56" t="str">
        <f t="shared" si="3"/>
        <v>TRUE</v>
      </c>
      <c r="S56" t="s">
        <v>219</v>
      </c>
      <c r="T56">
        <v>41.08</v>
      </c>
      <c r="U56">
        <v>26.23</v>
      </c>
      <c r="V56">
        <v>8.85</v>
      </c>
      <c r="W56">
        <v>101.12</v>
      </c>
      <c r="X56">
        <v>113.08</v>
      </c>
      <c r="Y56">
        <v>8.4700000000000006</v>
      </c>
      <c r="Z56">
        <v>22.33</v>
      </c>
      <c r="AA56" t="str">
        <f t="shared" si="4"/>
        <v>TRUE</v>
      </c>
      <c r="AB56" t="s">
        <v>219</v>
      </c>
    </row>
    <row r="57" spans="1:28">
      <c r="A57" t="s">
        <v>613</v>
      </c>
      <c r="B57" t="s">
        <v>223</v>
      </c>
      <c r="C57" t="s">
        <v>490</v>
      </c>
      <c r="D57" t="s">
        <v>709</v>
      </c>
      <c r="E57" t="s">
        <v>512</v>
      </c>
      <c r="F57" t="s">
        <v>499</v>
      </c>
      <c r="G57" s="4">
        <v>29096</v>
      </c>
      <c r="H57" s="4">
        <v>44099</v>
      </c>
      <c r="I57">
        <f t="shared" si="0"/>
        <v>41</v>
      </c>
      <c r="J57">
        <v>1</v>
      </c>
      <c r="K57" t="s">
        <v>488</v>
      </c>
      <c r="L57">
        <v>1897</v>
      </c>
      <c r="M57">
        <v>13</v>
      </c>
      <c r="N57">
        <v>0</v>
      </c>
      <c r="O57">
        <v>1</v>
      </c>
      <c r="P57" s="10">
        <v>1</v>
      </c>
      <c r="Q57" s="10">
        <v>0</v>
      </c>
      <c r="R57" t="str">
        <f t="shared" si="3"/>
        <v>TRUE</v>
      </c>
      <c r="S57" t="s">
        <v>223</v>
      </c>
      <c r="T57">
        <v>24.03</v>
      </c>
      <c r="U57">
        <v>29.06</v>
      </c>
      <c r="V57">
        <v>28.2</v>
      </c>
      <c r="W57">
        <v>99.87</v>
      </c>
      <c r="X57">
        <v>63.91</v>
      </c>
      <c r="Y57">
        <v>5.66</v>
      </c>
      <c r="Z57">
        <v>13.87</v>
      </c>
      <c r="AA57" t="str">
        <f t="shared" si="4"/>
        <v>TRUE</v>
      </c>
      <c r="AB57" t="s">
        <v>223</v>
      </c>
    </row>
    <row r="58" spans="1:28">
      <c r="A58" t="s">
        <v>614</v>
      </c>
      <c r="B58" t="s">
        <v>225</v>
      </c>
      <c r="C58" t="s">
        <v>490</v>
      </c>
      <c r="D58" t="s">
        <v>709</v>
      </c>
      <c r="E58" t="s">
        <v>498</v>
      </c>
      <c r="F58" t="s">
        <v>492</v>
      </c>
      <c r="G58" s="4">
        <v>24431</v>
      </c>
      <c r="H58" s="4">
        <v>44099</v>
      </c>
      <c r="I58">
        <f t="shared" si="0"/>
        <v>53</v>
      </c>
      <c r="J58">
        <v>1</v>
      </c>
      <c r="K58" t="s">
        <v>493</v>
      </c>
      <c r="L58">
        <v>1126</v>
      </c>
      <c r="M58">
        <v>15</v>
      </c>
      <c r="N58">
        <v>1</v>
      </c>
      <c r="O58">
        <v>3</v>
      </c>
      <c r="P58" s="10">
        <v>0</v>
      </c>
      <c r="Q58" s="10">
        <v>0</v>
      </c>
      <c r="R58" t="str">
        <f t="shared" si="3"/>
        <v>TRUE</v>
      </c>
      <c r="S58" t="s">
        <v>225</v>
      </c>
      <c r="T58">
        <v>50.38</v>
      </c>
      <c r="U58">
        <v>82.9</v>
      </c>
      <c r="V58">
        <v>22.31</v>
      </c>
      <c r="W58">
        <v>119.35</v>
      </c>
      <c r="X58">
        <v>91.25</v>
      </c>
      <c r="Y58">
        <v>7.5</v>
      </c>
      <c r="Z58">
        <v>76.17</v>
      </c>
      <c r="AA58" t="str">
        <f t="shared" si="4"/>
        <v>TRUE</v>
      </c>
      <c r="AB58" t="s">
        <v>225</v>
      </c>
    </row>
    <row r="59" spans="1:28">
      <c r="A59" t="s">
        <v>615</v>
      </c>
      <c r="B59" t="s">
        <v>227</v>
      </c>
      <c r="C59" t="s">
        <v>501</v>
      </c>
      <c r="D59" t="s">
        <v>709</v>
      </c>
      <c r="E59" t="s">
        <v>532</v>
      </c>
      <c r="F59" t="s">
        <v>499</v>
      </c>
      <c r="G59" s="4">
        <v>35213</v>
      </c>
      <c r="H59" s="4">
        <v>44104</v>
      </c>
      <c r="I59">
        <f t="shared" si="0"/>
        <v>24</v>
      </c>
      <c r="J59">
        <v>1</v>
      </c>
      <c r="K59" t="s">
        <v>488</v>
      </c>
      <c r="L59">
        <v>1123</v>
      </c>
      <c r="M59">
        <v>6</v>
      </c>
      <c r="N59">
        <v>1</v>
      </c>
      <c r="O59">
        <v>2</v>
      </c>
      <c r="P59" s="10">
        <v>1</v>
      </c>
      <c r="Q59" s="10">
        <v>0</v>
      </c>
      <c r="R59" t="str">
        <f t="shared" si="3"/>
        <v>TRUE</v>
      </c>
      <c r="S59" t="s">
        <v>227</v>
      </c>
      <c r="T59">
        <v>54.54</v>
      </c>
      <c r="U59">
        <v>47.35</v>
      </c>
      <c r="V59">
        <v>17.55</v>
      </c>
      <c r="W59">
        <v>258.93</v>
      </c>
      <c r="X59">
        <v>117.46</v>
      </c>
      <c r="Y59">
        <v>11.74</v>
      </c>
      <c r="Z59">
        <v>32.6</v>
      </c>
      <c r="AA59" t="str">
        <f t="shared" si="4"/>
        <v>TRUE</v>
      </c>
      <c r="AB59" t="s">
        <v>227</v>
      </c>
    </row>
    <row r="60" spans="1:28">
      <c r="A60" t="s">
        <v>616</v>
      </c>
      <c r="B60" t="s">
        <v>229</v>
      </c>
      <c r="C60" t="s">
        <v>490</v>
      </c>
      <c r="D60" t="s">
        <v>709</v>
      </c>
      <c r="E60" t="s">
        <v>498</v>
      </c>
      <c r="F60" t="s">
        <v>499</v>
      </c>
      <c r="G60" s="4">
        <v>23988</v>
      </c>
      <c r="H60" s="4">
        <v>44104</v>
      </c>
      <c r="I60">
        <f t="shared" si="0"/>
        <v>55</v>
      </c>
      <c r="J60">
        <v>1</v>
      </c>
      <c r="K60" t="s">
        <v>493</v>
      </c>
      <c r="L60">
        <v>4713</v>
      </c>
      <c r="M60">
        <v>6</v>
      </c>
      <c r="N60">
        <v>1</v>
      </c>
      <c r="O60">
        <v>2</v>
      </c>
      <c r="P60" s="9">
        <v>0</v>
      </c>
      <c r="Q60" s="9">
        <v>0</v>
      </c>
      <c r="R60" t="str">
        <f t="shared" si="3"/>
        <v>TRUE</v>
      </c>
      <c r="S60" t="s">
        <v>229</v>
      </c>
      <c r="T60">
        <v>30.61</v>
      </c>
      <c r="U60">
        <v>5.51</v>
      </c>
      <c r="V60">
        <v>3.29</v>
      </c>
      <c r="W60">
        <v>30.09</v>
      </c>
      <c r="X60">
        <v>54.85</v>
      </c>
      <c r="Y60">
        <v>9.5299999999999994</v>
      </c>
      <c r="Z60">
        <v>2.7</v>
      </c>
      <c r="AA60" t="str">
        <f t="shared" si="4"/>
        <v>TRUE</v>
      </c>
      <c r="AB60" t="s">
        <v>229</v>
      </c>
    </row>
    <row r="61" spans="1:28">
      <c r="A61" t="s">
        <v>617</v>
      </c>
      <c r="B61" t="s">
        <v>231</v>
      </c>
      <c r="C61" t="s">
        <v>490</v>
      </c>
      <c r="D61" t="s">
        <v>709</v>
      </c>
      <c r="E61" t="s">
        <v>491</v>
      </c>
      <c r="F61" t="s">
        <v>499</v>
      </c>
      <c r="G61" s="4">
        <v>16624</v>
      </c>
      <c r="H61" s="4">
        <v>44106</v>
      </c>
      <c r="I61">
        <f t="shared" si="0"/>
        <v>75</v>
      </c>
      <c r="J61">
        <v>1</v>
      </c>
      <c r="K61" t="s">
        <v>493</v>
      </c>
      <c r="L61">
        <v>4146</v>
      </c>
      <c r="M61">
        <v>6</v>
      </c>
      <c r="N61">
        <v>1</v>
      </c>
      <c r="O61">
        <v>2</v>
      </c>
      <c r="P61" s="9">
        <v>1</v>
      </c>
      <c r="Q61" s="9">
        <v>0</v>
      </c>
      <c r="R61" t="str">
        <f t="shared" si="3"/>
        <v>TRUE</v>
      </c>
      <c r="S61" t="s">
        <v>231</v>
      </c>
      <c r="T61">
        <v>30.88</v>
      </c>
      <c r="U61">
        <v>50.13</v>
      </c>
      <c r="V61">
        <v>2.9</v>
      </c>
      <c r="W61">
        <v>874.51</v>
      </c>
      <c r="X61">
        <v>555.59</v>
      </c>
      <c r="Y61">
        <v>10.43</v>
      </c>
      <c r="Z61">
        <v>11.01</v>
      </c>
      <c r="AA61" t="str">
        <f t="shared" si="4"/>
        <v>TRUE</v>
      </c>
      <c r="AB61" t="s">
        <v>231</v>
      </c>
    </row>
    <row r="62" spans="1:28">
      <c r="A62" t="s">
        <v>618</v>
      </c>
      <c r="B62" t="s">
        <v>233</v>
      </c>
      <c r="C62" t="s">
        <v>490</v>
      </c>
      <c r="D62" t="s">
        <v>709</v>
      </c>
      <c r="E62" t="s">
        <v>491</v>
      </c>
      <c r="F62" t="s">
        <v>492</v>
      </c>
      <c r="G62" s="4">
        <v>33801</v>
      </c>
      <c r="H62" s="4">
        <v>44110</v>
      </c>
      <c r="I62">
        <f t="shared" si="0"/>
        <v>28</v>
      </c>
      <c r="J62">
        <v>1</v>
      </c>
      <c r="K62" t="s">
        <v>488</v>
      </c>
      <c r="L62">
        <v>2363</v>
      </c>
      <c r="M62">
        <v>9</v>
      </c>
      <c r="N62">
        <v>0</v>
      </c>
      <c r="O62">
        <v>2</v>
      </c>
      <c r="P62" s="9">
        <v>1</v>
      </c>
      <c r="Q62" s="9">
        <v>0</v>
      </c>
      <c r="R62" t="str">
        <f t="shared" si="3"/>
        <v>TRUE</v>
      </c>
      <c r="S62" t="s">
        <v>233</v>
      </c>
      <c r="T62">
        <v>112.06</v>
      </c>
      <c r="U62">
        <v>29.48</v>
      </c>
      <c r="V62">
        <v>26.77</v>
      </c>
      <c r="W62">
        <v>324.39</v>
      </c>
      <c r="X62">
        <v>379.46</v>
      </c>
      <c r="Y62">
        <v>25.49</v>
      </c>
      <c r="Z62">
        <v>42.62</v>
      </c>
      <c r="AA62" t="str">
        <f t="shared" si="4"/>
        <v>TRUE</v>
      </c>
      <c r="AB62" t="s">
        <v>233</v>
      </c>
    </row>
    <row r="63" spans="1:28">
      <c r="A63" t="s">
        <v>620</v>
      </c>
      <c r="B63" t="s">
        <v>237</v>
      </c>
      <c r="C63" t="s">
        <v>485</v>
      </c>
      <c r="D63" t="s">
        <v>708</v>
      </c>
      <c r="E63" t="s">
        <v>486</v>
      </c>
      <c r="F63" t="s">
        <v>487</v>
      </c>
      <c r="G63" s="4">
        <v>24811</v>
      </c>
      <c r="H63" s="4">
        <v>44118</v>
      </c>
      <c r="I63">
        <f t="shared" si="0"/>
        <v>52</v>
      </c>
      <c r="J63">
        <v>1</v>
      </c>
      <c r="K63" t="s">
        <v>493</v>
      </c>
      <c r="L63">
        <v>236</v>
      </c>
      <c r="M63" t="s">
        <v>487</v>
      </c>
      <c r="N63">
        <v>1</v>
      </c>
      <c r="O63">
        <v>2</v>
      </c>
      <c r="P63" s="10">
        <v>1</v>
      </c>
      <c r="Q63" s="10">
        <v>0</v>
      </c>
      <c r="R63" t="str">
        <f t="shared" si="3"/>
        <v>TRUE</v>
      </c>
      <c r="S63" t="s">
        <v>237</v>
      </c>
      <c r="T63">
        <v>917.01</v>
      </c>
      <c r="U63">
        <v>32.71</v>
      </c>
      <c r="V63">
        <v>100.25</v>
      </c>
      <c r="W63">
        <v>204.57</v>
      </c>
      <c r="X63">
        <v>226.16</v>
      </c>
      <c r="Y63">
        <v>84.24</v>
      </c>
      <c r="Z63">
        <v>50.21</v>
      </c>
      <c r="AA63" t="str">
        <f t="shared" si="4"/>
        <v>TRUE</v>
      </c>
      <c r="AB63" t="s">
        <v>237</v>
      </c>
    </row>
    <row r="64" spans="1:28">
      <c r="A64" t="s">
        <v>621</v>
      </c>
      <c r="B64" t="s">
        <v>239</v>
      </c>
      <c r="C64" t="s">
        <v>501</v>
      </c>
      <c r="D64" t="s">
        <v>709</v>
      </c>
      <c r="E64" t="s">
        <v>532</v>
      </c>
      <c r="F64" t="s">
        <v>492</v>
      </c>
      <c r="G64" s="4">
        <v>19739</v>
      </c>
      <c r="H64" s="4">
        <v>44119</v>
      </c>
      <c r="I64">
        <f t="shared" si="0"/>
        <v>66</v>
      </c>
      <c r="J64">
        <v>1</v>
      </c>
      <c r="K64" t="s">
        <v>488</v>
      </c>
      <c r="L64">
        <v>900</v>
      </c>
      <c r="M64">
        <v>10</v>
      </c>
      <c r="N64">
        <v>1</v>
      </c>
      <c r="O64">
        <v>3</v>
      </c>
      <c r="P64" s="9">
        <v>1</v>
      </c>
      <c r="Q64" s="9">
        <v>0</v>
      </c>
      <c r="R64" t="str">
        <f t="shared" si="3"/>
        <v>TRUE</v>
      </c>
      <c r="S64" t="s">
        <v>239</v>
      </c>
      <c r="T64">
        <v>60.69</v>
      </c>
      <c r="U64">
        <v>39.04</v>
      </c>
      <c r="V64">
        <v>9.73</v>
      </c>
      <c r="W64">
        <v>614.26</v>
      </c>
      <c r="X64">
        <v>1052.0899999999999</v>
      </c>
      <c r="Y64">
        <v>112.35</v>
      </c>
      <c r="Z64">
        <v>66.59</v>
      </c>
      <c r="AA64" t="str">
        <f t="shared" si="4"/>
        <v>TRUE</v>
      </c>
      <c r="AB64" t="s">
        <v>239</v>
      </c>
    </row>
    <row r="65" spans="1:28">
      <c r="A65" t="s">
        <v>622</v>
      </c>
      <c r="B65" t="s">
        <v>241</v>
      </c>
      <c r="C65" t="s">
        <v>501</v>
      </c>
      <c r="D65" t="s">
        <v>709</v>
      </c>
      <c r="E65" t="s">
        <v>532</v>
      </c>
      <c r="F65" t="s">
        <v>499</v>
      </c>
      <c r="G65" s="4">
        <v>34804</v>
      </c>
      <c r="H65" s="4">
        <v>44127</v>
      </c>
      <c r="I65">
        <f t="shared" ref="I65:I94" si="5">DATEDIF(G65,H65,"Y")</f>
        <v>25</v>
      </c>
      <c r="J65">
        <v>1</v>
      </c>
      <c r="K65" t="s">
        <v>488</v>
      </c>
      <c r="L65">
        <v>904</v>
      </c>
      <c r="M65">
        <v>6</v>
      </c>
      <c r="N65">
        <v>0</v>
      </c>
      <c r="O65">
        <v>1</v>
      </c>
      <c r="P65" s="9">
        <v>0</v>
      </c>
      <c r="Q65" s="9">
        <v>1</v>
      </c>
      <c r="R65" t="str">
        <f t="shared" si="3"/>
        <v>TRUE</v>
      </c>
      <c r="S65" t="s">
        <v>241</v>
      </c>
      <c r="T65">
        <v>86.53</v>
      </c>
      <c r="U65">
        <v>11.41</v>
      </c>
      <c r="V65">
        <v>13.56</v>
      </c>
      <c r="W65">
        <v>145.13</v>
      </c>
      <c r="X65">
        <v>156.61000000000001</v>
      </c>
      <c r="Y65">
        <v>14.44</v>
      </c>
      <c r="Z65">
        <v>41.3</v>
      </c>
      <c r="AA65" t="str">
        <f t="shared" si="4"/>
        <v>TRUE</v>
      </c>
      <c r="AB65" t="s">
        <v>241</v>
      </c>
    </row>
    <row r="66" spans="1:28">
      <c r="A66" t="s">
        <v>623</v>
      </c>
      <c r="B66" t="s">
        <v>243</v>
      </c>
      <c r="C66" t="s">
        <v>501</v>
      </c>
      <c r="D66" t="s">
        <v>709</v>
      </c>
      <c r="E66" t="s">
        <v>502</v>
      </c>
      <c r="F66" t="s">
        <v>499</v>
      </c>
      <c r="G66" s="4">
        <v>23778</v>
      </c>
      <c r="H66" s="4">
        <v>44130</v>
      </c>
      <c r="I66">
        <f t="shared" si="5"/>
        <v>55</v>
      </c>
      <c r="J66">
        <v>1</v>
      </c>
      <c r="K66" t="s">
        <v>488</v>
      </c>
      <c r="L66">
        <v>319</v>
      </c>
      <c r="M66">
        <v>11</v>
      </c>
      <c r="N66">
        <v>1</v>
      </c>
      <c r="O66">
        <v>2</v>
      </c>
      <c r="P66" s="10">
        <v>1</v>
      </c>
      <c r="Q66" s="10">
        <v>0</v>
      </c>
      <c r="R66" t="str">
        <f t="shared" ref="R66:R97" si="6">IF(S66=B66, "TRUE", "FALSE")</f>
        <v>TRUE</v>
      </c>
      <c r="S66" t="s">
        <v>243</v>
      </c>
      <c r="T66">
        <v>164.6</v>
      </c>
      <c r="U66">
        <v>9.01</v>
      </c>
      <c r="V66">
        <v>18.45</v>
      </c>
      <c r="W66">
        <v>59.26</v>
      </c>
      <c r="X66">
        <v>25.5</v>
      </c>
      <c r="Y66">
        <v>4.74</v>
      </c>
      <c r="Z66">
        <v>31.47</v>
      </c>
      <c r="AA66" t="str">
        <f t="shared" ref="AA66:AA97" si="7">IF(AB66=B66, "TRUE", "FALSE")</f>
        <v>TRUE</v>
      </c>
      <c r="AB66" t="s">
        <v>243</v>
      </c>
    </row>
    <row r="67" spans="1:28">
      <c r="A67" t="s">
        <v>625</v>
      </c>
      <c r="B67" t="s">
        <v>247</v>
      </c>
      <c r="C67" t="s">
        <v>485</v>
      </c>
      <c r="D67" t="s">
        <v>708</v>
      </c>
      <c r="E67" t="s">
        <v>592</v>
      </c>
      <c r="F67" t="s">
        <v>487</v>
      </c>
      <c r="G67" s="4">
        <v>37328</v>
      </c>
      <c r="H67" s="4">
        <v>44146</v>
      </c>
      <c r="I67">
        <f t="shared" si="5"/>
        <v>18</v>
      </c>
      <c r="J67">
        <v>1</v>
      </c>
      <c r="K67" t="s">
        <v>488</v>
      </c>
      <c r="L67">
        <v>472</v>
      </c>
      <c r="M67" t="s">
        <v>487</v>
      </c>
      <c r="N67">
        <v>1</v>
      </c>
      <c r="O67">
        <v>2</v>
      </c>
      <c r="P67" s="10">
        <v>1</v>
      </c>
      <c r="Q67" s="10">
        <v>0</v>
      </c>
      <c r="R67" t="str">
        <f t="shared" si="6"/>
        <v>TRUE</v>
      </c>
      <c r="S67" t="s">
        <v>247</v>
      </c>
      <c r="T67">
        <v>1000.000011</v>
      </c>
      <c r="U67">
        <v>109.21</v>
      </c>
      <c r="V67">
        <v>500.01</v>
      </c>
      <c r="W67">
        <v>261.55</v>
      </c>
      <c r="X67">
        <v>358.02</v>
      </c>
      <c r="Y67">
        <v>101.34</v>
      </c>
      <c r="Z67">
        <v>23.63</v>
      </c>
      <c r="AA67" t="str">
        <f t="shared" si="7"/>
        <v>TRUE</v>
      </c>
      <c r="AB67" t="s">
        <v>247</v>
      </c>
    </row>
    <row r="68" spans="1:28">
      <c r="A68" t="s">
        <v>628</v>
      </c>
      <c r="B68" t="s">
        <v>253</v>
      </c>
      <c r="C68" t="s">
        <v>490</v>
      </c>
      <c r="D68" t="s">
        <v>709</v>
      </c>
      <c r="E68" t="s">
        <v>498</v>
      </c>
      <c r="F68" t="s">
        <v>492</v>
      </c>
      <c r="G68" s="4">
        <v>34311</v>
      </c>
      <c r="H68" s="4">
        <v>44148</v>
      </c>
      <c r="I68">
        <f t="shared" si="5"/>
        <v>26</v>
      </c>
      <c r="J68">
        <v>1</v>
      </c>
      <c r="K68" t="s">
        <v>488</v>
      </c>
      <c r="L68">
        <v>1823</v>
      </c>
      <c r="M68">
        <v>9</v>
      </c>
      <c r="N68">
        <v>0</v>
      </c>
      <c r="O68">
        <v>2</v>
      </c>
      <c r="P68" s="10">
        <v>1</v>
      </c>
      <c r="Q68" s="10">
        <v>0</v>
      </c>
      <c r="R68" t="str">
        <f t="shared" si="6"/>
        <v>TRUE</v>
      </c>
      <c r="S68" t="s">
        <v>253</v>
      </c>
      <c r="T68">
        <v>39.17</v>
      </c>
      <c r="U68">
        <v>42.31</v>
      </c>
      <c r="V68">
        <v>4.3499999999999996</v>
      </c>
      <c r="W68">
        <v>10.130000000000001</v>
      </c>
      <c r="X68">
        <v>14.77</v>
      </c>
      <c r="Y68">
        <v>15.99</v>
      </c>
      <c r="Z68">
        <v>19.05</v>
      </c>
      <c r="AA68" t="str">
        <f t="shared" si="7"/>
        <v>TRUE</v>
      </c>
      <c r="AB68" t="s">
        <v>253</v>
      </c>
    </row>
    <row r="69" spans="1:28">
      <c r="A69" t="s">
        <v>630</v>
      </c>
      <c r="B69" t="s">
        <v>257</v>
      </c>
      <c r="C69" t="s">
        <v>490</v>
      </c>
      <c r="D69" t="s">
        <v>709</v>
      </c>
      <c r="E69" t="s">
        <v>498</v>
      </c>
      <c r="F69" t="s">
        <v>499</v>
      </c>
      <c r="G69" s="4">
        <v>33826</v>
      </c>
      <c r="H69" s="4">
        <v>44152</v>
      </c>
      <c r="I69">
        <f t="shared" si="5"/>
        <v>28</v>
      </c>
      <c r="J69">
        <v>1</v>
      </c>
      <c r="K69" t="s">
        <v>488</v>
      </c>
      <c r="L69">
        <v>221</v>
      </c>
      <c r="M69">
        <v>10</v>
      </c>
      <c r="N69">
        <v>0</v>
      </c>
      <c r="O69">
        <v>2</v>
      </c>
      <c r="P69" s="9">
        <v>1</v>
      </c>
      <c r="Q69" s="9">
        <v>0</v>
      </c>
      <c r="R69" t="str">
        <f t="shared" si="6"/>
        <v>TRUE</v>
      </c>
      <c r="S69" t="s">
        <v>257</v>
      </c>
      <c r="T69">
        <v>34.119999999999997</v>
      </c>
      <c r="U69">
        <v>15.4</v>
      </c>
      <c r="V69">
        <v>2.19</v>
      </c>
      <c r="W69">
        <v>20.41</v>
      </c>
      <c r="X69">
        <v>20.16</v>
      </c>
      <c r="Y69">
        <v>3.48</v>
      </c>
      <c r="Z69">
        <v>2.4900000000000002</v>
      </c>
      <c r="AA69" t="str">
        <f t="shared" si="7"/>
        <v>TRUE</v>
      </c>
      <c r="AB69" t="s">
        <v>257</v>
      </c>
    </row>
    <row r="70" spans="1:28">
      <c r="A70" t="s">
        <v>632</v>
      </c>
      <c r="B70" t="s">
        <v>261</v>
      </c>
      <c r="C70" t="s">
        <v>490</v>
      </c>
      <c r="D70" t="s">
        <v>709</v>
      </c>
      <c r="E70" t="s">
        <v>498</v>
      </c>
      <c r="F70" t="s">
        <v>499</v>
      </c>
      <c r="G70" s="4">
        <v>35769</v>
      </c>
      <c r="H70" s="4">
        <v>44162</v>
      </c>
      <c r="I70">
        <f t="shared" si="5"/>
        <v>22</v>
      </c>
      <c r="J70">
        <v>1</v>
      </c>
      <c r="K70" t="s">
        <v>493</v>
      </c>
      <c r="L70">
        <v>7900</v>
      </c>
      <c r="M70">
        <v>13</v>
      </c>
      <c r="N70">
        <v>1</v>
      </c>
      <c r="O70">
        <v>2</v>
      </c>
      <c r="P70" s="10">
        <v>1</v>
      </c>
      <c r="Q70" s="10">
        <v>0</v>
      </c>
      <c r="R70" t="str">
        <f t="shared" si="6"/>
        <v>TRUE</v>
      </c>
      <c r="S70" t="s">
        <v>261</v>
      </c>
      <c r="T70">
        <v>199.77</v>
      </c>
      <c r="U70">
        <v>14.91</v>
      </c>
      <c r="V70">
        <v>22.54</v>
      </c>
      <c r="W70">
        <v>26.55</v>
      </c>
      <c r="X70">
        <v>18</v>
      </c>
      <c r="Y70">
        <v>3.75</v>
      </c>
      <c r="Z70">
        <v>11.22</v>
      </c>
      <c r="AA70" t="str">
        <f t="shared" si="7"/>
        <v>TRUE</v>
      </c>
      <c r="AB70" t="s">
        <v>261</v>
      </c>
    </row>
    <row r="71" spans="1:28">
      <c r="A71" t="s">
        <v>633</v>
      </c>
      <c r="B71" t="s">
        <v>263</v>
      </c>
      <c r="C71" t="s">
        <v>490</v>
      </c>
      <c r="D71" t="s">
        <v>709</v>
      </c>
      <c r="E71" t="s">
        <v>498</v>
      </c>
      <c r="F71" t="s">
        <v>499</v>
      </c>
      <c r="G71" s="4">
        <v>28094</v>
      </c>
      <c r="H71" s="4">
        <v>44169</v>
      </c>
      <c r="I71">
        <f t="shared" si="5"/>
        <v>44</v>
      </c>
      <c r="J71">
        <v>1</v>
      </c>
      <c r="K71" t="s">
        <v>488</v>
      </c>
      <c r="L71">
        <v>659</v>
      </c>
      <c r="M71">
        <v>6</v>
      </c>
      <c r="N71">
        <v>1</v>
      </c>
      <c r="O71">
        <v>2</v>
      </c>
      <c r="P71" s="10">
        <v>1</v>
      </c>
      <c r="Q71" s="10">
        <v>0</v>
      </c>
      <c r="R71" t="str">
        <f t="shared" si="6"/>
        <v>TRUE</v>
      </c>
      <c r="S71" t="s">
        <v>263</v>
      </c>
      <c r="T71">
        <v>66.61</v>
      </c>
      <c r="U71">
        <v>93.45</v>
      </c>
      <c r="V71">
        <v>8.65</v>
      </c>
      <c r="W71">
        <v>452.32</v>
      </c>
      <c r="X71">
        <v>300.83</v>
      </c>
      <c r="Y71">
        <v>23.05</v>
      </c>
      <c r="Z71">
        <v>96.89</v>
      </c>
      <c r="AA71" t="str">
        <f t="shared" si="7"/>
        <v>TRUE</v>
      </c>
      <c r="AB71" t="s">
        <v>263</v>
      </c>
    </row>
    <row r="72" spans="1:28">
      <c r="A72" t="s">
        <v>636</v>
      </c>
      <c r="B72" t="s">
        <v>269</v>
      </c>
      <c r="C72" t="s">
        <v>501</v>
      </c>
      <c r="D72" t="s">
        <v>709</v>
      </c>
      <c r="E72" t="s">
        <v>532</v>
      </c>
      <c r="F72" t="s">
        <v>499</v>
      </c>
      <c r="G72" s="4">
        <v>25846</v>
      </c>
      <c r="H72" s="4">
        <v>44172</v>
      </c>
      <c r="I72">
        <f t="shared" si="5"/>
        <v>50</v>
      </c>
      <c r="J72">
        <v>1</v>
      </c>
      <c r="K72" t="s">
        <v>493</v>
      </c>
      <c r="L72">
        <v>549</v>
      </c>
      <c r="M72">
        <v>9</v>
      </c>
      <c r="N72">
        <v>0</v>
      </c>
      <c r="O72">
        <v>3</v>
      </c>
      <c r="P72" s="10">
        <v>1</v>
      </c>
      <c r="Q72" s="10">
        <v>0</v>
      </c>
      <c r="R72" t="str">
        <f t="shared" si="6"/>
        <v>TRUE</v>
      </c>
      <c r="S72" t="s">
        <v>269</v>
      </c>
      <c r="T72">
        <v>58.83</v>
      </c>
      <c r="U72">
        <v>33.25</v>
      </c>
      <c r="V72">
        <v>41.42</v>
      </c>
      <c r="W72">
        <v>15.03</v>
      </c>
      <c r="X72">
        <v>11.4</v>
      </c>
      <c r="Y72">
        <v>3.08</v>
      </c>
      <c r="Z72">
        <v>3.27</v>
      </c>
      <c r="AA72" t="str">
        <f t="shared" si="7"/>
        <v>TRUE</v>
      </c>
      <c r="AB72" t="s">
        <v>269</v>
      </c>
    </row>
    <row r="73" spans="1:28">
      <c r="A73" t="s">
        <v>639</v>
      </c>
      <c r="B73" t="s">
        <v>275</v>
      </c>
      <c r="C73" t="s">
        <v>501</v>
      </c>
      <c r="D73" t="s">
        <v>709</v>
      </c>
      <c r="E73" t="s">
        <v>502</v>
      </c>
      <c r="F73" t="s">
        <v>499</v>
      </c>
      <c r="G73" s="4">
        <v>35547</v>
      </c>
      <c r="H73" s="4">
        <v>44181</v>
      </c>
      <c r="I73">
        <f t="shared" si="5"/>
        <v>23</v>
      </c>
      <c r="J73">
        <v>1</v>
      </c>
      <c r="K73" t="s">
        <v>493</v>
      </c>
      <c r="L73">
        <v>338</v>
      </c>
      <c r="M73">
        <v>7</v>
      </c>
      <c r="N73">
        <v>0</v>
      </c>
      <c r="O73">
        <v>1</v>
      </c>
      <c r="P73" s="10">
        <v>0</v>
      </c>
      <c r="Q73" s="10">
        <v>0</v>
      </c>
      <c r="R73" t="str">
        <f t="shared" si="6"/>
        <v>TRUE</v>
      </c>
      <c r="S73" t="s">
        <v>275</v>
      </c>
      <c r="T73">
        <v>591.39</v>
      </c>
      <c r="U73">
        <v>23.03</v>
      </c>
      <c r="V73">
        <v>97.43</v>
      </c>
      <c r="W73">
        <v>37.5</v>
      </c>
      <c r="X73">
        <v>35.630000000000003</v>
      </c>
      <c r="Y73">
        <v>4.1900000000000004</v>
      </c>
      <c r="Z73">
        <v>4.53</v>
      </c>
      <c r="AA73" t="str">
        <f t="shared" si="7"/>
        <v>TRUE</v>
      </c>
      <c r="AB73" t="s">
        <v>275</v>
      </c>
    </row>
    <row r="74" spans="1:28">
      <c r="A74" t="s">
        <v>641</v>
      </c>
      <c r="B74" t="s">
        <v>279</v>
      </c>
      <c r="C74" t="s">
        <v>485</v>
      </c>
      <c r="D74" t="s">
        <v>708</v>
      </c>
      <c r="E74" t="s">
        <v>496</v>
      </c>
      <c r="F74" t="s">
        <v>487</v>
      </c>
      <c r="G74" s="4">
        <v>21616</v>
      </c>
      <c r="H74" s="4">
        <v>43237</v>
      </c>
      <c r="I74">
        <f t="shared" si="5"/>
        <v>59</v>
      </c>
      <c r="J74">
        <v>1</v>
      </c>
      <c r="K74" t="s">
        <v>488</v>
      </c>
      <c r="L74">
        <v>206</v>
      </c>
      <c r="M74" t="s">
        <v>487</v>
      </c>
      <c r="N74">
        <v>0</v>
      </c>
      <c r="O74">
        <v>3</v>
      </c>
      <c r="P74">
        <v>1</v>
      </c>
      <c r="Q74">
        <v>0</v>
      </c>
      <c r="R74" t="str">
        <f t="shared" si="6"/>
        <v>TRUE</v>
      </c>
      <c r="S74" t="s">
        <v>279</v>
      </c>
      <c r="T74">
        <v>95.64</v>
      </c>
      <c r="U74">
        <v>47.5</v>
      </c>
      <c r="V74">
        <v>13.61</v>
      </c>
      <c r="W74">
        <v>171.7</v>
      </c>
      <c r="X74">
        <v>191.17</v>
      </c>
      <c r="Y74">
        <v>23.41</v>
      </c>
      <c r="Z74">
        <v>26.33</v>
      </c>
      <c r="AA74" t="str">
        <f t="shared" si="7"/>
        <v>TRUE</v>
      </c>
      <c r="AB74" t="s">
        <v>279</v>
      </c>
    </row>
    <row r="75" spans="1:28">
      <c r="A75" t="s">
        <v>646</v>
      </c>
      <c r="B75" t="s">
        <v>287</v>
      </c>
      <c r="C75" t="s">
        <v>647</v>
      </c>
      <c r="D75" t="s">
        <v>708</v>
      </c>
      <c r="E75" t="s">
        <v>487</v>
      </c>
      <c r="F75" t="s">
        <v>487</v>
      </c>
      <c r="G75" s="4">
        <v>26667</v>
      </c>
      <c r="H75" s="4">
        <v>44231</v>
      </c>
      <c r="I75">
        <f t="shared" si="5"/>
        <v>48</v>
      </c>
      <c r="J75">
        <v>1</v>
      </c>
      <c r="K75" t="s">
        <v>488</v>
      </c>
      <c r="L75" t="s">
        <v>487</v>
      </c>
      <c r="M75" t="s">
        <v>487</v>
      </c>
      <c r="N75">
        <v>0</v>
      </c>
      <c r="O75">
        <v>2</v>
      </c>
      <c r="P75" s="11">
        <v>1</v>
      </c>
      <c r="Q75" s="11">
        <v>0</v>
      </c>
      <c r="R75" t="str">
        <f t="shared" si="6"/>
        <v>TRUE</v>
      </c>
      <c r="S75" t="s">
        <v>287</v>
      </c>
      <c r="T75">
        <v>36.590000000000003</v>
      </c>
      <c r="U75">
        <v>43.91</v>
      </c>
      <c r="V75">
        <v>14.68</v>
      </c>
      <c r="W75">
        <v>496.4</v>
      </c>
      <c r="X75">
        <v>386.91</v>
      </c>
      <c r="Y75">
        <v>23.44</v>
      </c>
      <c r="Z75">
        <v>49.5</v>
      </c>
      <c r="AA75" t="str">
        <f t="shared" si="7"/>
        <v>TRUE</v>
      </c>
      <c r="AB75" t="s">
        <v>287</v>
      </c>
    </row>
    <row r="76" spans="1:28">
      <c r="A76" t="s">
        <v>648</v>
      </c>
      <c r="B76" t="s">
        <v>289</v>
      </c>
      <c r="C76" t="s">
        <v>647</v>
      </c>
      <c r="D76" t="s">
        <v>708</v>
      </c>
      <c r="E76" t="s">
        <v>487</v>
      </c>
      <c r="F76" t="s">
        <v>487</v>
      </c>
      <c r="G76" s="4">
        <v>24872</v>
      </c>
      <c r="H76" s="4">
        <v>44231</v>
      </c>
      <c r="I76">
        <f t="shared" si="5"/>
        <v>53</v>
      </c>
      <c r="J76">
        <v>1</v>
      </c>
      <c r="K76" t="s">
        <v>488</v>
      </c>
      <c r="L76" t="s">
        <v>487</v>
      </c>
      <c r="M76" t="s">
        <v>487</v>
      </c>
      <c r="N76">
        <v>0</v>
      </c>
      <c r="O76">
        <v>2</v>
      </c>
      <c r="P76" s="11">
        <v>1</v>
      </c>
      <c r="Q76" s="11">
        <v>0</v>
      </c>
      <c r="R76" t="str">
        <f t="shared" si="6"/>
        <v>TRUE</v>
      </c>
      <c r="S76" t="s">
        <v>289</v>
      </c>
      <c r="T76">
        <v>47.27</v>
      </c>
      <c r="U76">
        <v>71.739999999999995</v>
      </c>
      <c r="V76">
        <v>20.16</v>
      </c>
      <c r="W76">
        <v>436.21</v>
      </c>
      <c r="X76">
        <v>245.83</v>
      </c>
      <c r="Y76">
        <v>52.67</v>
      </c>
      <c r="Z76">
        <v>99.09</v>
      </c>
      <c r="AA76" t="str">
        <f t="shared" si="7"/>
        <v>TRUE</v>
      </c>
      <c r="AB76" t="s">
        <v>289</v>
      </c>
    </row>
    <row r="77" spans="1:28">
      <c r="A77" t="s">
        <v>649</v>
      </c>
      <c r="B77" t="s">
        <v>291</v>
      </c>
      <c r="C77" t="s">
        <v>647</v>
      </c>
      <c r="D77" t="s">
        <v>708</v>
      </c>
      <c r="E77" t="s">
        <v>487</v>
      </c>
      <c r="F77" t="s">
        <v>487</v>
      </c>
      <c r="G77" s="4">
        <v>24477</v>
      </c>
      <c r="H77" s="4">
        <v>44233</v>
      </c>
      <c r="I77">
        <f t="shared" si="5"/>
        <v>54</v>
      </c>
      <c r="J77">
        <v>1</v>
      </c>
      <c r="K77" t="s">
        <v>493</v>
      </c>
      <c r="L77" t="s">
        <v>487</v>
      </c>
      <c r="M77" t="s">
        <v>487</v>
      </c>
      <c r="N77">
        <v>0</v>
      </c>
      <c r="O77">
        <v>3</v>
      </c>
      <c r="P77" s="12">
        <v>0</v>
      </c>
      <c r="Q77" s="12">
        <v>0</v>
      </c>
      <c r="R77" t="str">
        <f t="shared" si="6"/>
        <v>TRUE</v>
      </c>
      <c r="S77" t="s">
        <v>291</v>
      </c>
      <c r="T77">
        <v>25.22</v>
      </c>
      <c r="U77">
        <v>23.16</v>
      </c>
      <c r="V77">
        <v>8.77</v>
      </c>
      <c r="W77">
        <v>292.7</v>
      </c>
      <c r="X77">
        <v>66.540000000000006</v>
      </c>
      <c r="Y77">
        <v>13.72</v>
      </c>
      <c r="Z77">
        <v>10.68</v>
      </c>
      <c r="AA77" t="str">
        <f t="shared" si="7"/>
        <v>TRUE</v>
      </c>
      <c r="AB77" t="s">
        <v>291</v>
      </c>
    </row>
    <row r="78" spans="1:28">
      <c r="A78" t="s">
        <v>650</v>
      </c>
      <c r="B78" t="s">
        <v>293</v>
      </c>
      <c r="C78" t="s">
        <v>647</v>
      </c>
      <c r="D78" t="s">
        <v>708</v>
      </c>
      <c r="E78" t="s">
        <v>487</v>
      </c>
      <c r="F78" t="s">
        <v>487</v>
      </c>
      <c r="G78" s="4">
        <v>32884</v>
      </c>
      <c r="H78" s="4">
        <v>44233</v>
      </c>
      <c r="I78">
        <f t="shared" si="5"/>
        <v>31</v>
      </c>
      <c r="J78">
        <v>1</v>
      </c>
      <c r="K78" t="s">
        <v>488</v>
      </c>
      <c r="L78" t="s">
        <v>487</v>
      </c>
      <c r="M78" t="s">
        <v>487</v>
      </c>
      <c r="N78">
        <v>1</v>
      </c>
      <c r="O78">
        <v>2</v>
      </c>
      <c r="P78" s="11">
        <v>0</v>
      </c>
      <c r="Q78" s="11">
        <v>0</v>
      </c>
      <c r="R78" t="str">
        <f t="shared" si="6"/>
        <v>TRUE</v>
      </c>
      <c r="S78" t="s">
        <v>293</v>
      </c>
      <c r="T78">
        <v>38.21</v>
      </c>
      <c r="U78">
        <v>16.77</v>
      </c>
      <c r="V78">
        <v>11.46</v>
      </c>
      <c r="W78">
        <v>106.05</v>
      </c>
      <c r="X78">
        <v>94.5</v>
      </c>
      <c r="Y78">
        <v>11.75</v>
      </c>
      <c r="Z78">
        <v>18.920000000000002</v>
      </c>
      <c r="AA78" t="str">
        <f t="shared" si="7"/>
        <v>TRUE</v>
      </c>
      <c r="AB78" t="s">
        <v>293</v>
      </c>
    </row>
    <row r="79" spans="1:28">
      <c r="A79" t="s">
        <v>651</v>
      </c>
      <c r="B79" t="s">
        <v>295</v>
      </c>
      <c r="C79" t="s">
        <v>647</v>
      </c>
      <c r="D79" t="s">
        <v>708</v>
      </c>
      <c r="E79" t="s">
        <v>487</v>
      </c>
      <c r="F79" t="s">
        <v>487</v>
      </c>
      <c r="G79" s="4">
        <v>33635</v>
      </c>
      <c r="H79" s="4">
        <v>44236</v>
      </c>
      <c r="I79">
        <f t="shared" si="5"/>
        <v>29</v>
      </c>
      <c r="J79">
        <v>1</v>
      </c>
      <c r="K79" t="s">
        <v>488</v>
      </c>
      <c r="L79" t="s">
        <v>487</v>
      </c>
      <c r="M79" t="s">
        <v>487</v>
      </c>
      <c r="N79">
        <v>1</v>
      </c>
      <c r="O79">
        <v>2</v>
      </c>
      <c r="P79" s="12">
        <v>1</v>
      </c>
      <c r="Q79" s="12">
        <v>0</v>
      </c>
      <c r="R79" t="str">
        <f t="shared" si="6"/>
        <v>TRUE</v>
      </c>
      <c r="S79" t="s">
        <v>295</v>
      </c>
      <c r="T79">
        <v>32.93</v>
      </c>
      <c r="U79">
        <v>8.3000000000000007</v>
      </c>
      <c r="V79">
        <v>5.93</v>
      </c>
      <c r="W79">
        <v>90.94</v>
      </c>
      <c r="X79">
        <v>308.02999999999997</v>
      </c>
      <c r="Y79">
        <v>45.19</v>
      </c>
      <c r="Z79">
        <v>8.68</v>
      </c>
      <c r="AA79" t="str">
        <f t="shared" si="7"/>
        <v>TRUE</v>
      </c>
      <c r="AB79" t="s">
        <v>295</v>
      </c>
    </row>
    <row r="80" spans="1:28">
      <c r="A80" t="s">
        <v>652</v>
      </c>
      <c r="B80" t="s">
        <v>297</v>
      </c>
      <c r="C80" t="s">
        <v>647</v>
      </c>
      <c r="D80" t="s">
        <v>708</v>
      </c>
      <c r="E80" t="s">
        <v>487</v>
      </c>
      <c r="F80" t="s">
        <v>487</v>
      </c>
      <c r="G80" s="4">
        <v>33608</v>
      </c>
      <c r="H80" s="4">
        <v>44237</v>
      </c>
      <c r="I80">
        <f t="shared" si="5"/>
        <v>29</v>
      </c>
      <c r="J80">
        <v>1</v>
      </c>
      <c r="K80" t="s">
        <v>488</v>
      </c>
      <c r="L80" t="s">
        <v>487</v>
      </c>
      <c r="M80" t="s">
        <v>487</v>
      </c>
      <c r="N80">
        <v>0</v>
      </c>
      <c r="O80">
        <v>2</v>
      </c>
      <c r="P80" s="12">
        <v>0</v>
      </c>
      <c r="Q80" s="12">
        <v>0</v>
      </c>
      <c r="R80" t="str">
        <f t="shared" si="6"/>
        <v>TRUE</v>
      </c>
      <c r="S80" t="s">
        <v>297</v>
      </c>
      <c r="T80">
        <v>21.15</v>
      </c>
      <c r="U80">
        <v>12.17</v>
      </c>
      <c r="V80">
        <v>5.4</v>
      </c>
      <c r="W80">
        <v>163.66</v>
      </c>
      <c r="X80">
        <v>115.1</v>
      </c>
      <c r="Y80">
        <v>8.43</v>
      </c>
      <c r="Z80">
        <v>13.32</v>
      </c>
      <c r="AA80" t="str">
        <f t="shared" si="7"/>
        <v>TRUE</v>
      </c>
      <c r="AB80" t="s">
        <v>297</v>
      </c>
    </row>
    <row r="81" spans="1:28">
      <c r="A81" t="s">
        <v>653</v>
      </c>
      <c r="B81" t="s">
        <v>299</v>
      </c>
      <c r="C81" t="s">
        <v>647</v>
      </c>
      <c r="D81" t="s">
        <v>708</v>
      </c>
      <c r="E81" t="s">
        <v>487</v>
      </c>
      <c r="F81" t="s">
        <v>487</v>
      </c>
      <c r="G81" s="4">
        <v>34726</v>
      </c>
      <c r="H81" s="4">
        <v>44237</v>
      </c>
      <c r="I81">
        <f t="shared" si="5"/>
        <v>26</v>
      </c>
      <c r="J81">
        <v>1</v>
      </c>
      <c r="K81" t="s">
        <v>488</v>
      </c>
      <c r="L81" t="s">
        <v>487</v>
      </c>
      <c r="M81" t="s">
        <v>487</v>
      </c>
      <c r="N81">
        <v>0</v>
      </c>
      <c r="O81">
        <v>2</v>
      </c>
      <c r="P81" s="12">
        <v>1</v>
      </c>
      <c r="Q81" s="12">
        <v>0</v>
      </c>
      <c r="R81" t="str">
        <f t="shared" si="6"/>
        <v>TRUE</v>
      </c>
      <c r="S81" t="s">
        <v>299</v>
      </c>
      <c r="T81">
        <v>46.59</v>
      </c>
      <c r="U81">
        <v>39.4</v>
      </c>
      <c r="V81">
        <v>19.63</v>
      </c>
      <c r="W81">
        <v>61.76</v>
      </c>
      <c r="X81">
        <v>63.93</v>
      </c>
      <c r="Y81">
        <v>66.91</v>
      </c>
      <c r="Z81">
        <v>6.18</v>
      </c>
      <c r="AA81" t="str">
        <f t="shared" si="7"/>
        <v>TRUE</v>
      </c>
      <c r="AB81" t="s">
        <v>299</v>
      </c>
    </row>
    <row r="82" spans="1:28">
      <c r="A82" t="s">
        <v>654</v>
      </c>
      <c r="B82" t="s">
        <v>301</v>
      </c>
      <c r="C82" t="s">
        <v>647</v>
      </c>
      <c r="D82" t="s">
        <v>708</v>
      </c>
      <c r="E82" t="s">
        <v>487</v>
      </c>
      <c r="F82" t="s">
        <v>487</v>
      </c>
      <c r="G82" s="4">
        <v>31660</v>
      </c>
      <c r="H82" s="4">
        <v>44237</v>
      </c>
      <c r="I82">
        <f t="shared" si="5"/>
        <v>34</v>
      </c>
      <c r="J82">
        <v>1</v>
      </c>
      <c r="K82" t="s">
        <v>493</v>
      </c>
      <c r="L82" t="s">
        <v>487</v>
      </c>
      <c r="M82" t="s">
        <v>487</v>
      </c>
      <c r="N82">
        <v>1</v>
      </c>
      <c r="O82">
        <v>2</v>
      </c>
      <c r="P82" s="12">
        <v>1</v>
      </c>
      <c r="Q82" s="12">
        <v>0</v>
      </c>
      <c r="R82" t="str">
        <f t="shared" si="6"/>
        <v>TRUE</v>
      </c>
      <c r="S82" t="s">
        <v>301</v>
      </c>
      <c r="T82">
        <v>21.51</v>
      </c>
      <c r="U82">
        <v>12.94</v>
      </c>
      <c r="V82">
        <v>8.18</v>
      </c>
      <c r="W82">
        <v>89.52</v>
      </c>
      <c r="X82">
        <v>99.35</v>
      </c>
      <c r="Y82">
        <v>10.78</v>
      </c>
      <c r="Z82">
        <v>19.66</v>
      </c>
      <c r="AA82" t="str">
        <f t="shared" si="7"/>
        <v>TRUE</v>
      </c>
      <c r="AB82" t="s">
        <v>301</v>
      </c>
    </row>
    <row r="83" spans="1:28">
      <c r="A83" t="s">
        <v>655</v>
      </c>
      <c r="B83" t="s">
        <v>303</v>
      </c>
      <c r="C83" t="s">
        <v>647</v>
      </c>
      <c r="D83" t="s">
        <v>708</v>
      </c>
      <c r="E83" t="s">
        <v>487</v>
      </c>
      <c r="F83" t="s">
        <v>487</v>
      </c>
      <c r="G83" s="4">
        <v>33457</v>
      </c>
      <c r="H83" s="4">
        <v>44238</v>
      </c>
      <c r="I83">
        <f t="shared" si="5"/>
        <v>29</v>
      </c>
      <c r="J83">
        <v>1</v>
      </c>
      <c r="K83" t="s">
        <v>488</v>
      </c>
      <c r="L83" t="s">
        <v>487</v>
      </c>
      <c r="M83" t="s">
        <v>487</v>
      </c>
      <c r="N83">
        <v>1</v>
      </c>
      <c r="O83">
        <v>2</v>
      </c>
      <c r="P83" s="12">
        <v>1</v>
      </c>
      <c r="Q83" s="12">
        <v>0</v>
      </c>
      <c r="R83" t="str">
        <f t="shared" si="6"/>
        <v>TRUE</v>
      </c>
      <c r="S83" t="s">
        <v>303</v>
      </c>
      <c r="T83">
        <v>37.44</v>
      </c>
      <c r="U83">
        <v>55.96</v>
      </c>
      <c r="V83">
        <v>6.55</v>
      </c>
      <c r="W83">
        <v>106.06</v>
      </c>
      <c r="X83">
        <v>95.38</v>
      </c>
      <c r="Y83">
        <v>30.18</v>
      </c>
      <c r="Z83">
        <v>24.57</v>
      </c>
      <c r="AA83" t="str">
        <f t="shared" si="7"/>
        <v>TRUE</v>
      </c>
      <c r="AB83" t="s">
        <v>303</v>
      </c>
    </row>
    <row r="84" spans="1:28">
      <c r="A84" t="s">
        <v>656</v>
      </c>
      <c r="B84" t="s">
        <v>305</v>
      </c>
      <c r="C84" t="s">
        <v>647</v>
      </c>
      <c r="D84" t="s">
        <v>708</v>
      </c>
      <c r="E84" t="s">
        <v>487</v>
      </c>
      <c r="F84" t="s">
        <v>487</v>
      </c>
      <c r="G84" s="4">
        <v>31079</v>
      </c>
      <c r="H84" s="4">
        <v>44238</v>
      </c>
      <c r="I84">
        <f t="shared" si="5"/>
        <v>36</v>
      </c>
      <c r="J84">
        <v>1</v>
      </c>
      <c r="K84" t="s">
        <v>493</v>
      </c>
      <c r="L84" t="s">
        <v>487</v>
      </c>
      <c r="M84" t="s">
        <v>487</v>
      </c>
      <c r="N84">
        <v>1</v>
      </c>
      <c r="O84">
        <v>2</v>
      </c>
      <c r="P84" s="12">
        <v>1</v>
      </c>
      <c r="Q84" s="12">
        <v>0</v>
      </c>
      <c r="R84" t="str">
        <f t="shared" si="6"/>
        <v>TRUE</v>
      </c>
      <c r="S84" t="s">
        <v>305</v>
      </c>
      <c r="T84">
        <v>73.73</v>
      </c>
      <c r="U84">
        <v>37.840000000000003</v>
      </c>
      <c r="V84">
        <v>36.090000000000003</v>
      </c>
      <c r="W84">
        <v>413.66</v>
      </c>
      <c r="X84">
        <v>245.49</v>
      </c>
      <c r="Y84">
        <v>13.46</v>
      </c>
      <c r="Z84">
        <v>47.58</v>
      </c>
      <c r="AA84" t="str">
        <f t="shared" si="7"/>
        <v>TRUE</v>
      </c>
      <c r="AB84" t="s">
        <v>305</v>
      </c>
    </row>
    <row r="85" spans="1:28">
      <c r="A85" t="s">
        <v>657</v>
      </c>
      <c r="B85" t="s">
        <v>307</v>
      </c>
      <c r="C85" t="s">
        <v>647</v>
      </c>
      <c r="D85" t="s">
        <v>708</v>
      </c>
      <c r="E85" t="s">
        <v>487</v>
      </c>
      <c r="F85" t="s">
        <v>487</v>
      </c>
      <c r="G85" s="4">
        <v>31751</v>
      </c>
      <c r="H85" s="4">
        <v>44244</v>
      </c>
      <c r="I85">
        <f t="shared" si="5"/>
        <v>34</v>
      </c>
      <c r="J85">
        <v>1</v>
      </c>
      <c r="K85" t="s">
        <v>493</v>
      </c>
      <c r="L85" t="s">
        <v>487</v>
      </c>
      <c r="M85" t="s">
        <v>487</v>
      </c>
      <c r="N85">
        <v>1</v>
      </c>
      <c r="O85">
        <v>2</v>
      </c>
      <c r="P85" s="12">
        <v>1</v>
      </c>
      <c r="Q85" s="12">
        <v>0</v>
      </c>
      <c r="R85" t="str">
        <f t="shared" si="6"/>
        <v>TRUE</v>
      </c>
      <c r="S85" t="s">
        <v>307</v>
      </c>
      <c r="T85">
        <v>65.790000000000006</v>
      </c>
      <c r="U85">
        <v>24.05</v>
      </c>
      <c r="V85">
        <v>19.59</v>
      </c>
      <c r="W85">
        <v>115.19</v>
      </c>
      <c r="X85">
        <v>174.91</v>
      </c>
      <c r="Y85">
        <v>14.39</v>
      </c>
      <c r="Z85">
        <v>10.5</v>
      </c>
      <c r="AA85" t="str">
        <f t="shared" si="7"/>
        <v>TRUE</v>
      </c>
      <c r="AB85" t="s">
        <v>307</v>
      </c>
    </row>
    <row r="86" spans="1:28">
      <c r="A86" t="s">
        <v>658</v>
      </c>
      <c r="B86" t="s">
        <v>309</v>
      </c>
      <c r="C86" t="s">
        <v>647</v>
      </c>
      <c r="D86" t="s">
        <v>708</v>
      </c>
      <c r="E86" t="s">
        <v>487</v>
      </c>
      <c r="F86" t="s">
        <v>487</v>
      </c>
      <c r="G86" s="4">
        <v>31873</v>
      </c>
      <c r="H86" s="4">
        <v>44244</v>
      </c>
      <c r="I86">
        <f t="shared" si="5"/>
        <v>33</v>
      </c>
      <c r="J86">
        <v>1</v>
      </c>
      <c r="K86" t="s">
        <v>488</v>
      </c>
      <c r="L86" t="s">
        <v>487</v>
      </c>
      <c r="M86" t="s">
        <v>487</v>
      </c>
      <c r="N86">
        <v>0</v>
      </c>
      <c r="O86">
        <v>2</v>
      </c>
      <c r="P86" s="12">
        <v>0</v>
      </c>
      <c r="Q86" s="12">
        <v>0</v>
      </c>
      <c r="R86" t="str">
        <f t="shared" si="6"/>
        <v>TRUE</v>
      </c>
      <c r="S86" t="s">
        <v>309</v>
      </c>
      <c r="T86">
        <v>26.96</v>
      </c>
      <c r="U86">
        <v>28.87</v>
      </c>
      <c r="V86">
        <v>14.95</v>
      </c>
      <c r="W86">
        <v>31.18</v>
      </c>
      <c r="X86">
        <v>127.84</v>
      </c>
      <c r="Y86">
        <v>16.23</v>
      </c>
      <c r="Z86">
        <v>5.17</v>
      </c>
      <c r="AA86" t="str">
        <f t="shared" si="7"/>
        <v>TRUE</v>
      </c>
      <c r="AB86" t="s">
        <v>309</v>
      </c>
    </row>
    <row r="87" spans="1:28">
      <c r="A87" t="s">
        <v>659</v>
      </c>
      <c r="B87" t="s">
        <v>311</v>
      </c>
      <c r="C87" t="s">
        <v>647</v>
      </c>
      <c r="D87" t="s">
        <v>708</v>
      </c>
      <c r="E87" t="s">
        <v>487</v>
      </c>
      <c r="F87" t="s">
        <v>487</v>
      </c>
      <c r="G87" s="4">
        <v>34733</v>
      </c>
      <c r="H87" s="4">
        <v>44244</v>
      </c>
      <c r="I87">
        <f t="shared" si="5"/>
        <v>26</v>
      </c>
      <c r="J87">
        <v>1</v>
      </c>
      <c r="K87" t="s">
        <v>488</v>
      </c>
      <c r="L87" t="s">
        <v>487</v>
      </c>
      <c r="M87" t="s">
        <v>487</v>
      </c>
      <c r="N87">
        <v>0</v>
      </c>
      <c r="O87">
        <v>2</v>
      </c>
      <c r="P87" s="12">
        <v>1</v>
      </c>
      <c r="Q87" s="12">
        <v>0</v>
      </c>
      <c r="R87" t="str">
        <f t="shared" si="6"/>
        <v>TRUE</v>
      </c>
      <c r="S87" t="s">
        <v>311</v>
      </c>
      <c r="T87">
        <v>44.81</v>
      </c>
      <c r="U87">
        <v>62.72</v>
      </c>
      <c r="V87">
        <v>23.96</v>
      </c>
      <c r="W87">
        <v>293.72000000000003</v>
      </c>
      <c r="X87">
        <v>301.14999999999998</v>
      </c>
      <c r="Y87">
        <v>15.4</v>
      </c>
      <c r="Z87">
        <v>51</v>
      </c>
      <c r="AA87" t="str">
        <f t="shared" si="7"/>
        <v>TRUE</v>
      </c>
      <c r="AB87" t="s">
        <v>311</v>
      </c>
    </row>
    <row r="88" spans="1:28">
      <c r="A88" t="s">
        <v>660</v>
      </c>
      <c r="B88" t="s">
        <v>313</v>
      </c>
      <c r="C88" t="s">
        <v>647</v>
      </c>
      <c r="D88" t="s">
        <v>708</v>
      </c>
      <c r="E88" t="s">
        <v>487</v>
      </c>
      <c r="F88" t="s">
        <v>487</v>
      </c>
      <c r="G88" s="4">
        <v>24855</v>
      </c>
      <c r="H88" s="4">
        <v>44245</v>
      </c>
      <c r="I88">
        <f t="shared" si="5"/>
        <v>53</v>
      </c>
      <c r="J88">
        <v>1</v>
      </c>
      <c r="K88" t="s">
        <v>488</v>
      </c>
      <c r="L88" t="s">
        <v>487</v>
      </c>
      <c r="M88" t="s">
        <v>487</v>
      </c>
      <c r="N88">
        <v>1</v>
      </c>
      <c r="O88">
        <v>2</v>
      </c>
      <c r="P88" s="12">
        <v>1</v>
      </c>
      <c r="Q88" s="12">
        <v>0</v>
      </c>
      <c r="R88" t="str">
        <f t="shared" si="6"/>
        <v>TRUE</v>
      </c>
      <c r="S88" t="s">
        <v>313</v>
      </c>
      <c r="T88">
        <v>35.619999999999997</v>
      </c>
      <c r="U88">
        <v>51.61</v>
      </c>
      <c r="V88">
        <v>6.91</v>
      </c>
      <c r="W88">
        <v>105.66</v>
      </c>
      <c r="X88">
        <v>118.32</v>
      </c>
      <c r="Y88">
        <v>14.38</v>
      </c>
      <c r="Z88">
        <v>10.91</v>
      </c>
      <c r="AA88" t="str">
        <f t="shared" si="7"/>
        <v>TRUE</v>
      </c>
      <c r="AB88" t="s">
        <v>313</v>
      </c>
    </row>
    <row r="89" spans="1:28">
      <c r="A89" t="s">
        <v>662</v>
      </c>
      <c r="B89" t="s">
        <v>315</v>
      </c>
      <c r="C89" t="s">
        <v>647</v>
      </c>
      <c r="D89" t="s">
        <v>708</v>
      </c>
      <c r="E89" t="s">
        <v>487</v>
      </c>
      <c r="F89" t="s">
        <v>487</v>
      </c>
      <c r="G89" s="4">
        <v>32239</v>
      </c>
      <c r="H89" s="4">
        <v>44245</v>
      </c>
      <c r="I89">
        <f t="shared" si="5"/>
        <v>32</v>
      </c>
      <c r="J89">
        <v>1</v>
      </c>
      <c r="K89" t="s">
        <v>488</v>
      </c>
      <c r="L89" t="s">
        <v>487</v>
      </c>
      <c r="M89" t="s">
        <v>487</v>
      </c>
      <c r="N89">
        <v>1</v>
      </c>
      <c r="O89">
        <v>2</v>
      </c>
      <c r="P89" s="12">
        <v>1</v>
      </c>
      <c r="Q89" s="12">
        <v>0</v>
      </c>
      <c r="R89" t="str">
        <f t="shared" si="6"/>
        <v>TRUE</v>
      </c>
      <c r="S89" t="s">
        <v>315</v>
      </c>
      <c r="T89">
        <v>129.46</v>
      </c>
      <c r="U89">
        <v>52.05</v>
      </c>
      <c r="V89">
        <v>23.39</v>
      </c>
      <c r="W89">
        <v>567.44000000000005</v>
      </c>
      <c r="X89">
        <v>575.54999999999995</v>
      </c>
      <c r="Y89">
        <v>48.52</v>
      </c>
      <c r="Z89">
        <v>47.59</v>
      </c>
      <c r="AA89" t="str">
        <f t="shared" si="7"/>
        <v>TRUE</v>
      </c>
      <c r="AB89" t="s">
        <v>315</v>
      </c>
    </row>
    <row r="90" spans="1:28">
      <c r="A90" t="s">
        <v>663</v>
      </c>
      <c r="B90" t="s">
        <v>317</v>
      </c>
      <c r="C90" t="s">
        <v>647</v>
      </c>
      <c r="D90" t="s">
        <v>708</v>
      </c>
      <c r="E90" t="s">
        <v>487</v>
      </c>
      <c r="F90" t="s">
        <v>487</v>
      </c>
      <c r="G90" s="4">
        <v>30318</v>
      </c>
      <c r="H90" s="4">
        <v>44250</v>
      </c>
      <c r="I90">
        <f t="shared" si="5"/>
        <v>38</v>
      </c>
      <c r="J90">
        <v>1</v>
      </c>
      <c r="K90" t="s">
        <v>493</v>
      </c>
      <c r="L90" t="s">
        <v>487</v>
      </c>
      <c r="M90" t="s">
        <v>487</v>
      </c>
      <c r="N90">
        <v>1</v>
      </c>
      <c r="O90">
        <v>2</v>
      </c>
      <c r="P90" s="12">
        <v>1</v>
      </c>
      <c r="Q90" s="12">
        <v>0</v>
      </c>
      <c r="R90" t="str">
        <f t="shared" si="6"/>
        <v>TRUE</v>
      </c>
      <c r="S90" t="s">
        <v>317</v>
      </c>
      <c r="T90">
        <v>77.08</v>
      </c>
      <c r="U90">
        <v>82.93</v>
      </c>
      <c r="V90">
        <v>39.590000000000003</v>
      </c>
      <c r="W90">
        <v>194.3</v>
      </c>
      <c r="X90">
        <v>123.58</v>
      </c>
      <c r="Y90">
        <v>13.44</v>
      </c>
      <c r="Z90">
        <v>87.67</v>
      </c>
      <c r="AA90" t="str">
        <f t="shared" si="7"/>
        <v>TRUE</v>
      </c>
      <c r="AB90" t="s">
        <v>317</v>
      </c>
    </row>
    <row r="91" spans="1:28">
      <c r="A91" t="s">
        <v>664</v>
      </c>
      <c r="B91" t="s">
        <v>319</v>
      </c>
      <c r="C91" t="s">
        <v>647</v>
      </c>
      <c r="D91" t="s">
        <v>708</v>
      </c>
      <c r="E91" t="s">
        <v>487</v>
      </c>
      <c r="F91" t="s">
        <v>487</v>
      </c>
      <c r="G91" s="4">
        <v>29625</v>
      </c>
      <c r="H91" s="4">
        <v>44251</v>
      </c>
      <c r="I91">
        <f t="shared" si="5"/>
        <v>40</v>
      </c>
      <c r="J91">
        <v>1</v>
      </c>
      <c r="K91" t="s">
        <v>488</v>
      </c>
      <c r="L91" t="s">
        <v>487</v>
      </c>
      <c r="M91" t="s">
        <v>487</v>
      </c>
      <c r="N91">
        <v>0</v>
      </c>
      <c r="O91">
        <v>2</v>
      </c>
      <c r="P91" s="12">
        <v>0</v>
      </c>
      <c r="Q91" s="12">
        <v>0</v>
      </c>
      <c r="R91" t="str">
        <f t="shared" si="6"/>
        <v>TRUE</v>
      </c>
      <c r="S91" t="s">
        <v>319</v>
      </c>
      <c r="T91">
        <v>41.21</v>
      </c>
      <c r="U91">
        <v>40.14</v>
      </c>
      <c r="V91">
        <v>12.29</v>
      </c>
      <c r="W91">
        <v>96.66</v>
      </c>
      <c r="X91">
        <v>54.85</v>
      </c>
      <c r="Y91">
        <v>4.74</v>
      </c>
      <c r="Z91">
        <v>15.06</v>
      </c>
      <c r="AA91" t="str">
        <f t="shared" si="7"/>
        <v>TRUE</v>
      </c>
      <c r="AB91" t="s">
        <v>319</v>
      </c>
    </row>
    <row r="92" spans="1:28">
      <c r="A92" t="s">
        <v>665</v>
      </c>
      <c r="B92" t="s">
        <v>321</v>
      </c>
      <c r="C92" t="s">
        <v>647</v>
      </c>
      <c r="D92" t="s">
        <v>708</v>
      </c>
      <c r="E92" t="s">
        <v>487</v>
      </c>
      <c r="F92" t="s">
        <v>487</v>
      </c>
      <c r="G92" s="4">
        <v>30742</v>
      </c>
      <c r="H92" s="4">
        <v>44256</v>
      </c>
      <c r="I92">
        <f t="shared" si="5"/>
        <v>37</v>
      </c>
      <c r="J92">
        <v>1</v>
      </c>
      <c r="K92" t="s">
        <v>493</v>
      </c>
      <c r="L92" t="s">
        <v>487</v>
      </c>
      <c r="M92" t="s">
        <v>487</v>
      </c>
      <c r="N92">
        <v>1</v>
      </c>
      <c r="O92">
        <v>2</v>
      </c>
      <c r="P92" s="12">
        <v>1</v>
      </c>
      <c r="Q92" s="12">
        <v>0</v>
      </c>
      <c r="R92" t="str">
        <f t="shared" si="6"/>
        <v>TRUE</v>
      </c>
      <c r="S92" t="s">
        <v>321</v>
      </c>
      <c r="T92">
        <v>100.06</v>
      </c>
      <c r="U92">
        <v>160.97</v>
      </c>
      <c r="V92">
        <v>31.52</v>
      </c>
      <c r="W92">
        <v>220.3</v>
      </c>
      <c r="X92">
        <v>145.63</v>
      </c>
      <c r="Y92">
        <v>30.6</v>
      </c>
      <c r="Z92">
        <v>38.07</v>
      </c>
      <c r="AA92" t="str">
        <f t="shared" si="7"/>
        <v>TRUE</v>
      </c>
      <c r="AB92" t="s">
        <v>321</v>
      </c>
    </row>
    <row r="93" spans="1:28">
      <c r="A93" t="s">
        <v>666</v>
      </c>
      <c r="B93" t="s">
        <v>323</v>
      </c>
      <c r="C93" t="s">
        <v>647</v>
      </c>
      <c r="D93" t="s">
        <v>708</v>
      </c>
      <c r="E93" t="s">
        <v>487</v>
      </c>
      <c r="F93" t="s">
        <v>487</v>
      </c>
      <c r="G93" s="4">
        <v>31628</v>
      </c>
      <c r="H93" s="4">
        <v>44258</v>
      </c>
      <c r="I93">
        <f t="shared" si="5"/>
        <v>34</v>
      </c>
      <c r="J93">
        <v>1</v>
      </c>
      <c r="K93" t="s">
        <v>493</v>
      </c>
      <c r="L93" t="s">
        <v>487</v>
      </c>
      <c r="M93" t="s">
        <v>487</v>
      </c>
      <c r="N93">
        <v>1</v>
      </c>
      <c r="O93">
        <v>2</v>
      </c>
      <c r="P93" s="12">
        <v>1</v>
      </c>
      <c r="Q93" s="12">
        <v>0</v>
      </c>
      <c r="R93" t="str">
        <f t="shared" si="6"/>
        <v>TRUE</v>
      </c>
      <c r="S93" t="s">
        <v>323</v>
      </c>
      <c r="T93">
        <v>59.81</v>
      </c>
      <c r="U93">
        <v>31.59</v>
      </c>
      <c r="V93">
        <v>25.72</v>
      </c>
      <c r="W93">
        <v>181.92</v>
      </c>
      <c r="X93">
        <v>333.39</v>
      </c>
      <c r="Y93">
        <v>74.64</v>
      </c>
      <c r="Z93">
        <v>57.97</v>
      </c>
      <c r="AA93" t="str">
        <f t="shared" si="7"/>
        <v>TRUE</v>
      </c>
      <c r="AB93" t="s">
        <v>323</v>
      </c>
    </row>
    <row r="94" spans="1:28">
      <c r="A94" t="s">
        <v>667</v>
      </c>
      <c r="B94" t="s">
        <v>325</v>
      </c>
      <c r="C94" t="s">
        <v>647</v>
      </c>
      <c r="D94" t="s">
        <v>708</v>
      </c>
      <c r="E94" t="s">
        <v>487</v>
      </c>
      <c r="F94" t="s">
        <v>487</v>
      </c>
      <c r="G94" s="4">
        <v>31809</v>
      </c>
      <c r="H94" s="4">
        <v>44258</v>
      </c>
      <c r="I94">
        <f t="shared" si="5"/>
        <v>34</v>
      </c>
      <c r="J94">
        <v>1</v>
      </c>
      <c r="K94" t="s">
        <v>493</v>
      </c>
      <c r="L94" t="s">
        <v>487</v>
      </c>
      <c r="M94" t="s">
        <v>487</v>
      </c>
      <c r="N94">
        <v>1</v>
      </c>
      <c r="O94">
        <v>2</v>
      </c>
      <c r="P94" s="11">
        <v>1</v>
      </c>
      <c r="Q94" s="11">
        <v>0</v>
      </c>
      <c r="R94" t="str">
        <f t="shared" si="6"/>
        <v>TRUE</v>
      </c>
      <c r="S94" t="s">
        <v>325</v>
      </c>
      <c r="T94">
        <v>1000.000011</v>
      </c>
      <c r="U94">
        <v>32.159999999999997</v>
      </c>
      <c r="V94">
        <v>200.89</v>
      </c>
      <c r="W94">
        <v>885.68</v>
      </c>
      <c r="X94">
        <v>366.24</v>
      </c>
      <c r="Y94">
        <v>28.87</v>
      </c>
      <c r="Z94">
        <v>102.91</v>
      </c>
      <c r="AA94" t="str">
        <f t="shared" si="7"/>
        <v>TRUE</v>
      </c>
      <c r="AB94" t="s">
        <v>325</v>
      </c>
    </row>
  </sheetData>
  <autoFilter ref="C1:C94" xr:uid="{00000000-0009-0000-0000-000002000000}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B82"/>
  <sheetViews>
    <sheetView workbookViewId="0">
      <pane ySplit="1" topLeftCell="A2" activePane="bottomLeft" state="frozen"/>
      <selection pane="bottomLeft" activeCell="O30" sqref="O30"/>
    </sheetView>
  </sheetViews>
  <sheetFormatPr defaultColWidth="11" defaultRowHeight="15.95"/>
  <sheetData>
    <row r="1" spans="1:28">
      <c r="A1" t="s">
        <v>463</v>
      </c>
      <c r="B1" t="s">
        <v>464</v>
      </c>
      <c r="C1" t="s">
        <v>710</v>
      </c>
      <c r="D1" t="s">
        <v>465</v>
      </c>
      <c r="E1" t="s">
        <v>466</v>
      </c>
      <c r="F1" t="s">
        <v>467</v>
      </c>
      <c r="G1" t="s">
        <v>468</v>
      </c>
      <c r="H1" t="s">
        <v>469</v>
      </c>
      <c r="I1" t="s">
        <v>470</v>
      </c>
      <c r="J1" t="s">
        <v>471</v>
      </c>
      <c r="K1" t="s">
        <v>472</v>
      </c>
      <c r="L1" t="s">
        <v>473</v>
      </c>
      <c r="M1" t="s">
        <v>474</v>
      </c>
      <c r="N1" s="8" t="s">
        <v>703</v>
      </c>
      <c r="O1" s="8" t="s">
        <v>704</v>
      </c>
      <c r="P1" s="8" t="s">
        <v>705</v>
      </c>
      <c r="Q1" s="8" t="s">
        <v>706</v>
      </c>
      <c r="R1" t="s">
        <v>711</v>
      </c>
      <c r="S1" t="s">
        <v>712</v>
      </c>
      <c r="T1" t="s">
        <v>477</v>
      </c>
      <c r="U1" t="s">
        <v>478</v>
      </c>
      <c r="V1" t="s">
        <v>479</v>
      </c>
      <c r="W1" t="s">
        <v>480</v>
      </c>
      <c r="X1" t="s">
        <v>481</v>
      </c>
      <c r="Y1" t="s">
        <v>482</v>
      </c>
      <c r="Z1" t="s">
        <v>483</v>
      </c>
      <c r="AA1" t="s">
        <v>707</v>
      </c>
      <c r="AB1" t="s">
        <v>476</v>
      </c>
    </row>
    <row r="2" spans="1:28">
      <c r="A2" t="s">
        <v>489</v>
      </c>
      <c r="B2" t="s">
        <v>7</v>
      </c>
      <c r="C2" t="s">
        <v>713</v>
      </c>
      <c r="D2" t="s">
        <v>490</v>
      </c>
      <c r="E2" t="s">
        <v>491</v>
      </c>
      <c r="F2" t="s">
        <v>492</v>
      </c>
      <c r="G2" s="4">
        <v>21294</v>
      </c>
      <c r="H2" s="4">
        <v>43210</v>
      </c>
      <c r="I2">
        <f t="shared" ref="I2:I26" si="0">DATEDIF(G2,H2,"Y")</f>
        <v>60</v>
      </c>
      <c r="J2">
        <v>1</v>
      </c>
      <c r="K2" t="s">
        <v>493</v>
      </c>
      <c r="L2">
        <v>1269</v>
      </c>
      <c r="M2">
        <v>8</v>
      </c>
      <c r="N2">
        <v>0</v>
      </c>
      <c r="O2">
        <v>3</v>
      </c>
      <c r="P2">
        <v>0</v>
      </c>
      <c r="Q2">
        <v>1</v>
      </c>
      <c r="R2" t="str">
        <f t="shared" ref="R2:R33" si="1">IF(S2=B2, "TRUE", "FALSE")</f>
        <v>TRUE</v>
      </c>
      <c r="S2" t="s">
        <v>7</v>
      </c>
      <c r="T2">
        <v>724.77</v>
      </c>
      <c r="U2">
        <v>8.2799999999999994</v>
      </c>
      <c r="V2">
        <v>54.99</v>
      </c>
      <c r="W2">
        <v>47.41</v>
      </c>
      <c r="X2">
        <v>54.51</v>
      </c>
      <c r="Y2">
        <v>57.06</v>
      </c>
      <c r="Z2">
        <v>2.4900000000000002</v>
      </c>
      <c r="AA2" t="str">
        <f>IF(AB2=B2, "TRUE", "FALSE")</f>
        <v>TRUE</v>
      </c>
      <c r="AB2" t="s">
        <v>7</v>
      </c>
    </row>
    <row r="3" spans="1:28">
      <c r="A3" t="s">
        <v>494</v>
      </c>
      <c r="B3" t="s">
        <v>9</v>
      </c>
      <c r="C3" t="s">
        <v>714</v>
      </c>
      <c r="D3" t="s">
        <v>490</v>
      </c>
      <c r="E3" t="s">
        <v>491</v>
      </c>
      <c r="F3" t="s">
        <v>492</v>
      </c>
      <c r="G3" s="4">
        <v>21589</v>
      </c>
      <c r="H3" s="4">
        <v>43291</v>
      </c>
      <c r="I3">
        <f t="shared" si="0"/>
        <v>59</v>
      </c>
      <c r="J3">
        <v>1</v>
      </c>
      <c r="K3" t="s">
        <v>488</v>
      </c>
      <c r="L3">
        <v>3000</v>
      </c>
      <c r="M3">
        <v>9</v>
      </c>
      <c r="N3">
        <v>1</v>
      </c>
      <c r="O3">
        <v>2</v>
      </c>
      <c r="P3" s="9">
        <v>1</v>
      </c>
      <c r="Q3" s="9">
        <v>0</v>
      </c>
      <c r="R3" t="str">
        <f t="shared" si="1"/>
        <v>TRUE</v>
      </c>
      <c r="S3" t="s">
        <v>9</v>
      </c>
      <c r="T3">
        <v>19.91</v>
      </c>
      <c r="U3">
        <v>2.4900000000000002</v>
      </c>
      <c r="V3">
        <v>1.65</v>
      </c>
      <c r="W3">
        <v>27.12</v>
      </c>
      <c r="X3">
        <v>74.94</v>
      </c>
      <c r="Y3">
        <v>134.82</v>
      </c>
      <c r="Z3">
        <v>8.66</v>
      </c>
      <c r="AA3" t="str">
        <f t="shared" ref="AA3:AA66" si="2">IF(AB3=B3, "TRUE", "FALSE")</f>
        <v>TRUE</v>
      </c>
      <c r="AB3" t="s">
        <v>9</v>
      </c>
    </row>
    <row r="4" spans="1:28">
      <c r="A4" t="s">
        <v>497</v>
      </c>
      <c r="B4" t="s">
        <v>13</v>
      </c>
      <c r="C4" t="s">
        <v>715</v>
      </c>
      <c r="D4" t="s">
        <v>490</v>
      </c>
      <c r="E4" t="s">
        <v>498</v>
      </c>
      <c r="F4" t="s">
        <v>499</v>
      </c>
      <c r="G4" s="4">
        <v>30401</v>
      </c>
      <c r="H4" s="4">
        <v>43300</v>
      </c>
      <c r="I4">
        <f t="shared" si="0"/>
        <v>35</v>
      </c>
      <c r="J4">
        <v>1</v>
      </c>
      <c r="K4" t="s">
        <v>488</v>
      </c>
      <c r="L4">
        <v>250</v>
      </c>
      <c r="M4">
        <v>0</v>
      </c>
      <c r="N4">
        <v>0</v>
      </c>
      <c r="O4">
        <v>2</v>
      </c>
      <c r="P4" s="9">
        <v>1</v>
      </c>
      <c r="Q4" s="9">
        <v>0</v>
      </c>
      <c r="R4" t="str">
        <f t="shared" si="1"/>
        <v>TRUE</v>
      </c>
      <c r="S4" t="s">
        <v>13</v>
      </c>
      <c r="T4">
        <v>30.2</v>
      </c>
      <c r="U4">
        <v>7.66</v>
      </c>
      <c r="V4">
        <v>0.99</v>
      </c>
      <c r="W4">
        <v>11.61</v>
      </c>
      <c r="X4">
        <v>23.99</v>
      </c>
      <c r="Y4">
        <v>4.8099999999999996</v>
      </c>
      <c r="Z4">
        <v>2.4900000000000002</v>
      </c>
      <c r="AA4" t="str">
        <f t="shared" si="2"/>
        <v>TRUE</v>
      </c>
      <c r="AB4" t="s">
        <v>13</v>
      </c>
    </row>
    <row r="5" spans="1:28">
      <c r="A5" t="s">
        <v>503</v>
      </c>
      <c r="B5" t="s">
        <v>17</v>
      </c>
      <c r="C5" t="s">
        <v>716</v>
      </c>
      <c r="D5" t="s">
        <v>490</v>
      </c>
      <c r="E5" t="s">
        <v>498</v>
      </c>
      <c r="F5" t="s">
        <v>499</v>
      </c>
      <c r="G5" s="4">
        <v>32618</v>
      </c>
      <c r="H5" s="4">
        <v>43308</v>
      </c>
      <c r="I5">
        <f t="shared" si="0"/>
        <v>29</v>
      </c>
      <c r="J5">
        <v>1</v>
      </c>
      <c r="K5" t="s">
        <v>488</v>
      </c>
      <c r="L5">
        <v>2826</v>
      </c>
      <c r="M5">
        <v>5</v>
      </c>
      <c r="N5">
        <v>0</v>
      </c>
      <c r="O5">
        <v>2</v>
      </c>
      <c r="P5" s="9">
        <v>1</v>
      </c>
      <c r="Q5" s="9">
        <v>0</v>
      </c>
      <c r="R5" t="str">
        <f t="shared" si="1"/>
        <v>TRUE</v>
      </c>
      <c r="S5" t="s">
        <v>17</v>
      </c>
      <c r="T5">
        <v>19.649999999999999</v>
      </c>
      <c r="U5">
        <v>4.6399999999999997</v>
      </c>
      <c r="V5">
        <v>3.87</v>
      </c>
      <c r="W5">
        <v>28.85</v>
      </c>
      <c r="X5">
        <v>23.43</v>
      </c>
      <c r="Y5">
        <v>3.4</v>
      </c>
      <c r="Z5">
        <v>2.4900000000000002</v>
      </c>
      <c r="AA5" t="str">
        <f t="shared" si="2"/>
        <v>TRUE</v>
      </c>
      <c r="AB5" t="s">
        <v>17</v>
      </c>
    </row>
    <row r="6" spans="1:28">
      <c r="A6" t="s">
        <v>508</v>
      </c>
      <c r="B6" t="s">
        <v>25</v>
      </c>
      <c r="C6" t="s">
        <v>717</v>
      </c>
      <c r="D6" t="s">
        <v>490</v>
      </c>
      <c r="E6" t="s">
        <v>491</v>
      </c>
      <c r="F6" t="s">
        <v>499</v>
      </c>
      <c r="G6" s="4">
        <v>29445</v>
      </c>
      <c r="H6" s="4">
        <v>43329</v>
      </c>
      <c r="I6">
        <f t="shared" si="0"/>
        <v>38</v>
      </c>
      <c r="J6">
        <v>1</v>
      </c>
      <c r="K6" t="s">
        <v>488</v>
      </c>
      <c r="L6">
        <v>2043</v>
      </c>
      <c r="M6">
        <v>8</v>
      </c>
      <c r="N6">
        <v>1</v>
      </c>
      <c r="O6">
        <v>2</v>
      </c>
      <c r="P6" s="9">
        <v>0</v>
      </c>
      <c r="Q6" s="9">
        <v>0</v>
      </c>
      <c r="R6" t="str">
        <f t="shared" si="1"/>
        <v>TRUE</v>
      </c>
      <c r="S6" s="1" t="s">
        <v>25</v>
      </c>
      <c r="T6" s="1">
        <v>25.08</v>
      </c>
      <c r="U6" s="1">
        <v>21.54</v>
      </c>
      <c r="V6" s="1">
        <v>8.18</v>
      </c>
      <c r="W6" s="1">
        <v>14.46</v>
      </c>
      <c r="X6" s="1">
        <v>9.1</v>
      </c>
      <c r="Y6" s="1">
        <v>2.4900000000000002</v>
      </c>
      <c r="Z6">
        <v>18.420000000000002</v>
      </c>
      <c r="AA6" t="str">
        <f t="shared" si="2"/>
        <v>TRUE</v>
      </c>
      <c r="AB6" t="s">
        <v>25</v>
      </c>
    </row>
    <row r="7" spans="1:28">
      <c r="A7" t="s">
        <v>511</v>
      </c>
      <c r="B7" t="s">
        <v>31</v>
      </c>
      <c r="C7" t="s">
        <v>718</v>
      </c>
      <c r="D7" t="s">
        <v>490</v>
      </c>
      <c r="E7" t="s">
        <v>512</v>
      </c>
      <c r="F7" t="s">
        <v>499</v>
      </c>
      <c r="G7" s="4">
        <v>31343</v>
      </c>
      <c r="H7" s="4">
        <v>43371</v>
      </c>
      <c r="I7">
        <f t="shared" si="0"/>
        <v>32</v>
      </c>
      <c r="J7">
        <v>1</v>
      </c>
      <c r="K7" t="s">
        <v>488</v>
      </c>
      <c r="L7">
        <v>143</v>
      </c>
      <c r="M7">
        <v>5</v>
      </c>
      <c r="N7">
        <v>0</v>
      </c>
      <c r="O7">
        <v>2</v>
      </c>
      <c r="P7" s="9">
        <v>1</v>
      </c>
      <c r="Q7" s="9">
        <v>0</v>
      </c>
      <c r="R7" t="str">
        <f t="shared" si="1"/>
        <v>TRUE</v>
      </c>
      <c r="S7" t="s">
        <v>31</v>
      </c>
      <c r="T7">
        <v>42.87</v>
      </c>
      <c r="U7">
        <v>30.82</v>
      </c>
      <c r="V7">
        <v>9.18</v>
      </c>
      <c r="W7">
        <v>169.66</v>
      </c>
      <c r="X7">
        <v>176.33</v>
      </c>
      <c r="Y7">
        <v>47.67</v>
      </c>
      <c r="Z7">
        <v>15.91</v>
      </c>
      <c r="AA7" t="str">
        <f t="shared" si="2"/>
        <v>TRUE</v>
      </c>
      <c r="AB7" t="s">
        <v>31</v>
      </c>
    </row>
    <row r="8" spans="1:28">
      <c r="A8" t="s">
        <v>513</v>
      </c>
      <c r="B8" t="s">
        <v>33</v>
      </c>
      <c r="C8" t="s">
        <v>714</v>
      </c>
      <c r="D8" t="s">
        <v>490</v>
      </c>
      <c r="E8" t="s">
        <v>491</v>
      </c>
      <c r="F8" t="s">
        <v>492</v>
      </c>
      <c r="G8" s="4">
        <v>21589</v>
      </c>
      <c r="H8" s="4">
        <v>43375</v>
      </c>
      <c r="I8">
        <f t="shared" si="0"/>
        <v>59</v>
      </c>
      <c r="J8">
        <v>2</v>
      </c>
      <c r="K8" t="s">
        <v>488</v>
      </c>
      <c r="L8">
        <v>17</v>
      </c>
      <c r="M8">
        <v>4</v>
      </c>
      <c r="N8" s="13">
        <v>1</v>
      </c>
      <c r="O8" s="13">
        <v>2</v>
      </c>
      <c r="P8" s="14">
        <v>1</v>
      </c>
      <c r="Q8" s="14">
        <v>0</v>
      </c>
      <c r="R8" t="str">
        <f t="shared" si="1"/>
        <v>TRUE</v>
      </c>
      <c r="S8" t="s">
        <v>33</v>
      </c>
      <c r="T8">
        <v>61.24</v>
      </c>
      <c r="U8">
        <v>4.2699999999999996</v>
      </c>
      <c r="V8">
        <v>0.99</v>
      </c>
      <c r="W8">
        <v>92.19</v>
      </c>
      <c r="X8">
        <v>76.72</v>
      </c>
      <c r="Y8">
        <v>14.09</v>
      </c>
      <c r="Z8">
        <v>10.53</v>
      </c>
      <c r="AA8" t="str">
        <f t="shared" si="2"/>
        <v>TRUE</v>
      </c>
      <c r="AB8" t="s">
        <v>33</v>
      </c>
    </row>
    <row r="9" spans="1:28">
      <c r="A9" t="s">
        <v>514</v>
      </c>
      <c r="B9" t="s">
        <v>35</v>
      </c>
      <c r="C9" t="s">
        <v>719</v>
      </c>
      <c r="D9" t="s">
        <v>490</v>
      </c>
      <c r="E9" t="s">
        <v>491</v>
      </c>
      <c r="F9" t="s">
        <v>499</v>
      </c>
      <c r="G9" s="4">
        <v>35211</v>
      </c>
      <c r="H9" s="4">
        <v>43104</v>
      </c>
      <c r="I9">
        <f t="shared" si="0"/>
        <v>21</v>
      </c>
      <c r="J9">
        <v>1</v>
      </c>
      <c r="K9" t="s">
        <v>488</v>
      </c>
      <c r="L9">
        <v>69</v>
      </c>
      <c r="M9">
        <v>4</v>
      </c>
      <c r="N9">
        <v>0</v>
      </c>
      <c r="O9">
        <v>2</v>
      </c>
      <c r="P9" s="9">
        <v>0</v>
      </c>
      <c r="Q9" s="9">
        <v>0</v>
      </c>
      <c r="R9" t="str">
        <f t="shared" si="1"/>
        <v>TRUE</v>
      </c>
      <c r="S9" t="s">
        <v>35</v>
      </c>
      <c r="T9">
        <v>124.87</v>
      </c>
      <c r="U9">
        <v>20.12</v>
      </c>
      <c r="V9">
        <v>29.24</v>
      </c>
      <c r="W9">
        <v>254.62</v>
      </c>
      <c r="X9">
        <v>182.41</v>
      </c>
      <c r="Y9">
        <v>30.69</v>
      </c>
      <c r="Z9">
        <v>13.5</v>
      </c>
      <c r="AA9" t="str">
        <f t="shared" si="2"/>
        <v>TRUE</v>
      </c>
      <c r="AB9" t="s">
        <v>35</v>
      </c>
    </row>
    <row r="10" spans="1:28">
      <c r="A10" t="s">
        <v>515</v>
      </c>
      <c r="B10" t="s">
        <v>37</v>
      </c>
      <c r="C10" t="s">
        <v>720</v>
      </c>
      <c r="D10" t="s">
        <v>490</v>
      </c>
      <c r="E10" t="s">
        <v>498</v>
      </c>
      <c r="F10" t="s">
        <v>499</v>
      </c>
      <c r="G10" s="4">
        <v>23573</v>
      </c>
      <c r="H10" s="4">
        <v>43392</v>
      </c>
      <c r="I10">
        <f t="shared" si="0"/>
        <v>54</v>
      </c>
      <c r="J10">
        <v>1</v>
      </c>
      <c r="K10" t="s">
        <v>488</v>
      </c>
      <c r="L10">
        <v>6000</v>
      </c>
      <c r="M10">
        <v>7</v>
      </c>
      <c r="N10">
        <v>0</v>
      </c>
      <c r="O10">
        <v>2</v>
      </c>
      <c r="P10" s="9">
        <v>1</v>
      </c>
      <c r="Q10" s="9">
        <v>0</v>
      </c>
      <c r="R10" t="str">
        <f t="shared" si="1"/>
        <v>TRUE</v>
      </c>
      <c r="S10" t="s">
        <v>37</v>
      </c>
      <c r="T10">
        <v>24.69</v>
      </c>
      <c r="U10">
        <v>2.4900000000000002</v>
      </c>
      <c r="V10">
        <v>0.99</v>
      </c>
      <c r="W10">
        <v>4.63</v>
      </c>
      <c r="X10">
        <v>4.99</v>
      </c>
      <c r="Y10" s="1">
        <v>2.4900000000000002</v>
      </c>
      <c r="Z10">
        <v>5.64</v>
      </c>
      <c r="AA10" t="str">
        <f t="shared" si="2"/>
        <v>TRUE</v>
      </c>
      <c r="AB10" t="s">
        <v>37</v>
      </c>
    </row>
    <row r="11" spans="1:28">
      <c r="A11" t="s">
        <v>517</v>
      </c>
      <c r="B11" t="s">
        <v>41</v>
      </c>
      <c r="C11" t="s">
        <v>721</v>
      </c>
      <c r="D11" t="s">
        <v>490</v>
      </c>
      <c r="E11" t="s">
        <v>498</v>
      </c>
      <c r="F11" t="s">
        <v>499</v>
      </c>
      <c r="G11" s="4">
        <v>24908</v>
      </c>
      <c r="H11" s="4">
        <v>43411</v>
      </c>
      <c r="I11">
        <f t="shared" si="0"/>
        <v>50</v>
      </c>
      <c r="J11">
        <v>1</v>
      </c>
      <c r="K11" t="s">
        <v>488</v>
      </c>
      <c r="L11">
        <v>322</v>
      </c>
      <c r="M11">
        <v>4</v>
      </c>
      <c r="N11">
        <v>1</v>
      </c>
      <c r="O11">
        <v>2</v>
      </c>
      <c r="P11" s="9">
        <v>0</v>
      </c>
      <c r="Q11" s="9">
        <v>0</v>
      </c>
      <c r="R11" t="str">
        <f t="shared" si="1"/>
        <v>TRUE</v>
      </c>
      <c r="S11" t="s">
        <v>41</v>
      </c>
      <c r="T11">
        <v>56.28</v>
      </c>
      <c r="U11">
        <v>15.35</v>
      </c>
      <c r="V11">
        <v>20.88</v>
      </c>
      <c r="W11">
        <v>50.43</v>
      </c>
      <c r="X11">
        <v>117.06</v>
      </c>
      <c r="Y11">
        <v>7.81</v>
      </c>
      <c r="Z11">
        <v>10.56</v>
      </c>
      <c r="AA11" t="str">
        <f t="shared" si="2"/>
        <v>TRUE</v>
      </c>
      <c r="AB11" t="s">
        <v>41</v>
      </c>
    </row>
    <row r="12" spans="1:28">
      <c r="A12" t="s">
        <v>518</v>
      </c>
      <c r="B12" t="s">
        <v>43</v>
      </c>
      <c r="C12" t="s">
        <v>722</v>
      </c>
      <c r="D12" t="s">
        <v>490</v>
      </c>
      <c r="E12" t="s">
        <v>498</v>
      </c>
      <c r="F12" t="s">
        <v>499</v>
      </c>
      <c r="G12" s="4">
        <v>29437</v>
      </c>
      <c r="H12" s="4">
        <v>43417</v>
      </c>
      <c r="I12">
        <f t="shared" si="0"/>
        <v>38</v>
      </c>
      <c r="J12">
        <v>1</v>
      </c>
      <c r="K12" t="s">
        <v>488</v>
      </c>
      <c r="L12">
        <v>1073</v>
      </c>
      <c r="M12">
        <v>10</v>
      </c>
      <c r="N12">
        <v>1</v>
      </c>
      <c r="O12">
        <v>3</v>
      </c>
      <c r="P12" s="9">
        <v>1</v>
      </c>
      <c r="Q12" s="9">
        <v>0</v>
      </c>
      <c r="R12" t="str">
        <f t="shared" si="1"/>
        <v>TRUE</v>
      </c>
      <c r="S12" t="s">
        <v>43</v>
      </c>
      <c r="T12">
        <v>21.17</v>
      </c>
      <c r="U12">
        <v>2.4900000000000002</v>
      </c>
      <c r="V12">
        <v>0.99</v>
      </c>
      <c r="W12">
        <v>8.84</v>
      </c>
      <c r="X12">
        <v>2.4900000000000002</v>
      </c>
      <c r="Y12" s="1">
        <v>2.4900000000000002</v>
      </c>
      <c r="Z12">
        <v>3.78</v>
      </c>
      <c r="AA12" t="str">
        <f t="shared" si="2"/>
        <v>TRUE</v>
      </c>
      <c r="AB12" t="s">
        <v>43</v>
      </c>
    </row>
    <row r="13" spans="1:28">
      <c r="A13" t="s">
        <v>519</v>
      </c>
      <c r="B13" t="s">
        <v>45</v>
      </c>
      <c r="C13" t="s">
        <v>723</v>
      </c>
      <c r="D13" t="s">
        <v>490</v>
      </c>
      <c r="E13" t="s">
        <v>512</v>
      </c>
      <c r="F13" t="s">
        <v>499</v>
      </c>
      <c r="G13" s="4">
        <v>25575</v>
      </c>
      <c r="H13" s="4">
        <v>43426</v>
      </c>
      <c r="I13">
        <f t="shared" si="0"/>
        <v>48</v>
      </c>
      <c r="J13">
        <v>1</v>
      </c>
      <c r="K13" t="s">
        <v>488</v>
      </c>
      <c r="L13">
        <v>98</v>
      </c>
      <c r="M13">
        <v>4</v>
      </c>
      <c r="N13">
        <v>0</v>
      </c>
      <c r="O13">
        <v>3</v>
      </c>
      <c r="P13" s="9">
        <v>1</v>
      </c>
      <c r="Q13" s="9">
        <v>0</v>
      </c>
      <c r="R13" t="str">
        <f t="shared" si="1"/>
        <v>TRUE</v>
      </c>
      <c r="S13" t="s">
        <v>45</v>
      </c>
      <c r="T13">
        <v>41.07</v>
      </c>
      <c r="U13">
        <v>23.19</v>
      </c>
      <c r="V13">
        <v>17.39</v>
      </c>
      <c r="W13">
        <v>103.89</v>
      </c>
      <c r="X13">
        <v>145.83000000000001</v>
      </c>
      <c r="Y13">
        <v>18.59</v>
      </c>
      <c r="Z13">
        <v>8.16</v>
      </c>
      <c r="AA13" t="str">
        <f t="shared" si="2"/>
        <v>TRUE</v>
      </c>
      <c r="AB13" t="s">
        <v>45</v>
      </c>
    </row>
    <row r="14" spans="1:28">
      <c r="A14" t="s">
        <v>522</v>
      </c>
      <c r="B14" t="s">
        <v>51</v>
      </c>
      <c r="C14" t="s">
        <v>724</v>
      </c>
      <c r="D14" t="s">
        <v>490</v>
      </c>
      <c r="E14" t="s">
        <v>491</v>
      </c>
      <c r="F14" t="s">
        <v>499</v>
      </c>
      <c r="G14" s="4">
        <v>17139</v>
      </c>
      <c r="H14" s="4">
        <v>43427</v>
      </c>
      <c r="I14">
        <f t="shared" si="0"/>
        <v>71</v>
      </c>
      <c r="J14">
        <v>1</v>
      </c>
      <c r="K14" t="s">
        <v>488</v>
      </c>
      <c r="L14">
        <v>164</v>
      </c>
      <c r="M14">
        <v>4</v>
      </c>
      <c r="N14">
        <v>0</v>
      </c>
      <c r="O14">
        <v>1</v>
      </c>
      <c r="P14" s="9">
        <v>1</v>
      </c>
      <c r="Q14" s="9">
        <v>0</v>
      </c>
      <c r="R14" t="str">
        <f t="shared" si="1"/>
        <v>TRUE</v>
      </c>
      <c r="S14" t="s">
        <v>51</v>
      </c>
      <c r="T14">
        <v>82.8</v>
      </c>
      <c r="U14">
        <v>39.46</v>
      </c>
      <c r="V14">
        <v>72.86</v>
      </c>
      <c r="W14">
        <v>334.32</v>
      </c>
      <c r="X14">
        <v>657.43</v>
      </c>
      <c r="Y14">
        <v>127.49</v>
      </c>
      <c r="Z14">
        <v>81.03</v>
      </c>
      <c r="AA14" t="str">
        <f t="shared" si="2"/>
        <v>TRUE</v>
      </c>
      <c r="AB14" t="s">
        <v>51</v>
      </c>
    </row>
    <row r="15" spans="1:28">
      <c r="A15" t="s">
        <v>524</v>
      </c>
      <c r="B15" t="s">
        <v>55</v>
      </c>
      <c r="C15" t="s">
        <v>725</v>
      </c>
      <c r="D15" t="s">
        <v>490</v>
      </c>
      <c r="E15" t="s">
        <v>491</v>
      </c>
      <c r="F15" t="s">
        <v>499</v>
      </c>
      <c r="G15" s="4">
        <v>36196</v>
      </c>
      <c r="H15" s="4">
        <v>43462</v>
      </c>
      <c r="I15">
        <f t="shared" si="0"/>
        <v>19</v>
      </c>
      <c r="J15">
        <v>1</v>
      </c>
      <c r="K15" t="s">
        <v>488</v>
      </c>
      <c r="L15">
        <v>108</v>
      </c>
      <c r="M15">
        <v>3</v>
      </c>
      <c r="N15">
        <v>1</v>
      </c>
      <c r="O15">
        <v>1</v>
      </c>
      <c r="P15" s="9">
        <v>1</v>
      </c>
      <c r="Q15" s="9">
        <v>0</v>
      </c>
      <c r="R15" t="str">
        <f t="shared" si="1"/>
        <v>TRUE</v>
      </c>
      <c r="S15" t="s">
        <v>55</v>
      </c>
      <c r="T15">
        <v>98.58</v>
      </c>
      <c r="U15">
        <v>14.82</v>
      </c>
      <c r="V15">
        <v>258.13</v>
      </c>
      <c r="W15">
        <v>518.42999999999995</v>
      </c>
      <c r="X15">
        <v>277.64</v>
      </c>
      <c r="Y15">
        <v>95.73</v>
      </c>
      <c r="Z15">
        <v>189.31</v>
      </c>
      <c r="AA15" t="str">
        <f t="shared" si="2"/>
        <v>TRUE</v>
      </c>
      <c r="AB15" t="s">
        <v>55</v>
      </c>
    </row>
    <row r="16" spans="1:28">
      <c r="A16" t="s">
        <v>526</v>
      </c>
      <c r="B16" t="s">
        <v>59</v>
      </c>
      <c r="C16" t="s">
        <v>722</v>
      </c>
      <c r="D16" t="s">
        <v>490</v>
      </c>
      <c r="E16" t="s">
        <v>498</v>
      </c>
      <c r="F16" t="s">
        <v>499</v>
      </c>
      <c r="G16" s="4">
        <v>29437</v>
      </c>
      <c r="H16" s="4">
        <v>43467</v>
      </c>
      <c r="I16">
        <f t="shared" si="0"/>
        <v>38</v>
      </c>
      <c r="J16">
        <v>2</v>
      </c>
      <c r="K16" t="s">
        <v>488</v>
      </c>
      <c r="L16">
        <v>1248</v>
      </c>
      <c r="M16">
        <v>5</v>
      </c>
      <c r="N16" s="13">
        <v>1</v>
      </c>
      <c r="O16" s="13">
        <v>3</v>
      </c>
      <c r="P16" s="14">
        <v>0</v>
      </c>
      <c r="Q16" s="14">
        <v>0</v>
      </c>
      <c r="R16" t="str">
        <f t="shared" si="1"/>
        <v>TRUE</v>
      </c>
      <c r="S16" t="s">
        <v>59</v>
      </c>
      <c r="T16">
        <v>17.86</v>
      </c>
      <c r="U16">
        <v>9.77</v>
      </c>
      <c r="V16">
        <v>8.15</v>
      </c>
      <c r="W16">
        <v>52.74</v>
      </c>
      <c r="X16">
        <v>40.880000000000003</v>
      </c>
      <c r="Y16">
        <v>4.49</v>
      </c>
      <c r="Z16">
        <v>11.01</v>
      </c>
      <c r="AA16" t="str">
        <f t="shared" si="2"/>
        <v>TRUE</v>
      </c>
      <c r="AB16" t="s">
        <v>59</v>
      </c>
    </row>
    <row r="17" spans="1:28">
      <c r="A17" t="s">
        <v>527</v>
      </c>
      <c r="B17" t="s">
        <v>61</v>
      </c>
      <c r="C17" t="s">
        <v>715</v>
      </c>
      <c r="D17" t="s">
        <v>490</v>
      </c>
      <c r="E17" t="s">
        <v>498</v>
      </c>
      <c r="F17" t="s">
        <v>499</v>
      </c>
      <c r="G17" s="4">
        <v>30401</v>
      </c>
      <c r="H17" s="4">
        <v>43469</v>
      </c>
      <c r="I17">
        <f t="shared" si="0"/>
        <v>35</v>
      </c>
      <c r="J17">
        <v>2</v>
      </c>
      <c r="K17" t="s">
        <v>488</v>
      </c>
      <c r="L17">
        <v>35</v>
      </c>
      <c r="M17">
        <v>3</v>
      </c>
      <c r="N17" s="13">
        <v>0</v>
      </c>
      <c r="O17" s="13">
        <v>2</v>
      </c>
      <c r="P17" s="9">
        <v>1</v>
      </c>
      <c r="Q17" s="9">
        <v>0</v>
      </c>
      <c r="R17" t="str">
        <f t="shared" si="1"/>
        <v>TRUE</v>
      </c>
      <c r="S17" t="s">
        <v>61</v>
      </c>
      <c r="T17">
        <v>20.079999999999998</v>
      </c>
      <c r="U17">
        <v>2.4900000000000002</v>
      </c>
      <c r="V17">
        <v>0.99</v>
      </c>
      <c r="W17">
        <v>7.92</v>
      </c>
      <c r="X17">
        <v>3.42</v>
      </c>
      <c r="Y17" s="1">
        <v>2.4900000000000002</v>
      </c>
      <c r="Z17">
        <v>2.4900000000000002</v>
      </c>
      <c r="AA17" t="str">
        <f t="shared" si="2"/>
        <v>TRUE</v>
      </c>
      <c r="AB17" t="s">
        <v>61</v>
      </c>
    </row>
    <row r="18" spans="1:28">
      <c r="A18" t="s">
        <v>528</v>
      </c>
      <c r="B18" t="s">
        <v>63</v>
      </c>
      <c r="C18" t="s">
        <v>716</v>
      </c>
      <c r="D18" t="s">
        <v>490</v>
      </c>
      <c r="E18" t="s">
        <v>498</v>
      </c>
      <c r="F18" t="s">
        <v>499</v>
      </c>
      <c r="G18" s="4">
        <v>32618</v>
      </c>
      <c r="H18" s="4">
        <v>43476</v>
      </c>
      <c r="I18">
        <f t="shared" si="0"/>
        <v>29</v>
      </c>
      <c r="J18">
        <v>2</v>
      </c>
      <c r="K18" t="s">
        <v>488</v>
      </c>
      <c r="L18">
        <v>103</v>
      </c>
      <c r="M18">
        <v>2</v>
      </c>
      <c r="N18">
        <v>0</v>
      </c>
      <c r="O18">
        <v>2</v>
      </c>
      <c r="P18" s="9">
        <v>1</v>
      </c>
      <c r="Q18" s="9">
        <v>0</v>
      </c>
      <c r="R18" t="str">
        <f t="shared" si="1"/>
        <v>TRUE</v>
      </c>
      <c r="S18" t="s">
        <v>63</v>
      </c>
      <c r="T18">
        <v>256.48</v>
      </c>
      <c r="U18">
        <v>22.37</v>
      </c>
      <c r="V18">
        <v>44.8</v>
      </c>
      <c r="W18">
        <v>1902.11</v>
      </c>
      <c r="X18">
        <v>1801.06</v>
      </c>
      <c r="Y18">
        <v>259.83999999999997</v>
      </c>
      <c r="Z18">
        <v>362.62</v>
      </c>
      <c r="AA18" t="str">
        <f t="shared" si="2"/>
        <v>TRUE</v>
      </c>
      <c r="AB18" t="s">
        <v>63</v>
      </c>
    </row>
    <row r="19" spans="1:28">
      <c r="A19" t="s">
        <v>529</v>
      </c>
      <c r="B19" t="s">
        <v>65</v>
      </c>
      <c r="C19" t="s">
        <v>720</v>
      </c>
      <c r="D19" t="s">
        <v>490</v>
      </c>
      <c r="E19" t="s">
        <v>498</v>
      </c>
      <c r="F19" t="s">
        <v>499</v>
      </c>
      <c r="G19" s="4">
        <v>23573</v>
      </c>
      <c r="H19" s="4">
        <v>43483</v>
      </c>
      <c r="I19">
        <f t="shared" si="0"/>
        <v>54</v>
      </c>
      <c r="J19">
        <v>2</v>
      </c>
      <c r="K19" t="s">
        <v>488</v>
      </c>
      <c r="L19">
        <v>15</v>
      </c>
      <c r="M19">
        <v>0</v>
      </c>
      <c r="N19" s="13">
        <v>0</v>
      </c>
      <c r="O19" s="13">
        <v>2</v>
      </c>
      <c r="P19" s="14">
        <v>1</v>
      </c>
      <c r="Q19" s="14">
        <v>0</v>
      </c>
      <c r="R19" t="str">
        <f t="shared" si="1"/>
        <v>TRUE</v>
      </c>
      <c r="S19" t="s">
        <v>65</v>
      </c>
      <c r="T19">
        <v>38.83</v>
      </c>
      <c r="U19">
        <v>5.45</v>
      </c>
      <c r="V19">
        <v>1.08</v>
      </c>
      <c r="W19">
        <v>126.31</v>
      </c>
      <c r="X19">
        <v>97.89</v>
      </c>
      <c r="Y19">
        <v>10.71</v>
      </c>
      <c r="Z19">
        <v>7.93</v>
      </c>
      <c r="AA19" t="str">
        <f t="shared" si="2"/>
        <v>TRUE</v>
      </c>
      <c r="AB19" t="s">
        <v>65</v>
      </c>
    </row>
    <row r="20" spans="1:28">
      <c r="A20" t="s">
        <v>533</v>
      </c>
      <c r="B20" t="s">
        <v>71</v>
      </c>
      <c r="C20" t="s">
        <v>714</v>
      </c>
      <c r="D20" t="s">
        <v>490</v>
      </c>
      <c r="E20" t="s">
        <v>491</v>
      </c>
      <c r="F20" t="s">
        <v>492</v>
      </c>
      <c r="G20" s="4">
        <v>21589</v>
      </c>
      <c r="H20" s="4">
        <v>43487</v>
      </c>
      <c r="I20">
        <f t="shared" si="0"/>
        <v>59</v>
      </c>
      <c r="J20">
        <v>3</v>
      </c>
      <c r="K20" t="s">
        <v>488</v>
      </c>
      <c r="L20">
        <v>34</v>
      </c>
      <c r="M20">
        <v>0</v>
      </c>
      <c r="N20" s="13">
        <v>1</v>
      </c>
      <c r="O20" s="13">
        <v>2</v>
      </c>
      <c r="P20" s="14">
        <v>1</v>
      </c>
      <c r="Q20" s="14">
        <v>0</v>
      </c>
      <c r="R20" t="str">
        <f t="shared" si="1"/>
        <v>TRUE</v>
      </c>
      <c r="S20" t="s">
        <v>71</v>
      </c>
      <c r="T20">
        <v>216.95</v>
      </c>
      <c r="U20">
        <v>8.77</v>
      </c>
      <c r="V20">
        <v>23.36</v>
      </c>
      <c r="W20">
        <v>156.06</v>
      </c>
      <c r="X20">
        <v>113.34</v>
      </c>
      <c r="Y20">
        <v>259.58</v>
      </c>
      <c r="Z20">
        <v>300.73</v>
      </c>
      <c r="AA20" t="str">
        <f t="shared" si="2"/>
        <v>TRUE</v>
      </c>
      <c r="AB20" t="s">
        <v>71</v>
      </c>
    </row>
    <row r="21" spans="1:28">
      <c r="A21" t="s">
        <v>534</v>
      </c>
      <c r="B21" t="s">
        <v>73</v>
      </c>
      <c r="C21" t="s">
        <v>717</v>
      </c>
      <c r="D21" t="s">
        <v>490</v>
      </c>
      <c r="E21" t="s">
        <v>491</v>
      </c>
      <c r="F21" t="s">
        <v>499</v>
      </c>
      <c r="G21" s="4">
        <v>29445</v>
      </c>
      <c r="H21" s="4">
        <v>43497</v>
      </c>
      <c r="I21">
        <f t="shared" si="0"/>
        <v>38</v>
      </c>
      <c r="J21">
        <v>2</v>
      </c>
      <c r="K21" t="s">
        <v>488</v>
      </c>
      <c r="L21">
        <v>803</v>
      </c>
      <c r="M21">
        <v>1</v>
      </c>
      <c r="N21" s="13">
        <v>1</v>
      </c>
      <c r="O21" s="13">
        <v>2</v>
      </c>
      <c r="P21" s="14">
        <v>0</v>
      </c>
      <c r="Q21" s="14">
        <v>0</v>
      </c>
      <c r="R21" t="str">
        <f t="shared" si="1"/>
        <v>TRUE</v>
      </c>
      <c r="S21" t="s">
        <v>73</v>
      </c>
      <c r="T21">
        <v>68.680000000000007</v>
      </c>
      <c r="U21">
        <v>54.61</v>
      </c>
      <c r="V21">
        <v>51.86</v>
      </c>
      <c r="W21">
        <v>302.45</v>
      </c>
      <c r="X21">
        <v>227.68</v>
      </c>
      <c r="Y21">
        <v>16.920000000000002</v>
      </c>
      <c r="Z21">
        <v>5.6</v>
      </c>
      <c r="AA21" t="str">
        <f t="shared" si="2"/>
        <v>TRUE</v>
      </c>
      <c r="AB21" t="s">
        <v>73</v>
      </c>
    </row>
    <row r="22" spans="1:28">
      <c r="A22" t="s">
        <v>536</v>
      </c>
      <c r="B22" t="s">
        <v>77</v>
      </c>
      <c r="C22" t="s">
        <v>726</v>
      </c>
      <c r="D22" t="s">
        <v>490</v>
      </c>
      <c r="E22" t="s">
        <v>491</v>
      </c>
      <c r="F22" t="s">
        <v>492</v>
      </c>
      <c r="G22" s="4">
        <v>36595</v>
      </c>
      <c r="H22" s="4">
        <v>43490</v>
      </c>
      <c r="I22">
        <f t="shared" si="0"/>
        <v>18</v>
      </c>
      <c r="J22">
        <v>1</v>
      </c>
      <c r="K22" t="s">
        <v>493</v>
      </c>
      <c r="L22">
        <v>1276</v>
      </c>
      <c r="M22">
        <v>11</v>
      </c>
      <c r="N22">
        <v>1</v>
      </c>
      <c r="O22">
        <v>2</v>
      </c>
      <c r="P22" s="9">
        <v>1</v>
      </c>
      <c r="Q22" s="9">
        <v>0</v>
      </c>
      <c r="R22" t="str">
        <f t="shared" si="1"/>
        <v>TRUE</v>
      </c>
      <c r="S22" t="s">
        <v>77</v>
      </c>
      <c r="T22">
        <v>87.14</v>
      </c>
      <c r="U22">
        <v>7.67</v>
      </c>
      <c r="V22">
        <v>102.57</v>
      </c>
      <c r="W22">
        <v>82.58</v>
      </c>
      <c r="X22">
        <v>63.29</v>
      </c>
      <c r="Y22">
        <v>25.77</v>
      </c>
      <c r="Z22">
        <v>10.16</v>
      </c>
      <c r="AA22" t="str">
        <f t="shared" si="2"/>
        <v>TRUE</v>
      </c>
      <c r="AB22" t="s">
        <v>77</v>
      </c>
    </row>
    <row r="23" spans="1:28">
      <c r="A23" t="s">
        <v>541</v>
      </c>
      <c r="B23" t="s">
        <v>85</v>
      </c>
      <c r="C23" t="s">
        <v>721</v>
      </c>
      <c r="D23" t="s">
        <v>490</v>
      </c>
      <c r="E23" t="s">
        <v>498</v>
      </c>
      <c r="F23" t="s">
        <v>499</v>
      </c>
      <c r="G23" s="4">
        <v>24908</v>
      </c>
      <c r="H23" s="4">
        <v>43509</v>
      </c>
      <c r="I23">
        <f t="shared" si="0"/>
        <v>50</v>
      </c>
      <c r="J23">
        <v>2</v>
      </c>
      <c r="K23" t="s">
        <v>488</v>
      </c>
      <c r="L23">
        <v>15</v>
      </c>
      <c r="M23">
        <v>2</v>
      </c>
      <c r="N23" s="13">
        <v>1</v>
      </c>
      <c r="O23" s="13">
        <v>2</v>
      </c>
      <c r="P23" s="14">
        <v>0</v>
      </c>
      <c r="Q23" s="14">
        <v>0</v>
      </c>
      <c r="R23" t="str">
        <f t="shared" si="1"/>
        <v>TRUE</v>
      </c>
      <c r="S23" t="s">
        <v>85</v>
      </c>
      <c r="T23">
        <v>45.69</v>
      </c>
      <c r="U23">
        <v>8.17</v>
      </c>
      <c r="V23">
        <v>9.3000000000000007</v>
      </c>
      <c r="W23">
        <v>78.55</v>
      </c>
      <c r="X23">
        <v>144.9</v>
      </c>
      <c r="Y23">
        <v>8.49</v>
      </c>
      <c r="Z23">
        <v>9.34</v>
      </c>
      <c r="AA23" t="str">
        <f t="shared" si="2"/>
        <v>TRUE</v>
      </c>
      <c r="AB23" t="s">
        <v>85</v>
      </c>
    </row>
    <row r="24" spans="1:28">
      <c r="A24" t="s">
        <v>542</v>
      </c>
      <c r="B24" t="s">
        <v>87</v>
      </c>
      <c r="C24" t="s">
        <v>727</v>
      </c>
      <c r="D24" t="s">
        <v>490</v>
      </c>
      <c r="E24" t="s">
        <v>491</v>
      </c>
      <c r="F24" t="s">
        <v>499</v>
      </c>
      <c r="G24" s="4">
        <v>25311</v>
      </c>
      <c r="H24" s="4">
        <v>43511</v>
      </c>
      <c r="I24">
        <f t="shared" si="0"/>
        <v>49</v>
      </c>
      <c r="J24">
        <v>1</v>
      </c>
      <c r="K24" t="s">
        <v>488</v>
      </c>
      <c r="L24">
        <v>2216</v>
      </c>
      <c r="M24">
        <v>7</v>
      </c>
      <c r="N24">
        <v>1</v>
      </c>
      <c r="O24">
        <v>3</v>
      </c>
      <c r="P24" s="9">
        <v>1</v>
      </c>
      <c r="Q24" s="9">
        <v>0</v>
      </c>
      <c r="R24" t="str">
        <f t="shared" si="1"/>
        <v>TRUE</v>
      </c>
      <c r="S24" t="s">
        <v>87</v>
      </c>
      <c r="T24">
        <v>1000.000011</v>
      </c>
      <c r="U24">
        <v>25.89</v>
      </c>
      <c r="V24">
        <v>149.68</v>
      </c>
      <c r="W24">
        <v>970.32</v>
      </c>
      <c r="X24">
        <v>361.13</v>
      </c>
      <c r="Y24">
        <v>141.37</v>
      </c>
      <c r="Z24">
        <v>268.05</v>
      </c>
      <c r="AA24" t="str">
        <f t="shared" si="2"/>
        <v>TRUE</v>
      </c>
      <c r="AB24" t="s">
        <v>87</v>
      </c>
    </row>
    <row r="25" spans="1:28">
      <c r="A25" t="s">
        <v>544</v>
      </c>
      <c r="B25" t="s">
        <v>91</v>
      </c>
      <c r="C25" t="s">
        <v>723</v>
      </c>
      <c r="D25" t="s">
        <v>490</v>
      </c>
      <c r="E25" t="s">
        <v>512</v>
      </c>
      <c r="F25" t="s">
        <v>499</v>
      </c>
      <c r="G25" s="4">
        <v>25575</v>
      </c>
      <c r="H25" s="4">
        <v>43518</v>
      </c>
      <c r="I25">
        <f t="shared" si="0"/>
        <v>49</v>
      </c>
      <c r="J25">
        <v>2</v>
      </c>
      <c r="K25" t="s">
        <v>488</v>
      </c>
      <c r="L25">
        <v>19</v>
      </c>
      <c r="M25">
        <v>2</v>
      </c>
      <c r="N25" s="13">
        <v>0</v>
      </c>
      <c r="O25" s="13">
        <v>3</v>
      </c>
      <c r="P25" s="14">
        <v>1</v>
      </c>
      <c r="Q25" s="14">
        <v>0</v>
      </c>
      <c r="R25" t="str">
        <f t="shared" si="1"/>
        <v>TRUE</v>
      </c>
      <c r="S25" t="s">
        <v>91</v>
      </c>
      <c r="T25">
        <v>43.32</v>
      </c>
      <c r="U25">
        <v>25.97</v>
      </c>
      <c r="V25">
        <v>15.24</v>
      </c>
      <c r="W25">
        <v>175.67</v>
      </c>
      <c r="X25">
        <v>199.14</v>
      </c>
      <c r="Y25">
        <v>15.2</v>
      </c>
      <c r="Z25">
        <v>18.39</v>
      </c>
      <c r="AA25" t="str">
        <f t="shared" si="2"/>
        <v>TRUE</v>
      </c>
      <c r="AB25" t="s">
        <v>91</v>
      </c>
    </row>
    <row r="26" spans="1:28">
      <c r="A26" t="s">
        <v>545</v>
      </c>
      <c r="B26" t="s">
        <v>93</v>
      </c>
      <c r="C26" t="s">
        <v>724</v>
      </c>
      <c r="D26" t="s">
        <v>490</v>
      </c>
      <c r="E26" t="s">
        <v>491</v>
      </c>
      <c r="F26" t="s">
        <v>499</v>
      </c>
      <c r="G26" s="4">
        <v>17139</v>
      </c>
      <c r="H26" s="4">
        <v>43518</v>
      </c>
      <c r="I26">
        <f t="shared" si="0"/>
        <v>72</v>
      </c>
      <c r="J26">
        <v>2</v>
      </c>
      <c r="K26" t="s">
        <v>488</v>
      </c>
      <c r="L26">
        <v>15</v>
      </c>
      <c r="M26">
        <v>1</v>
      </c>
      <c r="N26">
        <v>0</v>
      </c>
      <c r="O26">
        <v>1</v>
      </c>
      <c r="P26" s="14">
        <v>1</v>
      </c>
      <c r="Q26" s="14">
        <v>0</v>
      </c>
      <c r="R26" t="str">
        <f t="shared" si="1"/>
        <v>TRUE</v>
      </c>
      <c r="S26" t="s">
        <v>93</v>
      </c>
      <c r="T26">
        <v>105.46</v>
      </c>
      <c r="U26">
        <v>8.89</v>
      </c>
      <c r="V26">
        <v>15.77</v>
      </c>
      <c r="W26">
        <v>121.93</v>
      </c>
      <c r="X26">
        <v>155.13999999999999</v>
      </c>
      <c r="Y26">
        <v>56.63</v>
      </c>
      <c r="Z26">
        <v>32.479999999999997</v>
      </c>
      <c r="AA26" t="str">
        <f t="shared" si="2"/>
        <v>TRUE</v>
      </c>
      <c r="AB26" t="s">
        <v>93</v>
      </c>
    </row>
    <row r="27" spans="1:28">
      <c r="A27" s="1" t="s">
        <v>546</v>
      </c>
      <c r="B27" s="1" t="s">
        <v>95</v>
      </c>
      <c r="C27" s="1" t="s">
        <v>728</v>
      </c>
      <c r="D27" s="1" t="s">
        <v>490</v>
      </c>
      <c r="E27" s="1" t="s">
        <v>491</v>
      </c>
      <c r="F27" s="1" t="s">
        <v>492</v>
      </c>
      <c r="G27" s="2">
        <v>34403</v>
      </c>
      <c r="H27" s="2">
        <v>43529</v>
      </c>
      <c r="I27" s="1">
        <v>24</v>
      </c>
      <c r="J27" s="6">
        <v>1</v>
      </c>
      <c r="K27" s="1" t="s">
        <v>493</v>
      </c>
      <c r="L27" s="1">
        <v>2021</v>
      </c>
      <c r="M27" s="1">
        <v>5</v>
      </c>
      <c r="N27">
        <v>0</v>
      </c>
      <c r="O27">
        <v>1</v>
      </c>
      <c r="P27" s="9">
        <v>0</v>
      </c>
      <c r="Q27" s="9">
        <v>1</v>
      </c>
      <c r="R27" t="str">
        <f t="shared" si="1"/>
        <v>TRUE</v>
      </c>
      <c r="S27" t="s">
        <v>95</v>
      </c>
      <c r="T27">
        <v>47.11</v>
      </c>
      <c r="U27">
        <v>7.51</v>
      </c>
      <c r="V27">
        <v>14.92</v>
      </c>
      <c r="W27">
        <v>141.72</v>
      </c>
      <c r="X27">
        <v>321.89</v>
      </c>
      <c r="Y27">
        <v>22.31</v>
      </c>
      <c r="Z27">
        <v>101.89</v>
      </c>
      <c r="AA27" t="str">
        <f t="shared" si="2"/>
        <v>TRUE</v>
      </c>
      <c r="AB27" s="1" t="s">
        <v>95</v>
      </c>
    </row>
    <row r="28" spans="1:28">
      <c r="A28" t="s">
        <v>548</v>
      </c>
      <c r="B28" t="s">
        <v>99</v>
      </c>
      <c r="C28" s="1" t="s">
        <v>729</v>
      </c>
      <c r="D28" t="s">
        <v>490</v>
      </c>
      <c r="E28" t="s">
        <v>498</v>
      </c>
      <c r="F28" t="s">
        <v>492</v>
      </c>
      <c r="G28" s="4">
        <v>29943</v>
      </c>
      <c r="H28" s="4">
        <v>43525</v>
      </c>
      <c r="I28">
        <f t="shared" ref="I28:I59" si="3">DATEDIF(G28,H28,"Y")</f>
        <v>37</v>
      </c>
      <c r="J28">
        <v>1</v>
      </c>
      <c r="K28" t="s">
        <v>488</v>
      </c>
      <c r="L28">
        <v>922</v>
      </c>
      <c r="M28">
        <v>8</v>
      </c>
      <c r="N28">
        <v>0</v>
      </c>
      <c r="O28">
        <v>3</v>
      </c>
      <c r="P28" s="9">
        <v>1</v>
      </c>
      <c r="Q28" s="9">
        <v>0</v>
      </c>
      <c r="R28" t="str">
        <f t="shared" si="1"/>
        <v>TRUE</v>
      </c>
      <c r="S28" t="s">
        <v>99</v>
      </c>
      <c r="T28">
        <v>81.599999999999994</v>
      </c>
      <c r="U28">
        <v>34.159999999999997</v>
      </c>
      <c r="V28">
        <v>13.66</v>
      </c>
      <c r="W28">
        <v>285.99</v>
      </c>
      <c r="X28">
        <v>268.24</v>
      </c>
      <c r="Y28">
        <v>26.69</v>
      </c>
      <c r="Z28">
        <v>22.29</v>
      </c>
      <c r="AA28" t="str">
        <f t="shared" si="2"/>
        <v>TRUE</v>
      </c>
      <c r="AB28" t="s">
        <v>99</v>
      </c>
    </row>
    <row r="29" spans="1:28">
      <c r="A29" t="s">
        <v>550</v>
      </c>
      <c r="B29" t="s">
        <v>103</v>
      </c>
      <c r="C29" t="s">
        <v>730</v>
      </c>
      <c r="D29" t="s">
        <v>490</v>
      </c>
      <c r="E29" t="s">
        <v>498</v>
      </c>
      <c r="F29" t="s">
        <v>499</v>
      </c>
      <c r="G29" s="4">
        <v>35129</v>
      </c>
      <c r="H29" s="4">
        <v>43532</v>
      </c>
      <c r="I29">
        <f t="shared" si="3"/>
        <v>23</v>
      </c>
      <c r="J29">
        <v>2</v>
      </c>
      <c r="K29" t="s">
        <v>488</v>
      </c>
      <c r="L29">
        <v>80</v>
      </c>
      <c r="M29">
        <v>2</v>
      </c>
      <c r="N29">
        <v>0</v>
      </c>
      <c r="O29">
        <v>2</v>
      </c>
      <c r="P29" s="9">
        <v>1</v>
      </c>
      <c r="Q29" s="9">
        <v>0</v>
      </c>
      <c r="R29" t="str">
        <f t="shared" si="1"/>
        <v>TRUE</v>
      </c>
      <c r="S29" t="s">
        <v>103</v>
      </c>
      <c r="T29">
        <v>66.14</v>
      </c>
      <c r="U29">
        <v>29.03</v>
      </c>
      <c r="V29">
        <v>26.94</v>
      </c>
      <c r="W29">
        <v>154.85</v>
      </c>
      <c r="X29">
        <v>315.24</v>
      </c>
      <c r="Y29">
        <v>142.86000000000001</v>
      </c>
      <c r="Z29">
        <v>68.400000000000006</v>
      </c>
      <c r="AA29" t="str">
        <f t="shared" si="2"/>
        <v>TRUE</v>
      </c>
      <c r="AB29" t="s">
        <v>103</v>
      </c>
    </row>
    <row r="30" spans="1:28">
      <c r="A30" t="s">
        <v>552</v>
      </c>
      <c r="B30" t="s">
        <v>107</v>
      </c>
      <c r="C30" s="1" t="s">
        <v>731</v>
      </c>
      <c r="D30" t="s">
        <v>490</v>
      </c>
      <c r="E30" t="s">
        <v>491</v>
      </c>
      <c r="F30" t="s">
        <v>499</v>
      </c>
      <c r="G30" s="4">
        <v>31823</v>
      </c>
      <c r="H30" s="4">
        <v>43546</v>
      </c>
      <c r="I30">
        <f t="shared" si="3"/>
        <v>32</v>
      </c>
      <c r="J30">
        <v>1</v>
      </c>
      <c r="K30" t="s">
        <v>493</v>
      </c>
      <c r="L30">
        <v>306</v>
      </c>
      <c r="M30">
        <v>4</v>
      </c>
      <c r="N30">
        <v>0</v>
      </c>
      <c r="O30">
        <v>2</v>
      </c>
      <c r="P30" s="9">
        <v>0</v>
      </c>
      <c r="Q30" s="9">
        <v>0</v>
      </c>
      <c r="R30" t="str">
        <f t="shared" si="1"/>
        <v>TRUE</v>
      </c>
      <c r="S30" t="s">
        <v>107</v>
      </c>
      <c r="T30">
        <v>107.76</v>
      </c>
      <c r="U30">
        <v>61.57</v>
      </c>
      <c r="V30">
        <v>65.92</v>
      </c>
      <c r="W30">
        <v>84.59</v>
      </c>
      <c r="X30">
        <v>137.82</v>
      </c>
      <c r="Y30">
        <v>58.01</v>
      </c>
      <c r="Z30">
        <v>7.02</v>
      </c>
      <c r="AA30" t="str">
        <f t="shared" si="2"/>
        <v>TRUE</v>
      </c>
      <c r="AB30" t="s">
        <v>107</v>
      </c>
    </row>
    <row r="31" spans="1:28">
      <c r="A31" t="s">
        <v>553</v>
      </c>
      <c r="B31" t="s">
        <v>109</v>
      </c>
      <c r="C31" t="s">
        <v>722</v>
      </c>
      <c r="D31" t="s">
        <v>490</v>
      </c>
      <c r="E31" t="s">
        <v>498</v>
      </c>
      <c r="F31" t="s">
        <v>499</v>
      </c>
      <c r="G31" s="4">
        <v>29437</v>
      </c>
      <c r="H31" s="4">
        <v>43558</v>
      </c>
      <c r="I31">
        <f t="shared" si="3"/>
        <v>38</v>
      </c>
      <c r="J31">
        <v>3</v>
      </c>
      <c r="K31" t="s">
        <v>488</v>
      </c>
      <c r="L31">
        <v>56</v>
      </c>
      <c r="M31">
        <v>0</v>
      </c>
      <c r="N31" s="13">
        <v>1</v>
      </c>
      <c r="O31" s="13">
        <v>3</v>
      </c>
      <c r="P31" s="14">
        <v>1</v>
      </c>
      <c r="Q31" s="14">
        <v>0</v>
      </c>
      <c r="R31" t="str">
        <f t="shared" si="1"/>
        <v>TRUE</v>
      </c>
      <c r="S31" t="s">
        <v>109</v>
      </c>
      <c r="T31">
        <v>87.38</v>
      </c>
      <c r="U31">
        <v>77.14</v>
      </c>
      <c r="V31">
        <v>86.14</v>
      </c>
      <c r="W31">
        <v>197.88</v>
      </c>
      <c r="X31">
        <v>126.59</v>
      </c>
      <c r="Y31">
        <v>28.1</v>
      </c>
      <c r="Z31">
        <v>98.82</v>
      </c>
      <c r="AA31" t="str">
        <f t="shared" si="2"/>
        <v>TRUE</v>
      </c>
      <c r="AB31" t="s">
        <v>109</v>
      </c>
    </row>
    <row r="32" spans="1:28">
      <c r="A32" t="s">
        <v>554</v>
      </c>
      <c r="B32" t="s">
        <v>111</v>
      </c>
      <c r="C32" t="s">
        <v>715</v>
      </c>
      <c r="D32" t="s">
        <v>490</v>
      </c>
      <c r="E32" t="s">
        <v>498</v>
      </c>
      <c r="F32" t="s">
        <v>499</v>
      </c>
      <c r="G32" s="4">
        <v>30401</v>
      </c>
      <c r="H32" s="4">
        <v>43560</v>
      </c>
      <c r="I32">
        <f t="shared" si="3"/>
        <v>36</v>
      </c>
      <c r="J32">
        <v>3</v>
      </c>
      <c r="K32" t="s">
        <v>488</v>
      </c>
      <c r="L32">
        <v>28</v>
      </c>
      <c r="M32">
        <v>0</v>
      </c>
      <c r="N32" s="13">
        <v>0</v>
      </c>
      <c r="O32" s="13">
        <v>2</v>
      </c>
      <c r="P32" s="9">
        <v>1</v>
      </c>
      <c r="Q32" s="9">
        <v>0</v>
      </c>
      <c r="R32" t="str">
        <f t="shared" si="1"/>
        <v>TRUE</v>
      </c>
      <c r="S32" t="s">
        <v>111</v>
      </c>
      <c r="T32">
        <v>43.64</v>
      </c>
      <c r="U32">
        <v>27.09</v>
      </c>
      <c r="V32">
        <v>4.42</v>
      </c>
      <c r="W32">
        <v>73.959999999999994</v>
      </c>
      <c r="X32">
        <v>62.24</v>
      </c>
      <c r="Y32">
        <v>9.2799999999999994</v>
      </c>
      <c r="Z32">
        <v>2.94</v>
      </c>
      <c r="AA32" t="str">
        <f t="shared" si="2"/>
        <v>TRUE</v>
      </c>
      <c r="AB32" t="s">
        <v>111</v>
      </c>
    </row>
    <row r="33" spans="1:28">
      <c r="A33" t="s">
        <v>555</v>
      </c>
      <c r="B33" t="s">
        <v>113</v>
      </c>
      <c r="C33" s="1" t="s">
        <v>720</v>
      </c>
      <c r="D33" t="s">
        <v>490</v>
      </c>
      <c r="E33" t="s">
        <v>498</v>
      </c>
      <c r="F33" t="s">
        <v>499</v>
      </c>
      <c r="G33" s="4">
        <v>23573</v>
      </c>
      <c r="H33" s="4">
        <v>43560</v>
      </c>
      <c r="I33">
        <f t="shared" si="3"/>
        <v>54</v>
      </c>
      <c r="J33">
        <v>3</v>
      </c>
      <c r="K33" t="s">
        <v>488</v>
      </c>
      <c r="L33">
        <v>35</v>
      </c>
      <c r="M33">
        <v>0</v>
      </c>
      <c r="N33" s="13">
        <v>0</v>
      </c>
      <c r="O33" s="13">
        <v>2</v>
      </c>
      <c r="P33" s="14">
        <v>1</v>
      </c>
      <c r="Q33" s="14">
        <v>0</v>
      </c>
      <c r="R33" t="str">
        <f t="shared" si="1"/>
        <v>TRUE</v>
      </c>
      <c r="S33" t="s">
        <v>113</v>
      </c>
      <c r="T33">
        <v>21.99</v>
      </c>
      <c r="U33">
        <v>10.32</v>
      </c>
      <c r="V33">
        <v>2.1</v>
      </c>
      <c r="W33">
        <v>207.88</v>
      </c>
      <c r="X33">
        <v>121.03</v>
      </c>
      <c r="Y33">
        <v>14.79</v>
      </c>
      <c r="Z33">
        <v>25.47</v>
      </c>
      <c r="AA33" t="str">
        <f t="shared" si="2"/>
        <v>TRUE</v>
      </c>
      <c r="AB33" t="s">
        <v>113</v>
      </c>
    </row>
    <row r="34" spans="1:28">
      <c r="A34" t="s">
        <v>556</v>
      </c>
      <c r="B34" t="s">
        <v>115</v>
      </c>
      <c r="C34" t="s">
        <v>725</v>
      </c>
      <c r="D34" t="s">
        <v>490</v>
      </c>
      <c r="E34" t="s">
        <v>491</v>
      </c>
      <c r="F34" t="s">
        <v>499</v>
      </c>
      <c r="G34" s="4">
        <v>36196</v>
      </c>
      <c r="H34" s="4">
        <v>43560</v>
      </c>
      <c r="I34">
        <f t="shared" si="3"/>
        <v>20</v>
      </c>
      <c r="J34">
        <v>3</v>
      </c>
      <c r="K34" t="s">
        <v>488</v>
      </c>
      <c r="L34">
        <v>68</v>
      </c>
      <c r="M34">
        <v>1</v>
      </c>
      <c r="N34" s="13">
        <v>1</v>
      </c>
      <c r="O34" s="13">
        <v>2</v>
      </c>
      <c r="P34" s="14">
        <v>1</v>
      </c>
      <c r="Q34" s="14">
        <v>0</v>
      </c>
      <c r="R34" t="str">
        <f t="shared" ref="R34:R65" si="4">IF(S34=B34, "TRUE", "FALSE")</f>
        <v>TRUE</v>
      </c>
      <c r="S34" t="s">
        <v>115</v>
      </c>
      <c r="T34">
        <v>88.42</v>
      </c>
      <c r="U34">
        <v>7.99</v>
      </c>
      <c r="V34">
        <v>183.53</v>
      </c>
      <c r="W34">
        <v>121.39</v>
      </c>
      <c r="X34">
        <v>53.98</v>
      </c>
      <c r="Y34">
        <v>70.349999999999994</v>
      </c>
      <c r="Z34">
        <v>4.95</v>
      </c>
      <c r="AA34" t="str">
        <f t="shared" si="2"/>
        <v>TRUE</v>
      </c>
      <c r="AB34" t="s">
        <v>115</v>
      </c>
    </row>
    <row r="35" spans="1:28">
      <c r="A35" t="s">
        <v>557</v>
      </c>
      <c r="B35" t="s">
        <v>117</v>
      </c>
      <c r="C35" s="1" t="s">
        <v>728</v>
      </c>
      <c r="D35" t="s">
        <v>490</v>
      </c>
      <c r="E35" t="s">
        <v>491</v>
      </c>
      <c r="F35" t="s">
        <v>492</v>
      </c>
      <c r="G35" s="4">
        <v>34403</v>
      </c>
      <c r="H35" s="4">
        <v>43546</v>
      </c>
      <c r="I35">
        <f t="shared" si="3"/>
        <v>25</v>
      </c>
      <c r="J35">
        <v>2</v>
      </c>
      <c r="K35" t="s">
        <v>493</v>
      </c>
      <c r="L35">
        <v>2155</v>
      </c>
      <c r="M35">
        <v>15</v>
      </c>
      <c r="N35" s="13">
        <v>0</v>
      </c>
      <c r="O35" s="13">
        <v>1</v>
      </c>
      <c r="P35" s="14">
        <v>0</v>
      </c>
      <c r="Q35" s="14">
        <v>1</v>
      </c>
      <c r="R35" t="str">
        <f t="shared" si="4"/>
        <v>TRUE</v>
      </c>
      <c r="S35" t="s">
        <v>117</v>
      </c>
      <c r="T35">
        <v>47.99</v>
      </c>
      <c r="U35">
        <v>5.75</v>
      </c>
      <c r="V35">
        <v>40.22</v>
      </c>
      <c r="W35">
        <v>31.61</v>
      </c>
      <c r="X35">
        <v>76.97</v>
      </c>
      <c r="Y35">
        <v>7.65</v>
      </c>
      <c r="Z35">
        <v>30.6</v>
      </c>
      <c r="AA35" t="str">
        <f t="shared" si="2"/>
        <v>TRUE</v>
      </c>
      <c r="AB35" t="s">
        <v>117</v>
      </c>
    </row>
    <row r="36" spans="1:28">
      <c r="A36" t="s">
        <v>558</v>
      </c>
      <c r="B36" t="s">
        <v>119</v>
      </c>
      <c r="C36" s="1" t="s">
        <v>731</v>
      </c>
      <c r="D36" t="s">
        <v>490</v>
      </c>
      <c r="E36" t="s">
        <v>491</v>
      </c>
      <c r="F36" t="s">
        <v>499</v>
      </c>
      <c r="G36" s="4">
        <v>31823</v>
      </c>
      <c r="H36" s="4">
        <v>43579</v>
      </c>
      <c r="I36">
        <f t="shared" si="3"/>
        <v>32</v>
      </c>
      <c r="J36">
        <v>2</v>
      </c>
      <c r="K36" t="s">
        <v>493</v>
      </c>
      <c r="L36">
        <v>15</v>
      </c>
      <c r="M36">
        <v>0</v>
      </c>
      <c r="N36" s="13">
        <v>0</v>
      </c>
      <c r="O36" s="13">
        <v>1</v>
      </c>
      <c r="P36" s="14">
        <v>1</v>
      </c>
      <c r="Q36" s="14">
        <v>0</v>
      </c>
      <c r="R36" t="str">
        <f t="shared" si="4"/>
        <v>TRUE</v>
      </c>
      <c r="S36" t="s">
        <v>119</v>
      </c>
      <c r="T36">
        <v>559.26</v>
      </c>
      <c r="U36">
        <v>24.05</v>
      </c>
      <c r="V36">
        <v>75.08</v>
      </c>
      <c r="W36">
        <v>252.76</v>
      </c>
      <c r="X36">
        <v>184.58</v>
      </c>
      <c r="Y36">
        <v>129.13999999999999</v>
      </c>
      <c r="Z36">
        <v>113.05</v>
      </c>
      <c r="AA36" t="str">
        <f t="shared" si="2"/>
        <v>TRUE</v>
      </c>
      <c r="AB36" t="s">
        <v>119</v>
      </c>
    </row>
    <row r="37" spans="1:28">
      <c r="A37" t="s">
        <v>560</v>
      </c>
      <c r="B37" t="s">
        <v>123</v>
      </c>
      <c r="C37" s="1" t="s">
        <v>729</v>
      </c>
      <c r="D37" t="s">
        <v>490</v>
      </c>
      <c r="E37" t="s">
        <v>498</v>
      </c>
      <c r="F37" t="s">
        <v>492</v>
      </c>
      <c r="G37" s="4">
        <v>29943</v>
      </c>
      <c r="H37" s="4">
        <v>43567</v>
      </c>
      <c r="I37">
        <f t="shared" si="3"/>
        <v>37</v>
      </c>
      <c r="J37">
        <v>2</v>
      </c>
      <c r="K37" t="s">
        <v>488</v>
      </c>
      <c r="L37">
        <v>31</v>
      </c>
      <c r="M37">
        <v>0</v>
      </c>
      <c r="N37">
        <v>0</v>
      </c>
      <c r="O37">
        <v>3</v>
      </c>
      <c r="P37" s="9">
        <v>1</v>
      </c>
      <c r="Q37" s="9">
        <v>0</v>
      </c>
      <c r="R37" t="str">
        <f t="shared" si="4"/>
        <v>TRUE</v>
      </c>
      <c r="S37" t="s">
        <v>123</v>
      </c>
      <c r="T37">
        <v>107.48</v>
      </c>
      <c r="U37">
        <v>30.68</v>
      </c>
      <c r="V37">
        <v>19.190000000000001</v>
      </c>
      <c r="W37">
        <v>214.11</v>
      </c>
      <c r="X37">
        <v>325.41000000000003</v>
      </c>
      <c r="Y37">
        <v>26.23</v>
      </c>
      <c r="Z37">
        <v>10.32</v>
      </c>
      <c r="AA37" t="str">
        <f t="shared" si="2"/>
        <v>TRUE</v>
      </c>
      <c r="AB37" t="s">
        <v>123</v>
      </c>
    </row>
    <row r="38" spans="1:28">
      <c r="A38" t="s">
        <v>561</v>
      </c>
      <c r="B38" t="s">
        <v>125</v>
      </c>
      <c r="C38" t="s">
        <v>727</v>
      </c>
      <c r="D38" t="s">
        <v>490</v>
      </c>
      <c r="E38" t="s">
        <v>491</v>
      </c>
      <c r="F38" t="s">
        <v>499</v>
      </c>
      <c r="G38" s="4">
        <v>25311</v>
      </c>
      <c r="H38" s="4">
        <v>43581</v>
      </c>
      <c r="I38">
        <f t="shared" si="3"/>
        <v>50</v>
      </c>
      <c r="J38">
        <v>2</v>
      </c>
      <c r="K38" t="s">
        <v>488</v>
      </c>
      <c r="L38">
        <v>67</v>
      </c>
      <c r="M38">
        <v>2</v>
      </c>
      <c r="N38" s="13">
        <v>1</v>
      </c>
      <c r="O38" s="13">
        <v>3</v>
      </c>
      <c r="P38" s="14">
        <v>1</v>
      </c>
      <c r="Q38" s="14">
        <v>0</v>
      </c>
      <c r="R38" t="str">
        <f t="shared" si="4"/>
        <v>TRUE</v>
      </c>
      <c r="S38" t="s">
        <v>125</v>
      </c>
      <c r="T38">
        <v>81.739999999999995</v>
      </c>
      <c r="U38">
        <v>7.18</v>
      </c>
      <c r="V38">
        <v>10.029999999999999</v>
      </c>
      <c r="W38">
        <v>133.80000000000001</v>
      </c>
      <c r="X38">
        <v>603.88</v>
      </c>
      <c r="Y38">
        <v>82.37</v>
      </c>
      <c r="Z38">
        <v>5.2</v>
      </c>
      <c r="AA38" t="str">
        <f t="shared" si="2"/>
        <v>TRUE</v>
      </c>
      <c r="AB38" t="s">
        <v>125</v>
      </c>
    </row>
    <row r="39" spans="1:28">
      <c r="A39" t="s">
        <v>562</v>
      </c>
      <c r="B39" t="s">
        <v>127</v>
      </c>
      <c r="C39" t="s">
        <v>724</v>
      </c>
      <c r="D39" t="s">
        <v>490</v>
      </c>
      <c r="E39" t="s">
        <v>491</v>
      </c>
      <c r="F39" t="s">
        <v>499</v>
      </c>
      <c r="G39" s="4">
        <v>17139</v>
      </c>
      <c r="H39" s="4">
        <v>43609</v>
      </c>
      <c r="I39">
        <f t="shared" si="3"/>
        <v>72</v>
      </c>
      <c r="J39">
        <v>3</v>
      </c>
      <c r="K39" t="s">
        <v>488</v>
      </c>
      <c r="L39">
        <v>15</v>
      </c>
      <c r="M39">
        <v>2</v>
      </c>
      <c r="N39">
        <v>0</v>
      </c>
      <c r="O39">
        <v>1</v>
      </c>
      <c r="P39" s="14">
        <v>1</v>
      </c>
      <c r="Q39" s="14">
        <v>0</v>
      </c>
      <c r="R39" t="str">
        <f t="shared" si="4"/>
        <v>TRUE</v>
      </c>
      <c r="S39" t="s">
        <v>127</v>
      </c>
      <c r="T39">
        <v>29.32</v>
      </c>
      <c r="U39">
        <v>5.77</v>
      </c>
      <c r="V39">
        <v>5.26</v>
      </c>
      <c r="W39">
        <v>46.61</v>
      </c>
      <c r="X39">
        <v>29.47</v>
      </c>
      <c r="Y39">
        <v>13.04</v>
      </c>
      <c r="Z39">
        <v>10.130000000000001</v>
      </c>
      <c r="AA39" t="str">
        <f t="shared" si="2"/>
        <v>TRUE</v>
      </c>
      <c r="AB39" t="s">
        <v>127</v>
      </c>
    </row>
    <row r="40" spans="1:28">
      <c r="A40" t="s">
        <v>563</v>
      </c>
      <c r="B40" t="s">
        <v>129</v>
      </c>
      <c r="C40" s="1" t="s">
        <v>728</v>
      </c>
      <c r="D40" t="s">
        <v>490</v>
      </c>
      <c r="E40" t="s">
        <v>491</v>
      </c>
      <c r="F40" t="s">
        <v>492</v>
      </c>
      <c r="G40" s="4">
        <v>34403</v>
      </c>
      <c r="H40" s="4">
        <v>43627</v>
      </c>
      <c r="I40">
        <f t="shared" si="3"/>
        <v>25</v>
      </c>
      <c r="J40">
        <v>3</v>
      </c>
      <c r="K40" t="s">
        <v>493</v>
      </c>
      <c r="L40">
        <v>667</v>
      </c>
      <c r="M40">
        <v>6</v>
      </c>
      <c r="N40" s="13">
        <v>0</v>
      </c>
      <c r="O40" s="13">
        <v>1</v>
      </c>
      <c r="P40" s="14">
        <v>0</v>
      </c>
      <c r="Q40" s="14">
        <v>1</v>
      </c>
      <c r="R40" t="str">
        <f t="shared" si="4"/>
        <v>TRUE</v>
      </c>
      <c r="S40" t="s">
        <v>129</v>
      </c>
      <c r="T40">
        <v>13.91</v>
      </c>
      <c r="U40">
        <v>2.4900000000000002</v>
      </c>
      <c r="V40">
        <v>13.13</v>
      </c>
      <c r="W40">
        <v>562.61</v>
      </c>
      <c r="X40">
        <v>2500.0100000000002</v>
      </c>
      <c r="Y40">
        <v>250.71</v>
      </c>
      <c r="Z40">
        <v>15.58</v>
      </c>
      <c r="AA40" t="str">
        <f t="shared" si="2"/>
        <v>TRUE</v>
      </c>
      <c r="AB40" t="s">
        <v>129</v>
      </c>
    </row>
    <row r="41" spans="1:28">
      <c r="A41" t="s">
        <v>566</v>
      </c>
      <c r="B41" t="s">
        <v>135</v>
      </c>
      <c r="C41" t="s">
        <v>727</v>
      </c>
      <c r="D41" t="s">
        <v>490</v>
      </c>
      <c r="E41" t="s">
        <v>491</v>
      </c>
      <c r="F41" t="s">
        <v>499</v>
      </c>
      <c r="G41" s="4">
        <v>25311</v>
      </c>
      <c r="H41" s="4">
        <v>43672</v>
      </c>
      <c r="I41">
        <f t="shared" si="3"/>
        <v>50</v>
      </c>
      <c r="J41">
        <v>3</v>
      </c>
      <c r="K41" t="s">
        <v>488</v>
      </c>
      <c r="L41">
        <v>786</v>
      </c>
      <c r="M41">
        <v>3</v>
      </c>
      <c r="N41" s="13">
        <v>1</v>
      </c>
      <c r="O41" s="13">
        <v>3</v>
      </c>
      <c r="P41" s="14">
        <v>1</v>
      </c>
      <c r="Q41" s="14">
        <v>0</v>
      </c>
      <c r="R41" t="str">
        <f t="shared" si="4"/>
        <v>TRUE</v>
      </c>
      <c r="S41" t="s">
        <v>135</v>
      </c>
      <c r="T41">
        <v>66.78</v>
      </c>
      <c r="U41">
        <v>19.059999999999999</v>
      </c>
      <c r="V41">
        <v>8.15</v>
      </c>
      <c r="W41">
        <v>257.77</v>
      </c>
      <c r="X41">
        <v>397.52</v>
      </c>
      <c r="Y41">
        <v>84.4</v>
      </c>
      <c r="Z41">
        <v>131.49</v>
      </c>
      <c r="AA41" t="str">
        <f t="shared" si="2"/>
        <v>TRUE</v>
      </c>
      <c r="AB41" t="s">
        <v>135</v>
      </c>
    </row>
    <row r="42" spans="1:28">
      <c r="A42" t="s">
        <v>569</v>
      </c>
      <c r="B42" t="s">
        <v>141</v>
      </c>
      <c r="C42" t="s">
        <v>717</v>
      </c>
      <c r="D42" t="s">
        <v>490</v>
      </c>
      <c r="E42" t="s">
        <v>491</v>
      </c>
      <c r="F42" t="s">
        <v>499</v>
      </c>
      <c r="G42" s="4">
        <v>29445</v>
      </c>
      <c r="H42" s="4">
        <v>43679</v>
      </c>
      <c r="I42">
        <f t="shared" si="3"/>
        <v>38</v>
      </c>
      <c r="J42">
        <v>3</v>
      </c>
      <c r="K42" t="s">
        <v>488</v>
      </c>
      <c r="L42">
        <v>155</v>
      </c>
      <c r="M42">
        <v>1</v>
      </c>
      <c r="N42" s="13">
        <v>1</v>
      </c>
      <c r="O42" s="13">
        <v>2</v>
      </c>
      <c r="P42" s="14">
        <v>0</v>
      </c>
      <c r="Q42" s="14">
        <v>0</v>
      </c>
      <c r="R42" t="str">
        <f t="shared" si="4"/>
        <v>TRUE</v>
      </c>
      <c r="S42" t="s">
        <v>141</v>
      </c>
      <c r="T42">
        <v>100.18</v>
      </c>
      <c r="U42">
        <v>37.93</v>
      </c>
      <c r="V42">
        <v>26.92</v>
      </c>
      <c r="W42">
        <v>534.03</v>
      </c>
      <c r="X42">
        <v>449.87</v>
      </c>
      <c r="Y42">
        <v>33.67</v>
      </c>
      <c r="Z42">
        <v>49.13</v>
      </c>
      <c r="AA42" t="str">
        <f t="shared" si="2"/>
        <v>TRUE</v>
      </c>
      <c r="AB42" t="s">
        <v>141</v>
      </c>
    </row>
    <row r="43" spans="1:28">
      <c r="A43" t="s">
        <v>572</v>
      </c>
      <c r="B43" t="s">
        <v>145</v>
      </c>
      <c r="C43" t="s">
        <v>723</v>
      </c>
      <c r="D43" t="s">
        <v>490</v>
      </c>
      <c r="E43" t="s">
        <v>512</v>
      </c>
      <c r="F43" t="s">
        <v>499</v>
      </c>
      <c r="G43" s="4">
        <v>25575</v>
      </c>
      <c r="H43" s="4">
        <v>43700</v>
      </c>
      <c r="I43">
        <f t="shared" si="3"/>
        <v>49</v>
      </c>
      <c r="J43">
        <v>3</v>
      </c>
      <c r="K43" t="s">
        <v>488</v>
      </c>
      <c r="L43">
        <v>15</v>
      </c>
      <c r="M43">
        <v>2</v>
      </c>
      <c r="N43" s="13">
        <v>0</v>
      </c>
      <c r="O43" s="13">
        <v>3</v>
      </c>
      <c r="P43" s="14">
        <v>1</v>
      </c>
      <c r="Q43" s="14">
        <v>0</v>
      </c>
      <c r="R43" t="str">
        <f t="shared" si="4"/>
        <v>TRUE</v>
      </c>
      <c r="S43" t="s">
        <v>145</v>
      </c>
      <c r="T43">
        <v>65.75</v>
      </c>
      <c r="U43">
        <v>20.9</v>
      </c>
      <c r="V43">
        <v>19.38</v>
      </c>
      <c r="W43">
        <v>1496.62</v>
      </c>
      <c r="X43">
        <v>994.96</v>
      </c>
      <c r="Y43">
        <v>336.53</v>
      </c>
      <c r="Z43">
        <v>48.4</v>
      </c>
      <c r="AA43" t="str">
        <f t="shared" si="2"/>
        <v>TRUE</v>
      </c>
      <c r="AB43" t="s">
        <v>145</v>
      </c>
    </row>
    <row r="44" spans="1:28">
      <c r="A44" t="s">
        <v>573</v>
      </c>
      <c r="B44" t="s">
        <v>147</v>
      </c>
      <c r="C44" s="1" t="s">
        <v>731</v>
      </c>
      <c r="D44" t="s">
        <v>490</v>
      </c>
      <c r="E44" t="s">
        <v>491</v>
      </c>
      <c r="F44" t="s">
        <v>499</v>
      </c>
      <c r="G44" s="4">
        <v>31823</v>
      </c>
      <c r="H44" s="4">
        <v>43726</v>
      </c>
      <c r="I44">
        <f t="shared" si="3"/>
        <v>32</v>
      </c>
      <c r="J44">
        <v>3</v>
      </c>
      <c r="K44" t="s">
        <v>493</v>
      </c>
      <c r="L44">
        <v>15</v>
      </c>
      <c r="M44">
        <v>0</v>
      </c>
      <c r="N44" s="13">
        <v>0</v>
      </c>
      <c r="O44" s="13">
        <v>2</v>
      </c>
      <c r="P44" s="14">
        <v>1</v>
      </c>
      <c r="Q44" s="14">
        <v>0</v>
      </c>
      <c r="R44" t="str">
        <f t="shared" si="4"/>
        <v>TRUE</v>
      </c>
      <c r="S44" t="s">
        <v>147</v>
      </c>
      <c r="T44">
        <v>121.54</v>
      </c>
      <c r="U44">
        <v>10.220000000000001</v>
      </c>
      <c r="V44">
        <v>10.31</v>
      </c>
      <c r="W44">
        <v>22.26</v>
      </c>
      <c r="X44">
        <v>46.18</v>
      </c>
      <c r="Y44">
        <v>21.35</v>
      </c>
      <c r="Z44">
        <v>2.67</v>
      </c>
      <c r="AA44" t="str">
        <f t="shared" si="2"/>
        <v>TRUE</v>
      </c>
      <c r="AB44" t="s">
        <v>147</v>
      </c>
    </row>
    <row r="45" spans="1:28">
      <c r="A45" t="s">
        <v>575</v>
      </c>
      <c r="B45" t="s">
        <v>151</v>
      </c>
      <c r="C45" t="s">
        <v>719</v>
      </c>
      <c r="D45" t="s">
        <v>490</v>
      </c>
      <c r="E45" t="s">
        <v>491</v>
      </c>
      <c r="F45" t="s">
        <v>499</v>
      </c>
      <c r="G45" s="4">
        <v>35211</v>
      </c>
      <c r="H45" s="4">
        <v>43728</v>
      </c>
      <c r="I45">
        <f t="shared" si="3"/>
        <v>23</v>
      </c>
      <c r="J45">
        <v>2</v>
      </c>
      <c r="K45" t="s">
        <v>488</v>
      </c>
      <c r="L45">
        <v>64</v>
      </c>
      <c r="M45">
        <v>2</v>
      </c>
      <c r="N45" s="13">
        <v>0</v>
      </c>
      <c r="O45" s="13">
        <v>2</v>
      </c>
      <c r="P45" s="14">
        <v>1</v>
      </c>
      <c r="Q45" s="14">
        <v>0</v>
      </c>
      <c r="R45" t="str">
        <f t="shared" si="4"/>
        <v>TRUE</v>
      </c>
      <c r="S45" t="s">
        <v>151</v>
      </c>
      <c r="T45">
        <v>28.14</v>
      </c>
      <c r="U45">
        <v>36.700000000000003</v>
      </c>
      <c r="V45">
        <v>21.99</v>
      </c>
      <c r="W45">
        <v>404.35</v>
      </c>
      <c r="X45">
        <v>662.65</v>
      </c>
      <c r="Y45">
        <v>162.86000000000001</v>
      </c>
      <c r="Z45">
        <v>104.21</v>
      </c>
      <c r="AA45" t="str">
        <f t="shared" si="2"/>
        <v>TRUE</v>
      </c>
      <c r="AB45" t="s">
        <v>151</v>
      </c>
    </row>
    <row r="46" spans="1:28">
      <c r="A46" t="s">
        <v>577</v>
      </c>
      <c r="B46" t="s">
        <v>155</v>
      </c>
      <c r="C46" t="s">
        <v>725</v>
      </c>
      <c r="D46" t="s">
        <v>490</v>
      </c>
      <c r="E46" t="s">
        <v>491</v>
      </c>
      <c r="F46" t="s">
        <v>499</v>
      </c>
      <c r="G46" s="4">
        <v>36196</v>
      </c>
      <c r="H46" s="4">
        <v>43748</v>
      </c>
      <c r="I46">
        <f t="shared" si="3"/>
        <v>20</v>
      </c>
      <c r="J46">
        <v>3</v>
      </c>
      <c r="K46" t="s">
        <v>488</v>
      </c>
      <c r="L46">
        <v>60</v>
      </c>
      <c r="M46">
        <v>1</v>
      </c>
      <c r="N46" s="13">
        <v>1</v>
      </c>
      <c r="O46" s="13">
        <v>2</v>
      </c>
      <c r="P46" s="14">
        <v>1</v>
      </c>
      <c r="Q46" s="14">
        <v>0</v>
      </c>
      <c r="R46" t="str">
        <f t="shared" si="4"/>
        <v>TRUE</v>
      </c>
      <c r="S46" t="s">
        <v>155</v>
      </c>
      <c r="T46">
        <v>41.52</v>
      </c>
      <c r="U46">
        <v>9.31</v>
      </c>
      <c r="V46">
        <v>68.349999999999994</v>
      </c>
      <c r="W46">
        <v>139.34</v>
      </c>
      <c r="X46">
        <v>63.66</v>
      </c>
      <c r="Y46">
        <v>12.8</v>
      </c>
      <c r="Z46">
        <v>34.93</v>
      </c>
      <c r="AA46" t="str">
        <f t="shared" si="2"/>
        <v>TRUE</v>
      </c>
      <c r="AB46" t="s">
        <v>155</v>
      </c>
    </row>
    <row r="47" spans="1:28">
      <c r="A47" t="s">
        <v>578</v>
      </c>
      <c r="B47" t="s">
        <v>157</v>
      </c>
      <c r="C47" t="s">
        <v>720</v>
      </c>
      <c r="D47" t="s">
        <v>490</v>
      </c>
      <c r="E47" t="s">
        <v>498</v>
      </c>
      <c r="F47" t="s">
        <v>499</v>
      </c>
      <c r="G47" s="4">
        <v>23573</v>
      </c>
      <c r="H47" s="4">
        <v>43742</v>
      </c>
      <c r="I47">
        <f t="shared" si="3"/>
        <v>55</v>
      </c>
      <c r="J47">
        <v>4</v>
      </c>
      <c r="K47" t="s">
        <v>488</v>
      </c>
      <c r="L47">
        <v>4476</v>
      </c>
      <c r="M47">
        <v>1</v>
      </c>
      <c r="N47" s="13">
        <v>0</v>
      </c>
      <c r="O47" s="13">
        <v>2</v>
      </c>
      <c r="P47" s="14">
        <v>1</v>
      </c>
      <c r="Q47" s="14">
        <v>0</v>
      </c>
      <c r="R47" t="str">
        <f t="shared" si="4"/>
        <v>TRUE</v>
      </c>
      <c r="S47" t="s">
        <v>157</v>
      </c>
      <c r="T47">
        <v>24.68</v>
      </c>
      <c r="U47">
        <v>4.59</v>
      </c>
      <c r="V47">
        <v>1.42</v>
      </c>
      <c r="W47">
        <v>112.05</v>
      </c>
      <c r="X47">
        <v>89.84</v>
      </c>
      <c r="Y47">
        <v>14.16</v>
      </c>
      <c r="Z47">
        <v>7.7</v>
      </c>
      <c r="AA47" t="str">
        <f t="shared" si="2"/>
        <v>TRUE</v>
      </c>
      <c r="AB47" t="s">
        <v>157</v>
      </c>
    </row>
    <row r="48" spans="1:28">
      <c r="A48" t="s">
        <v>579</v>
      </c>
      <c r="B48" t="s">
        <v>159</v>
      </c>
      <c r="C48" t="s">
        <v>716</v>
      </c>
      <c r="D48" t="s">
        <v>490</v>
      </c>
      <c r="E48" t="s">
        <v>498</v>
      </c>
      <c r="F48" t="s">
        <v>499</v>
      </c>
      <c r="G48" s="4">
        <v>32618</v>
      </c>
      <c r="H48" s="4">
        <v>43843</v>
      </c>
      <c r="I48">
        <f t="shared" si="3"/>
        <v>30</v>
      </c>
      <c r="J48">
        <v>3</v>
      </c>
      <c r="K48" t="s">
        <v>488</v>
      </c>
      <c r="L48">
        <v>180</v>
      </c>
      <c r="M48">
        <v>3</v>
      </c>
      <c r="N48">
        <v>0</v>
      </c>
      <c r="O48">
        <v>2</v>
      </c>
      <c r="P48" s="9">
        <v>1</v>
      </c>
      <c r="Q48" s="9">
        <v>0</v>
      </c>
      <c r="R48" t="str">
        <f t="shared" si="4"/>
        <v>TRUE</v>
      </c>
      <c r="S48" t="s">
        <v>159</v>
      </c>
      <c r="T48">
        <v>293.17</v>
      </c>
      <c r="U48">
        <v>21.79</v>
      </c>
      <c r="V48">
        <v>67.16</v>
      </c>
      <c r="W48">
        <v>475.69</v>
      </c>
      <c r="X48">
        <v>385.5</v>
      </c>
      <c r="Y48">
        <v>42.77</v>
      </c>
      <c r="Z48">
        <v>25.93</v>
      </c>
      <c r="AA48" t="str">
        <f t="shared" si="2"/>
        <v>TRUE</v>
      </c>
      <c r="AB48" t="s">
        <v>159</v>
      </c>
    </row>
    <row r="49" spans="1:28">
      <c r="A49" t="s">
        <v>580</v>
      </c>
      <c r="B49" t="s">
        <v>161</v>
      </c>
      <c r="C49" s="1" t="s">
        <v>729</v>
      </c>
      <c r="D49" t="s">
        <v>490</v>
      </c>
      <c r="E49" t="s">
        <v>498</v>
      </c>
      <c r="F49" t="s">
        <v>492</v>
      </c>
      <c r="G49" s="4">
        <v>29943</v>
      </c>
      <c r="H49" s="4">
        <v>43733</v>
      </c>
      <c r="I49">
        <f t="shared" si="3"/>
        <v>37</v>
      </c>
      <c r="J49">
        <v>3</v>
      </c>
      <c r="K49" t="s">
        <v>488</v>
      </c>
      <c r="L49">
        <v>11409</v>
      </c>
      <c r="M49">
        <v>10</v>
      </c>
      <c r="N49" s="13">
        <v>0</v>
      </c>
      <c r="O49" s="13">
        <v>3</v>
      </c>
      <c r="P49" s="14">
        <v>1</v>
      </c>
      <c r="Q49" s="14">
        <v>0</v>
      </c>
      <c r="R49" t="str">
        <f t="shared" si="4"/>
        <v>TRUE</v>
      </c>
      <c r="S49" t="s">
        <v>161</v>
      </c>
      <c r="T49">
        <v>214.3</v>
      </c>
      <c r="U49">
        <v>28.99</v>
      </c>
      <c r="V49">
        <v>51.67</v>
      </c>
      <c r="W49">
        <v>128.13</v>
      </c>
      <c r="X49">
        <v>51.05</v>
      </c>
      <c r="Y49">
        <v>28.3</v>
      </c>
      <c r="Z49">
        <v>48.18</v>
      </c>
      <c r="AA49" t="str">
        <f t="shared" si="2"/>
        <v>TRUE</v>
      </c>
      <c r="AB49" t="s">
        <v>161</v>
      </c>
    </row>
    <row r="50" spans="1:28">
      <c r="A50" t="s">
        <v>586</v>
      </c>
      <c r="B50" t="s">
        <v>171</v>
      </c>
      <c r="C50" t="s">
        <v>722</v>
      </c>
      <c r="D50" t="s">
        <v>490</v>
      </c>
      <c r="E50" t="s">
        <v>498</v>
      </c>
      <c r="F50" t="s">
        <v>499</v>
      </c>
      <c r="G50" s="4">
        <v>29437</v>
      </c>
      <c r="H50" s="4">
        <v>43796</v>
      </c>
      <c r="I50">
        <f t="shared" si="3"/>
        <v>39</v>
      </c>
      <c r="J50">
        <v>4</v>
      </c>
      <c r="K50" t="s">
        <v>488</v>
      </c>
      <c r="L50">
        <v>98</v>
      </c>
      <c r="M50">
        <v>0</v>
      </c>
      <c r="N50" s="13">
        <v>1</v>
      </c>
      <c r="O50" s="13">
        <v>3</v>
      </c>
      <c r="P50" s="14">
        <v>1</v>
      </c>
      <c r="Q50" s="14">
        <v>0</v>
      </c>
      <c r="R50" t="str">
        <f t="shared" si="4"/>
        <v>TRUE</v>
      </c>
      <c r="S50" t="s">
        <v>171</v>
      </c>
      <c r="T50">
        <v>15.54</v>
      </c>
      <c r="U50">
        <v>45.09</v>
      </c>
      <c r="V50">
        <v>19.73</v>
      </c>
      <c r="W50">
        <v>70.48</v>
      </c>
      <c r="X50">
        <v>63.46</v>
      </c>
      <c r="Y50">
        <v>8.49</v>
      </c>
      <c r="Z50">
        <v>20.43</v>
      </c>
      <c r="AA50" t="str">
        <f t="shared" si="2"/>
        <v>TRUE</v>
      </c>
      <c r="AB50" t="s">
        <v>171</v>
      </c>
    </row>
    <row r="51" spans="1:28">
      <c r="A51" t="s">
        <v>587</v>
      </c>
      <c r="B51" t="s">
        <v>173</v>
      </c>
      <c r="C51" s="1" t="s">
        <v>732</v>
      </c>
      <c r="D51" t="s">
        <v>490</v>
      </c>
      <c r="E51" t="s">
        <v>512</v>
      </c>
      <c r="F51" t="s">
        <v>499</v>
      </c>
      <c r="G51" s="4">
        <v>34720</v>
      </c>
      <c r="H51" s="4">
        <v>43812</v>
      </c>
      <c r="I51">
        <f t="shared" si="3"/>
        <v>24</v>
      </c>
      <c r="J51">
        <v>1</v>
      </c>
      <c r="K51" t="s">
        <v>488</v>
      </c>
      <c r="L51">
        <v>375</v>
      </c>
      <c r="M51">
        <v>9</v>
      </c>
      <c r="N51">
        <v>0</v>
      </c>
      <c r="O51">
        <v>1</v>
      </c>
      <c r="P51" s="14">
        <v>0</v>
      </c>
      <c r="Q51" s="14">
        <v>1</v>
      </c>
      <c r="R51" t="str">
        <f t="shared" si="4"/>
        <v>TRUE</v>
      </c>
      <c r="S51" t="s">
        <v>173</v>
      </c>
      <c r="T51">
        <v>59.92</v>
      </c>
      <c r="U51">
        <v>13.09</v>
      </c>
      <c r="V51">
        <v>10.48</v>
      </c>
      <c r="W51">
        <v>28.43</v>
      </c>
      <c r="X51">
        <v>67.12</v>
      </c>
      <c r="Y51">
        <v>15.14</v>
      </c>
      <c r="Z51">
        <v>54.26</v>
      </c>
      <c r="AA51" t="str">
        <f t="shared" si="2"/>
        <v>TRUE</v>
      </c>
      <c r="AB51" t="s">
        <v>173</v>
      </c>
    </row>
    <row r="52" spans="1:28">
      <c r="A52" t="s">
        <v>588</v>
      </c>
      <c r="B52" t="s">
        <v>175</v>
      </c>
      <c r="C52" s="1" t="s">
        <v>733</v>
      </c>
      <c r="D52" t="s">
        <v>490</v>
      </c>
      <c r="E52" t="s">
        <v>498</v>
      </c>
      <c r="F52" t="s">
        <v>499</v>
      </c>
      <c r="G52" s="4">
        <v>33760</v>
      </c>
      <c r="H52" s="4">
        <v>43815</v>
      </c>
      <c r="I52">
        <f t="shared" si="3"/>
        <v>27</v>
      </c>
      <c r="J52">
        <v>1</v>
      </c>
      <c r="K52" t="s">
        <v>488</v>
      </c>
      <c r="L52">
        <v>704</v>
      </c>
      <c r="M52">
        <v>10</v>
      </c>
      <c r="N52">
        <v>1</v>
      </c>
      <c r="O52">
        <v>2</v>
      </c>
      <c r="P52" s="9">
        <v>1</v>
      </c>
      <c r="Q52" s="9">
        <v>0</v>
      </c>
      <c r="R52" t="str">
        <f t="shared" si="4"/>
        <v>TRUE</v>
      </c>
      <c r="S52" t="s">
        <v>175</v>
      </c>
      <c r="T52">
        <v>41.01</v>
      </c>
      <c r="U52">
        <v>40.79</v>
      </c>
      <c r="V52">
        <v>11.02</v>
      </c>
      <c r="W52">
        <v>71.599999999999994</v>
      </c>
      <c r="X52">
        <v>97.95</v>
      </c>
      <c r="Y52">
        <v>15.17</v>
      </c>
      <c r="Z52">
        <v>11.85</v>
      </c>
      <c r="AA52" t="str">
        <f t="shared" si="2"/>
        <v>TRUE</v>
      </c>
      <c r="AB52" t="s">
        <v>175</v>
      </c>
    </row>
    <row r="53" spans="1:28">
      <c r="A53" t="s">
        <v>593</v>
      </c>
      <c r="B53" t="s">
        <v>183</v>
      </c>
      <c r="C53" s="1" t="s">
        <v>733</v>
      </c>
      <c r="D53" t="s">
        <v>490</v>
      </c>
      <c r="E53" t="s">
        <v>498</v>
      </c>
      <c r="F53" t="s">
        <v>499</v>
      </c>
      <c r="G53" s="4">
        <v>33760</v>
      </c>
      <c r="H53" s="4">
        <v>43830</v>
      </c>
      <c r="I53">
        <f t="shared" si="3"/>
        <v>27</v>
      </c>
      <c r="J53">
        <v>2</v>
      </c>
      <c r="K53" t="s">
        <v>488</v>
      </c>
      <c r="L53">
        <v>129</v>
      </c>
      <c r="M53">
        <v>0</v>
      </c>
      <c r="N53" s="13">
        <v>1</v>
      </c>
      <c r="O53" s="13">
        <v>2</v>
      </c>
      <c r="P53" s="14">
        <v>1</v>
      </c>
      <c r="Q53" s="14">
        <v>0</v>
      </c>
      <c r="R53" t="str">
        <f t="shared" si="4"/>
        <v>TRUE</v>
      </c>
      <c r="S53" t="s">
        <v>183</v>
      </c>
      <c r="T53">
        <v>71.650000000000006</v>
      </c>
      <c r="U53">
        <v>13.32</v>
      </c>
      <c r="V53">
        <v>13.51</v>
      </c>
      <c r="W53">
        <v>507.38</v>
      </c>
      <c r="X53">
        <v>1060.05</v>
      </c>
      <c r="Y53">
        <v>182.85</v>
      </c>
      <c r="Z53">
        <v>36.159999999999997</v>
      </c>
      <c r="AA53" t="str">
        <f t="shared" si="2"/>
        <v>TRUE</v>
      </c>
      <c r="AB53" t="s">
        <v>183</v>
      </c>
    </row>
    <row r="54" spans="1:28">
      <c r="A54" t="s">
        <v>594</v>
      </c>
      <c r="B54" t="s">
        <v>185</v>
      </c>
      <c r="C54" s="1" t="s">
        <v>734</v>
      </c>
      <c r="D54" t="s">
        <v>490</v>
      </c>
      <c r="E54" t="s">
        <v>491</v>
      </c>
      <c r="F54" t="s">
        <v>492</v>
      </c>
      <c r="G54" s="4">
        <v>23236</v>
      </c>
      <c r="H54" s="4">
        <v>43866</v>
      </c>
      <c r="I54">
        <f t="shared" si="3"/>
        <v>56</v>
      </c>
      <c r="J54">
        <v>1</v>
      </c>
      <c r="K54" t="s">
        <v>488</v>
      </c>
      <c r="L54">
        <v>1854</v>
      </c>
      <c r="M54">
        <v>14</v>
      </c>
      <c r="N54">
        <v>0</v>
      </c>
      <c r="O54">
        <v>3</v>
      </c>
      <c r="P54" s="9">
        <v>0</v>
      </c>
      <c r="Q54" s="9">
        <v>0</v>
      </c>
      <c r="R54" t="str">
        <f t="shared" si="4"/>
        <v>TRUE</v>
      </c>
      <c r="S54" t="s">
        <v>185</v>
      </c>
      <c r="T54">
        <v>257.63</v>
      </c>
      <c r="U54">
        <v>23.44</v>
      </c>
      <c r="V54">
        <v>29.2</v>
      </c>
      <c r="W54">
        <v>476.37</v>
      </c>
      <c r="X54">
        <v>1975.29</v>
      </c>
      <c r="Y54">
        <v>115.82</v>
      </c>
      <c r="Z54">
        <v>101.01</v>
      </c>
      <c r="AA54" t="str">
        <f t="shared" si="2"/>
        <v>TRUE</v>
      </c>
      <c r="AB54" t="s">
        <v>185</v>
      </c>
    </row>
    <row r="55" spans="1:28">
      <c r="A55" t="s">
        <v>596</v>
      </c>
      <c r="B55" t="s">
        <v>189</v>
      </c>
      <c r="C55" s="1" t="s">
        <v>735</v>
      </c>
      <c r="D55" t="s">
        <v>490</v>
      </c>
      <c r="E55" t="s">
        <v>491</v>
      </c>
      <c r="F55" t="s">
        <v>492</v>
      </c>
      <c r="G55" s="4">
        <v>30355</v>
      </c>
      <c r="H55" s="4">
        <v>43854</v>
      </c>
      <c r="I55">
        <f t="shared" si="3"/>
        <v>36</v>
      </c>
      <c r="J55">
        <v>1</v>
      </c>
      <c r="K55" t="s">
        <v>493</v>
      </c>
      <c r="L55">
        <v>2375</v>
      </c>
      <c r="M55">
        <v>14</v>
      </c>
      <c r="N55">
        <v>1</v>
      </c>
      <c r="O55">
        <v>3</v>
      </c>
      <c r="P55" s="9">
        <v>1</v>
      </c>
      <c r="Q55" s="9">
        <v>0</v>
      </c>
      <c r="R55" t="str">
        <f t="shared" si="4"/>
        <v>TRUE</v>
      </c>
      <c r="S55" t="s">
        <v>189</v>
      </c>
      <c r="T55">
        <v>26.25</v>
      </c>
      <c r="U55">
        <v>61.86</v>
      </c>
      <c r="V55">
        <v>4.28</v>
      </c>
      <c r="W55">
        <v>137.88999999999999</v>
      </c>
      <c r="X55">
        <v>406.69</v>
      </c>
      <c r="Y55">
        <v>150.41</v>
      </c>
      <c r="Z55">
        <v>28.82</v>
      </c>
      <c r="AA55" t="str">
        <f t="shared" si="2"/>
        <v>TRUE</v>
      </c>
      <c r="AB55" t="s">
        <v>189</v>
      </c>
    </row>
    <row r="56" spans="1:28">
      <c r="A56" t="s">
        <v>598</v>
      </c>
      <c r="B56" t="s">
        <v>193</v>
      </c>
      <c r="C56" s="1" t="s">
        <v>736</v>
      </c>
      <c r="D56" t="s">
        <v>490</v>
      </c>
      <c r="E56" t="s">
        <v>498</v>
      </c>
      <c r="F56" t="s">
        <v>499</v>
      </c>
      <c r="G56" s="4">
        <v>25518</v>
      </c>
      <c r="H56" s="4">
        <v>43864</v>
      </c>
      <c r="I56">
        <f t="shared" si="3"/>
        <v>50</v>
      </c>
      <c r="J56">
        <v>1</v>
      </c>
      <c r="K56" t="s">
        <v>493</v>
      </c>
      <c r="L56">
        <v>1982</v>
      </c>
      <c r="M56">
        <v>10</v>
      </c>
      <c r="N56">
        <v>0</v>
      </c>
      <c r="O56">
        <v>3</v>
      </c>
      <c r="P56" s="9">
        <v>1</v>
      </c>
      <c r="Q56" s="9">
        <v>0</v>
      </c>
      <c r="R56" t="str">
        <f t="shared" si="4"/>
        <v>TRUE</v>
      </c>
      <c r="S56" t="s">
        <v>193</v>
      </c>
      <c r="T56">
        <v>33.729999999999997</v>
      </c>
      <c r="U56">
        <v>30.45</v>
      </c>
      <c r="V56">
        <v>6.86</v>
      </c>
      <c r="W56">
        <v>73.09</v>
      </c>
      <c r="X56">
        <v>78.36</v>
      </c>
      <c r="Y56">
        <v>21.04</v>
      </c>
      <c r="Z56">
        <v>4.9800000000000004</v>
      </c>
      <c r="AA56" t="str">
        <f t="shared" si="2"/>
        <v>TRUE</v>
      </c>
      <c r="AB56" t="s">
        <v>193</v>
      </c>
    </row>
    <row r="57" spans="1:28">
      <c r="A57" t="s">
        <v>599</v>
      </c>
      <c r="B57" t="s">
        <v>195</v>
      </c>
      <c r="C57" s="1" t="s">
        <v>736</v>
      </c>
      <c r="D57" t="s">
        <v>490</v>
      </c>
      <c r="E57" t="s">
        <v>498</v>
      </c>
      <c r="F57" t="s">
        <v>499</v>
      </c>
      <c r="G57" s="4">
        <v>25518</v>
      </c>
      <c r="H57" s="4">
        <v>43916</v>
      </c>
      <c r="I57">
        <f t="shared" si="3"/>
        <v>50</v>
      </c>
      <c r="J57">
        <v>2</v>
      </c>
      <c r="K57" t="s">
        <v>493</v>
      </c>
      <c r="L57">
        <v>178</v>
      </c>
      <c r="M57">
        <v>0</v>
      </c>
      <c r="N57" s="13">
        <v>0</v>
      </c>
      <c r="O57" s="13">
        <v>3</v>
      </c>
      <c r="P57" s="14">
        <v>0</v>
      </c>
      <c r="Q57" s="14">
        <v>0</v>
      </c>
      <c r="R57" t="str">
        <f t="shared" si="4"/>
        <v>TRUE</v>
      </c>
      <c r="S57" t="s">
        <v>195</v>
      </c>
      <c r="T57">
        <v>133.94</v>
      </c>
      <c r="U57">
        <v>13.53</v>
      </c>
      <c r="V57">
        <v>11.78</v>
      </c>
      <c r="W57">
        <v>146.5</v>
      </c>
      <c r="X57">
        <v>118.55</v>
      </c>
      <c r="Y57">
        <v>101.83</v>
      </c>
      <c r="Z57">
        <v>13.03</v>
      </c>
      <c r="AA57" t="str">
        <f t="shared" si="2"/>
        <v>TRUE</v>
      </c>
      <c r="AB57" t="s">
        <v>195</v>
      </c>
    </row>
    <row r="58" spans="1:28">
      <c r="A58" t="s">
        <v>601</v>
      </c>
      <c r="B58" t="s">
        <v>199</v>
      </c>
      <c r="C58" s="1" t="s">
        <v>734</v>
      </c>
      <c r="D58" t="s">
        <v>490</v>
      </c>
      <c r="E58" t="s">
        <v>491</v>
      </c>
      <c r="F58" t="s">
        <v>492</v>
      </c>
      <c r="G58" s="4">
        <v>23236</v>
      </c>
      <c r="H58" s="4">
        <v>43905</v>
      </c>
      <c r="I58">
        <f t="shared" si="3"/>
        <v>56</v>
      </c>
      <c r="J58">
        <v>2</v>
      </c>
      <c r="K58" t="s">
        <v>488</v>
      </c>
      <c r="L58">
        <v>373</v>
      </c>
      <c r="M58">
        <v>4</v>
      </c>
      <c r="N58" s="13">
        <v>0</v>
      </c>
      <c r="O58" s="13">
        <v>3</v>
      </c>
      <c r="P58" s="14">
        <v>1</v>
      </c>
      <c r="Q58" s="14">
        <v>0</v>
      </c>
      <c r="R58" t="str">
        <f t="shared" si="4"/>
        <v>TRUE</v>
      </c>
      <c r="S58" t="s">
        <v>199</v>
      </c>
      <c r="T58">
        <v>43.27</v>
      </c>
      <c r="U58">
        <v>32.42</v>
      </c>
      <c r="V58">
        <v>38.229999999999997</v>
      </c>
      <c r="W58">
        <v>106.95</v>
      </c>
      <c r="X58">
        <v>179.75</v>
      </c>
      <c r="Y58">
        <v>8.0500000000000007</v>
      </c>
      <c r="Z58">
        <v>36.28</v>
      </c>
      <c r="AA58" t="str">
        <f t="shared" si="2"/>
        <v>TRUE</v>
      </c>
      <c r="AB58" t="s">
        <v>199</v>
      </c>
    </row>
    <row r="59" spans="1:28">
      <c r="A59" t="s">
        <v>602</v>
      </c>
      <c r="B59" t="s">
        <v>201</v>
      </c>
      <c r="C59" s="1" t="s">
        <v>732</v>
      </c>
      <c r="D59" t="s">
        <v>490</v>
      </c>
      <c r="E59" t="s">
        <v>512</v>
      </c>
      <c r="F59" t="s">
        <v>499</v>
      </c>
      <c r="G59" s="4">
        <v>34720</v>
      </c>
      <c r="H59" s="4">
        <v>43903</v>
      </c>
      <c r="I59">
        <f t="shared" si="3"/>
        <v>25</v>
      </c>
      <c r="J59">
        <v>2</v>
      </c>
      <c r="K59" t="s">
        <v>488</v>
      </c>
      <c r="L59">
        <v>172</v>
      </c>
      <c r="M59">
        <v>0</v>
      </c>
      <c r="N59" s="13">
        <v>0</v>
      </c>
      <c r="O59" s="13">
        <v>1</v>
      </c>
      <c r="P59" s="14">
        <v>0</v>
      </c>
      <c r="Q59" s="14">
        <v>1</v>
      </c>
      <c r="R59" t="str">
        <f t="shared" si="4"/>
        <v>TRUE</v>
      </c>
      <c r="S59" t="s">
        <v>201</v>
      </c>
      <c r="T59">
        <v>30.14</v>
      </c>
      <c r="U59">
        <v>21.56</v>
      </c>
      <c r="V59">
        <v>13.11</v>
      </c>
      <c r="W59">
        <v>31.43</v>
      </c>
      <c r="X59">
        <v>71.400000000000006</v>
      </c>
      <c r="Y59">
        <v>4.57</v>
      </c>
      <c r="Z59">
        <v>36.909999999999997</v>
      </c>
      <c r="AA59" t="str">
        <f t="shared" si="2"/>
        <v>TRUE</v>
      </c>
      <c r="AB59" t="s">
        <v>201</v>
      </c>
    </row>
    <row r="60" spans="1:28">
      <c r="A60" t="s">
        <v>603</v>
      </c>
      <c r="B60" t="s">
        <v>203</v>
      </c>
      <c r="C60" s="1" t="s">
        <v>737</v>
      </c>
      <c r="D60" t="s">
        <v>490</v>
      </c>
      <c r="E60" t="s">
        <v>512</v>
      </c>
      <c r="F60" t="s">
        <v>499</v>
      </c>
      <c r="G60" s="4">
        <v>21477</v>
      </c>
      <c r="H60" s="4">
        <v>44042</v>
      </c>
      <c r="I60">
        <f t="shared" ref="I60:I91" si="5">DATEDIF(G60,H60,"Y")</f>
        <v>61</v>
      </c>
      <c r="J60">
        <v>1</v>
      </c>
      <c r="K60" t="s">
        <v>488</v>
      </c>
      <c r="L60">
        <v>394</v>
      </c>
      <c r="M60">
        <v>6</v>
      </c>
      <c r="N60">
        <v>0</v>
      </c>
      <c r="O60">
        <v>2</v>
      </c>
      <c r="P60" s="9">
        <v>0</v>
      </c>
      <c r="Q60" s="9">
        <v>1</v>
      </c>
      <c r="R60" t="str">
        <f t="shared" si="4"/>
        <v>TRUE</v>
      </c>
      <c r="S60" t="s">
        <v>203</v>
      </c>
      <c r="T60">
        <v>83.19</v>
      </c>
      <c r="U60">
        <v>76.319999999999993</v>
      </c>
      <c r="V60">
        <v>5.23</v>
      </c>
      <c r="W60">
        <v>149.72999999999999</v>
      </c>
      <c r="X60">
        <v>112.24</v>
      </c>
      <c r="Y60">
        <v>4.8099999999999996</v>
      </c>
      <c r="Z60">
        <v>8.1199999999999992</v>
      </c>
      <c r="AA60" t="str">
        <f t="shared" si="2"/>
        <v>TRUE</v>
      </c>
      <c r="AB60" t="s">
        <v>203</v>
      </c>
    </row>
    <row r="61" spans="1:28">
      <c r="A61" t="s">
        <v>604</v>
      </c>
      <c r="B61" t="s">
        <v>205</v>
      </c>
      <c r="C61" s="1" t="s">
        <v>738</v>
      </c>
      <c r="D61" t="s">
        <v>490</v>
      </c>
      <c r="E61" t="s">
        <v>498</v>
      </c>
      <c r="F61" t="s">
        <v>499</v>
      </c>
      <c r="G61" s="4">
        <v>36030</v>
      </c>
      <c r="H61" s="4">
        <v>44054</v>
      </c>
      <c r="I61">
        <f t="shared" si="5"/>
        <v>21</v>
      </c>
      <c r="J61">
        <v>1</v>
      </c>
      <c r="K61" t="s">
        <v>488</v>
      </c>
      <c r="L61">
        <v>2208</v>
      </c>
      <c r="M61">
        <v>5</v>
      </c>
      <c r="N61">
        <v>1</v>
      </c>
      <c r="O61">
        <v>2</v>
      </c>
      <c r="P61" s="9">
        <v>1</v>
      </c>
      <c r="Q61" s="9">
        <v>0</v>
      </c>
      <c r="R61" t="str">
        <f t="shared" si="4"/>
        <v>TRUE</v>
      </c>
      <c r="S61" t="s">
        <v>205</v>
      </c>
      <c r="T61">
        <v>27.29</v>
      </c>
      <c r="U61">
        <v>14.54</v>
      </c>
      <c r="V61">
        <v>20.39</v>
      </c>
      <c r="W61">
        <v>13.71</v>
      </c>
      <c r="X61">
        <v>16.34</v>
      </c>
      <c r="Y61" s="1">
        <v>2.4900000000000002</v>
      </c>
      <c r="Z61">
        <v>2.4900000000000002</v>
      </c>
      <c r="AA61" t="str">
        <f t="shared" si="2"/>
        <v>TRUE</v>
      </c>
      <c r="AB61" t="s">
        <v>205</v>
      </c>
    </row>
    <row r="62" spans="1:28">
      <c r="A62" t="s">
        <v>605</v>
      </c>
      <c r="B62" t="s">
        <v>207</v>
      </c>
      <c r="C62" s="1" t="s">
        <v>735</v>
      </c>
      <c r="D62" t="s">
        <v>490</v>
      </c>
      <c r="E62" t="s">
        <v>491</v>
      </c>
      <c r="F62" t="s">
        <v>492</v>
      </c>
      <c r="G62" s="4">
        <v>30355</v>
      </c>
      <c r="H62" s="4">
        <v>43978</v>
      </c>
      <c r="I62">
        <f t="shared" si="5"/>
        <v>37</v>
      </c>
      <c r="J62">
        <v>2</v>
      </c>
      <c r="K62" t="s">
        <v>493</v>
      </c>
      <c r="L62">
        <v>3372</v>
      </c>
      <c r="M62">
        <v>13</v>
      </c>
      <c r="N62" s="13">
        <v>1</v>
      </c>
      <c r="O62" s="13">
        <v>3</v>
      </c>
      <c r="P62" s="14">
        <v>1</v>
      </c>
      <c r="Q62" s="14">
        <v>0</v>
      </c>
      <c r="R62" t="str">
        <f t="shared" si="4"/>
        <v>TRUE</v>
      </c>
      <c r="S62" t="s">
        <v>207</v>
      </c>
      <c r="T62">
        <v>310.24</v>
      </c>
      <c r="U62">
        <v>56.87</v>
      </c>
      <c r="V62">
        <v>75.040000000000006</v>
      </c>
      <c r="W62">
        <v>114.39</v>
      </c>
      <c r="X62">
        <v>65.739999999999995</v>
      </c>
      <c r="Y62">
        <v>7.98</v>
      </c>
      <c r="Z62">
        <v>21.63</v>
      </c>
      <c r="AA62" t="str">
        <f t="shared" si="2"/>
        <v>TRUE</v>
      </c>
      <c r="AB62" t="s">
        <v>207</v>
      </c>
    </row>
    <row r="63" spans="1:28">
      <c r="A63" t="s">
        <v>609</v>
      </c>
      <c r="B63" t="s">
        <v>215</v>
      </c>
      <c r="C63" s="1" t="s">
        <v>739</v>
      </c>
      <c r="D63" t="s">
        <v>490</v>
      </c>
      <c r="E63" t="s">
        <v>512</v>
      </c>
      <c r="F63" t="s">
        <v>499</v>
      </c>
      <c r="G63" s="4">
        <v>33194</v>
      </c>
      <c r="H63" s="4">
        <v>44084</v>
      </c>
      <c r="I63">
        <f t="shared" si="5"/>
        <v>29</v>
      </c>
      <c r="J63">
        <v>1</v>
      </c>
      <c r="K63" t="s">
        <v>493</v>
      </c>
      <c r="L63">
        <v>6689</v>
      </c>
      <c r="M63">
        <v>4</v>
      </c>
      <c r="N63">
        <v>1</v>
      </c>
      <c r="O63">
        <v>2</v>
      </c>
      <c r="P63" s="14">
        <v>1</v>
      </c>
      <c r="Q63" s="14">
        <v>0</v>
      </c>
      <c r="R63" t="str">
        <f t="shared" si="4"/>
        <v>TRUE</v>
      </c>
      <c r="S63" t="s">
        <v>215</v>
      </c>
      <c r="T63">
        <v>36.08</v>
      </c>
      <c r="U63">
        <v>14.44</v>
      </c>
      <c r="V63">
        <v>7.81</v>
      </c>
      <c r="W63">
        <v>35.590000000000003</v>
      </c>
      <c r="X63">
        <v>54.24</v>
      </c>
      <c r="Y63">
        <v>22.08</v>
      </c>
      <c r="Z63">
        <v>3.84</v>
      </c>
      <c r="AA63" t="str">
        <f t="shared" si="2"/>
        <v>TRUE</v>
      </c>
      <c r="AB63" t="s">
        <v>215</v>
      </c>
    </row>
    <row r="64" spans="1:28">
      <c r="A64" t="s">
        <v>612</v>
      </c>
      <c r="B64" t="s">
        <v>221</v>
      </c>
      <c r="C64" s="1" t="s">
        <v>737</v>
      </c>
      <c r="D64" t="s">
        <v>490</v>
      </c>
      <c r="E64" t="s">
        <v>512</v>
      </c>
      <c r="F64" t="s">
        <v>499</v>
      </c>
      <c r="G64" s="4">
        <v>21477</v>
      </c>
      <c r="H64" s="4">
        <v>44098</v>
      </c>
      <c r="I64">
        <f t="shared" si="5"/>
        <v>61</v>
      </c>
      <c r="J64">
        <v>2</v>
      </c>
      <c r="K64" t="s">
        <v>488</v>
      </c>
      <c r="L64">
        <v>66</v>
      </c>
      <c r="M64">
        <v>1</v>
      </c>
      <c r="N64" s="13">
        <v>0</v>
      </c>
      <c r="O64" s="13">
        <v>2</v>
      </c>
      <c r="P64" s="14">
        <v>0</v>
      </c>
      <c r="Q64" s="14">
        <v>0</v>
      </c>
      <c r="R64" t="str">
        <f t="shared" si="4"/>
        <v>TRUE</v>
      </c>
      <c r="S64" t="s">
        <v>221</v>
      </c>
      <c r="T64">
        <v>72.180000000000007</v>
      </c>
      <c r="U64">
        <v>19.75</v>
      </c>
      <c r="V64">
        <v>17.09</v>
      </c>
      <c r="W64">
        <v>111.14</v>
      </c>
      <c r="X64">
        <v>60</v>
      </c>
      <c r="Y64">
        <v>2.54</v>
      </c>
      <c r="Z64">
        <v>22.88</v>
      </c>
      <c r="AA64" t="str">
        <f t="shared" si="2"/>
        <v>TRUE</v>
      </c>
      <c r="AB64" t="s">
        <v>221</v>
      </c>
    </row>
    <row r="65" spans="1:28">
      <c r="A65" t="s">
        <v>613</v>
      </c>
      <c r="B65" t="s">
        <v>223</v>
      </c>
      <c r="C65" s="1" t="s">
        <v>740</v>
      </c>
      <c r="D65" t="s">
        <v>490</v>
      </c>
      <c r="E65" t="s">
        <v>512</v>
      </c>
      <c r="F65" t="s">
        <v>499</v>
      </c>
      <c r="G65" s="4">
        <v>29096</v>
      </c>
      <c r="H65" s="4">
        <v>44099</v>
      </c>
      <c r="I65">
        <f t="shared" si="5"/>
        <v>41</v>
      </c>
      <c r="J65">
        <v>1</v>
      </c>
      <c r="K65" t="s">
        <v>488</v>
      </c>
      <c r="L65">
        <v>1897</v>
      </c>
      <c r="M65">
        <v>13</v>
      </c>
      <c r="N65">
        <v>0</v>
      </c>
      <c r="O65">
        <v>1</v>
      </c>
      <c r="P65" s="14">
        <v>1</v>
      </c>
      <c r="Q65" s="14">
        <v>0</v>
      </c>
      <c r="R65" t="str">
        <f t="shared" si="4"/>
        <v>TRUE</v>
      </c>
      <c r="S65" t="s">
        <v>223</v>
      </c>
      <c r="T65">
        <v>24.03</v>
      </c>
      <c r="U65">
        <v>29.06</v>
      </c>
      <c r="V65">
        <v>28.2</v>
      </c>
      <c r="W65">
        <v>99.87</v>
      </c>
      <c r="X65">
        <v>63.91</v>
      </c>
      <c r="Y65">
        <v>5.66</v>
      </c>
      <c r="Z65">
        <v>13.87</v>
      </c>
      <c r="AA65" t="str">
        <f t="shared" si="2"/>
        <v>TRUE</v>
      </c>
      <c r="AB65" t="s">
        <v>223</v>
      </c>
    </row>
    <row r="66" spans="1:28">
      <c r="A66" t="s">
        <v>614</v>
      </c>
      <c r="B66" t="s">
        <v>225</v>
      </c>
      <c r="C66" s="1" t="s">
        <v>741</v>
      </c>
      <c r="D66" t="s">
        <v>490</v>
      </c>
      <c r="E66" t="s">
        <v>498</v>
      </c>
      <c r="F66" t="s">
        <v>492</v>
      </c>
      <c r="G66" s="4">
        <v>24431</v>
      </c>
      <c r="H66" s="4">
        <v>44099</v>
      </c>
      <c r="I66">
        <f t="shared" si="5"/>
        <v>53</v>
      </c>
      <c r="J66">
        <v>1</v>
      </c>
      <c r="K66" t="s">
        <v>493</v>
      </c>
      <c r="L66">
        <v>1126</v>
      </c>
      <c r="M66">
        <v>15</v>
      </c>
      <c r="N66">
        <v>1</v>
      </c>
      <c r="O66">
        <v>3</v>
      </c>
      <c r="P66" s="14">
        <v>0</v>
      </c>
      <c r="Q66" s="14">
        <v>0</v>
      </c>
      <c r="R66" t="str">
        <f t="shared" ref="R66:R97" si="6">IF(S66=B66, "TRUE", "FALSE")</f>
        <v>TRUE</v>
      </c>
      <c r="S66" t="s">
        <v>225</v>
      </c>
      <c r="T66">
        <v>50.38</v>
      </c>
      <c r="U66">
        <v>82.9</v>
      </c>
      <c r="V66">
        <v>22.31</v>
      </c>
      <c r="W66">
        <v>119.35</v>
      </c>
      <c r="X66">
        <v>91.25</v>
      </c>
      <c r="Y66">
        <v>7.5</v>
      </c>
      <c r="Z66">
        <v>76.17</v>
      </c>
      <c r="AA66" t="str">
        <f t="shared" si="2"/>
        <v>TRUE</v>
      </c>
      <c r="AB66" t="s">
        <v>225</v>
      </c>
    </row>
    <row r="67" spans="1:28">
      <c r="A67" t="s">
        <v>616</v>
      </c>
      <c r="B67" t="s">
        <v>229</v>
      </c>
      <c r="C67" s="1" t="s">
        <v>742</v>
      </c>
      <c r="D67" t="s">
        <v>490</v>
      </c>
      <c r="E67" t="s">
        <v>498</v>
      </c>
      <c r="F67" t="s">
        <v>499</v>
      </c>
      <c r="G67" s="4">
        <v>23988</v>
      </c>
      <c r="H67" s="4">
        <v>44104</v>
      </c>
      <c r="I67">
        <f t="shared" si="5"/>
        <v>55</v>
      </c>
      <c r="J67">
        <v>1</v>
      </c>
      <c r="K67" t="s">
        <v>493</v>
      </c>
      <c r="L67">
        <v>4713</v>
      </c>
      <c r="M67">
        <v>6</v>
      </c>
      <c r="N67">
        <v>1</v>
      </c>
      <c r="O67">
        <v>2</v>
      </c>
      <c r="P67" s="9">
        <v>0</v>
      </c>
      <c r="Q67" s="9">
        <v>0</v>
      </c>
      <c r="R67" t="str">
        <f t="shared" si="6"/>
        <v>TRUE</v>
      </c>
      <c r="S67" t="s">
        <v>229</v>
      </c>
      <c r="T67">
        <v>30.61</v>
      </c>
      <c r="U67">
        <v>5.51</v>
      </c>
      <c r="V67">
        <v>3.29</v>
      </c>
      <c r="W67">
        <v>30.09</v>
      </c>
      <c r="X67">
        <v>54.85</v>
      </c>
      <c r="Y67">
        <v>9.5299999999999994</v>
      </c>
      <c r="Z67">
        <v>2.7</v>
      </c>
      <c r="AA67" t="str">
        <f t="shared" ref="AA67:AA82" si="7">IF(AB67=B67, "TRUE", "FALSE")</f>
        <v>TRUE</v>
      </c>
      <c r="AB67" t="s">
        <v>229</v>
      </c>
    </row>
    <row r="68" spans="1:28">
      <c r="A68" t="s">
        <v>617</v>
      </c>
      <c r="B68" t="s">
        <v>231</v>
      </c>
      <c r="C68" s="1" t="s">
        <v>743</v>
      </c>
      <c r="D68" t="s">
        <v>490</v>
      </c>
      <c r="E68" t="s">
        <v>491</v>
      </c>
      <c r="F68" t="s">
        <v>499</v>
      </c>
      <c r="G68" s="4">
        <v>16624</v>
      </c>
      <c r="H68" s="4">
        <v>44106</v>
      </c>
      <c r="I68">
        <f t="shared" si="5"/>
        <v>75</v>
      </c>
      <c r="J68">
        <v>1</v>
      </c>
      <c r="K68" t="s">
        <v>493</v>
      </c>
      <c r="L68">
        <v>4146</v>
      </c>
      <c r="M68">
        <v>6</v>
      </c>
      <c r="N68">
        <v>1</v>
      </c>
      <c r="O68">
        <v>2</v>
      </c>
      <c r="P68" s="9">
        <v>1</v>
      </c>
      <c r="Q68" s="9">
        <v>0</v>
      </c>
      <c r="R68" t="str">
        <f t="shared" si="6"/>
        <v>TRUE</v>
      </c>
      <c r="S68" t="s">
        <v>231</v>
      </c>
      <c r="T68">
        <v>30.88</v>
      </c>
      <c r="U68">
        <v>50.13</v>
      </c>
      <c r="V68">
        <v>2.9</v>
      </c>
      <c r="W68">
        <v>874.51</v>
      </c>
      <c r="X68">
        <v>555.59</v>
      </c>
      <c r="Y68">
        <v>10.43</v>
      </c>
      <c r="Z68">
        <v>11.01</v>
      </c>
      <c r="AA68" t="str">
        <f t="shared" si="7"/>
        <v>TRUE</v>
      </c>
      <c r="AB68" t="s">
        <v>231</v>
      </c>
    </row>
    <row r="69" spans="1:28">
      <c r="A69" t="s">
        <v>618</v>
      </c>
      <c r="B69" t="s">
        <v>233</v>
      </c>
      <c r="C69" s="1" t="s">
        <v>744</v>
      </c>
      <c r="D69" t="s">
        <v>490</v>
      </c>
      <c r="E69" t="s">
        <v>491</v>
      </c>
      <c r="F69" t="s">
        <v>492</v>
      </c>
      <c r="G69" s="4">
        <v>33801</v>
      </c>
      <c r="H69" s="4">
        <v>44110</v>
      </c>
      <c r="I69">
        <f t="shared" si="5"/>
        <v>28</v>
      </c>
      <c r="J69">
        <v>1</v>
      </c>
      <c r="K69" t="s">
        <v>488</v>
      </c>
      <c r="L69">
        <v>2363</v>
      </c>
      <c r="M69">
        <v>9</v>
      </c>
      <c r="N69">
        <v>0</v>
      </c>
      <c r="O69">
        <v>2</v>
      </c>
      <c r="P69" s="9">
        <v>1</v>
      </c>
      <c r="Q69" s="9">
        <v>0</v>
      </c>
      <c r="R69" t="str">
        <f t="shared" si="6"/>
        <v>TRUE</v>
      </c>
      <c r="S69" t="s">
        <v>233</v>
      </c>
      <c r="T69">
        <v>112.06</v>
      </c>
      <c r="U69">
        <v>29.48</v>
      </c>
      <c r="V69">
        <v>26.77</v>
      </c>
      <c r="W69">
        <v>324.39</v>
      </c>
      <c r="X69">
        <v>379.46</v>
      </c>
      <c r="Y69">
        <v>25.49</v>
      </c>
      <c r="Z69">
        <v>42.62</v>
      </c>
      <c r="AA69" t="str">
        <f t="shared" si="7"/>
        <v>TRUE</v>
      </c>
      <c r="AB69" t="s">
        <v>233</v>
      </c>
    </row>
    <row r="70" spans="1:28">
      <c r="A70" t="s">
        <v>624</v>
      </c>
      <c r="B70" t="s">
        <v>245</v>
      </c>
      <c r="C70" s="1" t="s">
        <v>738</v>
      </c>
      <c r="D70" t="s">
        <v>490</v>
      </c>
      <c r="E70" t="s">
        <v>498</v>
      </c>
      <c r="F70" t="s">
        <v>499</v>
      </c>
      <c r="G70" s="4">
        <v>36030</v>
      </c>
      <c r="H70" s="4">
        <v>44134</v>
      </c>
      <c r="I70">
        <f t="shared" si="5"/>
        <v>22</v>
      </c>
      <c r="J70">
        <v>2</v>
      </c>
      <c r="K70" t="s">
        <v>488</v>
      </c>
      <c r="L70">
        <v>73</v>
      </c>
      <c r="M70">
        <v>0</v>
      </c>
      <c r="N70" s="13">
        <v>1</v>
      </c>
      <c r="O70" s="13">
        <v>2</v>
      </c>
      <c r="P70" s="14">
        <v>1</v>
      </c>
      <c r="Q70" s="14">
        <v>0</v>
      </c>
      <c r="R70" t="str">
        <f t="shared" si="6"/>
        <v>TRUE</v>
      </c>
      <c r="S70" t="s">
        <v>245</v>
      </c>
      <c r="T70">
        <v>26.65</v>
      </c>
      <c r="U70">
        <v>22.29</v>
      </c>
      <c r="V70">
        <v>24.73</v>
      </c>
      <c r="W70">
        <v>101.23</v>
      </c>
      <c r="X70">
        <v>114.34</v>
      </c>
      <c r="Y70">
        <v>19.71</v>
      </c>
      <c r="Z70">
        <v>13.48</v>
      </c>
      <c r="AA70" t="str">
        <f t="shared" si="7"/>
        <v>TRUE</v>
      </c>
      <c r="AB70" t="s">
        <v>245</v>
      </c>
    </row>
    <row r="71" spans="1:28">
      <c r="A71" t="s">
        <v>626</v>
      </c>
      <c r="B71" t="s">
        <v>249</v>
      </c>
      <c r="C71" s="1" t="s">
        <v>740</v>
      </c>
      <c r="D71" t="s">
        <v>490</v>
      </c>
      <c r="E71" t="s">
        <v>512</v>
      </c>
      <c r="F71" t="s">
        <v>499</v>
      </c>
      <c r="G71" s="4">
        <v>29096</v>
      </c>
      <c r="H71" s="4">
        <v>44148</v>
      </c>
      <c r="I71">
        <f t="shared" si="5"/>
        <v>41</v>
      </c>
      <c r="J71">
        <v>2</v>
      </c>
      <c r="K71" t="s">
        <v>488</v>
      </c>
      <c r="L71">
        <v>55</v>
      </c>
      <c r="M71">
        <v>1</v>
      </c>
      <c r="N71" s="13">
        <v>0</v>
      </c>
      <c r="O71" s="13">
        <v>2</v>
      </c>
      <c r="P71" s="14">
        <v>0</v>
      </c>
      <c r="Q71" s="14">
        <v>0</v>
      </c>
      <c r="R71" t="str">
        <f t="shared" si="6"/>
        <v>TRUE</v>
      </c>
      <c r="S71" t="s">
        <v>249</v>
      </c>
      <c r="T71">
        <v>19.59</v>
      </c>
      <c r="U71">
        <v>14.31</v>
      </c>
      <c r="V71">
        <v>31.77</v>
      </c>
      <c r="W71">
        <v>72.41</v>
      </c>
      <c r="X71">
        <v>41.8</v>
      </c>
      <c r="Y71">
        <v>3.9</v>
      </c>
      <c r="Z71">
        <v>22.29</v>
      </c>
      <c r="AA71" t="str">
        <f t="shared" si="7"/>
        <v>TRUE</v>
      </c>
      <c r="AB71" t="s">
        <v>249</v>
      </c>
    </row>
    <row r="72" spans="1:28">
      <c r="A72" t="s">
        <v>627</v>
      </c>
      <c r="B72" t="s">
        <v>251</v>
      </c>
      <c r="C72" s="1" t="s">
        <v>741</v>
      </c>
      <c r="D72" t="s">
        <v>490</v>
      </c>
      <c r="E72" t="s">
        <v>498</v>
      </c>
      <c r="F72" t="s">
        <v>492</v>
      </c>
      <c r="G72" s="4">
        <v>24431</v>
      </c>
      <c r="H72" s="4">
        <v>44148</v>
      </c>
      <c r="I72">
        <f t="shared" si="5"/>
        <v>53</v>
      </c>
      <c r="J72">
        <v>2</v>
      </c>
      <c r="K72" t="s">
        <v>493</v>
      </c>
      <c r="L72">
        <v>1780</v>
      </c>
      <c r="M72">
        <v>5</v>
      </c>
      <c r="N72" s="13">
        <v>1</v>
      </c>
      <c r="O72" s="13">
        <v>3</v>
      </c>
      <c r="P72" s="14">
        <v>1</v>
      </c>
      <c r="Q72" s="14">
        <v>0</v>
      </c>
      <c r="R72" t="str">
        <f t="shared" si="6"/>
        <v>TRUE</v>
      </c>
      <c r="S72" t="s">
        <v>251</v>
      </c>
      <c r="T72">
        <v>23.92</v>
      </c>
      <c r="U72">
        <v>28.8</v>
      </c>
      <c r="V72">
        <v>9.93</v>
      </c>
      <c r="W72">
        <v>95.15</v>
      </c>
      <c r="X72">
        <v>53.62</v>
      </c>
      <c r="Y72">
        <v>2.89</v>
      </c>
      <c r="Z72">
        <v>7</v>
      </c>
      <c r="AA72" t="str">
        <f t="shared" si="7"/>
        <v>TRUE</v>
      </c>
      <c r="AB72" t="s">
        <v>251</v>
      </c>
    </row>
    <row r="73" spans="1:28">
      <c r="A73" t="s">
        <v>628</v>
      </c>
      <c r="B73" t="s">
        <v>253</v>
      </c>
      <c r="C73" t="s">
        <v>745</v>
      </c>
      <c r="D73" t="s">
        <v>490</v>
      </c>
      <c r="E73" t="s">
        <v>498</v>
      </c>
      <c r="F73" t="s">
        <v>492</v>
      </c>
      <c r="G73" s="4">
        <v>34311</v>
      </c>
      <c r="H73" s="4">
        <v>44148</v>
      </c>
      <c r="I73">
        <f t="shared" si="5"/>
        <v>26</v>
      </c>
      <c r="J73">
        <v>1</v>
      </c>
      <c r="K73" t="s">
        <v>488</v>
      </c>
      <c r="L73">
        <v>1823</v>
      </c>
      <c r="M73">
        <v>9</v>
      </c>
      <c r="N73">
        <v>0</v>
      </c>
      <c r="O73">
        <v>2</v>
      </c>
      <c r="P73" s="10">
        <v>1</v>
      </c>
      <c r="Q73" s="10">
        <v>0</v>
      </c>
      <c r="R73" t="str">
        <f t="shared" si="6"/>
        <v>TRUE</v>
      </c>
      <c r="S73" t="s">
        <v>253</v>
      </c>
      <c r="T73">
        <v>39.17</v>
      </c>
      <c r="U73">
        <v>42.31</v>
      </c>
      <c r="V73">
        <v>4.3499999999999996</v>
      </c>
      <c r="W73">
        <v>10.130000000000001</v>
      </c>
      <c r="X73">
        <v>14.77</v>
      </c>
      <c r="Y73">
        <v>15.99</v>
      </c>
      <c r="Z73">
        <v>19.05</v>
      </c>
      <c r="AA73" t="str">
        <f t="shared" si="7"/>
        <v>TRUE</v>
      </c>
      <c r="AB73" t="s">
        <v>253</v>
      </c>
    </row>
    <row r="74" spans="1:28">
      <c r="A74" t="s">
        <v>630</v>
      </c>
      <c r="B74" t="s">
        <v>257</v>
      </c>
      <c r="C74" s="1" t="s">
        <v>746</v>
      </c>
      <c r="D74" t="s">
        <v>490</v>
      </c>
      <c r="E74" t="s">
        <v>498</v>
      </c>
      <c r="F74" t="s">
        <v>499</v>
      </c>
      <c r="G74" s="4">
        <v>33826</v>
      </c>
      <c r="H74" s="4">
        <v>44152</v>
      </c>
      <c r="I74">
        <f t="shared" si="5"/>
        <v>28</v>
      </c>
      <c r="J74">
        <v>1</v>
      </c>
      <c r="K74" t="s">
        <v>488</v>
      </c>
      <c r="L74">
        <v>221</v>
      </c>
      <c r="M74">
        <v>10</v>
      </c>
      <c r="N74">
        <v>0</v>
      </c>
      <c r="O74">
        <v>2</v>
      </c>
      <c r="P74" s="9">
        <v>1</v>
      </c>
      <c r="Q74" s="9">
        <v>0</v>
      </c>
      <c r="R74" t="str">
        <f t="shared" si="6"/>
        <v>TRUE</v>
      </c>
      <c r="S74" t="s">
        <v>257</v>
      </c>
      <c r="T74">
        <v>34.119999999999997</v>
      </c>
      <c r="U74">
        <v>15.4</v>
      </c>
      <c r="V74">
        <v>2.19</v>
      </c>
      <c r="W74">
        <v>20.41</v>
      </c>
      <c r="X74">
        <v>20.16</v>
      </c>
      <c r="Y74">
        <v>3.48</v>
      </c>
      <c r="Z74">
        <v>2.4900000000000002</v>
      </c>
      <c r="AA74" t="str">
        <f t="shared" si="7"/>
        <v>TRUE</v>
      </c>
      <c r="AB74" t="s">
        <v>257</v>
      </c>
    </row>
    <row r="75" spans="1:28">
      <c r="A75" t="s">
        <v>632</v>
      </c>
      <c r="B75" t="s">
        <v>261</v>
      </c>
      <c r="C75" s="1" t="s">
        <v>747</v>
      </c>
      <c r="D75" t="s">
        <v>490</v>
      </c>
      <c r="E75" t="s">
        <v>498</v>
      </c>
      <c r="F75" t="s">
        <v>499</v>
      </c>
      <c r="G75" s="4">
        <v>35769</v>
      </c>
      <c r="H75" s="4">
        <v>44162</v>
      </c>
      <c r="I75">
        <f t="shared" si="5"/>
        <v>22</v>
      </c>
      <c r="J75">
        <v>1</v>
      </c>
      <c r="K75" t="s">
        <v>493</v>
      </c>
      <c r="L75">
        <v>7900</v>
      </c>
      <c r="M75">
        <v>13</v>
      </c>
      <c r="N75">
        <v>1</v>
      </c>
      <c r="O75">
        <v>2</v>
      </c>
      <c r="P75" s="10">
        <v>1</v>
      </c>
      <c r="Q75" s="10">
        <v>0</v>
      </c>
      <c r="R75" t="str">
        <f t="shared" si="6"/>
        <v>TRUE</v>
      </c>
      <c r="S75" t="s">
        <v>261</v>
      </c>
      <c r="T75">
        <v>199.77</v>
      </c>
      <c r="U75">
        <v>14.91</v>
      </c>
      <c r="V75">
        <v>22.54</v>
      </c>
      <c r="W75">
        <v>26.55</v>
      </c>
      <c r="X75">
        <v>18</v>
      </c>
      <c r="Y75">
        <v>3.75</v>
      </c>
      <c r="Z75">
        <v>11.22</v>
      </c>
      <c r="AA75" t="str">
        <f t="shared" si="7"/>
        <v>TRUE</v>
      </c>
      <c r="AB75" t="s">
        <v>261</v>
      </c>
    </row>
    <row r="76" spans="1:28">
      <c r="A76" t="s">
        <v>633</v>
      </c>
      <c r="B76" t="s">
        <v>263</v>
      </c>
      <c r="C76" t="s">
        <v>748</v>
      </c>
      <c r="D76" t="s">
        <v>490</v>
      </c>
      <c r="E76" t="s">
        <v>498</v>
      </c>
      <c r="F76" t="s">
        <v>499</v>
      </c>
      <c r="G76" s="4">
        <v>28094</v>
      </c>
      <c r="H76" s="4">
        <v>44169</v>
      </c>
      <c r="I76">
        <f t="shared" si="5"/>
        <v>44</v>
      </c>
      <c r="J76">
        <v>1</v>
      </c>
      <c r="K76" t="s">
        <v>488</v>
      </c>
      <c r="L76">
        <v>659</v>
      </c>
      <c r="M76">
        <v>6</v>
      </c>
      <c r="N76">
        <v>1</v>
      </c>
      <c r="O76">
        <v>2</v>
      </c>
      <c r="P76" s="10">
        <v>1</v>
      </c>
      <c r="Q76" s="10">
        <v>0</v>
      </c>
      <c r="R76" t="str">
        <f t="shared" si="6"/>
        <v>TRUE</v>
      </c>
      <c r="S76" t="s">
        <v>263</v>
      </c>
      <c r="T76">
        <v>66.61</v>
      </c>
      <c r="U76">
        <v>93.45</v>
      </c>
      <c r="V76">
        <v>8.65</v>
      </c>
      <c r="W76">
        <v>452.32</v>
      </c>
      <c r="X76">
        <v>300.83</v>
      </c>
      <c r="Y76">
        <v>23.05</v>
      </c>
      <c r="Z76">
        <v>96.89</v>
      </c>
      <c r="AA76" t="str">
        <f t="shared" si="7"/>
        <v>TRUE</v>
      </c>
      <c r="AB76" t="s">
        <v>263</v>
      </c>
    </row>
    <row r="77" spans="1:28">
      <c r="A77" t="s">
        <v>635</v>
      </c>
      <c r="B77" t="s">
        <v>267</v>
      </c>
      <c r="C77" s="1" t="s">
        <v>743</v>
      </c>
      <c r="D77" t="s">
        <v>490</v>
      </c>
      <c r="E77" t="s">
        <v>491</v>
      </c>
      <c r="F77" t="s">
        <v>499</v>
      </c>
      <c r="G77" s="4">
        <v>16624</v>
      </c>
      <c r="H77" s="4">
        <v>44172</v>
      </c>
      <c r="I77">
        <f t="shared" si="5"/>
        <v>75</v>
      </c>
      <c r="J77">
        <v>2</v>
      </c>
      <c r="K77" t="s">
        <v>493</v>
      </c>
      <c r="L77">
        <v>324</v>
      </c>
      <c r="M77">
        <v>0</v>
      </c>
      <c r="N77" s="13">
        <v>1</v>
      </c>
      <c r="O77" s="13">
        <v>2</v>
      </c>
      <c r="P77" s="14">
        <v>1</v>
      </c>
      <c r="Q77" s="14">
        <v>0</v>
      </c>
      <c r="R77" t="str">
        <f t="shared" si="6"/>
        <v>TRUE</v>
      </c>
      <c r="S77" t="s">
        <v>267</v>
      </c>
      <c r="T77">
        <v>35.04</v>
      </c>
      <c r="U77">
        <v>17.62</v>
      </c>
      <c r="V77">
        <v>16.21</v>
      </c>
      <c r="W77">
        <v>924.55</v>
      </c>
      <c r="X77">
        <v>1271.42</v>
      </c>
      <c r="Y77">
        <v>70.650000000000006</v>
      </c>
      <c r="Z77">
        <v>39.799999999999997</v>
      </c>
      <c r="AA77" t="str">
        <f t="shared" si="7"/>
        <v>TRUE</v>
      </c>
      <c r="AB77" t="s">
        <v>267</v>
      </c>
    </row>
    <row r="78" spans="1:28">
      <c r="A78" t="s">
        <v>637</v>
      </c>
      <c r="B78" t="s">
        <v>271</v>
      </c>
      <c r="C78" s="1" t="s">
        <v>744</v>
      </c>
      <c r="D78" t="s">
        <v>490</v>
      </c>
      <c r="E78" t="s">
        <v>491</v>
      </c>
      <c r="F78" t="s">
        <v>492</v>
      </c>
      <c r="G78" s="4">
        <v>33801</v>
      </c>
      <c r="H78" s="4">
        <v>44173</v>
      </c>
      <c r="I78">
        <f t="shared" si="5"/>
        <v>28</v>
      </c>
      <c r="J78">
        <v>2</v>
      </c>
      <c r="K78" t="s">
        <v>488</v>
      </c>
      <c r="L78">
        <v>470</v>
      </c>
      <c r="M78">
        <v>0</v>
      </c>
      <c r="N78" s="13">
        <v>0</v>
      </c>
      <c r="O78" s="13">
        <v>2</v>
      </c>
      <c r="P78" s="9">
        <v>1</v>
      </c>
      <c r="Q78" s="9">
        <v>0</v>
      </c>
      <c r="R78" t="str">
        <f t="shared" si="6"/>
        <v>TRUE</v>
      </c>
      <c r="S78" t="s">
        <v>271</v>
      </c>
      <c r="T78">
        <v>186.89</v>
      </c>
      <c r="U78">
        <v>13.67</v>
      </c>
      <c r="V78">
        <v>37.5</v>
      </c>
      <c r="W78">
        <v>88</v>
      </c>
      <c r="X78">
        <v>105.51</v>
      </c>
      <c r="Y78">
        <v>7.53</v>
      </c>
      <c r="Z78">
        <v>7.35</v>
      </c>
      <c r="AA78" t="str">
        <f t="shared" si="7"/>
        <v>TRUE</v>
      </c>
      <c r="AB78" t="s">
        <v>271</v>
      </c>
    </row>
    <row r="79" spans="1:28">
      <c r="A79" t="s">
        <v>640</v>
      </c>
      <c r="B79" t="s">
        <v>277</v>
      </c>
      <c r="C79" s="1" t="s">
        <v>747</v>
      </c>
      <c r="D79" t="s">
        <v>490</v>
      </c>
      <c r="E79" t="s">
        <v>498</v>
      </c>
      <c r="F79" t="s">
        <v>499</v>
      </c>
      <c r="G79" s="4">
        <v>35769</v>
      </c>
      <c r="H79" s="4">
        <v>44182</v>
      </c>
      <c r="I79">
        <f t="shared" si="5"/>
        <v>23</v>
      </c>
      <c r="J79">
        <v>2</v>
      </c>
      <c r="K79" t="s">
        <v>493</v>
      </c>
      <c r="L79">
        <v>282</v>
      </c>
      <c r="M79">
        <v>1</v>
      </c>
      <c r="N79" s="13">
        <v>1</v>
      </c>
      <c r="O79" s="13">
        <v>2</v>
      </c>
      <c r="P79" s="14">
        <v>1</v>
      </c>
      <c r="Q79" s="14">
        <v>0</v>
      </c>
      <c r="R79" t="str">
        <f t="shared" si="6"/>
        <v>TRUE</v>
      </c>
      <c r="S79" t="s">
        <v>277</v>
      </c>
      <c r="T79">
        <v>34.08</v>
      </c>
      <c r="U79">
        <v>8.5500000000000007</v>
      </c>
      <c r="V79">
        <v>14.54</v>
      </c>
      <c r="W79">
        <v>97.23</v>
      </c>
      <c r="X79">
        <v>56.1</v>
      </c>
      <c r="Y79">
        <v>7.37</v>
      </c>
      <c r="Z79">
        <v>11.52</v>
      </c>
      <c r="AA79" t="str">
        <f t="shared" si="7"/>
        <v>TRUE</v>
      </c>
      <c r="AB79" t="s">
        <v>277</v>
      </c>
    </row>
    <row r="80" spans="1:28">
      <c r="A80" t="s">
        <v>643</v>
      </c>
      <c r="B80" t="s">
        <v>281</v>
      </c>
      <c r="C80" s="1" t="s">
        <v>748</v>
      </c>
      <c r="D80" t="s">
        <v>490</v>
      </c>
      <c r="E80" t="s">
        <v>498</v>
      </c>
      <c r="F80" t="s">
        <v>499</v>
      </c>
      <c r="G80" s="4">
        <v>28094</v>
      </c>
      <c r="H80" s="4">
        <v>44251</v>
      </c>
      <c r="I80">
        <f t="shared" si="5"/>
        <v>44</v>
      </c>
      <c r="J80">
        <v>2</v>
      </c>
      <c r="K80" t="s">
        <v>488</v>
      </c>
      <c r="L80">
        <v>20</v>
      </c>
      <c r="M80">
        <v>0</v>
      </c>
      <c r="N80" s="13">
        <v>1</v>
      </c>
      <c r="O80" s="13">
        <v>2</v>
      </c>
      <c r="P80" s="14">
        <v>3</v>
      </c>
      <c r="Q80" s="14">
        <v>1</v>
      </c>
      <c r="R80" t="str">
        <f t="shared" si="6"/>
        <v>TRUE</v>
      </c>
      <c r="S80" t="s">
        <v>281</v>
      </c>
      <c r="T80">
        <v>57.34</v>
      </c>
      <c r="U80">
        <v>23.03</v>
      </c>
      <c r="V80">
        <v>8.65</v>
      </c>
      <c r="W80">
        <v>407.42</v>
      </c>
      <c r="X80">
        <v>398.88</v>
      </c>
      <c r="Y80">
        <v>20.55</v>
      </c>
      <c r="Z80">
        <v>38.659999999999997</v>
      </c>
      <c r="AA80" t="str">
        <f t="shared" si="7"/>
        <v>TRUE</v>
      </c>
      <c r="AB80" t="s">
        <v>281</v>
      </c>
    </row>
    <row r="81" spans="1:28">
      <c r="A81" t="s">
        <v>644</v>
      </c>
      <c r="B81" t="s">
        <v>283</v>
      </c>
      <c r="C81" t="s">
        <v>745</v>
      </c>
      <c r="D81" t="s">
        <v>490</v>
      </c>
      <c r="E81" t="s">
        <v>498</v>
      </c>
      <c r="F81" t="s">
        <v>492</v>
      </c>
      <c r="G81" s="4">
        <v>34311</v>
      </c>
      <c r="H81" s="4">
        <v>44259</v>
      </c>
      <c r="I81">
        <f t="shared" si="5"/>
        <v>27</v>
      </c>
      <c r="J81">
        <v>2</v>
      </c>
      <c r="K81" t="s">
        <v>488</v>
      </c>
      <c r="L81">
        <v>1826</v>
      </c>
      <c r="M81">
        <v>6</v>
      </c>
      <c r="N81" s="13">
        <v>0</v>
      </c>
      <c r="O81" s="13">
        <v>2</v>
      </c>
      <c r="P81" s="14">
        <v>1</v>
      </c>
      <c r="Q81" s="14">
        <v>0</v>
      </c>
      <c r="R81" t="str">
        <f t="shared" si="6"/>
        <v>TRUE</v>
      </c>
      <c r="S81" t="s">
        <v>283</v>
      </c>
      <c r="T81">
        <v>26.24</v>
      </c>
      <c r="U81">
        <v>22.49</v>
      </c>
      <c r="V81">
        <v>5.41</v>
      </c>
      <c r="W81">
        <v>40.67</v>
      </c>
      <c r="X81">
        <v>34.479999999999997</v>
      </c>
      <c r="Y81">
        <v>30.14</v>
      </c>
      <c r="Z81">
        <v>11.57</v>
      </c>
      <c r="AA81" t="str">
        <f t="shared" si="7"/>
        <v>TRUE</v>
      </c>
      <c r="AB81" t="s">
        <v>283</v>
      </c>
    </row>
    <row r="82" spans="1:28">
      <c r="A82" t="s">
        <v>645</v>
      </c>
      <c r="B82" t="s">
        <v>285</v>
      </c>
      <c r="C82" s="1" t="s">
        <v>742</v>
      </c>
      <c r="D82" t="s">
        <v>490</v>
      </c>
      <c r="E82" t="s">
        <v>498</v>
      </c>
      <c r="F82" t="s">
        <v>499</v>
      </c>
      <c r="G82" s="4">
        <v>23988</v>
      </c>
      <c r="H82" s="4">
        <v>44264</v>
      </c>
      <c r="I82">
        <f t="shared" si="5"/>
        <v>55</v>
      </c>
      <c r="J82">
        <v>2</v>
      </c>
      <c r="K82" t="s">
        <v>493</v>
      </c>
      <c r="L82">
        <v>57</v>
      </c>
      <c r="M82">
        <v>1</v>
      </c>
      <c r="N82" s="13">
        <v>1</v>
      </c>
      <c r="O82" s="13">
        <v>2</v>
      </c>
      <c r="P82" s="14">
        <v>0</v>
      </c>
      <c r="Q82" s="14">
        <v>0</v>
      </c>
      <c r="R82" t="str">
        <f t="shared" si="6"/>
        <v>TRUE</v>
      </c>
      <c r="S82" t="s">
        <v>285</v>
      </c>
      <c r="T82">
        <v>434.84</v>
      </c>
      <c r="U82">
        <v>8.9</v>
      </c>
      <c r="V82">
        <v>24.34</v>
      </c>
      <c r="W82">
        <v>1797.56</v>
      </c>
      <c r="X82">
        <v>24.32</v>
      </c>
      <c r="Y82">
        <v>7.47</v>
      </c>
      <c r="Z82">
        <v>235.49</v>
      </c>
      <c r="AA82" t="str">
        <f t="shared" si="7"/>
        <v>TRUE</v>
      </c>
      <c r="AB82" t="s">
        <v>285</v>
      </c>
    </row>
  </sheetData>
  <autoFilter ref="J1:J82" xr:uid="{00000000-0009-0000-0000-000003000000}"/>
  <sortState xmlns:xlrd2="http://schemas.microsoft.com/office/spreadsheetml/2017/richdata2" ref="A2:AB82">
    <sortCondition ref="B1:B82"/>
  </sortState>
  <pageMargins left="0.7" right="0.7" top="0.75" bottom="0.75" header="0.3" footer="0.3"/>
  <pageSetup paperSize="9" orientation="portrait" horizontalDpi="0" verticalDpi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C45"/>
  <sheetViews>
    <sheetView workbookViewId="0">
      <pane ySplit="1" topLeftCell="A2" activePane="bottomLeft" state="frozen"/>
      <selection pane="bottomLeft" activeCell="B1" sqref="B1:B1048576"/>
    </sheetView>
  </sheetViews>
  <sheetFormatPr defaultColWidth="11" defaultRowHeight="15.95"/>
  <sheetData>
    <row r="1" spans="1:29">
      <c r="A1" t="s">
        <v>463</v>
      </c>
      <c r="B1" s="8" t="s">
        <v>749</v>
      </c>
      <c r="C1" t="s">
        <v>464</v>
      </c>
      <c r="D1" t="s">
        <v>465</v>
      </c>
      <c r="E1" t="s">
        <v>466</v>
      </c>
      <c r="F1" t="s">
        <v>467</v>
      </c>
      <c r="G1" t="s">
        <v>750</v>
      </c>
      <c r="H1" t="s">
        <v>468</v>
      </c>
      <c r="I1" t="s">
        <v>469</v>
      </c>
      <c r="J1" t="s">
        <v>470</v>
      </c>
      <c r="K1" t="s">
        <v>471</v>
      </c>
      <c r="L1" t="s">
        <v>472</v>
      </c>
      <c r="M1" t="s">
        <v>473</v>
      </c>
      <c r="N1" t="s">
        <v>474</v>
      </c>
      <c r="O1" s="8" t="s">
        <v>703</v>
      </c>
      <c r="P1" s="8" t="s">
        <v>704</v>
      </c>
      <c r="Q1" s="8" t="s">
        <v>705</v>
      </c>
      <c r="R1" s="8" t="s">
        <v>706</v>
      </c>
      <c r="S1" t="s">
        <v>711</v>
      </c>
      <c r="T1" t="s">
        <v>712</v>
      </c>
      <c r="U1" t="s">
        <v>477</v>
      </c>
      <c r="V1" t="s">
        <v>478</v>
      </c>
      <c r="W1" t="s">
        <v>479</v>
      </c>
      <c r="X1" t="s">
        <v>480</v>
      </c>
      <c r="Y1" t="s">
        <v>481</v>
      </c>
      <c r="Z1" t="s">
        <v>482</v>
      </c>
      <c r="AA1" t="s">
        <v>483</v>
      </c>
      <c r="AB1" t="s">
        <v>707</v>
      </c>
      <c r="AC1" t="s">
        <v>476</v>
      </c>
    </row>
    <row r="2" spans="1:29">
      <c r="A2" t="s">
        <v>563</v>
      </c>
      <c r="B2" t="s">
        <v>728</v>
      </c>
      <c r="C2" t="s">
        <v>129</v>
      </c>
      <c r="D2" t="s">
        <v>490</v>
      </c>
      <c r="E2" t="s">
        <v>491</v>
      </c>
      <c r="F2" t="s">
        <v>492</v>
      </c>
      <c r="G2" t="s">
        <v>492</v>
      </c>
      <c r="H2" s="4">
        <v>34403</v>
      </c>
      <c r="I2" s="4">
        <v>43627</v>
      </c>
      <c r="J2">
        <f t="shared" ref="J2:J45" si="0">DATEDIF(H2,I2,"Y")</f>
        <v>25</v>
      </c>
      <c r="K2">
        <v>1</v>
      </c>
      <c r="L2" t="s">
        <v>493</v>
      </c>
      <c r="M2">
        <v>667</v>
      </c>
      <c r="N2">
        <v>6</v>
      </c>
      <c r="O2">
        <v>0</v>
      </c>
      <c r="P2" s="13">
        <v>1</v>
      </c>
      <c r="Q2" s="14">
        <v>0</v>
      </c>
      <c r="R2" s="14">
        <v>1</v>
      </c>
      <c r="S2" t="str">
        <f>IF(T2=C2, "TRUE", "FALSE")</f>
        <v>TRUE</v>
      </c>
      <c r="T2" t="s">
        <v>129</v>
      </c>
      <c r="U2">
        <v>13.91</v>
      </c>
      <c r="V2">
        <v>2.4900000000000002</v>
      </c>
      <c r="W2">
        <v>13.13</v>
      </c>
      <c r="X2">
        <v>562.61</v>
      </c>
      <c r="Y2">
        <v>2500.0100000000002</v>
      </c>
      <c r="Z2">
        <v>250.71</v>
      </c>
      <c r="AA2">
        <v>15.58</v>
      </c>
      <c r="AB2" t="str">
        <f>IF(AC2=C2, "TRUE", "FALSE")</f>
        <v>TRUE</v>
      </c>
      <c r="AC2" t="s">
        <v>129</v>
      </c>
    </row>
    <row r="3" spans="1:29">
      <c r="A3" t="s">
        <v>564</v>
      </c>
      <c r="B3" t="s">
        <v>728</v>
      </c>
      <c r="C3" t="s">
        <v>131</v>
      </c>
      <c r="D3" t="s">
        <v>490</v>
      </c>
      <c r="E3" t="s">
        <v>491</v>
      </c>
      <c r="F3" t="s">
        <v>492</v>
      </c>
      <c r="G3" t="s">
        <v>492</v>
      </c>
      <c r="H3" s="4">
        <v>34403</v>
      </c>
      <c r="I3" s="4">
        <v>43664</v>
      </c>
      <c r="J3">
        <f t="shared" si="0"/>
        <v>25</v>
      </c>
      <c r="K3">
        <v>2</v>
      </c>
      <c r="L3" t="s">
        <v>493</v>
      </c>
      <c r="M3">
        <v>312</v>
      </c>
      <c r="N3">
        <v>3</v>
      </c>
      <c r="O3">
        <v>0</v>
      </c>
      <c r="P3" s="13">
        <v>1</v>
      </c>
      <c r="Q3">
        <v>0</v>
      </c>
      <c r="R3">
        <v>1</v>
      </c>
      <c r="S3" t="str">
        <f t="shared" ref="S3:S45" si="1">IF(T3=C3, "TRUE", "FALSE")</f>
        <v>TRUE</v>
      </c>
      <c r="T3" t="s">
        <v>131</v>
      </c>
      <c r="U3">
        <v>17.68</v>
      </c>
      <c r="V3">
        <v>6.94</v>
      </c>
      <c r="W3">
        <v>73.709999999999994</v>
      </c>
      <c r="X3">
        <v>179.86</v>
      </c>
      <c r="Y3">
        <v>1012.88</v>
      </c>
      <c r="Z3">
        <v>15.11</v>
      </c>
      <c r="AA3">
        <v>2.4900000000000002</v>
      </c>
      <c r="AB3" t="str">
        <f t="shared" ref="AB3:AB45" si="2">IF(AC3=C3, "TRUE", "FALSE")</f>
        <v>TRUE</v>
      </c>
      <c r="AC3" t="s">
        <v>131</v>
      </c>
    </row>
    <row r="4" spans="1:29">
      <c r="A4" t="s">
        <v>567</v>
      </c>
      <c r="B4" t="s">
        <v>751</v>
      </c>
      <c r="C4" t="s">
        <v>137</v>
      </c>
      <c r="D4" t="s">
        <v>501</v>
      </c>
      <c r="E4" t="s">
        <v>502</v>
      </c>
      <c r="F4" t="s">
        <v>499</v>
      </c>
      <c r="G4" t="s">
        <v>492</v>
      </c>
      <c r="H4" s="4">
        <v>22293</v>
      </c>
      <c r="I4" s="4">
        <v>43657</v>
      </c>
      <c r="J4">
        <f t="shared" si="0"/>
        <v>58</v>
      </c>
      <c r="K4">
        <v>1</v>
      </c>
      <c r="L4" t="s">
        <v>493</v>
      </c>
      <c r="M4">
        <v>1013</v>
      </c>
      <c r="N4">
        <v>8</v>
      </c>
      <c r="O4">
        <v>1</v>
      </c>
      <c r="P4">
        <v>2</v>
      </c>
      <c r="Q4">
        <v>1</v>
      </c>
      <c r="R4">
        <v>0</v>
      </c>
      <c r="S4" t="str">
        <f t="shared" si="1"/>
        <v>TRUE</v>
      </c>
      <c r="T4" t="s">
        <v>137</v>
      </c>
      <c r="U4">
        <v>124.01</v>
      </c>
      <c r="V4">
        <v>37</v>
      </c>
      <c r="W4">
        <v>20.57</v>
      </c>
      <c r="X4">
        <v>2500.0100000000002</v>
      </c>
      <c r="Y4">
        <v>2500.0100000000002</v>
      </c>
      <c r="Z4">
        <v>554.33000000000004</v>
      </c>
      <c r="AA4">
        <v>405.08</v>
      </c>
      <c r="AB4" t="str">
        <f t="shared" si="2"/>
        <v>TRUE</v>
      </c>
      <c r="AC4" t="s">
        <v>137</v>
      </c>
    </row>
    <row r="5" spans="1:29">
      <c r="A5" t="s">
        <v>568</v>
      </c>
      <c r="B5" t="s">
        <v>752</v>
      </c>
      <c r="C5" t="s">
        <v>139</v>
      </c>
      <c r="D5" t="s">
        <v>490</v>
      </c>
      <c r="E5" t="s">
        <v>491</v>
      </c>
      <c r="F5" t="s">
        <v>499</v>
      </c>
      <c r="G5" t="s">
        <v>492</v>
      </c>
      <c r="H5" s="4">
        <v>23568</v>
      </c>
      <c r="I5" s="4">
        <v>43658</v>
      </c>
      <c r="J5">
        <f t="shared" si="0"/>
        <v>55</v>
      </c>
      <c r="K5">
        <v>1</v>
      </c>
      <c r="L5" t="s">
        <v>488</v>
      </c>
      <c r="M5">
        <v>4750</v>
      </c>
      <c r="N5">
        <v>10</v>
      </c>
      <c r="O5">
        <v>0</v>
      </c>
      <c r="P5" s="13">
        <v>2</v>
      </c>
      <c r="Q5" s="15">
        <v>1</v>
      </c>
      <c r="R5" s="15">
        <v>0</v>
      </c>
      <c r="S5" t="str">
        <f t="shared" si="1"/>
        <v>TRUE</v>
      </c>
      <c r="T5" t="s">
        <v>139</v>
      </c>
      <c r="U5">
        <v>37.22</v>
      </c>
      <c r="V5">
        <v>40.74</v>
      </c>
      <c r="W5">
        <v>7.02</v>
      </c>
      <c r="X5">
        <v>335.38</v>
      </c>
      <c r="Y5">
        <v>377.07</v>
      </c>
      <c r="Z5">
        <v>21.94</v>
      </c>
      <c r="AA5">
        <v>31.97</v>
      </c>
      <c r="AB5" t="str">
        <f t="shared" si="2"/>
        <v>TRUE</v>
      </c>
      <c r="AC5" t="s">
        <v>139</v>
      </c>
    </row>
    <row r="6" spans="1:29">
      <c r="A6" t="s">
        <v>570</v>
      </c>
      <c r="B6" t="s">
        <v>753</v>
      </c>
      <c r="C6" t="s">
        <v>143</v>
      </c>
      <c r="D6" t="s">
        <v>501</v>
      </c>
      <c r="E6" t="s">
        <v>571</v>
      </c>
      <c r="F6" t="s">
        <v>492</v>
      </c>
      <c r="G6" t="s">
        <v>492</v>
      </c>
      <c r="H6" s="4">
        <v>31009</v>
      </c>
      <c r="I6" s="4">
        <v>43699</v>
      </c>
      <c r="J6">
        <f t="shared" si="0"/>
        <v>34</v>
      </c>
      <c r="K6">
        <v>1</v>
      </c>
      <c r="L6" t="s">
        <v>488</v>
      </c>
      <c r="M6">
        <v>2000</v>
      </c>
      <c r="N6">
        <v>10</v>
      </c>
      <c r="O6">
        <v>1</v>
      </c>
      <c r="P6">
        <v>2</v>
      </c>
      <c r="Q6" s="1">
        <v>1</v>
      </c>
      <c r="R6" s="1">
        <v>0</v>
      </c>
      <c r="S6" t="str">
        <f t="shared" si="1"/>
        <v>TRUE</v>
      </c>
      <c r="T6" t="s">
        <v>143</v>
      </c>
      <c r="U6">
        <v>34.880000000000003</v>
      </c>
      <c r="V6">
        <v>36.369999999999997</v>
      </c>
      <c r="W6">
        <v>16.62</v>
      </c>
      <c r="X6">
        <v>724.12</v>
      </c>
      <c r="Y6">
        <v>184.96</v>
      </c>
      <c r="Z6">
        <v>78.23</v>
      </c>
      <c r="AA6">
        <v>896.09</v>
      </c>
      <c r="AB6" t="str">
        <f t="shared" si="2"/>
        <v>TRUE</v>
      </c>
      <c r="AC6" t="s">
        <v>143</v>
      </c>
    </row>
    <row r="7" spans="1:29">
      <c r="A7" t="s">
        <v>580</v>
      </c>
      <c r="B7" t="s">
        <v>729</v>
      </c>
      <c r="C7" t="s">
        <v>161</v>
      </c>
      <c r="D7" t="s">
        <v>490</v>
      </c>
      <c r="E7" t="s">
        <v>498</v>
      </c>
      <c r="F7" t="s">
        <v>499</v>
      </c>
      <c r="G7" t="s">
        <v>492</v>
      </c>
      <c r="H7" s="4">
        <v>29943</v>
      </c>
      <c r="I7" s="4">
        <v>43733</v>
      </c>
      <c r="J7">
        <f t="shared" si="0"/>
        <v>37</v>
      </c>
      <c r="K7" s="5">
        <v>1</v>
      </c>
      <c r="L7" t="s">
        <v>488</v>
      </c>
      <c r="M7">
        <v>11409</v>
      </c>
      <c r="N7">
        <v>10</v>
      </c>
      <c r="O7">
        <v>0</v>
      </c>
      <c r="P7" s="13">
        <v>3</v>
      </c>
      <c r="Q7" s="14">
        <v>1</v>
      </c>
      <c r="R7" s="14">
        <v>0</v>
      </c>
      <c r="S7" t="str">
        <f t="shared" si="1"/>
        <v>TRUE</v>
      </c>
      <c r="T7" t="s">
        <v>161</v>
      </c>
      <c r="U7">
        <v>214.3</v>
      </c>
      <c r="V7">
        <v>28.99</v>
      </c>
      <c r="W7">
        <v>51.67</v>
      </c>
      <c r="X7">
        <v>128.13</v>
      </c>
      <c r="Y7">
        <v>51.05</v>
      </c>
      <c r="Z7">
        <v>28.3</v>
      </c>
      <c r="AA7">
        <v>48.18</v>
      </c>
      <c r="AB7" t="str">
        <f t="shared" si="2"/>
        <v>TRUE</v>
      </c>
      <c r="AC7" t="s">
        <v>161</v>
      </c>
    </row>
    <row r="8" spans="1:29">
      <c r="A8" t="s">
        <v>581</v>
      </c>
      <c r="B8" t="s">
        <v>754</v>
      </c>
      <c r="C8" t="s">
        <v>163</v>
      </c>
      <c r="D8" t="s">
        <v>501</v>
      </c>
      <c r="E8" t="s">
        <v>582</v>
      </c>
      <c r="F8" t="s">
        <v>492</v>
      </c>
      <c r="G8" t="s">
        <v>492</v>
      </c>
      <c r="H8" s="4">
        <v>21300</v>
      </c>
      <c r="I8" s="4">
        <v>43741</v>
      </c>
      <c r="J8">
        <f t="shared" si="0"/>
        <v>61</v>
      </c>
      <c r="K8">
        <v>1</v>
      </c>
      <c r="L8" t="s">
        <v>493</v>
      </c>
      <c r="M8">
        <v>1217</v>
      </c>
      <c r="N8">
        <v>8</v>
      </c>
      <c r="O8">
        <v>0</v>
      </c>
      <c r="P8">
        <v>1</v>
      </c>
      <c r="Q8">
        <v>0</v>
      </c>
      <c r="R8">
        <v>1</v>
      </c>
      <c r="S8" t="str">
        <f t="shared" si="1"/>
        <v>TRUE</v>
      </c>
      <c r="T8" t="s">
        <v>163</v>
      </c>
      <c r="U8">
        <v>1000.000011</v>
      </c>
      <c r="V8">
        <v>8.7200000000000006</v>
      </c>
      <c r="W8">
        <v>65.84</v>
      </c>
      <c r="X8">
        <v>293.35000000000002</v>
      </c>
      <c r="Y8">
        <v>93.95</v>
      </c>
      <c r="Z8">
        <v>152.97</v>
      </c>
      <c r="AA8">
        <v>2.4900000000000002</v>
      </c>
      <c r="AB8" t="str">
        <f t="shared" si="2"/>
        <v>TRUE</v>
      </c>
      <c r="AC8" t="s">
        <v>163</v>
      </c>
    </row>
    <row r="9" spans="1:29">
      <c r="A9" t="s">
        <v>583</v>
      </c>
      <c r="B9" t="s">
        <v>753</v>
      </c>
      <c r="C9" t="s">
        <v>165</v>
      </c>
      <c r="D9" t="s">
        <v>501</v>
      </c>
      <c r="E9" t="s">
        <v>571</v>
      </c>
      <c r="F9" t="s">
        <v>492</v>
      </c>
      <c r="G9" t="s">
        <v>499</v>
      </c>
      <c r="H9" s="4">
        <v>31009</v>
      </c>
      <c r="I9" s="4">
        <v>43812</v>
      </c>
      <c r="J9">
        <f t="shared" si="0"/>
        <v>35</v>
      </c>
      <c r="K9">
        <v>4</v>
      </c>
      <c r="L9" t="s">
        <v>488</v>
      </c>
      <c r="M9">
        <v>545</v>
      </c>
      <c r="N9">
        <v>4</v>
      </c>
      <c r="O9">
        <v>1</v>
      </c>
      <c r="P9">
        <v>2</v>
      </c>
      <c r="Q9">
        <v>1</v>
      </c>
      <c r="R9">
        <v>0</v>
      </c>
      <c r="S9" t="str">
        <f t="shared" si="1"/>
        <v>TRUE</v>
      </c>
      <c r="T9" t="s">
        <v>165</v>
      </c>
      <c r="U9">
        <v>75.540000000000006</v>
      </c>
      <c r="V9">
        <v>151.47</v>
      </c>
      <c r="W9">
        <v>64.8</v>
      </c>
      <c r="X9">
        <v>463.28</v>
      </c>
      <c r="Y9">
        <v>339.97</v>
      </c>
      <c r="Z9">
        <v>111.37</v>
      </c>
      <c r="AA9">
        <v>77.05</v>
      </c>
      <c r="AB9" t="str">
        <f t="shared" si="2"/>
        <v>TRUE</v>
      </c>
      <c r="AC9" t="s">
        <v>165</v>
      </c>
    </row>
    <row r="10" spans="1:29">
      <c r="A10" t="s">
        <v>584</v>
      </c>
      <c r="B10" t="s">
        <v>755</v>
      </c>
      <c r="C10" t="s">
        <v>167</v>
      </c>
      <c r="D10" t="s">
        <v>501</v>
      </c>
      <c r="E10" t="s">
        <v>571</v>
      </c>
      <c r="F10" t="s">
        <v>499</v>
      </c>
      <c r="G10" t="s">
        <v>499</v>
      </c>
      <c r="H10" s="4">
        <v>29371</v>
      </c>
      <c r="I10" s="4">
        <v>43812</v>
      </c>
      <c r="J10">
        <f t="shared" si="0"/>
        <v>39</v>
      </c>
      <c r="K10">
        <v>2</v>
      </c>
      <c r="L10" t="s">
        <v>493</v>
      </c>
      <c r="M10">
        <v>45</v>
      </c>
      <c r="N10">
        <v>2</v>
      </c>
      <c r="O10">
        <v>1</v>
      </c>
      <c r="P10">
        <v>2</v>
      </c>
      <c r="Q10">
        <v>1</v>
      </c>
      <c r="R10">
        <v>0</v>
      </c>
      <c r="S10" t="str">
        <f t="shared" si="1"/>
        <v>TRUE</v>
      </c>
      <c r="T10" t="s">
        <v>167</v>
      </c>
      <c r="U10">
        <v>58.61</v>
      </c>
      <c r="V10">
        <v>14.96</v>
      </c>
      <c r="W10">
        <v>82.78</v>
      </c>
      <c r="X10">
        <v>330.22</v>
      </c>
      <c r="Y10">
        <v>229.44</v>
      </c>
      <c r="Z10">
        <v>38.47</v>
      </c>
      <c r="AA10">
        <v>2.4900000000000002</v>
      </c>
      <c r="AB10" t="str">
        <f t="shared" si="2"/>
        <v>TRUE</v>
      </c>
      <c r="AC10" t="s">
        <v>167</v>
      </c>
    </row>
    <row r="11" spans="1:29">
      <c r="A11" t="s">
        <v>668</v>
      </c>
      <c r="B11" t="s">
        <v>756</v>
      </c>
      <c r="C11" t="s">
        <v>327</v>
      </c>
      <c r="D11" t="s">
        <v>501</v>
      </c>
      <c r="E11" t="s">
        <v>538</v>
      </c>
      <c r="F11" t="s">
        <v>499</v>
      </c>
      <c r="G11" t="s">
        <v>499</v>
      </c>
      <c r="H11" s="4">
        <v>19925</v>
      </c>
      <c r="I11" s="4">
        <v>43677</v>
      </c>
      <c r="J11">
        <f t="shared" si="0"/>
        <v>65</v>
      </c>
      <c r="K11">
        <v>1</v>
      </c>
      <c r="L11" t="s">
        <v>493</v>
      </c>
      <c r="M11">
        <v>329</v>
      </c>
      <c r="N11">
        <v>2</v>
      </c>
      <c r="O11">
        <v>1</v>
      </c>
      <c r="P11">
        <v>3</v>
      </c>
      <c r="Q11">
        <v>1</v>
      </c>
      <c r="R11">
        <v>0</v>
      </c>
      <c r="S11" t="str">
        <f t="shared" si="1"/>
        <v>TRUE</v>
      </c>
      <c r="T11" t="s">
        <v>327</v>
      </c>
      <c r="U11">
        <v>19.7</v>
      </c>
      <c r="V11">
        <v>32.630000000000003</v>
      </c>
      <c r="W11">
        <v>8.66</v>
      </c>
      <c r="X11">
        <v>43.25</v>
      </c>
      <c r="Y11">
        <v>34.58</v>
      </c>
      <c r="Z11">
        <v>7.22</v>
      </c>
      <c r="AA11">
        <v>12.39</v>
      </c>
      <c r="AB11" t="str">
        <f t="shared" si="2"/>
        <v>TRUE</v>
      </c>
      <c r="AC11" t="s">
        <v>327</v>
      </c>
    </row>
    <row r="12" spans="1:29">
      <c r="A12" t="s">
        <v>669</v>
      </c>
      <c r="B12" t="s">
        <v>757</v>
      </c>
      <c r="C12" t="s">
        <v>329</v>
      </c>
      <c r="D12" t="s">
        <v>490</v>
      </c>
      <c r="E12" t="s">
        <v>491</v>
      </c>
      <c r="F12" t="s">
        <v>499</v>
      </c>
      <c r="G12" t="s">
        <v>499</v>
      </c>
      <c r="H12" s="4">
        <v>34948</v>
      </c>
      <c r="I12" s="4">
        <v>43690</v>
      </c>
      <c r="J12">
        <f t="shared" si="0"/>
        <v>23</v>
      </c>
      <c r="K12">
        <v>1</v>
      </c>
      <c r="L12" t="s">
        <v>493</v>
      </c>
      <c r="M12">
        <v>7699</v>
      </c>
      <c r="N12">
        <v>6</v>
      </c>
      <c r="O12">
        <v>0</v>
      </c>
      <c r="P12" s="13">
        <v>2</v>
      </c>
      <c r="Q12" s="15">
        <v>1</v>
      </c>
      <c r="R12" s="15">
        <v>0</v>
      </c>
      <c r="S12" t="str">
        <f t="shared" si="1"/>
        <v>TRUE</v>
      </c>
      <c r="T12" t="s">
        <v>329</v>
      </c>
      <c r="U12">
        <v>28.77</v>
      </c>
      <c r="V12">
        <v>13.94</v>
      </c>
      <c r="W12">
        <v>13.5</v>
      </c>
      <c r="X12">
        <v>9.18</v>
      </c>
      <c r="Y12">
        <v>21.38</v>
      </c>
      <c r="Z12">
        <v>6.42</v>
      </c>
      <c r="AA12">
        <v>2.4900000000000002</v>
      </c>
      <c r="AB12" t="str">
        <f t="shared" si="2"/>
        <v>TRUE</v>
      </c>
      <c r="AC12" t="s">
        <v>329</v>
      </c>
    </row>
    <row r="13" spans="1:29">
      <c r="A13" t="s">
        <v>670</v>
      </c>
      <c r="B13" t="s">
        <v>728</v>
      </c>
      <c r="C13" t="s">
        <v>331</v>
      </c>
      <c r="D13" t="s">
        <v>490</v>
      </c>
      <c r="E13" t="s">
        <v>491</v>
      </c>
      <c r="F13" t="s">
        <v>492</v>
      </c>
      <c r="G13" t="s">
        <v>492</v>
      </c>
      <c r="H13" s="4">
        <v>34403</v>
      </c>
      <c r="I13" s="4">
        <v>43690</v>
      </c>
      <c r="J13">
        <f t="shared" si="0"/>
        <v>25</v>
      </c>
      <c r="K13">
        <v>3</v>
      </c>
      <c r="L13" t="s">
        <v>493</v>
      </c>
      <c r="M13">
        <v>3772</v>
      </c>
      <c r="N13">
        <v>7</v>
      </c>
      <c r="O13">
        <v>0</v>
      </c>
      <c r="P13" s="13">
        <v>1</v>
      </c>
      <c r="Q13">
        <v>0</v>
      </c>
      <c r="R13">
        <v>1</v>
      </c>
      <c r="S13" t="str">
        <f t="shared" si="1"/>
        <v>TRUE</v>
      </c>
      <c r="T13" t="s">
        <v>331</v>
      </c>
      <c r="U13">
        <v>24.89</v>
      </c>
      <c r="V13">
        <v>5.71</v>
      </c>
      <c r="W13">
        <v>30.51</v>
      </c>
      <c r="X13">
        <v>50.31</v>
      </c>
      <c r="Y13">
        <v>118.34</v>
      </c>
      <c r="Z13">
        <v>11.57</v>
      </c>
      <c r="AA13">
        <v>2.4900000000000002</v>
      </c>
      <c r="AB13" t="str">
        <f t="shared" si="2"/>
        <v>TRUE</v>
      </c>
      <c r="AC13" t="s">
        <v>331</v>
      </c>
    </row>
    <row r="14" spans="1:29">
      <c r="A14" t="s">
        <v>671</v>
      </c>
      <c r="B14" t="s">
        <v>752</v>
      </c>
      <c r="C14" t="s">
        <v>333</v>
      </c>
      <c r="D14" t="s">
        <v>490</v>
      </c>
      <c r="E14" t="s">
        <v>491</v>
      </c>
      <c r="F14" t="s">
        <v>499</v>
      </c>
      <c r="G14" t="s">
        <v>499</v>
      </c>
      <c r="H14" s="4">
        <v>23568</v>
      </c>
      <c r="I14" s="4">
        <v>43699</v>
      </c>
      <c r="J14">
        <f t="shared" si="0"/>
        <v>55</v>
      </c>
      <c r="K14">
        <v>2</v>
      </c>
      <c r="L14" t="s">
        <v>488</v>
      </c>
      <c r="M14">
        <v>57</v>
      </c>
      <c r="N14">
        <v>4</v>
      </c>
      <c r="O14">
        <v>0</v>
      </c>
      <c r="P14" s="13">
        <v>2</v>
      </c>
      <c r="Q14">
        <v>1</v>
      </c>
      <c r="R14">
        <v>0</v>
      </c>
      <c r="S14" t="str">
        <f t="shared" si="1"/>
        <v>TRUE</v>
      </c>
      <c r="T14" t="s">
        <v>333</v>
      </c>
      <c r="U14">
        <v>31.3</v>
      </c>
      <c r="V14">
        <v>32.31</v>
      </c>
      <c r="W14">
        <v>7.63</v>
      </c>
      <c r="X14">
        <v>54.8</v>
      </c>
      <c r="Y14">
        <v>106.37</v>
      </c>
      <c r="Z14">
        <v>7.38</v>
      </c>
      <c r="AA14">
        <v>17.829999999999998</v>
      </c>
      <c r="AB14" t="str">
        <f t="shared" si="2"/>
        <v>TRUE</v>
      </c>
      <c r="AC14" t="s">
        <v>333</v>
      </c>
    </row>
    <row r="15" spans="1:29">
      <c r="A15" t="s">
        <v>672</v>
      </c>
      <c r="B15" t="s">
        <v>758</v>
      </c>
      <c r="C15" t="s">
        <v>335</v>
      </c>
      <c r="D15" t="s">
        <v>501</v>
      </c>
      <c r="E15" t="s">
        <v>532</v>
      </c>
      <c r="F15" t="s">
        <v>492</v>
      </c>
      <c r="G15" t="s">
        <v>499</v>
      </c>
      <c r="H15" s="4">
        <v>18937</v>
      </c>
      <c r="I15" s="4">
        <v>43711</v>
      </c>
      <c r="J15">
        <f t="shared" si="0"/>
        <v>67</v>
      </c>
      <c r="K15">
        <v>1</v>
      </c>
      <c r="L15" t="s">
        <v>488</v>
      </c>
      <c r="M15">
        <v>715</v>
      </c>
      <c r="N15">
        <v>5</v>
      </c>
      <c r="O15">
        <v>1</v>
      </c>
      <c r="P15">
        <v>3</v>
      </c>
      <c r="Q15">
        <v>1</v>
      </c>
      <c r="R15">
        <v>0</v>
      </c>
      <c r="S15" t="str">
        <f t="shared" si="1"/>
        <v>TRUE</v>
      </c>
      <c r="T15" t="s">
        <v>335</v>
      </c>
      <c r="U15">
        <v>18.14</v>
      </c>
      <c r="V15">
        <v>29.49</v>
      </c>
      <c r="W15">
        <v>7.13</v>
      </c>
      <c r="X15">
        <v>53.87</v>
      </c>
      <c r="Y15">
        <v>56.99</v>
      </c>
      <c r="Z15">
        <v>5.88</v>
      </c>
      <c r="AA15">
        <v>10.53</v>
      </c>
      <c r="AB15" t="str">
        <f t="shared" si="2"/>
        <v>TRUE</v>
      </c>
      <c r="AC15" t="s">
        <v>335</v>
      </c>
    </row>
    <row r="16" spans="1:29">
      <c r="A16" t="s">
        <v>673</v>
      </c>
      <c r="B16" t="s">
        <v>728</v>
      </c>
      <c r="C16" t="s">
        <v>337</v>
      </c>
      <c r="D16" t="s">
        <v>490</v>
      </c>
      <c r="E16" t="s">
        <v>491</v>
      </c>
      <c r="F16" t="s">
        <v>492</v>
      </c>
      <c r="H16" s="4">
        <v>34403</v>
      </c>
      <c r="I16" s="4">
        <v>43718</v>
      </c>
      <c r="J16">
        <f t="shared" si="0"/>
        <v>25</v>
      </c>
      <c r="K16">
        <v>4</v>
      </c>
      <c r="L16" t="s">
        <v>493</v>
      </c>
      <c r="M16">
        <v>904</v>
      </c>
      <c r="N16">
        <v>5</v>
      </c>
      <c r="O16">
        <v>0</v>
      </c>
      <c r="P16" s="13">
        <v>1</v>
      </c>
      <c r="Q16">
        <v>0</v>
      </c>
      <c r="R16">
        <v>1</v>
      </c>
      <c r="S16" t="str">
        <f t="shared" si="1"/>
        <v>TRUE</v>
      </c>
      <c r="T16" t="s">
        <v>337</v>
      </c>
      <c r="U16">
        <v>29.54</v>
      </c>
      <c r="V16">
        <v>16.329999999999998</v>
      </c>
      <c r="W16">
        <v>64.63</v>
      </c>
      <c r="X16">
        <v>2500.0100000000002</v>
      </c>
      <c r="Y16">
        <v>1900.76</v>
      </c>
      <c r="Z16">
        <v>40.86</v>
      </c>
      <c r="AA16">
        <v>27.79</v>
      </c>
      <c r="AB16" t="str">
        <f t="shared" si="2"/>
        <v>TRUE</v>
      </c>
      <c r="AC16" t="s">
        <v>337</v>
      </c>
    </row>
    <row r="17" spans="1:29">
      <c r="A17" t="s">
        <v>674</v>
      </c>
      <c r="B17" t="s">
        <v>757</v>
      </c>
      <c r="C17" t="s">
        <v>339</v>
      </c>
      <c r="D17" t="s">
        <v>490</v>
      </c>
      <c r="E17" t="s">
        <v>491</v>
      </c>
      <c r="F17" t="s">
        <v>499</v>
      </c>
      <c r="H17" s="4">
        <v>34948</v>
      </c>
      <c r="I17" s="4">
        <v>43719</v>
      </c>
      <c r="J17">
        <f t="shared" si="0"/>
        <v>24</v>
      </c>
      <c r="K17">
        <v>2</v>
      </c>
      <c r="L17" t="s">
        <v>493</v>
      </c>
      <c r="M17">
        <v>251</v>
      </c>
      <c r="N17">
        <v>4</v>
      </c>
      <c r="O17">
        <v>0</v>
      </c>
      <c r="P17" s="13">
        <v>2</v>
      </c>
      <c r="Q17">
        <v>1</v>
      </c>
      <c r="R17">
        <v>0</v>
      </c>
      <c r="S17" t="str">
        <f t="shared" si="1"/>
        <v>TRUE</v>
      </c>
      <c r="T17" t="s">
        <v>339</v>
      </c>
      <c r="U17">
        <v>52.89</v>
      </c>
      <c r="V17">
        <v>26.21</v>
      </c>
      <c r="W17">
        <v>27.28</v>
      </c>
      <c r="X17">
        <v>49.23</v>
      </c>
      <c r="Y17">
        <v>59.18</v>
      </c>
      <c r="Z17">
        <v>8.7899999999999991</v>
      </c>
      <c r="AA17">
        <v>5.75</v>
      </c>
      <c r="AB17" t="str">
        <f t="shared" si="2"/>
        <v>TRUE</v>
      </c>
      <c r="AC17" t="s">
        <v>339</v>
      </c>
    </row>
    <row r="18" spans="1:29">
      <c r="A18" t="s">
        <v>675</v>
      </c>
      <c r="B18" t="s">
        <v>756</v>
      </c>
      <c r="C18" t="s">
        <v>341</v>
      </c>
      <c r="D18" t="s">
        <v>501</v>
      </c>
      <c r="E18" t="s">
        <v>538</v>
      </c>
      <c r="F18" t="s">
        <v>499</v>
      </c>
      <c r="H18" s="4">
        <v>19925</v>
      </c>
      <c r="I18" s="4">
        <v>43705</v>
      </c>
      <c r="J18">
        <f t="shared" si="0"/>
        <v>65</v>
      </c>
      <c r="K18">
        <v>2</v>
      </c>
      <c r="L18" t="s">
        <v>493</v>
      </c>
      <c r="M18">
        <v>122</v>
      </c>
      <c r="N18">
        <v>2</v>
      </c>
      <c r="O18">
        <v>1</v>
      </c>
      <c r="P18">
        <v>3</v>
      </c>
      <c r="Q18">
        <v>1</v>
      </c>
      <c r="R18">
        <v>0</v>
      </c>
      <c r="S18" t="str">
        <f t="shared" si="1"/>
        <v>TRUE</v>
      </c>
      <c r="T18" t="s">
        <v>341</v>
      </c>
      <c r="U18">
        <v>20.34</v>
      </c>
      <c r="V18">
        <v>11.87</v>
      </c>
      <c r="W18">
        <v>9.2100000000000009</v>
      </c>
      <c r="X18">
        <v>31.62</v>
      </c>
      <c r="Y18">
        <v>33.43</v>
      </c>
      <c r="Z18">
        <v>4.38</v>
      </c>
      <c r="AA18">
        <v>5.84</v>
      </c>
      <c r="AB18" t="str">
        <f t="shared" si="2"/>
        <v>TRUE</v>
      </c>
      <c r="AC18" t="s">
        <v>341</v>
      </c>
    </row>
    <row r="19" spans="1:29">
      <c r="A19" t="s">
        <v>676</v>
      </c>
      <c r="B19" t="s">
        <v>756</v>
      </c>
      <c r="C19" t="s">
        <v>343</v>
      </c>
      <c r="D19" t="s">
        <v>501</v>
      </c>
      <c r="E19" t="s">
        <v>538</v>
      </c>
      <c r="F19" t="s">
        <v>499</v>
      </c>
      <c r="H19" s="4">
        <v>19925</v>
      </c>
      <c r="I19" s="4">
        <v>43733</v>
      </c>
      <c r="J19">
        <f t="shared" si="0"/>
        <v>65</v>
      </c>
      <c r="K19">
        <v>3</v>
      </c>
      <c r="L19" t="s">
        <v>493</v>
      </c>
      <c r="M19">
        <v>220</v>
      </c>
      <c r="N19">
        <v>2</v>
      </c>
      <c r="O19">
        <v>1</v>
      </c>
      <c r="P19">
        <v>3</v>
      </c>
      <c r="Q19">
        <v>0</v>
      </c>
      <c r="R19">
        <v>0</v>
      </c>
      <c r="S19" t="str">
        <f t="shared" si="1"/>
        <v>TRUE</v>
      </c>
      <c r="T19" t="s">
        <v>343</v>
      </c>
      <c r="U19">
        <v>27.09</v>
      </c>
      <c r="V19">
        <v>13.21</v>
      </c>
      <c r="W19">
        <v>7.47</v>
      </c>
      <c r="X19">
        <v>120.9</v>
      </c>
      <c r="Y19">
        <v>118.33</v>
      </c>
      <c r="Z19">
        <v>8.9</v>
      </c>
      <c r="AA19">
        <v>18.64</v>
      </c>
      <c r="AB19" t="str">
        <f t="shared" si="2"/>
        <v>TRUE</v>
      </c>
      <c r="AC19" t="s">
        <v>343</v>
      </c>
    </row>
    <row r="20" spans="1:29">
      <c r="A20" t="s">
        <v>677</v>
      </c>
      <c r="B20" t="s">
        <v>753</v>
      </c>
      <c r="C20" t="s">
        <v>345</v>
      </c>
      <c r="D20" t="s">
        <v>501</v>
      </c>
      <c r="E20" t="s">
        <v>571</v>
      </c>
      <c r="F20" t="s">
        <v>492</v>
      </c>
      <c r="H20" s="4">
        <v>31009</v>
      </c>
      <c r="I20" s="4">
        <v>43763</v>
      </c>
      <c r="J20">
        <f t="shared" si="0"/>
        <v>34</v>
      </c>
      <c r="K20">
        <v>2</v>
      </c>
      <c r="L20" t="s">
        <v>488</v>
      </c>
      <c r="M20">
        <v>445</v>
      </c>
      <c r="N20">
        <v>2</v>
      </c>
      <c r="O20">
        <v>1</v>
      </c>
      <c r="P20">
        <v>2</v>
      </c>
      <c r="Q20">
        <v>1</v>
      </c>
      <c r="R20">
        <v>0</v>
      </c>
      <c r="S20" t="str">
        <f t="shared" si="1"/>
        <v>TRUE</v>
      </c>
      <c r="T20" t="s">
        <v>345</v>
      </c>
      <c r="U20">
        <v>42.02</v>
      </c>
      <c r="V20">
        <v>87.47</v>
      </c>
      <c r="W20">
        <v>34.61</v>
      </c>
      <c r="X20">
        <v>246.84</v>
      </c>
      <c r="Y20">
        <v>141.99</v>
      </c>
      <c r="Z20">
        <v>32.869999999999997</v>
      </c>
      <c r="AA20">
        <v>72.599999999999994</v>
      </c>
      <c r="AB20" t="str">
        <f t="shared" si="2"/>
        <v>TRUE</v>
      </c>
      <c r="AC20" t="s">
        <v>345</v>
      </c>
    </row>
    <row r="21" spans="1:29">
      <c r="A21" t="s">
        <v>678</v>
      </c>
      <c r="B21" t="s">
        <v>752</v>
      </c>
      <c r="C21" t="s">
        <v>347</v>
      </c>
      <c r="D21" t="s">
        <v>490</v>
      </c>
      <c r="E21" t="s">
        <v>491</v>
      </c>
      <c r="F21" t="s">
        <v>499</v>
      </c>
      <c r="H21" s="4">
        <v>23568</v>
      </c>
      <c r="I21" s="4">
        <v>43728</v>
      </c>
      <c r="J21">
        <f t="shared" si="0"/>
        <v>55</v>
      </c>
      <c r="K21">
        <v>3</v>
      </c>
      <c r="L21" t="s">
        <v>488</v>
      </c>
      <c r="M21">
        <v>15</v>
      </c>
      <c r="N21">
        <v>3</v>
      </c>
      <c r="O21">
        <v>0</v>
      </c>
      <c r="P21" s="13">
        <v>2</v>
      </c>
      <c r="Q21">
        <v>1</v>
      </c>
      <c r="R21">
        <v>0</v>
      </c>
      <c r="S21" t="str">
        <f t="shared" si="1"/>
        <v>TRUE</v>
      </c>
      <c r="T21" t="s">
        <v>347</v>
      </c>
      <c r="U21">
        <v>36.659999999999997</v>
      </c>
      <c r="V21">
        <v>32.729999999999997</v>
      </c>
      <c r="W21">
        <v>15.26</v>
      </c>
      <c r="X21">
        <v>157.94</v>
      </c>
      <c r="Y21">
        <v>182.32</v>
      </c>
      <c r="Z21">
        <v>40.21</v>
      </c>
      <c r="AA21">
        <v>22.11</v>
      </c>
      <c r="AB21" t="str">
        <f t="shared" si="2"/>
        <v>TRUE</v>
      </c>
      <c r="AC21" t="s">
        <v>347</v>
      </c>
    </row>
    <row r="22" spans="1:29">
      <c r="A22" t="s">
        <v>679</v>
      </c>
      <c r="B22" t="s">
        <v>751</v>
      </c>
      <c r="C22" t="s">
        <v>349</v>
      </c>
      <c r="D22" t="s">
        <v>501</v>
      </c>
      <c r="E22" t="s">
        <v>502</v>
      </c>
      <c r="F22" t="s">
        <v>499</v>
      </c>
      <c r="H22" s="4">
        <v>22293</v>
      </c>
      <c r="I22" s="4">
        <v>43754</v>
      </c>
      <c r="J22">
        <f t="shared" si="0"/>
        <v>58</v>
      </c>
      <c r="K22">
        <v>2</v>
      </c>
      <c r="L22" t="s">
        <v>493</v>
      </c>
      <c r="M22">
        <v>254</v>
      </c>
      <c r="N22">
        <v>2</v>
      </c>
      <c r="O22">
        <v>1</v>
      </c>
      <c r="P22">
        <v>2</v>
      </c>
      <c r="Q22" s="15">
        <v>1</v>
      </c>
      <c r="R22" s="15">
        <v>0</v>
      </c>
      <c r="S22" t="str">
        <f t="shared" si="1"/>
        <v>TRUE</v>
      </c>
      <c r="T22" t="s">
        <v>349</v>
      </c>
      <c r="U22">
        <v>279.95</v>
      </c>
      <c r="V22">
        <v>64.44</v>
      </c>
      <c r="W22">
        <v>46.04</v>
      </c>
      <c r="X22">
        <v>278.26</v>
      </c>
      <c r="Y22">
        <v>342.46</v>
      </c>
      <c r="Z22">
        <v>67.87</v>
      </c>
      <c r="AA22">
        <v>56.36</v>
      </c>
      <c r="AB22" t="str">
        <f t="shared" si="2"/>
        <v>TRUE</v>
      </c>
      <c r="AC22" t="s">
        <v>349</v>
      </c>
    </row>
    <row r="23" spans="1:29">
      <c r="A23" t="s">
        <v>680</v>
      </c>
      <c r="B23" t="s">
        <v>757</v>
      </c>
      <c r="C23" t="s">
        <v>351</v>
      </c>
      <c r="D23" t="s">
        <v>490</v>
      </c>
      <c r="E23" t="s">
        <v>491</v>
      </c>
      <c r="F23" t="s">
        <v>499</v>
      </c>
      <c r="H23" s="4">
        <v>34948</v>
      </c>
      <c r="I23" s="4">
        <v>43755</v>
      </c>
      <c r="J23">
        <f t="shared" si="0"/>
        <v>24</v>
      </c>
      <c r="K23">
        <v>3</v>
      </c>
      <c r="L23" t="s">
        <v>493</v>
      </c>
      <c r="M23">
        <v>15</v>
      </c>
      <c r="N23">
        <v>1</v>
      </c>
      <c r="O23">
        <v>0</v>
      </c>
      <c r="P23" s="13">
        <v>2</v>
      </c>
      <c r="Q23">
        <v>0</v>
      </c>
      <c r="R23">
        <v>1</v>
      </c>
      <c r="S23" t="str">
        <f t="shared" si="1"/>
        <v>TRUE</v>
      </c>
      <c r="T23" t="s">
        <v>351</v>
      </c>
      <c r="U23">
        <v>68.58</v>
      </c>
      <c r="V23">
        <v>30.56</v>
      </c>
      <c r="W23">
        <v>32.24</v>
      </c>
      <c r="X23">
        <v>139.19999999999999</v>
      </c>
      <c r="Y23">
        <v>213.79</v>
      </c>
      <c r="Z23">
        <v>76.86</v>
      </c>
      <c r="AA23">
        <v>20.49</v>
      </c>
      <c r="AB23" t="str">
        <f t="shared" si="2"/>
        <v>TRUE</v>
      </c>
      <c r="AC23" t="s">
        <v>351</v>
      </c>
    </row>
    <row r="24" spans="1:29">
      <c r="A24" t="s">
        <v>681</v>
      </c>
      <c r="B24" t="s">
        <v>752</v>
      </c>
      <c r="C24" t="s">
        <v>353</v>
      </c>
      <c r="D24" t="s">
        <v>490</v>
      </c>
      <c r="E24" t="s">
        <v>491</v>
      </c>
      <c r="F24" t="s">
        <v>499</v>
      </c>
      <c r="H24" s="4">
        <v>23568</v>
      </c>
      <c r="I24" s="4">
        <v>43756</v>
      </c>
      <c r="J24">
        <f t="shared" si="0"/>
        <v>55</v>
      </c>
      <c r="K24">
        <v>4</v>
      </c>
      <c r="L24" t="s">
        <v>488</v>
      </c>
      <c r="M24">
        <v>51</v>
      </c>
      <c r="N24">
        <v>2</v>
      </c>
      <c r="O24">
        <v>0</v>
      </c>
      <c r="P24" s="13">
        <v>2</v>
      </c>
      <c r="Q24">
        <v>1</v>
      </c>
      <c r="R24">
        <v>0</v>
      </c>
      <c r="S24" t="str">
        <f t="shared" si="1"/>
        <v>TRUE</v>
      </c>
      <c r="T24" t="s">
        <v>353</v>
      </c>
      <c r="U24">
        <v>23.12</v>
      </c>
      <c r="V24">
        <v>27.33</v>
      </c>
      <c r="W24">
        <v>10.98</v>
      </c>
      <c r="X24">
        <v>47.04</v>
      </c>
      <c r="Y24">
        <v>69.790000000000006</v>
      </c>
      <c r="Z24">
        <v>6.92</v>
      </c>
      <c r="AA24">
        <v>3.68</v>
      </c>
      <c r="AB24" t="str">
        <f t="shared" si="2"/>
        <v>TRUE</v>
      </c>
      <c r="AC24" t="s">
        <v>353</v>
      </c>
    </row>
    <row r="25" spans="1:29">
      <c r="A25" t="s">
        <v>682</v>
      </c>
      <c r="B25" t="s">
        <v>756</v>
      </c>
      <c r="C25" t="s">
        <v>355</v>
      </c>
      <c r="D25" t="s">
        <v>501</v>
      </c>
      <c r="E25" t="s">
        <v>538</v>
      </c>
      <c r="F25" t="s">
        <v>499</v>
      </c>
      <c r="H25" s="4">
        <v>19925</v>
      </c>
      <c r="I25" s="4">
        <v>43768</v>
      </c>
      <c r="J25">
        <f t="shared" si="0"/>
        <v>65</v>
      </c>
      <c r="K25">
        <v>4</v>
      </c>
      <c r="L25" t="s">
        <v>493</v>
      </c>
      <c r="M25">
        <v>157</v>
      </c>
      <c r="N25">
        <v>3</v>
      </c>
      <c r="O25">
        <v>1</v>
      </c>
      <c r="P25">
        <v>3</v>
      </c>
      <c r="Q25">
        <v>1</v>
      </c>
      <c r="R25">
        <v>0</v>
      </c>
      <c r="S25" t="str">
        <f t="shared" si="1"/>
        <v>TRUE</v>
      </c>
      <c r="T25" t="s">
        <v>355</v>
      </c>
      <c r="U25">
        <v>19.38</v>
      </c>
      <c r="V25">
        <v>21.28</v>
      </c>
      <c r="W25">
        <v>16.7</v>
      </c>
      <c r="X25">
        <v>102.11</v>
      </c>
      <c r="Y25">
        <v>210.33</v>
      </c>
      <c r="Z25">
        <v>16.91</v>
      </c>
      <c r="AA25">
        <v>16.899999999999999</v>
      </c>
      <c r="AB25" t="str">
        <f t="shared" si="2"/>
        <v>TRUE</v>
      </c>
      <c r="AC25" t="s">
        <v>355</v>
      </c>
    </row>
    <row r="26" spans="1:29">
      <c r="A26" t="s">
        <v>683</v>
      </c>
      <c r="B26" t="s">
        <v>754</v>
      </c>
      <c r="C26" t="s">
        <v>357</v>
      </c>
      <c r="D26" t="s">
        <v>501</v>
      </c>
      <c r="E26" t="s">
        <v>582</v>
      </c>
      <c r="F26" t="s">
        <v>492</v>
      </c>
      <c r="H26" s="4">
        <v>21300</v>
      </c>
      <c r="I26" s="4">
        <v>43770</v>
      </c>
      <c r="J26">
        <f t="shared" si="0"/>
        <v>61</v>
      </c>
      <c r="K26">
        <v>2</v>
      </c>
      <c r="L26" t="s">
        <v>493</v>
      </c>
      <c r="M26">
        <v>921</v>
      </c>
      <c r="N26">
        <v>12</v>
      </c>
      <c r="O26">
        <v>0</v>
      </c>
      <c r="P26">
        <v>1</v>
      </c>
      <c r="Q26">
        <v>0</v>
      </c>
      <c r="R26">
        <v>1</v>
      </c>
      <c r="S26" t="str">
        <f t="shared" si="1"/>
        <v>TRUE</v>
      </c>
      <c r="T26" t="s">
        <v>357</v>
      </c>
      <c r="U26">
        <v>1000.000011</v>
      </c>
      <c r="V26">
        <v>5.0599999999999996</v>
      </c>
      <c r="W26">
        <v>89.35</v>
      </c>
      <c r="X26">
        <v>2500.0100000000002</v>
      </c>
      <c r="Y26">
        <v>2500.0100000000002</v>
      </c>
      <c r="Z26">
        <v>705.28</v>
      </c>
      <c r="AA26">
        <v>4.8600000000000003</v>
      </c>
      <c r="AB26" t="str">
        <f t="shared" si="2"/>
        <v>TRUE</v>
      </c>
      <c r="AC26" t="s">
        <v>357</v>
      </c>
    </row>
    <row r="27" spans="1:29">
      <c r="A27" t="s">
        <v>684</v>
      </c>
      <c r="B27" t="s">
        <v>757</v>
      </c>
      <c r="C27" t="s">
        <v>359</v>
      </c>
      <c r="D27" t="s">
        <v>490</v>
      </c>
      <c r="E27" t="s">
        <v>491</v>
      </c>
      <c r="F27" t="s">
        <v>499</v>
      </c>
      <c r="H27" s="4">
        <v>34948</v>
      </c>
      <c r="I27" s="4">
        <v>43788</v>
      </c>
      <c r="J27">
        <f t="shared" si="0"/>
        <v>24</v>
      </c>
      <c r="K27">
        <v>4</v>
      </c>
      <c r="L27" t="s">
        <v>493</v>
      </c>
      <c r="M27">
        <v>61</v>
      </c>
      <c r="N27">
        <v>1</v>
      </c>
      <c r="O27">
        <v>0</v>
      </c>
      <c r="P27" s="13">
        <v>2</v>
      </c>
      <c r="Q27">
        <v>1</v>
      </c>
      <c r="R27">
        <v>0</v>
      </c>
      <c r="S27" t="str">
        <f t="shared" si="1"/>
        <v>TRUE</v>
      </c>
      <c r="T27" t="s">
        <v>359</v>
      </c>
      <c r="U27">
        <v>523.33000000000004</v>
      </c>
      <c r="V27">
        <v>125.33</v>
      </c>
      <c r="W27">
        <v>130.28</v>
      </c>
      <c r="X27">
        <v>713.13</v>
      </c>
      <c r="Y27">
        <v>630.09</v>
      </c>
      <c r="Z27">
        <v>233.73</v>
      </c>
      <c r="AA27">
        <v>198.36</v>
      </c>
      <c r="AB27" t="str">
        <f t="shared" si="2"/>
        <v>TRUE</v>
      </c>
      <c r="AC27" t="s">
        <v>359</v>
      </c>
    </row>
    <row r="28" spans="1:29">
      <c r="A28" t="s">
        <v>685</v>
      </c>
      <c r="B28" t="s">
        <v>751</v>
      </c>
      <c r="C28" t="s">
        <v>361</v>
      </c>
      <c r="D28" t="s">
        <v>501</v>
      </c>
      <c r="E28" t="s">
        <v>502</v>
      </c>
      <c r="F28" t="s">
        <v>499</v>
      </c>
      <c r="H28" s="4">
        <v>22293</v>
      </c>
      <c r="I28" s="4">
        <v>43816</v>
      </c>
      <c r="J28">
        <f t="shared" si="0"/>
        <v>58</v>
      </c>
      <c r="K28">
        <v>4</v>
      </c>
      <c r="L28" t="s">
        <v>493</v>
      </c>
      <c r="M28">
        <v>653</v>
      </c>
      <c r="N28">
        <v>0</v>
      </c>
      <c r="O28">
        <v>1</v>
      </c>
      <c r="P28">
        <v>2</v>
      </c>
      <c r="Q28" s="15">
        <v>1</v>
      </c>
      <c r="R28" s="15">
        <v>0</v>
      </c>
      <c r="S28" t="str">
        <f t="shared" si="1"/>
        <v>TRUE</v>
      </c>
      <c r="T28" t="s">
        <v>361</v>
      </c>
      <c r="U28">
        <v>220.23</v>
      </c>
      <c r="V28">
        <v>18.03</v>
      </c>
      <c r="W28">
        <v>40.049999999999997</v>
      </c>
      <c r="X28">
        <v>16.63</v>
      </c>
      <c r="Y28">
        <v>9.27</v>
      </c>
      <c r="Z28">
        <v>2.5099999999999998</v>
      </c>
      <c r="AA28">
        <v>9.64</v>
      </c>
      <c r="AB28" t="str">
        <f t="shared" si="2"/>
        <v>TRUE</v>
      </c>
      <c r="AC28" t="s">
        <v>361</v>
      </c>
    </row>
    <row r="29" spans="1:29">
      <c r="A29" t="s">
        <v>686</v>
      </c>
      <c r="B29" t="s">
        <v>759</v>
      </c>
      <c r="C29" t="s">
        <v>363</v>
      </c>
      <c r="D29" t="s">
        <v>501</v>
      </c>
      <c r="E29" t="s">
        <v>502</v>
      </c>
      <c r="F29" t="s">
        <v>499</v>
      </c>
      <c r="H29" s="4">
        <v>33023</v>
      </c>
      <c r="I29" s="4">
        <v>43817</v>
      </c>
      <c r="J29">
        <f t="shared" si="0"/>
        <v>29</v>
      </c>
      <c r="K29">
        <v>2</v>
      </c>
      <c r="L29" t="s">
        <v>488</v>
      </c>
      <c r="M29">
        <v>368</v>
      </c>
      <c r="N29">
        <v>7</v>
      </c>
      <c r="O29">
        <v>0</v>
      </c>
      <c r="P29">
        <v>2</v>
      </c>
      <c r="Q29">
        <v>1</v>
      </c>
      <c r="R29">
        <v>0</v>
      </c>
      <c r="S29" t="str">
        <f t="shared" si="1"/>
        <v>TRUE</v>
      </c>
      <c r="T29" t="s">
        <v>363</v>
      </c>
      <c r="U29">
        <v>1000.000011</v>
      </c>
      <c r="V29">
        <v>82.14</v>
      </c>
      <c r="W29">
        <v>479.66</v>
      </c>
      <c r="X29">
        <v>219.48</v>
      </c>
      <c r="Y29">
        <v>278.3</v>
      </c>
      <c r="Z29">
        <v>75.88</v>
      </c>
      <c r="AA29">
        <v>82.12</v>
      </c>
      <c r="AB29" t="str">
        <f t="shared" si="2"/>
        <v>TRUE</v>
      </c>
      <c r="AC29" t="s">
        <v>363</v>
      </c>
    </row>
    <row r="30" spans="1:29">
      <c r="A30" t="s">
        <v>687</v>
      </c>
      <c r="B30" t="s">
        <v>755</v>
      </c>
      <c r="C30" t="s">
        <v>365</v>
      </c>
      <c r="D30" t="s">
        <v>501</v>
      </c>
      <c r="E30" t="s">
        <v>571</v>
      </c>
      <c r="F30" t="s">
        <v>499</v>
      </c>
      <c r="H30" s="4">
        <v>29371</v>
      </c>
      <c r="I30" s="4">
        <v>43840</v>
      </c>
      <c r="J30">
        <f t="shared" si="0"/>
        <v>39</v>
      </c>
      <c r="K30">
        <v>3</v>
      </c>
      <c r="L30" t="s">
        <v>493</v>
      </c>
      <c r="M30">
        <v>29</v>
      </c>
      <c r="N30">
        <v>2</v>
      </c>
      <c r="O30">
        <v>1</v>
      </c>
      <c r="P30">
        <v>2</v>
      </c>
      <c r="Q30">
        <v>1</v>
      </c>
      <c r="R30">
        <v>0</v>
      </c>
      <c r="S30" t="str">
        <f t="shared" si="1"/>
        <v>TRUE</v>
      </c>
      <c r="T30" t="s">
        <v>365</v>
      </c>
      <c r="U30">
        <v>95.95</v>
      </c>
      <c r="V30">
        <v>8.8800000000000008</v>
      </c>
      <c r="W30">
        <v>70.650000000000006</v>
      </c>
      <c r="X30">
        <v>131.06</v>
      </c>
      <c r="Y30">
        <v>112.56</v>
      </c>
      <c r="Z30">
        <v>41.93</v>
      </c>
      <c r="AA30">
        <v>2.4900000000000002</v>
      </c>
      <c r="AB30" t="str">
        <f t="shared" si="2"/>
        <v>TRUE</v>
      </c>
      <c r="AC30" t="s">
        <v>365</v>
      </c>
    </row>
    <row r="31" spans="1:29">
      <c r="A31" t="s">
        <v>688</v>
      </c>
      <c r="B31" t="s">
        <v>759</v>
      </c>
      <c r="C31" t="s">
        <v>367</v>
      </c>
      <c r="D31" t="s">
        <v>501</v>
      </c>
      <c r="E31" t="s">
        <v>502</v>
      </c>
      <c r="F31" t="s">
        <v>499</v>
      </c>
      <c r="H31" s="4">
        <v>33023</v>
      </c>
      <c r="I31" s="4">
        <v>43847</v>
      </c>
      <c r="J31">
        <f t="shared" si="0"/>
        <v>29</v>
      </c>
      <c r="K31">
        <v>3</v>
      </c>
      <c r="L31" t="s">
        <v>488</v>
      </c>
      <c r="M31">
        <v>426</v>
      </c>
      <c r="N31">
        <v>3</v>
      </c>
      <c r="O31">
        <v>0</v>
      </c>
      <c r="P31">
        <v>2</v>
      </c>
      <c r="Q31">
        <v>0</v>
      </c>
      <c r="R31">
        <v>0</v>
      </c>
      <c r="S31" t="str">
        <f t="shared" si="1"/>
        <v>TRUE</v>
      </c>
      <c r="T31" t="s">
        <v>367</v>
      </c>
      <c r="U31">
        <v>54.18</v>
      </c>
      <c r="V31">
        <v>39.74</v>
      </c>
      <c r="W31">
        <v>52.05</v>
      </c>
      <c r="X31">
        <v>61.67</v>
      </c>
      <c r="Y31">
        <v>79.05</v>
      </c>
      <c r="Z31">
        <v>27.46</v>
      </c>
      <c r="AA31">
        <v>7.82</v>
      </c>
      <c r="AB31" t="str">
        <f t="shared" si="2"/>
        <v>TRUE</v>
      </c>
      <c r="AC31" t="s">
        <v>367</v>
      </c>
    </row>
    <row r="32" spans="1:29">
      <c r="A32" t="s">
        <v>689</v>
      </c>
      <c r="B32" t="s">
        <v>760</v>
      </c>
      <c r="C32" t="s">
        <v>369</v>
      </c>
      <c r="D32" t="s">
        <v>490</v>
      </c>
      <c r="E32" t="s">
        <v>498</v>
      </c>
      <c r="F32" t="s">
        <v>499</v>
      </c>
      <c r="G32" t="s">
        <v>492</v>
      </c>
      <c r="H32" s="4">
        <v>29354</v>
      </c>
      <c r="I32" s="4">
        <v>43868</v>
      </c>
      <c r="J32">
        <f t="shared" si="0"/>
        <v>39</v>
      </c>
      <c r="K32">
        <v>1</v>
      </c>
      <c r="L32" t="s">
        <v>488</v>
      </c>
      <c r="M32">
        <v>11611</v>
      </c>
      <c r="N32">
        <v>10</v>
      </c>
      <c r="O32">
        <v>1</v>
      </c>
      <c r="P32" s="13">
        <v>2</v>
      </c>
      <c r="Q32" s="15">
        <v>1</v>
      </c>
      <c r="R32" s="15">
        <v>0</v>
      </c>
      <c r="S32" t="str">
        <f t="shared" si="1"/>
        <v>TRUE</v>
      </c>
      <c r="T32" t="s">
        <v>369</v>
      </c>
      <c r="U32">
        <v>48.02</v>
      </c>
      <c r="V32">
        <v>18.29</v>
      </c>
      <c r="W32">
        <v>11.8</v>
      </c>
      <c r="X32">
        <v>250.8</v>
      </c>
      <c r="Y32">
        <v>163.99</v>
      </c>
      <c r="Z32">
        <v>33.69</v>
      </c>
      <c r="AA32">
        <v>51.32</v>
      </c>
      <c r="AB32" t="str">
        <f t="shared" si="2"/>
        <v>TRUE</v>
      </c>
      <c r="AC32" t="s">
        <v>369</v>
      </c>
    </row>
    <row r="33" spans="1:29">
      <c r="A33" t="s">
        <v>690</v>
      </c>
      <c r="B33" t="s">
        <v>759</v>
      </c>
      <c r="C33" t="s">
        <v>371</v>
      </c>
      <c r="D33" t="s">
        <v>501</v>
      </c>
      <c r="E33" t="s">
        <v>502</v>
      </c>
      <c r="F33" t="s">
        <v>499</v>
      </c>
      <c r="H33" s="4">
        <v>33023</v>
      </c>
      <c r="I33" s="4">
        <v>43510</v>
      </c>
      <c r="J33">
        <f t="shared" si="0"/>
        <v>28</v>
      </c>
      <c r="K33">
        <v>4</v>
      </c>
      <c r="L33" t="s">
        <v>488</v>
      </c>
      <c r="M33">
        <v>391</v>
      </c>
      <c r="N33">
        <v>2</v>
      </c>
      <c r="O33">
        <v>0</v>
      </c>
      <c r="P33">
        <v>2</v>
      </c>
      <c r="Q33">
        <v>0</v>
      </c>
      <c r="R33">
        <v>0</v>
      </c>
      <c r="S33" t="str">
        <f t="shared" si="1"/>
        <v>TRUE</v>
      </c>
      <c r="T33" t="s">
        <v>371</v>
      </c>
      <c r="U33">
        <v>296.35000000000002</v>
      </c>
      <c r="V33">
        <v>83.46</v>
      </c>
      <c r="W33">
        <v>139.15</v>
      </c>
      <c r="X33">
        <v>203.39</v>
      </c>
      <c r="Y33">
        <v>181.29</v>
      </c>
      <c r="Z33">
        <v>31.35</v>
      </c>
      <c r="AA33">
        <v>27.47</v>
      </c>
      <c r="AB33" t="str">
        <f t="shared" si="2"/>
        <v>TRUE</v>
      </c>
      <c r="AC33" t="s">
        <v>371</v>
      </c>
    </row>
    <row r="34" spans="1:29">
      <c r="A34" t="s">
        <v>691</v>
      </c>
      <c r="B34" t="s">
        <v>761</v>
      </c>
      <c r="C34" t="s">
        <v>373</v>
      </c>
      <c r="D34" t="s">
        <v>501</v>
      </c>
      <c r="E34" t="s">
        <v>538</v>
      </c>
      <c r="F34" t="s">
        <v>492</v>
      </c>
      <c r="G34" t="s">
        <v>499</v>
      </c>
      <c r="H34" s="4">
        <v>26203</v>
      </c>
      <c r="I34" s="4">
        <v>43885</v>
      </c>
      <c r="J34">
        <f t="shared" si="0"/>
        <v>48</v>
      </c>
      <c r="K34">
        <v>1</v>
      </c>
      <c r="L34" t="s">
        <v>493</v>
      </c>
      <c r="M34">
        <v>247</v>
      </c>
      <c r="N34">
        <v>6</v>
      </c>
      <c r="O34">
        <v>0</v>
      </c>
      <c r="P34">
        <v>3</v>
      </c>
      <c r="Q34" s="15">
        <v>1</v>
      </c>
      <c r="R34" s="15">
        <v>0</v>
      </c>
      <c r="S34" t="str">
        <f t="shared" si="1"/>
        <v>TRUE</v>
      </c>
      <c r="T34" t="s">
        <v>373</v>
      </c>
      <c r="U34">
        <v>65.36</v>
      </c>
      <c r="V34">
        <v>31.38</v>
      </c>
      <c r="W34">
        <v>28.76</v>
      </c>
      <c r="X34">
        <v>106.83</v>
      </c>
      <c r="Y34">
        <v>25.08</v>
      </c>
      <c r="Z34">
        <v>8.82</v>
      </c>
      <c r="AA34">
        <v>33.409999999999997</v>
      </c>
      <c r="AB34" t="str">
        <f t="shared" si="2"/>
        <v>TRUE</v>
      </c>
      <c r="AC34" t="s">
        <v>373</v>
      </c>
    </row>
    <row r="35" spans="1:29">
      <c r="A35" t="s">
        <v>692</v>
      </c>
      <c r="B35" t="s">
        <v>760</v>
      </c>
      <c r="C35" t="s">
        <v>375</v>
      </c>
      <c r="D35" t="s">
        <v>490</v>
      </c>
      <c r="E35" t="s">
        <v>498</v>
      </c>
      <c r="F35" t="s">
        <v>499</v>
      </c>
      <c r="H35" s="4">
        <v>29354</v>
      </c>
      <c r="I35" s="4">
        <v>43894</v>
      </c>
      <c r="J35">
        <f t="shared" si="0"/>
        <v>39</v>
      </c>
      <c r="K35">
        <v>2</v>
      </c>
      <c r="L35" t="s">
        <v>488</v>
      </c>
      <c r="M35">
        <v>4033</v>
      </c>
      <c r="N35">
        <v>8</v>
      </c>
      <c r="O35">
        <v>1</v>
      </c>
      <c r="P35" s="13">
        <v>2</v>
      </c>
      <c r="Q35">
        <v>1</v>
      </c>
      <c r="R35">
        <v>0</v>
      </c>
      <c r="S35" t="str">
        <f t="shared" si="1"/>
        <v>TRUE</v>
      </c>
      <c r="T35" t="s">
        <v>375</v>
      </c>
      <c r="U35">
        <v>87.16</v>
      </c>
      <c r="V35">
        <v>9.93</v>
      </c>
      <c r="W35">
        <v>19.38</v>
      </c>
      <c r="X35">
        <v>80.349999999999994</v>
      </c>
      <c r="Y35">
        <v>154.03</v>
      </c>
      <c r="Z35">
        <v>59.45</v>
      </c>
      <c r="AA35">
        <v>6.45</v>
      </c>
      <c r="AB35" t="str">
        <f t="shared" si="2"/>
        <v>TRUE</v>
      </c>
      <c r="AC35" t="s">
        <v>375</v>
      </c>
    </row>
    <row r="36" spans="1:29">
      <c r="A36" t="s">
        <v>693</v>
      </c>
      <c r="B36" t="s">
        <v>729</v>
      </c>
      <c r="C36" t="s">
        <v>377</v>
      </c>
      <c r="D36" t="s">
        <v>490</v>
      </c>
      <c r="E36" t="s">
        <v>498</v>
      </c>
      <c r="F36" t="s">
        <v>499</v>
      </c>
      <c r="H36" s="4">
        <v>29943</v>
      </c>
      <c r="I36" s="4">
        <v>43896</v>
      </c>
      <c r="J36">
        <f t="shared" si="0"/>
        <v>38</v>
      </c>
      <c r="K36">
        <v>2</v>
      </c>
      <c r="L36" t="s">
        <v>488</v>
      </c>
      <c r="M36">
        <v>1144</v>
      </c>
      <c r="N36">
        <v>5</v>
      </c>
      <c r="O36">
        <v>0</v>
      </c>
      <c r="P36" s="13">
        <v>3</v>
      </c>
      <c r="Q36">
        <v>1</v>
      </c>
      <c r="R36">
        <v>0</v>
      </c>
      <c r="S36" t="str">
        <f t="shared" si="1"/>
        <v>TRUE</v>
      </c>
      <c r="T36" t="s">
        <v>377</v>
      </c>
      <c r="U36">
        <v>54.33</v>
      </c>
      <c r="V36">
        <v>23.9</v>
      </c>
      <c r="W36">
        <v>100.78</v>
      </c>
      <c r="X36">
        <v>1542.58</v>
      </c>
      <c r="Y36">
        <v>1431.07</v>
      </c>
      <c r="Z36">
        <v>464.44</v>
      </c>
      <c r="AA36">
        <v>93.29</v>
      </c>
      <c r="AB36" t="str">
        <f t="shared" si="2"/>
        <v>TRUE</v>
      </c>
      <c r="AC36" t="s">
        <v>377</v>
      </c>
    </row>
    <row r="37" spans="1:29">
      <c r="A37" t="s">
        <v>694</v>
      </c>
      <c r="B37" t="s">
        <v>755</v>
      </c>
      <c r="C37" t="s">
        <v>379</v>
      </c>
      <c r="D37" t="s">
        <v>501</v>
      </c>
      <c r="E37" t="s">
        <v>571</v>
      </c>
      <c r="F37" t="s">
        <v>499</v>
      </c>
      <c r="H37" s="4">
        <v>29371</v>
      </c>
      <c r="I37" s="4">
        <v>43896</v>
      </c>
      <c r="J37">
        <f t="shared" si="0"/>
        <v>39</v>
      </c>
      <c r="K37">
        <v>4</v>
      </c>
      <c r="L37" t="s">
        <v>493</v>
      </c>
      <c r="M37">
        <v>1822</v>
      </c>
      <c r="N37">
        <v>3</v>
      </c>
      <c r="O37">
        <v>1</v>
      </c>
      <c r="P37">
        <v>2</v>
      </c>
      <c r="Q37">
        <v>1</v>
      </c>
      <c r="R37">
        <v>0</v>
      </c>
      <c r="S37" t="str">
        <f t="shared" si="1"/>
        <v>TRUE</v>
      </c>
      <c r="T37" t="s">
        <v>379</v>
      </c>
      <c r="U37">
        <v>1000.000011</v>
      </c>
      <c r="V37">
        <v>41.51</v>
      </c>
      <c r="W37">
        <v>118.55</v>
      </c>
      <c r="X37">
        <v>1361.27</v>
      </c>
      <c r="Y37">
        <v>1772.76</v>
      </c>
      <c r="Z37">
        <v>222.71</v>
      </c>
      <c r="AA37">
        <v>704.15</v>
      </c>
      <c r="AB37" t="str">
        <f t="shared" si="2"/>
        <v>TRUE</v>
      </c>
      <c r="AC37" t="s">
        <v>379</v>
      </c>
    </row>
    <row r="38" spans="1:29">
      <c r="A38" t="s">
        <v>695</v>
      </c>
      <c r="B38" t="s">
        <v>760</v>
      </c>
      <c r="C38" t="s">
        <v>381</v>
      </c>
      <c r="D38" t="s">
        <v>490</v>
      </c>
      <c r="E38" t="s">
        <v>498</v>
      </c>
      <c r="F38" t="s">
        <v>499</v>
      </c>
      <c r="H38" s="4">
        <v>29354</v>
      </c>
      <c r="I38" s="4">
        <v>44007</v>
      </c>
      <c r="J38">
        <f t="shared" si="0"/>
        <v>40</v>
      </c>
      <c r="K38">
        <v>3</v>
      </c>
      <c r="L38" t="s">
        <v>488</v>
      </c>
      <c r="M38">
        <v>43</v>
      </c>
      <c r="N38">
        <v>2</v>
      </c>
      <c r="O38">
        <v>1</v>
      </c>
      <c r="P38" s="13">
        <v>2</v>
      </c>
      <c r="Q38">
        <v>1</v>
      </c>
      <c r="R38">
        <v>0</v>
      </c>
      <c r="S38" t="str">
        <f t="shared" si="1"/>
        <v>TRUE</v>
      </c>
      <c r="T38" t="s">
        <v>381</v>
      </c>
      <c r="U38">
        <v>678.46</v>
      </c>
      <c r="V38">
        <v>40.56</v>
      </c>
      <c r="W38">
        <v>83.62</v>
      </c>
      <c r="X38">
        <v>522.74</v>
      </c>
      <c r="Y38">
        <v>368.89</v>
      </c>
      <c r="Z38">
        <v>89.47</v>
      </c>
      <c r="AA38">
        <v>118.41</v>
      </c>
      <c r="AB38" t="str">
        <f t="shared" si="2"/>
        <v>TRUE</v>
      </c>
      <c r="AC38" t="s">
        <v>381</v>
      </c>
    </row>
    <row r="39" spans="1:29">
      <c r="A39" t="s">
        <v>696</v>
      </c>
      <c r="B39" t="s">
        <v>729</v>
      </c>
      <c r="C39" t="s">
        <v>383</v>
      </c>
      <c r="D39" t="s">
        <v>490</v>
      </c>
      <c r="E39" t="s">
        <v>498</v>
      </c>
      <c r="F39" t="s">
        <v>499</v>
      </c>
      <c r="H39" s="4">
        <v>29943</v>
      </c>
      <c r="I39" s="4">
        <v>44011</v>
      </c>
      <c r="J39">
        <f t="shared" si="0"/>
        <v>38</v>
      </c>
      <c r="K39">
        <v>3</v>
      </c>
      <c r="L39" t="s">
        <v>488</v>
      </c>
      <c r="M39">
        <v>20</v>
      </c>
      <c r="N39">
        <v>0</v>
      </c>
      <c r="O39">
        <v>0</v>
      </c>
      <c r="P39" s="13">
        <v>3</v>
      </c>
      <c r="Q39">
        <v>1</v>
      </c>
      <c r="R39">
        <v>0</v>
      </c>
      <c r="S39" t="str">
        <f t="shared" si="1"/>
        <v>TRUE</v>
      </c>
      <c r="T39" t="s">
        <v>383</v>
      </c>
      <c r="U39">
        <v>980.97</v>
      </c>
      <c r="V39">
        <v>38.07</v>
      </c>
      <c r="W39">
        <v>168.96</v>
      </c>
      <c r="X39">
        <v>708.43</v>
      </c>
      <c r="Y39">
        <v>1206.68</v>
      </c>
      <c r="Z39">
        <v>341.34</v>
      </c>
      <c r="AA39">
        <v>62.86</v>
      </c>
      <c r="AB39" t="str">
        <f t="shared" si="2"/>
        <v>TRUE</v>
      </c>
      <c r="AC39" t="s">
        <v>383</v>
      </c>
    </row>
    <row r="40" spans="1:29">
      <c r="A40" t="s">
        <v>697</v>
      </c>
      <c r="B40" t="s">
        <v>753</v>
      </c>
      <c r="C40" t="s">
        <v>385</v>
      </c>
      <c r="D40" t="s">
        <v>501</v>
      </c>
      <c r="E40" t="s">
        <v>571</v>
      </c>
      <c r="F40" t="s">
        <v>492</v>
      </c>
      <c r="H40" s="4">
        <v>31009</v>
      </c>
      <c r="I40" s="4">
        <v>43775</v>
      </c>
      <c r="J40">
        <f t="shared" si="0"/>
        <v>34</v>
      </c>
      <c r="K40">
        <v>3</v>
      </c>
      <c r="L40" t="s">
        <v>488</v>
      </c>
      <c r="M40">
        <v>843</v>
      </c>
      <c r="N40">
        <v>5</v>
      </c>
      <c r="O40">
        <v>1</v>
      </c>
      <c r="P40">
        <v>2</v>
      </c>
      <c r="Q40">
        <v>1</v>
      </c>
      <c r="R40">
        <v>0</v>
      </c>
      <c r="S40" t="str">
        <f t="shared" si="1"/>
        <v>TRUE</v>
      </c>
      <c r="T40" t="s">
        <v>385</v>
      </c>
      <c r="U40">
        <v>38.44</v>
      </c>
      <c r="V40">
        <v>76.31</v>
      </c>
      <c r="W40">
        <v>115.98</v>
      </c>
      <c r="X40">
        <v>177.62</v>
      </c>
      <c r="Y40">
        <v>108.2</v>
      </c>
      <c r="Z40">
        <v>29.57</v>
      </c>
      <c r="AA40">
        <v>74.67</v>
      </c>
      <c r="AB40" t="str">
        <f t="shared" si="2"/>
        <v>TRUE</v>
      </c>
      <c r="AC40" t="s">
        <v>385</v>
      </c>
    </row>
    <row r="41" spans="1:29">
      <c r="A41" t="s">
        <v>698</v>
      </c>
      <c r="B41" t="s">
        <v>755</v>
      </c>
      <c r="C41" t="s">
        <v>387</v>
      </c>
      <c r="D41" t="s">
        <v>501</v>
      </c>
      <c r="E41" t="s">
        <v>571</v>
      </c>
      <c r="F41" t="s">
        <v>499</v>
      </c>
      <c r="G41" t="s">
        <v>492</v>
      </c>
      <c r="H41" s="4">
        <v>29371</v>
      </c>
      <c r="I41" s="4">
        <v>43784</v>
      </c>
      <c r="J41">
        <f t="shared" si="0"/>
        <v>39</v>
      </c>
      <c r="K41">
        <v>1</v>
      </c>
      <c r="L41" t="s">
        <v>493</v>
      </c>
      <c r="M41">
        <v>3792</v>
      </c>
      <c r="N41">
        <v>8</v>
      </c>
      <c r="O41">
        <v>1</v>
      </c>
      <c r="P41">
        <v>2</v>
      </c>
      <c r="Q41">
        <v>1</v>
      </c>
      <c r="R41">
        <v>0</v>
      </c>
      <c r="S41" t="str">
        <f t="shared" si="1"/>
        <v>TRUE</v>
      </c>
      <c r="T41" t="s">
        <v>387</v>
      </c>
      <c r="U41">
        <v>742.57</v>
      </c>
      <c r="V41">
        <v>33.92</v>
      </c>
      <c r="W41">
        <v>284.62</v>
      </c>
      <c r="X41">
        <v>786.3</v>
      </c>
      <c r="Y41">
        <v>294.74</v>
      </c>
      <c r="Z41">
        <v>51.74</v>
      </c>
      <c r="AA41">
        <v>8.77</v>
      </c>
      <c r="AB41" t="str">
        <f t="shared" si="2"/>
        <v>TRUE</v>
      </c>
      <c r="AC41" t="s">
        <v>387</v>
      </c>
    </row>
    <row r="42" spans="1:29">
      <c r="A42" t="s">
        <v>699</v>
      </c>
      <c r="B42" t="s">
        <v>751</v>
      </c>
      <c r="C42" t="s">
        <v>389</v>
      </c>
      <c r="D42" t="s">
        <v>501</v>
      </c>
      <c r="E42" t="s">
        <v>502</v>
      </c>
      <c r="F42" t="s">
        <v>499</v>
      </c>
      <c r="H42" s="4">
        <v>22293</v>
      </c>
      <c r="I42" s="4">
        <v>43788</v>
      </c>
      <c r="J42">
        <f t="shared" si="0"/>
        <v>58</v>
      </c>
      <c r="K42">
        <v>3</v>
      </c>
      <c r="L42" t="s">
        <v>493</v>
      </c>
      <c r="M42">
        <v>467</v>
      </c>
      <c r="N42">
        <v>1</v>
      </c>
      <c r="O42">
        <v>1</v>
      </c>
      <c r="P42">
        <v>2</v>
      </c>
      <c r="Q42" s="15">
        <v>1</v>
      </c>
      <c r="R42" s="15">
        <v>0</v>
      </c>
      <c r="S42" t="str">
        <f t="shared" si="1"/>
        <v>TRUE</v>
      </c>
      <c r="T42" t="s">
        <v>389</v>
      </c>
      <c r="U42">
        <v>351.65</v>
      </c>
      <c r="V42">
        <v>36.76</v>
      </c>
      <c r="W42">
        <v>50.25</v>
      </c>
      <c r="X42">
        <v>2500.0100000000002</v>
      </c>
      <c r="Y42">
        <v>2480.13</v>
      </c>
      <c r="Z42">
        <v>477.79</v>
      </c>
      <c r="AA42">
        <v>123.12</v>
      </c>
      <c r="AB42" t="str">
        <f t="shared" si="2"/>
        <v>TRUE</v>
      </c>
      <c r="AC42" t="s">
        <v>389</v>
      </c>
    </row>
    <row r="43" spans="1:29">
      <c r="A43" t="s">
        <v>700</v>
      </c>
      <c r="B43" t="s">
        <v>759</v>
      </c>
      <c r="C43" t="s">
        <v>391</v>
      </c>
      <c r="D43" t="s">
        <v>501</v>
      </c>
      <c r="E43" t="s">
        <v>502</v>
      </c>
      <c r="F43" t="s">
        <v>499</v>
      </c>
      <c r="G43" t="s">
        <v>499</v>
      </c>
      <c r="H43" s="4">
        <v>33023</v>
      </c>
      <c r="I43" s="4">
        <v>43788</v>
      </c>
      <c r="J43">
        <f t="shared" si="0"/>
        <v>29</v>
      </c>
      <c r="K43">
        <v>1</v>
      </c>
      <c r="L43" t="s">
        <v>488</v>
      </c>
      <c r="M43">
        <v>1213</v>
      </c>
      <c r="N43">
        <v>7</v>
      </c>
      <c r="O43">
        <v>0</v>
      </c>
      <c r="P43">
        <v>2</v>
      </c>
      <c r="Q43">
        <v>1</v>
      </c>
      <c r="R43">
        <v>0</v>
      </c>
      <c r="S43" t="str">
        <f t="shared" si="1"/>
        <v>TRUE</v>
      </c>
      <c r="T43" t="s">
        <v>391</v>
      </c>
      <c r="U43">
        <v>1000.000011</v>
      </c>
      <c r="V43">
        <v>42.91</v>
      </c>
      <c r="W43">
        <v>145.51</v>
      </c>
      <c r="X43">
        <v>53.07</v>
      </c>
      <c r="Y43">
        <v>58.36</v>
      </c>
      <c r="Z43">
        <v>108.98</v>
      </c>
      <c r="AA43">
        <v>12.7</v>
      </c>
      <c r="AB43" t="str">
        <f t="shared" si="2"/>
        <v>TRUE</v>
      </c>
      <c r="AC43" t="s">
        <v>391</v>
      </c>
    </row>
    <row r="44" spans="1:29">
      <c r="A44" t="s">
        <v>701</v>
      </c>
      <c r="B44" t="s">
        <v>754</v>
      </c>
      <c r="C44" t="s">
        <v>393</v>
      </c>
      <c r="D44" t="s">
        <v>501</v>
      </c>
      <c r="E44" t="s">
        <v>582</v>
      </c>
      <c r="F44" t="s">
        <v>492</v>
      </c>
      <c r="H44" s="4">
        <v>21300</v>
      </c>
      <c r="I44" s="4">
        <v>43791</v>
      </c>
      <c r="J44">
        <f t="shared" si="0"/>
        <v>61</v>
      </c>
      <c r="K44">
        <v>3</v>
      </c>
      <c r="L44" t="s">
        <v>493</v>
      </c>
      <c r="M44">
        <v>784</v>
      </c>
      <c r="N44">
        <v>6</v>
      </c>
      <c r="O44">
        <v>0</v>
      </c>
      <c r="P44">
        <v>1</v>
      </c>
      <c r="Q44">
        <v>0</v>
      </c>
      <c r="R44">
        <v>1</v>
      </c>
      <c r="S44" t="str">
        <f t="shared" si="1"/>
        <v>TRUE</v>
      </c>
      <c r="T44" t="s">
        <v>393</v>
      </c>
      <c r="U44">
        <v>36.74</v>
      </c>
      <c r="V44">
        <v>4.05</v>
      </c>
      <c r="W44">
        <v>138.97</v>
      </c>
      <c r="X44">
        <v>322.77</v>
      </c>
      <c r="Y44">
        <v>1138.99</v>
      </c>
      <c r="Z44">
        <v>79.569999999999993</v>
      </c>
      <c r="AA44">
        <v>3.72</v>
      </c>
      <c r="AB44" t="str">
        <f t="shared" si="2"/>
        <v>TRUE</v>
      </c>
      <c r="AC44" t="s">
        <v>393</v>
      </c>
    </row>
    <row r="45" spans="1:29">
      <c r="A45" t="s">
        <v>702</v>
      </c>
      <c r="B45" t="s">
        <v>758</v>
      </c>
      <c r="C45" t="s">
        <v>395</v>
      </c>
      <c r="D45" t="s">
        <v>501</v>
      </c>
      <c r="E45" t="s">
        <v>532</v>
      </c>
      <c r="F45" t="s">
        <v>492</v>
      </c>
      <c r="H45" s="4">
        <v>18937</v>
      </c>
      <c r="I45" s="4">
        <v>43802</v>
      </c>
      <c r="J45">
        <f t="shared" si="0"/>
        <v>68</v>
      </c>
      <c r="K45">
        <v>2</v>
      </c>
      <c r="L45" t="s">
        <v>488</v>
      </c>
      <c r="M45">
        <v>2388</v>
      </c>
      <c r="N45">
        <v>6</v>
      </c>
      <c r="O45">
        <v>1</v>
      </c>
      <c r="P45">
        <v>3</v>
      </c>
      <c r="Q45">
        <v>0</v>
      </c>
      <c r="R45">
        <v>1</v>
      </c>
      <c r="S45" t="str">
        <f t="shared" si="1"/>
        <v>TRUE</v>
      </c>
      <c r="T45" t="s">
        <v>395</v>
      </c>
      <c r="U45">
        <v>41.33</v>
      </c>
      <c r="V45">
        <v>41.98</v>
      </c>
      <c r="W45">
        <v>10.98</v>
      </c>
      <c r="X45">
        <v>2500.0100000000002</v>
      </c>
      <c r="Y45">
        <v>489.29</v>
      </c>
      <c r="Z45">
        <v>25.38</v>
      </c>
      <c r="AA45">
        <v>117.12</v>
      </c>
      <c r="AB45" t="str">
        <f t="shared" si="2"/>
        <v>TRUE</v>
      </c>
      <c r="AC45" t="s">
        <v>395</v>
      </c>
    </row>
  </sheetData>
  <autoFilter ref="K1:K45" xr:uid="{00000000-0009-0000-0000-000004000000}"/>
  <sortState xmlns:xlrd2="http://schemas.microsoft.com/office/spreadsheetml/2017/richdata2" ref="A2:AC45">
    <sortCondition ref="C1:C45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Valdivia Garcia, Maria A</cp:lastModifiedBy>
  <cp:revision/>
  <dcterms:created xsi:type="dcterms:W3CDTF">2022-09-01T09:56:12Z</dcterms:created>
  <dcterms:modified xsi:type="dcterms:W3CDTF">2022-10-11T12:38:40Z</dcterms:modified>
  <cp:category/>
  <cp:contentStatus/>
</cp:coreProperties>
</file>