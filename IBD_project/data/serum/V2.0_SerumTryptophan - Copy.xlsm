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indy\OneDrive - Imperial College London\Desktop\IBD_project\data\serum\"/>
    </mc:Choice>
  </mc:AlternateContent>
  <xr:revisionPtr revIDLastSave="0" documentId="13_ncr:1_{AB8F929B-F394-4975-9630-8614F5EA42A3}" xr6:coauthVersionLast="47" xr6:coauthVersionMax="47" xr10:uidLastSave="{00000000-0000-0000-0000-000000000000}"/>
  <bookViews>
    <workbookView minimized="1" xWindow="12525" yWindow="5670" windowWidth="13380" windowHeight="6000" activeTab="2" xr2:uid="{00000000-000D-0000-FFFF-FFFF00000000}"/>
  </bookViews>
  <sheets>
    <sheet name="edited_IBD-UC Serum Tryptophan " sheetId="1" r:id="rId1"/>
    <sheet name="Edited_master" sheetId="2" r:id="rId2"/>
    <sheet name="Inception cohort" sheetId="3" r:id="rId3"/>
    <sheet name="5ASA cohort" sheetId="4" r:id="rId4"/>
    <sheet name="Thiopurine" sheetId="6" r:id="rId5"/>
  </sheets>
  <definedNames>
    <definedName name="_xlnm._FilterDatabase" localSheetId="2" hidden="1">'Inception cohort'!$Q$2:$Q$104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G74" i="6" l="1"/>
  <c r="W74" i="6"/>
  <c r="AG56" i="6"/>
  <c r="W56" i="6"/>
  <c r="AG65" i="6"/>
  <c r="AG46" i="6"/>
  <c r="W46" i="6"/>
  <c r="AG45" i="6"/>
  <c r="W45" i="6"/>
  <c r="AG44" i="6"/>
  <c r="W44" i="6"/>
  <c r="AG26" i="6"/>
  <c r="W26" i="6"/>
  <c r="AG48" i="6"/>
  <c r="W48" i="6"/>
  <c r="AG79" i="6"/>
  <c r="W79" i="6"/>
  <c r="AG41" i="6"/>
  <c r="W41" i="6"/>
  <c r="AG55" i="6"/>
  <c r="W55" i="6"/>
  <c r="AG57" i="6"/>
  <c r="W57" i="6"/>
  <c r="AG33" i="6"/>
  <c r="W33" i="6"/>
  <c r="AG13" i="6"/>
  <c r="W13" i="6"/>
  <c r="AG76" i="6"/>
  <c r="W76" i="6"/>
  <c r="AG63" i="6"/>
  <c r="W63" i="6"/>
  <c r="AG12" i="6"/>
  <c r="W12" i="6"/>
  <c r="AG11" i="6"/>
  <c r="W11" i="6"/>
  <c r="AG10" i="6"/>
  <c r="W10" i="6"/>
  <c r="AG9" i="6"/>
  <c r="W9" i="6"/>
  <c r="AG75" i="6"/>
  <c r="W75" i="6"/>
  <c r="AG78" i="6"/>
  <c r="W78" i="6"/>
  <c r="AG49" i="6"/>
  <c r="W49" i="6"/>
  <c r="AG73" i="6"/>
  <c r="W73" i="6"/>
  <c r="AG70" i="6"/>
  <c r="AG77" i="6"/>
  <c r="W77" i="6"/>
  <c r="AG36" i="6"/>
  <c r="W36" i="6"/>
  <c r="AG69" i="6"/>
  <c r="AG62" i="6"/>
  <c r="W62" i="6"/>
  <c r="AG68" i="6"/>
  <c r="AG19" i="6"/>
  <c r="W19" i="6"/>
  <c r="AG61" i="6"/>
  <c r="W61" i="6"/>
  <c r="AG47" i="6"/>
  <c r="W47" i="6"/>
  <c r="AG67" i="6"/>
  <c r="AG66" i="6"/>
  <c r="AG60" i="6"/>
  <c r="W60" i="6"/>
  <c r="AG52" i="6"/>
  <c r="AG71" i="6"/>
  <c r="AG59" i="6"/>
  <c r="W59" i="6"/>
  <c r="AG64" i="6"/>
  <c r="W64" i="6"/>
  <c r="AG18" i="6"/>
  <c r="W18" i="6"/>
  <c r="AG28" i="6"/>
  <c r="W28" i="6"/>
  <c r="AG31" i="6"/>
  <c r="W31" i="6"/>
  <c r="AG17" i="6"/>
  <c r="W17" i="6"/>
  <c r="AG40" i="6"/>
  <c r="W40" i="6"/>
  <c r="AG16" i="6"/>
  <c r="W16" i="6"/>
  <c r="AG15" i="6"/>
  <c r="W15" i="6"/>
  <c r="AG51" i="6"/>
  <c r="AG32" i="6"/>
  <c r="W32" i="6"/>
  <c r="AG20" i="6"/>
  <c r="W20" i="6"/>
  <c r="AG50" i="6"/>
  <c r="AG25" i="6"/>
  <c r="W25" i="6"/>
  <c r="AG39" i="6"/>
  <c r="W39" i="6"/>
  <c r="AG53" i="6"/>
  <c r="AG38" i="6"/>
  <c r="W38" i="6"/>
  <c r="AG58" i="6"/>
  <c r="W58" i="6"/>
  <c r="AG7" i="6"/>
  <c r="W7" i="6"/>
  <c r="AG37" i="6"/>
  <c r="W37" i="6"/>
  <c r="AG24" i="6"/>
  <c r="W24" i="6"/>
  <c r="AG42" i="6"/>
  <c r="W42" i="6"/>
  <c r="AG23" i="6"/>
  <c r="W23" i="6"/>
  <c r="AG30" i="6"/>
  <c r="W30" i="6"/>
  <c r="AG22" i="6"/>
  <c r="AG29" i="6"/>
  <c r="W29" i="6"/>
  <c r="AG6" i="6"/>
  <c r="W6" i="6"/>
  <c r="AG72" i="6"/>
  <c r="W72" i="6"/>
  <c r="AG34" i="6"/>
  <c r="W34" i="6"/>
  <c r="AG27" i="6"/>
  <c r="AG43" i="6"/>
  <c r="W43" i="6"/>
  <c r="AG54" i="6"/>
  <c r="W54" i="6"/>
  <c r="AG8" i="6"/>
  <c r="W8" i="6"/>
  <c r="AG14" i="6"/>
  <c r="W14" i="6"/>
  <c r="AG5" i="6"/>
  <c r="AG21" i="6"/>
  <c r="W21" i="6"/>
  <c r="AG4" i="6"/>
  <c r="AG35" i="6"/>
  <c r="W35" i="6"/>
  <c r="AG3" i="6"/>
  <c r="AG2" i="6"/>
  <c r="W2" i="6"/>
  <c r="W73" i="4"/>
  <c r="AF73" i="4"/>
  <c r="AF4" i="4"/>
  <c r="AF5" i="4"/>
  <c r="AF6" i="4"/>
  <c r="AF7" i="4"/>
  <c r="AF8" i="4"/>
  <c r="AF9" i="4"/>
  <c r="AF10" i="4"/>
  <c r="AF11" i="4"/>
  <c r="AF12" i="4"/>
  <c r="AF13" i="4"/>
  <c r="AF14" i="4"/>
  <c r="AF15" i="4"/>
  <c r="AF16" i="4"/>
  <c r="AF17" i="4"/>
  <c r="AF18" i="4"/>
  <c r="AF19" i="4"/>
  <c r="AF20" i="4"/>
  <c r="AF21" i="4"/>
  <c r="AF22" i="4"/>
  <c r="AF23" i="4"/>
  <c r="AF24" i="4"/>
  <c r="AF25" i="4"/>
  <c r="AF26" i="4"/>
  <c r="AF27" i="4"/>
  <c r="AF28" i="4"/>
  <c r="AF29" i="4"/>
  <c r="AF30" i="4"/>
  <c r="AF31" i="4"/>
  <c r="AF32" i="4"/>
  <c r="AF33" i="4"/>
  <c r="AF34" i="4"/>
  <c r="AF35" i="4"/>
  <c r="AF36" i="4"/>
  <c r="AF37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F62" i="4"/>
  <c r="AF63" i="4"/>
  <c r="AF64" i="4"/>
  <c r="AF65" i="4"/>
  <c r="AF66" i="4"/>
  <c r="AF67" i="4"/>
  <c r="AF68" i="4"/>
  <c r="AF69" i="4"/>
  <c r="AF70" i="4"/>
  <c r="AF71" i="4"/>
  <c r="AF72" i="4"/>
  <c r="AF3" i="4"/>
  <c r="AE94" i="3" l="1"/>
  <c r="AE3" i="3"/>
  <c r="AE4" i="3"/>
  <c r="AE5" i="3"/>
  <c r="AE6" i="3"/>
  <c r="AE7" i="3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95" i="3"/>
  <c r="AE37" i="3"/>
  <c r="AE38" i="3"/>
  <c r="AE39" i="3"/>
  <c r="AE40" i="3"/>
  <c r="AE41" i="3"/>
  <c r="AE42" i="3"/>
  <c r="AE43" i="3"/>
  <c r="AE44" i="3"/>
  <c r="AE96" i="3"/>
  <c r="AE45" i="3"/>
  <c r="AE46" i="3"/>
  <c r="AE97" i="3"/>
  <c r="AE47" i="3"/>
  <c r="AE48" i="3"/>
  <c r="AE98" i="3"/>
  <c r="AE49" i="3"/>
  <c r="AE50" i="3"/>
  <c r="AE51" i="3"/>
  <c r="AE99" i="3"/>
  <c r="AE52" i="3"/>
  <c r="AE53" i="3"/>
  <c r="AE100" i="3"/>
  <c r="AE54" i="3"/>
  <c r="AE55" i="3"/>
  <c r="AE101" i="3"/>
  <c r="AE56" i="3"/>
  <c r="AE57" i="3"/>
  <c r="AE58" i="3"/>
  <c r="AE59" i="3"/>
  <c r="AE60" i="3"/>
  <c r="AE61" i="3"/>
  <c r="AE62" i="3"/>
  <c r="AE63" i="3"/>
  <c r="AE102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V93" i="3"/>
  <c r="V92" i="3"/>
  <c r="V91" i="3"/>
  <c r="V90" i="3"/>
  <c r="V89" i="3"/>
  <c r="V88" i="3"/>
  <c r="V87" i="3"/>
  <c r="V86" i="3"/>
  <c r="V85" i="3"/>
  <c r="V84" i="3"/>
  <c r="V83" i="3"/>
  <c r="V82" i="3"/>
  <c r="V81" i="3"/>
  <c r="V80" i="3"/>
  <c r="V79" i="3"/>
  <c r="V78" i="3"/>
  <c r="V77" i="3"/>
  <c r="V76" i="3"/>
  <c r="V75" i="3"/>
  <c r="V74" i="3"/>
  <c r="V73" i="3"/>
  <c r="V72" i="3"/>
  <c r="V71" i="3"/>
  <c r="V70" i="3"/>
  <c r="V69" i="3"/>
  <c r="V68" i="3"/>
  <c r="V67" i="3"/>
  <c r="V66" i="3"/>
  <c r="V65" i="3"/>
  <c r="V64" i="3"/>
  <c r="V102" i="3"/>
  <c r="V63" i="3"/>
  <c r="V62" i="3"/>
  <c r="V61" i="3"/>
  <c r="V60" i="3"/>
  <c r="V59" i="3"/>
  <c r="V58" i="3"/>
  <c r="V57" i="3"/>
  <c r="V56" i="3"/>
  <c r="V101" i="3"/>
  <c r="V55" i="3"/>
  <c r="V54" i="3"/>
  <c r="V100" i="3"/>
  <c r="AE2" i="3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AB39" i="2"/>
  <c r="AB40" i="2"/>
  <c r="AB41" i="2"/>
  <c r="AB42" i="2"/>
  <c r="AB43" i="2"/>
  <c r="AB44" i="2"/>
  <c r="AB45" i="2"/>
  <c r="AB46" i="2"/>
  <c r="AB47" i="2"/>
  <c r="AB48" i="2"/>
  <c r="AB49" i="2"/>
  <c r="AB50" i="2"/>
  <c r="AB51" i="2"/>
  <c r="AB52" i="2"/>
  <c r="AB53" i="2"/>
  <c r="AB54" i="2"/>
  <c r="AB55" i="2"/>
  <c r="AB56" i="2"/>
  <c r="AB57" i="2"/>
  <c r="AB58" i="2"/>
  <c r="AB59" i="2"/>
  <c r="AB60" i="2"/>
  <c r="AB61" i="2"/>
  <c r="AB62" i="2"/>
  <c r="AB63" i="2"/>
  <c r="AB64" i="2"/>
  <c r="AB65" i="2"/>
  <c r="AB66" i="2"/>
  <c r="AB67" i="2"/>
  <c r="AB68" i="2"/>
  <c r="AB69" i="2"/>
  <c r="AB70" i="2"/>
  <c r="AB71" i="2"/>
  <c r="AB72" i="2"/>
  <c r="AB73" i="2"/>
  <c r="AB74" i="2"/>
  <c r="AB75" i="2"/>
  <c r="AB76" i="2"/>
  <c r="AB77" i="2"/>
  <c r="AB78" i="2"/>
  <c r="AB79" i="2"/>
  <c r="AB80" i="2"/>
  <c r="AB81" i="2"/>
  <c r="AB82" i="2"/>
  <c r="AB83" i="2"/>
  <c r="AB84" i="2"/>
  <c r="AB85" i="2"/>
  <c r="AB86" i="2"/>
  <c r="AB87" i="2"/>
  <c r="AB88" i="2"/>
  <c r="AB89" i="2"/>
  <c r="AB90" i="2"/>
  <c r="AB91" i="2"/>
  <c r="AB92" i="2"/>
  <c r="AB93" i="2"/>
  <c r="AB94" i="2"/>
  <c r="AB95" i="2"/>
  <c r="AB96" i="2"/>
  <c r="AB97" i="2"/>
  <c r="AB98" i="2"/>
  <c r="AB99" i="2"/>
  <c r="AB100" i="2"/>
  <c r="AB101" i="2"/>
  <c r="AB102" i="2"/>
  <c r="AB103" i="2"/>
  <c r="AB104" i="2"/>
  <c r="AB105" i="2"/>
  <c r="AB106" i="2"/>
  <c r="AB107" i="2"/>
  <c r="AB108" i="2"/>
  <c r="AB109" i="2"/>
  <c r="AB110" i="2"/>
  <c r="AB111" i="2"/>
  <c r="AB112" i="2"/>
  <c r="AB113" i="2"/>
  <c r="AB114" i="2"/>
  <c r="AB115" i="2"/>
  <c r="AB116" i="2"/>
  <c r="AB117" i="2"/>
  <c r="AB118" i="2"/>
  <c r="AB119" i="2"/>
  <c r="AB120" i="2"/>
  <c r="AB121" i="2"/>
  <c r="AB122" i="2"/>
  <c r="AB123" i="2"/>
  <c r="AB124" i="2"/>
  <c r="AB125" i="2"/>
  <c r="AB126" i="2"/>
  <c r="AB127" i="2"/>
  <c r="AB128" i="2"/>
  <c r="AB129" i="2"/>
  <c r="AB130" i="2"/>
  <c r="AB131" i="2"/>
  <c r="AB132" i="2"/>
  <c r="AB133" i="2"/>
  <c r="AB134" i="2"/>
  <c r="AB135" i="2"/>
  <c r="AB136" i="2"/>
  <c r="AB137" i="2"/>
  <c r="AB138" i="2"/>
  <c r="AB139" i="2"/>
  <c r="AB140" i="2"/>
  <c r="AB141" i="2"/>
  <c r="AB142" i="2"/>
  <c r="AB143" i="2"/>
  <c r="AB144" i="2"/>
  <c r="AB145" i="2"/>
  <c r="AB146" i="2"/>
  <c r="AB147" i="2"/>
  <c r="AB148" i="2"/>
  <c r="AB149" i="2"/>
  <c r="AB150" i="2"/>
  <c r="AB151" i="2"/>
  <c r="AB152" i="2"/>
  <c r="AB153" i="2"/>
  <c r="AB154" i="2"/>
  <c r="AB155" i="2"/>
  <c r="AB156" i="2"/>
  <c r="AB157" i="2"/>
  <c r="AB158" i="2"/>
  <c r="AB159" i="2"/>
  <c r="AB160" i="2"/>
  <c r="AB161" i="2"/>
  <c r="AB162" i="2"/>
  <c r="AB163" i="2"/>
  <c r="AB164" i="2"/>
  <c r="AB165" i="2"/>
  <c r="AB166" i="2"/>
  <c r="AB167" i="2"/>
  <c r="AB168" i="2"/>
  <c r="AB169" i="2"/>
  <c r="AB170" i="2"/>
  <c r="AB171" i="2"/>
  <c r="AB172" i="2"/>
  <c r="AB173" i="2"/>
  <c r="AB174" i="2"/>
  <c r="AB175" i="2"/>
  <c r="AB176" i="2"/>
  <c r="AB177" i="2"/>
  <c r="AB178" i="2"/>
  <c r="AB179" i="2"/>
  <c r="AB180" i="2"/>
  <c r="AB181" i="2"/>
  <c r="AB182" i="2"/>
  <c r="AB183" i="2"/>
  <c r="AB184" i="2"/>
  <c r="AB185" i="2"/>
  <c r="AB186" i="2"/>
  <c r="AB187" i="2"/>
  <c r="AB188" i="2"/>
  <c r="AB189" i="2"/>
  <c r="AB190" i="2"/>
  <c r="AB191" i="2"/>
  <c r="AB192" i="2"/>
  <c r="AB193" i="2"/>
  <c r="AB194" i="2"/>
  <c r="AB195" i="2"/>
  <c r="AB196" i="2"/>
  <c r="AB197" i="2"/>
  <c r="AB198" i="2"/>
  <c r="AB199" i="2"/>
  <c r="AB200" i="2"/>
  <c r="AB201" i="2"/>
  <c r="AB202" i="2"/>
  <c r="AB203" i="2"/>
  <c r="AB204" i="2"/>
  <c r="AB205" i="2"/>
  <c r="AB206" i="2"/>
  <c r="AB207" i="2"/>
  <c r="AB208" i="2"/>
  <c r="AB209" i="2"/>
  <c r="AB210" i="2"/>
  <c r="AB211" i="2"/>
  <c r="AB212" i="2"/>
  <c r="AB213" i="2"/>
  <c r="AB214" i="2"/>
  <c r="AB215" i="2"/>
  <c r="AB216" i="2"/>
  <c r="AB217" i="2"/>
  <c r="AB218" i="2"/>
  <c r="AB219" i="2"/>
  <c r="AB220" i="2"/>
  <c r="AB221" i="2"/>
  <c r="AB222" i="2"/>
  <c r="AB223" i="2"/>
  <c r="AB224" i="2"/>
  <c r="AB225" i="2"/>
  <c r="AB226" i="2"/>
  <c r="AB227" i="2"/>
  <c r="AB228" i="2"/>
  <c r="AB229" i="2"/>
  <c r="AB230" i="2"/>
  <c r="AB231" i="2"/>
  <c r="AB232" i="2"/>
  <c r="AB233" i="2"/>
  <c r="AB234" i="2"/>
  <c r="AB235" i="2"/>
  <c r="AB236" i="2"/>
  <c r="AB237" i="2"/>
  <c r="AB238" i="2"/>
  <c r="AB239" i="2"/>
  <c r="AB240" i="2"/>
  <c r="AB241" i="2"/>
  <c r="AB242" i="2"/>
  <c r="AB243" i="2"/>
  <c r="AB244" i="2"/>
  <c r="AB245" i="2"/>
  <c r="AB246" i="2"/>
  <c r="AB247" i="2"/>
  <c r="AB248" i="2"/>
  <c r="AB249" i="2"/>
  <c r="AB250" i="2"/>
  <c r="AB251" i="2"/>
  <c r="AB252" i="2"/>
  <c r="AB253" i="2"/>
  <c r="AB254" i="2"/>
  <c r="AB255" i="2"/>
  <c r="AB256" i="2"/>
  <c r="AB257" i="2"/>
  <c r="AB258" i="2"/>
  <c r="AB259" i="2"/>
  <c r="AB260" i="2"/>
  <c r="AB4" i="2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1" i="4"/>
  <c r="W30" i="4"/>
  <c r="W29" i="4"/>
  <c r="W28" i="4"/>
  <c r="W27" i="4"/>
  <c r="W26" i="4"/>
  <c r="W25" i="4"/>
  <c r="W24" i="4"/>
  <c r="W21" i="4"/>
  <c r="W20" i="4"/>
  <c r="W19" i="4"/>
  <c r="W17" i="4"/>
  <c r="W16" i="4"/>
  <c r="W15" i="4"/>
  <c r="W14" i="4"/>
  <c r="W13" i="4"/>
  <c r="W11" i="4"/>
  <c r="W10" i="4"/>
  <c r="W9" i="4"/>
  <c r="W8" i="4"/>
  <c r="W7" i="4"/>
  <c r="W6" i="4"/>
  <c r="W5" i="4"/>
  <c r="W4" i="4"/>
  <c r="W3" i="4"/>
  <c r="V53" i="3"/>
  <c r="V52" i="3"/>
  <c r="V99" i="3"/>
  <c r="V51" i="3"/>
  <c r="V50" i="3"/>
  <c r="V49" i="3"/>
  <c r="V98" i="3"/>
  <c r="V48" i="3"/>
  <c r="V47" i="3"/>
  <c r="V97" i="3"/>
  <c r="V46" i="3"/>
  <c r="V45" i="3"/>
  <c r="V96" i="3"/>
  <c r="V44" i="3"/>
  <c r="V42" i="3"/>
  <c r="V41" i="3"/>
  <c r="V40" i="3"/>
  <c r="V39" i="3"/>
  <c r="V38" i="3"/>
  <c r="V37" i="3"/>
  <c r="V36" i="3"/>
  <c r="V35" i="3"/>
  <c r="V34" i="3"/>
  <c r="V32" i="3"/>
  <c r="V31" i="3"/>
  <c r="V30" i="3"/>
  <c r="V29" i="3"/>
  <c r="V28" i="3"/>
  <c r="V27" i="3"/>
  <c r="V25" i="3"/>
  <c r="V24" i="3"/>
  <c r="V22" i="3"/>
  <c r="V20" i="3"/>
  <c r="V19" i="3"/>
  <c r="V18" i="3"/>
  <c r="V17" i="3"/>
  <c r="V16" i="3"/>
  <c r="V15" i="3"/>
  <c r="V14" i="3"/>
  <c r="V13" i="3"/>
  <c r="V12" i="3"/>
  <c r="V11" i="3"/>
  <c r="V10" i="3"/>
  <c r="V8" i="3"/>
  <c r="V7" i="3"/>
  <c r="V6" i="3"/>
  <c r="V5" i="3"/>
  <c r="V4" i="3"/>
  <c r="V3" i="3"/>
  <c r="V94" i="3"/>
  <c r="V2" i="3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1" i="2"/>
  <c r="V210" i="2"/>
  <c r="V208" i="2"/>
  <c r="V206" i="2"/>
  <c r="V205" i="2"/>
  <c r="V204" i="2"/>
  <c r="V201" i="2"/>
  <c r="V198" i="2"/>
  <c r="V197" i="2"/>
  <c r="V196" i="2"/>
  <c r="V195" i="2"/>
  <c r="V194" i="2"/>
  <c r="V193" i="2"/>
  <c r="V192" i="2"/>
  <c r="V191" i="2"/>
  <c r="V190" i="2"/>
  <c r="V188" i="2"/>
  <c r="V187" i="2"/>
  <c r="V185" i="2"/>
  <c r="V184" i="2"/>
  <c r="V182" i="2"/>
  <c r="V181" i="2"/>
  <c r="V180" i="2"/>
  <c r="V179" i="2"/>
  <c r="V178" i="2"/>
  <c r="V177" i="2"/>
  <c r="V176" i="2"/>
  <c r="V175" i="2"/>
  <c r="V173" i="2"/>
  <c r="V172" i="2"/>
  <c r="V171" i="2"/>
  <c r="V170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5" i="2"/>
  <c r="V124" i="2"/>
  <c r="V123" i="2"/>
  <c r="V122" i="2"/>
  <c r="V121" i="2"/>
  <c r="V120" i="2"/>
  <c r="V119" i="2"/>
  <c r="V118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2" i="2"/>
  <c r="V100" i="2"/>
  <c r="V98" i="2"/>
  <c r="V97" i="2"/>
  <c r="V95" i="2"/>
  <c r="V94" i="2"/>
  <c r="V93" i="2"/>
  <c r="V92" i="2"/>
  <c r="V91" i="2"/>
  <c r="V89" i="2"/>
  <c r="V88" i="2"/>
  <c r="V87" i="2"/>
  <c r="V86" i="2"/>
  <c r="V85" i="2"/>
  <c r="V83" i="2"/>
  <c r="V81" i="2"/>
  <c r="V79" i="2"/>
  <c r="V78" i="2"/>
  <c r="V77" i="2"/>
  <c r="V76" i="2"/>
  <c r="V75" i="2"/>
  <c r="V74" i="2"/>
  <c r="V73" i="2"/>
  <c r="V71" i="2"/>
  <c r="V70" i="2"/>
  <c r="V69" i="2"/>
  <c r="V68" i="2"/>
  <c r="V67" i="2"/>
  <c r="V66" i="2"/>
  <c r="V64" i="2"/>
  <c r="V63" i="2"/>
  <c r="V62" i="2"/>
  <c r="V61" i="2"/>
  <c r="V60" i="2"/>
  <c r="V59" i="2"/>
  <c r="V57" i="2"/>
  <c r="V56" i="2"/>
  <c r="V53" i="2"/>
  <c r="V52" i="2"/>
  <c r="V51" i="2"/>
  <c r="V50" i="2"/>
  <c r="V49" i="2"/>
  <c r="V48" i="2"/>
  <c r="V47" i="2"/>
  <c r="V46" i="2"/>
  <c r="V45" i="2"/>
  <c r="V44" i="2"/>
  <c r="V42" i="2"/>
  <c r="V41" i="2"/>
  <c r="V40" i="2"/>
  <c r="V38" i="2"/>
  <c r="V37" i="2"/>
  <c r="V36" i="2"/>
  <c r="V33" i="2"/>
  <c r="V32" i="2"/>
  <c r="V31" i="2"/>
  <c r="V30" i="2"/>
  <c r="V28" i="2"/>
  <c r="V25" i="2"/>
  <c r="V24" i="2"/>
  <c r="V23" i="2"/>
  <c r="V22" i="2"/>
  <c r="V21" i="2"/>
  <c r="V20" i="2"/>
  <c r="V19" i="2"/>
  <c r="V18" i="2"/>
  <c r="V17" i="2"/>
  <c r="V16" i="2"/>
  <c r="V15" i="2"/>
  <c r="V14" i="2"/>
  <c r="V13" i="2"/>
  <c r="V11" i="2"/>
  <c r="V10" i="2"/>
  <c r="V9" i="2"/>
  <c r="V8" i="2"/>
  <c r="V7" i="2"/>
  <c r="V6" i="2"/>
  <c r="V5" i="2"/>
  <c r="V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X1" authorId="0" shapeId="0" xr:uid="{E6861675-A515-494C-9595-B170B75C69E0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Y1" authorId="0" shapeId="0" xr:uid="{17B03C9D-1151-504F-9D19-4471AC2AB50B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Mohanaruban, Aruchuna</author>
  </authors>
  <commentList>
    <comment ref="Y1" authorId="0" shapeId="0" xr:uid="{BD7B8DD6-74CF-154D-A3FE-080940558738}">
      <text>
        <r>
          <rPr>
            <b/>
            <sz val="10"/>
            <color rgb="FF000000"/>
            <rFont val="Tahoma"/>
            <family val="2"/>
          </rPr>
          <t>Mohanaruban, Aruchuna: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Calibri"/>
            <family val="2"/>
          </rPr>
          <t xml:space="preserve">&lt;18.5=1
</t>
        </r>
        <r>
          <rPr>
            <sz val="10"/>
            <color rgb="FF000000"/>
            <rFont val="Calibri"/>
            <family val="2"/>
          </rPr>
          <t xml:space="preserve">18-24.9=2
</t>
        </r>
        <r>
          <rPr>
            <sz val="10"/>
            <color rgb="FF000000"/>
            <rFont val="Calibri"/>
            <family val="2"/>
          </rPr>
          <t xml:space="preserve">25-29.9=3
</t>
        </r>
        <r>
          <rPr>
            <sz val="10"/>
            <color rgb="FF000000"/>
            <rFont val="Calibri"/>
            <family val="2"/>
          </rPr>
          <t xml:space="preserve">30-39.9=4
</t>
        </r>
      </text>
    </comment>
  </commentList>
</comments>
</file>

<file path=xl/sharedStrings.xml><?xml version="1.0" encoding="utf-8"?>
<sst xmlns="http://schemas.openxmlformats.org/spreadsheetml/2006/main" count="6816" uniqueCount="1154">
  <si>
    <t>Sample File Name</t>
  </si>
  <si>
    <t>Acquired Time</t>
  </si>
  <si>
    <t>Run Order</t>
  </si>
  <si>
    <t>Batch</t>
  </si>
  <si>
    <t>Sample ID</t>
  </si>
  <si>
    <t>SampleType</t>
  </si>
  <si>
    <t>Feature Name</t>
  </si>
  <si>
    <t>Picolinic Acid</t>
  </si>
  <si>
    <t>Nicotinic acid</t>
  </si>
  <si>
    <t>3-HAA</t>
  </si>
  <si>
    <t>Serotonin</t>
  </si>
  <si>
    <t>Quinolinic acid</t>
  </si>
  <si>
    <t>Citrulline</t>
  </si>
  <si>
    <t>Indole-3-acetic-acid</t>
  </si>
  <si>
    <t>Kynurenic acid</t>
  </si>
  <si>
    <t>5-hydroxyindole acetic acid</t>
  </si>
  <si>
    <t>Xanthurenic acid</t>
  </si>
  <si>
    <t>Kynurenine</t>
  </si>
  <si>
    <t>Neopterin</t>
  </si>
  <si>
    <t>Tryptophan</t>
  </si>
  <si>
    <t>calibrationMethod</t>
  </si>
  <si>
    <t>Backcalculated with Internal Standard</t>
  </si>
  <si>
    <t>Backcalculated without Internal Standard</t>
  </si>
  <si>
    <t>quantificationType</t>
  </si>
  <si>
    <t>Quantified and validated with own labeled analogue</t>
  </si>
  <si>
    <t>Monitored for relative information</t>
  </si>
  <si>
    <t>Unit</t>
  </si>
  <si>
    <t>ng/mL</t>
  </si>
  <si>
    <t>LLOQ</t>
  </si>
  <si>
    <t>ULOQ</t>
  </si>
  <si>
    <t>IBD_UC_Serum_TQ02_Tryptophan_Plate_1A_018</t>
  </si>
  <si>
    <t>2021-09-09T16:13:23</t>
  </si>
  <si>
    <t>B148</t>
  </si>
  <si>
    <t>Study Sample</t>
  </si>
  <si>
    <t>&lt;LLOQ</t>
  </si>
  <si>
    <t>&gt;ULOQ</t>
  </si>
  <si>
    <t>IBD_UC_Serum_TQ02_Tryptophan_Plate_1A_019</t>
  </si>
  <si>
    <t>2021-09-09T16:21:50</t>
  </si>
  <si>
    <t>B165</t>
  </si>
  <si>
    <t>IBD_UC_Serum_TQ02_Tryptophan_Plate_1A_020</t>
  </si>
  <si>
    <t>2021-09-09T16:30:19</t>
  </si>
  <si>
    <t>B049</t>
  </si>
  <si>
    <t>IBD_UC_Serum_TQ02_Tryptophan_Plate_1A_021</t>
  </si>
  <si>
    <t>2021-09-09T16:38:48</t>
  </si>
  <si>
    <t>B069</t>
  </si>
  <si>
    <t>IBD_UC_Serum_TQ02_Tryptophan_Plate_1A_022</t>
  </si>
  <si>
    <t>2021-09-09T16:47:09</t>
  </si>
  <si>
    <t>B095</t>
  </si>
  <si>
    <t>IBD_UC_Serum_TQ02_Tryptophan_Plate_1A_023</t>
  </si>
  <si>
    <t>2021-09-09T16:55:30</t>
  </si>
  <si>
    <t>B146</t>
  </si>
  <si>
    <t>IBD_UC_Serum_TQ02_Tryptophan_Plate_1A_024</t>
  </si>
  <si>
    <t>2021-09-09T17:03:51</t>
  </si>
  <si>
    <t>B198</t>
  </si>
  <si>
    <t>IBD_UC_Serum_TQ02_Tryptophan_Plate_1A_025</t>
  </si>
  <si>
    <t>2021-09-09T17:12:20</t>
  </si>
  <si>
    <t>B181</t>
  </si>
  <si>
    <t>IBD_UC_Serum_TQ02_Tryptophan_Plate_1A_026</t>
  </si>
  <si>
    <t>2021-09-09T17:20:49</t>
  </si>
  <si>
    <t>B184</t>
  </si>
  <si>
    <t>IBD_UC_Serum_TQ02_Tryptophan_Plate_1A_027</t>
  </si>
  <si>
    <t>2021-09-09T17:29:10</t>
  </si>
  <si>
    <t>B179</t>
  </si>
  <si>
    <t>IBD_UC_Serum_TQ02_Tryptophan_Plate_1A_030</t>
  </si>
  <si>
    <t>2021-09-09T17:54:21</t>
  </si>
  <si>
    <t>B187</t>
  </si>
  <si>
    <t>IBD_UC_Serum_TQ02_Tryptophan_Plate_1A_031</t>
  </si>
  <si>
    <t>2021-09-09T18:02:50</t>
  </si>
  <si>
    <t>B162</t>
  </si>
  <si>
    <t>IBD_UC_Serum_TQ02_Tryptophan_Plate_1A_032</t>
  </si>
  <si>
    <t>2021-09-09T18:11:19</t>
  </si>
  <si>
    <t>B106</t>
  </si>
  <si>
    <t>IBD_UC_Serum_TQ02_Tryptophan_Plate_1A_033</t>
  </si>
  <si>
    <t>2021-09-09T18:19:49</t>
  </si>
  <si>
    <t>B033</t>
  </si>
  <si>
    <t>IBD_UC_Serum_TQ02_Tryptophan_Plate_1A_034</t>
  </si>
  <si>
    <t>2021-09-09T18:28:09</t>
  </si>
  <si>
    <t>B022</t>
  </si>
  <si>
    <t>IBD_UC_Serum_TQ02_Tryptophan_Plate_1A_035</t>
  </si>
  <si>
    <t>2021-09-09T18:36:30</t>
  </si>
  <si>
    <t>B047</t>
  </si>
  <si>
    <t>IBD_UC_Serum_TQ02_Tryptophan_Plate_1A_036</t>
  </si>
  <si>
    <t>2021-09-09T18:44:52</t>
  </si>
  <si>
    <t>B119</t>
  </si>
  <si>
    <t>IBD_UC_Serum_TQ02_Tryptophan_Plate_1A_037</t>
  </si>
  <si>
    <t>2021-09-09T18:53:21</t>
  </si>
  <si>
    <t>B108</t>
  </si>
  <si>
    <t>IBD_UC_Serum_TQ02_Tryptophan_Plate_1A_038</t>
  </si>
  <si>
    <t>2021-09-09T19:01:42</t>
  </si>
  <si>
    <t>B114</t>
  </si>
  <si>
    <t>IBD_UC_Serum_TQ02_Tryptophan_Plate_1A_039</t>
  </si>
  <si>
    <t>2021-09-09T19:10:03</t>
  </si>
  <si>
    <t>B032</t>
  </si>
  <si>
    <t>IBD_UC_Serum_TQ02_Tryptophan_Plate_1A_042</t>
  </si>
  <si>
    <t>2021-09-09T19:35:14</t>
  </si>
  <si>
    <t>B041</t>
  </si>
  <si>
    <t>IBD_UC_Serum_TQ02_Tryptophan_Plate_1A_043</t>
  </si>
  <si>
    <t>2021-09-09T19:43:43</t>
  </si>
  <si>
    <t>B138</t>
  </si>
  <si>
    <t>IBD_UC_Serum_TQ02_Tryptophan_Plate_1A_044</t>
  </si>
  <si>
    <t>2021-09-09T19:52:12</t>
  </si>
  <si>
    <t>B163</t>
  </si>
  <si>
    <t>IBD_UC_Serum_TQ02_Tryptophan_Plate_1A_045</t>
  </si>
  <si>
    <t>2021-09-09T20:00:41</t>
  </si>
  <si>
    <t>B129</t>
  </si>
  <si>
    <t>IBD_UC_Serum_TQ02_Tryptophan_Plate_1A_046</t>
  </si>
  <si>
    <t>2021-09-09T20:09:02</t>
  </si>
  <si>
    <t>B237</t>
  </si>
  <si>
    <t>IBD_UC_Serum_TQ02_Tryptophan_Plate_1A_047</t>
  </si>
  <si>
    <t>2021-09-09T20:17:23</t>
  </si>
  <si>
    <t>B139</t>
  </si>
  <si>
    <t>IBD_UC_Serum_TQ02_Tryptophan_Plate_1A_048</t>
  </si>
  <si>
    <t>2021-09-09T20:25:44</t>
  </si>
  <si>
    <t>B239</t>
  </si>
  <si>
    <t>IBD_UC_Serum_TQ02_Tryptophan_Plate_1A_049</t>
  </si>
  <si>
    <t>2021-09-09T20:34:05</t>
  </si>
  <si>
    <t>B199</t>
  </si>
  <si>
    <t>IBD_UC_Serum_TQ02_Tryptophan_Plate_1A_050</t>
  </si>
  <si>
    <t>2021-09-09T20:42:26</t>
  </si>
  <si>
    <t>B203</t>
  </si>
  <si>
    <t>IBD_UC_Serum_TQ02_Tryptophan_Plate_1A_051</t>
  </si>
  <si>
    <t>2021-09-09T20:50:47</t>
  </si>
  <si>
    <t>B196</t>
  </si>
  <si>
    <t>IBD_UC_Serum_TQ02_Tryptophan_Plate_1A_054</t>
  </si>
  <si>
    <t>2021-09-09T21:16:06</t>
  </si>
  <si>
    <t>B206</t>
  </si>
  <si>
    <t>IBD_UC_Serum_TQ02_Tryptophan_Plate_1A_055</t>
  </si>
  <si>
    <t>2021-09-09T21:24:35</t>
  </si>
  <si>
    <t>B195</t>
  </si>
  <si>
    <t>IBD_UC_Serum_TQ02_Tryptophan_Plate_1A_056</t>
  </si>
  <si>
    <t>2021-09-09T21:33:04</t>
  </si>
  <si>
    <t>B233</t>
  </si>
  <si>
    <t>IBD_UC_Serum_TQ02_Tryptophan_Plate_1A_057</t>
  </si>
  <si>
    <t>2021-09-09T21:41:34</t>
  </si>
  <si>
    <t>B220</t>
  </si>
  <si>
    <t>IBD_UC_Serum_TQ02_Tryptophan_Plate_1A_058</t>
  </si>
  <si>
    <t>2021-09-09T21:50:03</t>
  </si>
  <si>
    <t>B043</t>
  </si>
  <si>
    <t>IBD_UC_Serum_TQ02_Tryptophan_Plate_1A_059</t>
  </si>
  <si>
    <t>2021-09-09T21:58:24</t>
  </si>
  <si>
    <t>B036</t>
  </si>
  <si>
    <t>IBD_UC_Serum_TQ02_Tryptophan_Plate_1A_060</t>
  </si>
  <si>
    <t>2021-09-09T22:06:45</t>
  </si>
  <si>
    <t>B105</t>
  </si>
  <si>
    <t>IBD_UC_Serum_TQ02_Tryptophan_Plate_1A_061</t>
  </si>
  <si>
    <t>2021-09-09T22:15:06</t>
  </si>
  <si>
    <t>B075</t>
  </si>
  <si>
    <t>IBD_UC_Serum_TQ02_Tryptophan_Plate_1A_062</t>
  </si>
  <si>
    <t>2021-09-09T22:23:35</t>
  </si>
  <si>
    <t>B156</t>
  </si>
  <si>
    <t>IBD_UC_Serum_TQ02_Tryptophan_Plate_1A_063</t>
  </si>
  <si>
    <t>2021-09-09T22:31:56</t>
  </si>
  <si>
    <t>B235</t>
  </si>
  <si>
    <t>IBD_UC_Serum_TQ02_Tryptophan_Plate_1B_018</t>
  </si>
  <si>
    <t>2021-09-10T03:35:46</t>
  </si>
  <si>
    <t>B071</t>
  </si>
  <si>
    <t>IBD_UC_Serum_TQ02_Tryptophan_Plate_1B_019</t>
  </si>
  <si>
    <t>2021-09-10T03:44:07</t>
  </si>
  <si>
    <t>B042</t>
  </si>
  <si>
    <t>IBD_UC_Serum_TQ02_Tryptophan_Plate_1B_020</t>
  </si>
  <si>
    <t>2021-09-10T03:52:28</t>
  </si>
  <si>
    <t>B051</t>
  </si>
  <si>
    <t>IBD_UC_Serum_TQ02_Tryptophan_Plate_1B_021</t>
  </si>
  <si>
    <t>2021-09-10T04:00:57</t>
  </si>
  <si>
    <t>B249</t>
  </si>
  <si>
    <t>IBD_UC_Serum_TQ02_Tryptophan_Plate_1B_022</t>
  </si>
  <si>
    <t>2021-09-10T04:09:26</t>
  </si>
  <si>
    <t>B121</t>
  </si>
  <si>
    <t>IBD_UC_Serum_TQ02_Tryptophan_Plate_1B_023</t>
  </si>
  <si>
    <t>2021-09-10T04:17:56</t>
  </si>
  <si>
    <t>B178</t>
  </si>
  <si>
    <t>IBD_UC_Serum_TQ02_Tryptophan_Plate_1B_024</t>
  </si>
  <si>
    <t>2021-09-10T04:26:16</t>
  </si>
  <si>
    <t>B087</t>
  </si>
  <si>
    <t>IBD_UC_Serum_TQ02_Tryptophan_Plate_1B_025</t>
  </si>
  <si>
    <t>2021-09-10T04:34:46</t>
  </si>
  <si>
    <t>B062</t>
  </si>
  <si>
    <t>IBD_UC_Serum_TQ02_Tryptophan_Plate_1B_026</t>
  </si>
  <si>
    <t>2021-09-10T04:43:15</t>
  </si>
  <si>
    <t>B065</t>
  </si>
  <si>
    <t>IBD_UC_Serum_TQ02_Tryptophan_Plate_1B_027</t>
  </si>
  <si>
    <t>2021-09-10T04:51:44</t>
  </si>
  <si>
    <t>B170</t>
  </si>
  <si>
    <t>IBD_UC_Serum_TQ02_Tryptophan_Plate_1B_030</t>
  </si>
  <si>
    <t>2021-09-10T05:17:03</t>
  </si>
  <si>
    <t>B086</t>
  </si>
  <si>
    <t>IBD_UC_Serum_TQ02_Tryptophan_Plate_1B_031</t>
  </si>
  <si>
    <t>2021-09-10T05:25:32</t>
  </si>
  <si>
    <t>B088</t>
  </si>
  <si>
    <t>IBD_UC_Serum_TQ02_Tryptophan_Plate_1B_032</t>
  </si>
  <si>
    <t>2021-09-10T05:34:01</t>
  </si>
  <si>
    <t>B076</t>
  </si>
  <si>
    <t>IBD_UC_Serum_TQ02_Tryptophan_Plate_1B_033</t>
  </si>
  <si>
    <t>2021-09-10T05:42:22</t>
  </si>
  <si>
    <t>B098</t>
  </si>
  <si>
    <t>IBD_UC_Serum_TQ02_Tryptophan_Plate_1B_034</t>
  </si>
  <si>
    <t>2021-09-10T05:50:52</t>
  </si>
  <si>
    <t>B096</t>
  </si>
  <si>
    <t>IBD_UC_Serum_TQ02_Tryptophan_Plate_1B_035</t>
  </si>
  <si>
    <t>2021-09-10T05:59:20</t>
  </si>
  <si>
    <t>B140</t>
  </si>
  <si>
    <t>IBD_UC_Serum_TQ02_Tryptophan_Plate_1B_036</t>
  </si>
  <si>
    <t>2021-09-10T06:07:42</t>
  </si>
  <si>
    <t>B164</t>
  </si>
  <si>
    <t>IBD_UC_Serum_TQ02_Tryptophan_Plate_1B_037</t>
  </si>
  <si>
    <t>2021-09-10T06:16:11</t>
  </si>
  <si>
    <t>B124</t>
  </si>
  <si>
    <t>IBD_UC_Serum_TQ02_Tryptophan_Plate_1B_038</t>
  </si>
  <si>
    <t>2021-09-10T06:24:40</t>
  </si>
  <si>
    <t>B122</t>
  </si>
  <si>
    <t>IBD_UC_Serum_TQ02_Tryptophan_Plate_1B_039</t>
  </si>
  <si>
    <t>2021-09-10T06:33:09</t>
  </si>
  <si>
    <t>B224</t>
  </si>
  <si>
    <t>IBD_UC_Serum_TQ02_Tryptophan_Plate_1B_042</t>
  </si>
  <si>
    <t>2021-09-10T06:58:28</t>
  </si>
  <si>
    <t>B225</t>
  </si>
  <si>
    <t>IBD_UC_Serum_TQ02_Tryptophan_Plate_1B_043</t>
  </si>
  <si>
    <t>2021-09-10T07:06:57</t>
  </si>
  <si>
    <t>B234</t>
  </si>
  <si>
    <t>IBD_UC_Serum_TQ02_Tryptophan_Plate_1B_044</t>
  </si>
  <si>
    <t>2021-09-10T07:15:26</t>
  </si>
  <si>
    <t>B112</t>
  </si>
  <si>
    <t>IBD_UC_Serum_TQ02_Tryptophan_Plate_1B_045</t>
  </si>
  <si>
    <t>2021-09-10T07:23:55</t>
  </si>
  <si>
    <t>B244</t>
  </si>
  <si>
    <t>IBD_UC_Serum_TQ02_Tryptophan_Plate_1B_046</t>
  </si>
  <si>
    <t>2021-09-10T07:32:24</t>
  </si>
  <si>
    <t>B251</t>
  </si>
  <si>
    <t>IBD_UC_Serum_TQ02_Tryptophan_Plate_1B_047</t>
  </si>
  <si>
    <t>2021-09-10T07:40:53</t>
  </si>
  <si>
    <t>B226</t>
  </si>
  <si>
    <t>IBD_UC_Serum_TQ02_Tryptophan_Plate_1B_048</t>
  </si>
  <si>
    <t>2021-09-10T07:49:15</t>
  </si>
  <si>
    <t>B177</t>
  </si>
  <si>
    <t>IBD_UC_Serum_TQ02_Tryptophan_Plate_1B_049</t>
  </si>
  <si>
    <t>2021-09-10T07:57:35</t>
  </si>
  <si>
    <t>B182</t>
  </si>
  <si>
    <t>IBD_UC_Serum_TQ02_Tryptophan_Plate_1B_050</t>
  </si>
  <si>
    <t>2021-09-10T08:05:57</t>
  </si>
  <si>
    <t>B169</t>
  </si>
  <si>
    <t>IBD_UC_Serum_TQ02_Tryptophan_Plate_1B_051</t>
  </si>
  <si>
    <t>2021-09-10T08:14:17</t>
  </si>
  <si>
    <t>B180</t>
  </si>
  <si>
    <t>IBD_UC_Serum_TQ02_Tryptophan_Plate_1B_054</t>
  </si>
  <si>
    <t>2021-09-10T08:39:37</t>
  </si>
  <si>
    <t>B190</t>
  </si>
  <si>
    <t>IBD_UC_Serum_TQ02_Tryptophan_Plate_1B_055</t>
  </si>
  <si>
    <t>2021-09-10T08:48:06</t>
  </si>
  <si>
    <t>B175</t>
  </si>
  <si>
    <t>IBD_UC_Serum_TQ02_Tryptophan_Plate_1B_056</t>
  </si>
  <si>
    <t>2021-09-10T08:56:35</t>
  </si>
  <si>
    <t>B085</t>
  </si>
  <si>
    <t>IBD_UC_Serum_TQ02_Tryptophan_Plate_1B_057</t>
  </si>
  <si>
    <t>2021-09-10T09:05:04</t>
  </si>
  <si>
    <t>B061</t>
  </si>
  <si>
    <t>IBD_UC_Serum_TQ02_Tryptophan_Plate_1B_058</t>
  </si>
  <si>
    <t>2021-09-10T09:13:33</t>
  </si>
  <si>
    <t>B038</t>
  </si>
  <si>
    <t>IBD_UC_Serum_TQ02_Tryptophan_Plate_1B_059</t>
  </si>
  <si>
    <t>2021-09-10T09:22:02</t>
  </si>
  <si>
    <t>B016</t>
  </si>
  <si>
    <t>IBD_UC_Serum_TQ02_Tryptophan_Plate_1B_060</t>
  </si>
  <si>
    <t>2021-09-10T09:30:23</t>
  </si>
  <si>
    <t>B040</t>
  </si>
  <si>
    <t>IBD_UC_Serum_TQ02_Tryptophan_Plate_1B_061</t>
  </si>
  <si>
    <t>2021-09-10T09:38:44</t>
  </si>
  <si>
    <t>B073</t>
  </si>
  <si>
    <t>IBD_UC_Serum_TQ02_Tryptophan_Plate_1B_062</t>
  </si>
  <si>
    <t>2021-09-10T09:47:05</t>
  </si>
  <si>
    <t>B044</t>
  </si>
  <si>
    <t>IBD_UC_Serum_TQ02_Tryptophan_Plate_1B_063</t>
  </si>
  <si>
    <t>2021-09-10T09:55:26</t>
  </si>
  <si>
    <t>B107</t>
  </si>
  <si>
    <t>IBD_UC_Serum_TQ02_Tryptophan_Plate_2A_018</t>
  </si>
  <si>
    <t>2021-09-10T16:09:15</t>
  </si>
  <si>
    <t>B034</t>
  </si>
  <si>
    <t>IBD_UC_Serum_TQ02_Tryptophan_Plate_2A_019</t>
  </si>
  <si>
    <t>2021-09-10T16:17:42</t>
  </si>
  <si>
    <t>B217</t>
  </si>
  <si>
    <t>IBD_UC_Serum_TQ02_Tryptophan_Plate_2A_020</t>
  </si>
  <si>
    <t>2021-09-10T16:26:11</t>
  </si>
  <si>
    <t>B218</t>
  </si>
  <si>
    <t>IBD_UC_Serum_TQ02_Tryptophan_Plate_2A_021</t>
  </si>
  <si>
    <t>2021-09-10T16:34:40</t>
  </si>
  <si>
    <t>B222</t>
  </si>
  <si>
    <t>IBD_UC_Serum_TQ02_Tryptophan_Plate_2A_022</t>
  </si>
  <si>
    <t>2021-09-10T16:43:09</t>
  </si>
  <si>
    <t>B068</t>
  </si>
  <si>
    <t>IBD_UC_Serum_TQ02_Tryptophan_Plate_2A_023</t>
  </si>
  <si>
    <t>2021-09-10T16:51:39</t>
  </si>
  <si>
    <t>B216</t>
  </si>
  <si>
    <t>IBD_UC_Serum_TQ02_Tryptophan_Plate_2A_024</t>
  </si>
  <si>
    <t>2021-09-10T17:00:08</t>
  </si>
  <si>
    <t>B219</t>
  </si>
  <si>
    <t>IBD_UC_Serum_TQ02_Tryptophan_Plate_2A_025</t>
  </si>
  <si>
    <t>2021-09-10T17:08:37</t>
  </si>
  <si>
    <t>B082</t>
  </si>
  <si>
    <t>IBD_UC_Serum_TQ02_Tryptophan_Plate_2A_026</t>
  </si>
  <si>
    <t>2021-09-10T17:17:06</t>
  </si>
  <si>
    <t>B111</t>
  </si>
  <si>
    <t>IBD_UC_Serum_TQ02_Tryptophan_Plate_2A_027</t>
  </si>
  <si>
    <t>2021-09-10T17:25:35</t>
  </si>
  <si>
    <t>B120</t>
  </si>
  <si>
    <t>IBD_UC_Serum_TQ02_Tryptophan_Plate_2A_030</t>
  </si>
  <si>
    <t>2021-09-10T17:50:38</t>
  </si>
  <si>
    <t>B128</t>
  </si>
  <si>
    <t>IBD_UC_Serum_TQ02_Tryptophan_Plate_2A_031</t>
  </si>
  <si>
    <t>2021-09-10T17:58:59</t>
  </si>
  <si>
    <t>B116</t>
  </si>
  <si>
    <t>IBD_UC_Serum_TQ02_Tryptophan_Plate_2A_032</t>
  </si>
  <si>
    <t>2021-09-10T18:07:20</t>
  </si>
  <si>
    <t>B118</t>
  </si>
  <si>
    <t>IBD_UC_Serum_TQ02_Tryptophan_Plate_2A_033</t>
  </si>
  <si>
    <t>2021-09-10T18:15:41</t>
  </si>
  <si>
    <t>B243</t>
  </si>
  <si>
    <t>IBD_UC_Serum_TQ02_Tryptophan_Plate_2A_034</t>
  </si>
  <si>
    <t>2021-09-10T18:24:10</t>
  </si>
  <si>
    <t>B153</t>
  </si>
  <si>
    <t>IBD_UC_Serum_TQ02_Tryptophan_Plate_2A_035</t>
  </si>
  <si>
    <t>2021-09-10T18:32:39</t>
  </si>
  <si>
    <t>B017</t>
  </si>
  <si>
    <t>IBD_UC_Serum_TQ02_Tryptophan_Plate_2A_036</t>
  </si>
  <si>
    <t>2021-09-10T18:41:00</t>
  </si>
  <si>
    <t>B167</t>
  </si>
  <si>
    <t>IBD_UC_Serum_TQ02_Tryptophan_Plate_2A_037</t>
  </si>
  <si>
    <t>2021-09-10T18:49:29</t>
  </si>
  <si>
    <t>B172</t>
  </si>
  <si>
    <t>IBD_UC_Serum_TQ02_Tryptophan_Plate_2A_038</t>
  </si>
  <si>
    <t>2021-09-10T18:57:50</t>
  </si>
  <si>
    <t>B229</t>
  </si>
  <si>
    <t>IBD_UC_Serum_TQ02_Tryptophan_Plate_2A_039</t>
  </si>
  <si>
    <t>2021-09-10T19:06:20</t>
  </si>
  <si>
    <t>B174</t>
  </si>
  <si>
    <t>IBD_UC_Serum_TQ02_Tryptophan_Plate_2A_042</t>
  </si>
  <si>
    <t>2021-09-10T19:31:23</t>
  </si>
  <si>
    <t>B097</t>
  </si>
  <si>
    <t>IBD_UC_Serum_TQ02_Tryptophan_Plate_2A_043</t>
  </si>
  <si>
    <t>2021-09-10T19:39:52</t>
  </si>
  <si>
    <t>B176</t>
  </si>
  <si>
    <t>IBD_UC_Serum_TQ02_Tryptophan_Plate_2A_044</t>
  </si>
  <si>
    <t>2021-09-10T19:48:13</t>
  </si>
  <si>
    <t>B183</t>
  </si>
  <si>
    <t>IBD_UC_Serum_TQ02_Tryptophan_Plate_2A_045</t>
  </si>
  <si>
    <t>2021-09-10T19:56:34</t>
  </si>
  <si>
    <t>B020</t>
  </si>
  <si>
    <t>IBD_UC_Serum_TQ02_Tryptophan_Plate_2A_046</t>
  </si>
  <si>
    <t>2021-09-10T20:05:03</t>
  </si>
  <si>
    <t>B067</t>
  </si>
  <si>
    <t>IBD_UC_Serum_TQ02_Tryptophan_Plate_2A_047</t>
  </si>
  <si>
    <t>2021-09-10T20:13:24</t>
  </si>
  <si>
    <t>B008</t>
  </si>
  <si>
    <t>IBD_UC_Serum_TQ02_Tryptophan_Plate_2A_048</t>
  </si>
  <si>
    <t>2021-09-10T20:21:45</t>
  </si>
  <si>
    <t>B039</t>
  </si>
  <si>
    <t>IBD_UC_Serum_TQ02_Tryptophan_Plate_2A_049</t>
  </si>
  <si>
    <t>2021-09-10T20:30:14</t>
  </si>
  <si>
    <t>B081</t>
  </si>
  <si>
    <t>IBD_UC_Serum_TQ02_Tryptophan_Plate_2A_050</t>
  </si>
  <si>
    <t>2021-09-10T20:38:35</t>
  </si>
  <si>
    <t>B024</t>
  </si>
  <si>
    <t>IBD_UC_Serum_TQ02_Tryptophan_Plate_2A_051</t>
  </si>
  <si>
    <t>2021-09-10T20:47:04</t>
  </si>
  <si>
    <t>B053</t>
  </si>
  <si>
    <t>IBD_UC_Serum_TQ02_Tryptophan_Plate_2A_054</t>
  </si>
  <si>
    <t>2021-09-10T21:12:07</t>
  </si>
  <si>
    <t>B001</t>
  </si>
  <si>
    <t>IBD_UC_Serum_TQ02_Tryptophan_Plate_2A_055</t>
  </si>
  <si>
    <t>2021-09-10T21:20:28</t>
  </si>
  <si>
    <t>B155</t>
  </si>
  <si>
    <t>IBD_UC_Serum_TQ02_Tryptophan_Plate_2A_056</t>
  </si>
  <si>
    <t>2021-09-10T21:28:49</t>
  </si>
  <si>
    <t>B161</t>
  </si>
  <si>
    <t>IBD_UC_Serum_TQ02_Tryptophan_Plate_2A_057</t>
  </si>
  <si>
    <t>2021-09-10T21:37:10</t>
  </si>
  <si>
    <t>B135</t>
  </si>
  <si>
    <t>IBD_UC_Serum_TQ02_Tryptophan_Plate_2A_058</t>
  </si>
  <si>
    <t>2021-09-10T21:45:31</t>
  </si>
  <si>
    <t>B126</t>
  </si>
  <si>
    <t>IBD_UC_Serum_TQ02_Tryptophan_Plate_2A_059</t>
  </si>
  <si>
    <t>2021-09-10T21:53:52</t>
  </si>
  <si>
    <t>B131</t>
  </si>
  <si>
    <t>IBD_UC_Serum_TQ02_Tryptophan_Plate_2A_060</t>
  </si>
  <si>
    <t>2021-09-10T22:02:13</t>
  </si>
  <si>
    <t>B050</t>
  </si>
  <si>
    <t>IBD_UC_Serum_TQ02_Tryptophan_Plate_2A_061</t>
  </si>
  <si>
    <t>2021-09-10T22:10:42</t>
  </si>
  <si>
    <t>B003</t>
  </si>
  <si>
    <t>IBD_UC_Serum_TQ02_Tryptophan_Plate_2A_062</t>
  </si>
  <si>
    <t>2021-09-10T22:19:11</t>
  </si>
  <si>
    <t>B019</t>
  </si>
  <si>
    <t>IBD_UC_Serum_TQ02_Tryptophan_Plate_2A_063</t>
  </si>
  <si>
    <t>2021-09-10T22:27:32</t>
  </si>
  <si>
    <t>B055</t>
  </si>
  <si>
    <t>IBD_UC_Serum_TQ02_Tryptophan_Plate_2B_018</t>
  </si>
  <si>
    <t>2021-09-11T03:31:06</t>
  </si>
  <si>
    <t>B026</t>
  </si>
  <si>
    <t>IBD_UC_Serum_TQ02_Tryptophan_Plate_2B_019</t>
  </si>
  <si>
    <t>2021-09-11T03:39:35</t>
  </si>
  <si>
    <t>B031</t>
  </si>
  <si>
    <t>IBD_UC_Serum_TQ02_Tryptophan_Plate_2B_020</t>
  </si>
  <si>
    <t>2021-09-11T03:48:05</t>
  </si>
  <si>
    <t>B028</t>
  </si>
  <si>
    <t>IBD_UC_Serum_TQ02_Tryptophan_Plate_2B_021</t>
  </si>
  <si>
    <t>2021-09-11T03:56:34</t>
  </si>
  <si>
    <t>B030</t>
  </si>
  <si>
    <t>IBD_UC_Serum_TQ02_Tryptophan_Plate_2B_022</t>
  </si>
  <si>
    <t>2021-09-11T04:05:03</t>
  </si>
  <si>
    <t>B014</t>
  </si>
  <si>
    <t>IBD_UC_Serum_TQ02_Tryptophan_Plate_2B_023</t>
  </si>
  <si>
    <t>2021-09-11T04:13:32</t>
  </si>
  <si>
    <t>B078</t>
  </si>
  <si>
    <t>IBD_UC_Serum_TQ02_Tryptophan_Plate_2B_024</t>
  </si>
  <si>
    <t>2021-09-11T04:22:01</t>
  </si>
  <si>
    <t>B102</t>
  </si>
  <si>
    <t>IBD_UC_Serum_TQ02_Tryptophan_Plate_2B_025</t>
  </si>
  <si>
    <t>2021-09-11T04:30:30</t>
  </si>
  <si>
    <t>B072</t>
  </si>
  <si>
    <t>IBD_UC_Serum_TQ02_Tryptophan_Plate_2B_026</t>
  </si>
  <si>
    <t>2021-09-11T04:38:59</t>
  </si>
  <si>
    <t>B125</t>
  </si>
  <si>
    <t>IBD_UC_Serum_TQ02_Tryptophan_Plate_2B_027</t>
  </si>
  <si>
    <t>2021-09-11T04:47:20</t>
  </si>
  <si>
    <t>B109</t>
  </si>
  <si>
    <t>IBD_UC_Serum_TQ02_Tryptophan_Plate_2B_030</t>
  </si>
  <si>
    <t>2021-09-11T05:12:23</t>
  </si>
  <si>
    <t>B143</t>
  </si>
  <si>
    <t>IBD_UC_Serum_TQ02_Tryptophan_Plate_2B_031</t>
  </si>
  <si>
    <t>2021-09-11T05:20:52</t>
  </si>
  <si>
    <t>B240</t>
  </si>
  <si>
    <t>IBD_UC_Serum_TQ02_Tryptophan_Plate_2B_032</t>
  </si>
  <si>
    <t>2021-09-11T05:29:21</t>
  </si>
  <si>
    <t>B004</t>
  </si>
  <si>
    <t>IBD_UC_Serum_TQ02_Tryptophan_Plate_2B_033</t>
  </si>
  <si>
    <t>2021-09-11T05:37:51</t>
  </si>
  <si>
    <t>B002</t>
  </si>
  <si>
    <t>IBD_UC_Serum_TQ02_Tryptophan_Plate_2B_034</t>
  </si>
  <si>
    <t>2021-09-11T05:46:20</t>
  </si>
  <si>
    <t>B133</t>
  </si>
  <si>
    <t>IBD_UC_Serum_TQ02_Tryptophan_Plate_2B_035</t>
  </si>
  <si>
    <t>2021-09-11T05:54:49</t>
  </si>
  <si>
    <t>B123</t>
  </si>
  <si>
    <t>IBD_UC_Serum_TQ02_Tryptophan_Plate_2B_036</t>
  </si>
  <si>
    <t>2021-09-11T06:03:10</t>
  </si>
  <si>
    <t>B152</t>
  </si>
  <si>
    <t>IBD_UC_Serum_TQ02_Tryptophan_Plate_2B_037</t>
  </si>
  <si>
    <t>2021-09-11T06:11:39</t>
  </si>
  <si>
    <t>B066</t>
  </si>
  <si>
    <t>IBD_UC_Serum_TQ02_Tryptophan_Plate_2B_038</t>
  </si>
  <si>
    <t>2021-09-11T06:20:08</t>
  </si>
  <si>
    <t>B010</t>
  </si>
  <si>
    <t>IBD_UC_Serum_TQ02_Tryptophan_Plate_2B_039</t>
  </si>
  <si>
    <t>2021-09-11T06:28:37</t>
  </si>
  <si>
    <t>B238</t>
  </si>
  <si>
    <t>IBD_UC_Serum_TQ02_Tryptophan_Plate_2B_042</t>
  </si>
  <si>
    <t>2021-09-11T06:53:56</t>
  </si>
  <si>
    <t>B252</t>
  </si>
  <si>
    <t>IBD_UC_Serum_TQ02_Tryptophan_Plate_2B_043</t>
  </si>
  <si>
    <t>2021-09-11T07:02:17</t>
  </si>
  <si>
    <t>B013</t>
  </si>
  <si>
    <t>IBD_UC_Serum_TQ02_Tryptophan_Plate_2B_044</t>
  </si>
  <si>
    <t>2021-09-12T00:44:44</t>
  </si>
  <si>
    <t>B035</t>
  </si>
  <si>
    <t>IBD_UC_Serum_TQ02_Tryptophan_Plate_2B_045</t>
  </si>
  <si>
    <t>2021-09-12T00:53:13</t>
  </si>
  <si>
    <t>B018</t>
  </si>
  <si>
    <t>IBD_UC_Serum_TQ02_Tryptophan_Plate_2B_046</t>
  </si>
  <si>
    <t>2021-09-12T01:01:54</t>
  </si>
  <si>
    <t>B048</t>
  </si>
  <si>
    <t>IBD_UC_Serum_TQ02_Tryptophan_Plate_2B_047</t>
  </si>
  <si>
    <t>2021-09-12T01:10:16</t>
  </si>
  <si>
    <t>B074</t>
  </si>
  <si>
    <t>IBD_UC_Serum_TQ02_Tryptophan_Plate_2B_048</t>
  </si>
  <si>
    <t>2021-09-12T01:18:45</t>
  </si>
  <si>
    <t>B045</t>
  </si>
  <si>
    <t>IBD_UC_Serum_TQ02_Tryptophan_Plate_2B_049</t>
  </si>
  <si>
    <t>2021-09-12T01:27:14</t>
  </si>
  <si>
    <t>B005</t>
  </si>
  <si>
    <t>IBD_UC_Serum_TQ02_Tryptophan_Plate_2B_050</t>
  </si>
  <si>
    <t>2021-09-12T01:35:43</t>
  </si>
  <si>
    <t>B093</t>
  </si>
  <si>
    <t>IBD_UC_Serum_TQ02_Tryptophan_Plate_2B_051</t>
  </si>
  <si>
    <t>2021-09-12T01:44:12</t>
  </si>
  <si>
    <t>B103</t>
  </si>
  <si>
    <t>IBD_UC_Serum_TQ02_Tryptophan_Plate_2B_054</t>
  </si>
  <si>
    <t>2021-09-12T02:09:23</t>
  </si>
  <si>
    <t>B021</t>
  </si>
  <si>
    <t>IBD_UC_Serum_TQ02_Tryptophan_Plate_2B_055</t>
  </si>
  <si>
    <t>2021-09-12T02:17:52</t>
  </si>
  <si>
    <t>B236</t>
  </si>
  <si>
    <t>IBD_UC_Serum_TQ02_Tryptophan_Plate_2B_056</t>
  </si>
  <si>
    <t>2021-09-12T02:26:21</t>
  </si>
  <si>
    <t>B151</t>
  </si>
  <si>
    <t>IBD_UC_Serum_TQ02_Tryptophan_Plate_2B_057</t>
  </si>
  <si>
    <t>2021-09-12T02:34:50</t>
  </si>
  <si>
    <t>B186</t>
  </si>
  <si>
    <t>IBD_UC_Serum_TQ02_Tryptophan_Plate_2B_058</t>
  </si>
  <si>
    <t>2021-09-12T02:43:11</t>
  </si>
  <si>
    <t>B171</t>
  </si>
  <si>
    <t>IBD_UC_Serum_TQ02_Tryptophan_Plate_2B_059</t>
  </si>
  <si>
    <t>2021-09-12T02:51:32</t>
  </si>
  <si>
    <t>B223</t>
  </si>
  <si>
    <t>IBD_UC_Serum_TQ02_Tryptophan_Plate_2B_060</t>
  </si>
  <si>
    <t>2021-09-12T03:00:01</t>
  </si>
  <si>
    <t>B192</t>
  </si>
  <si>
    <t>IBD_UC_Serum_TQ02_Tryptophan_Plate_2B_061</t>
  </si>
  <si>
    <t>2021-09-12T03:08:30</t>
  </si>
  <si>
    <t>B173</t>
  </si>
  <si>
    <t>IBD_UC_Serum_TQ02_Tryptophan_Plate_2B_062</t>
  </si>
  <si>
    <t>2021-09-12T03:16:51</t>
  </si>
  <si>
    <t>B168</t>
  </si>
  <si>
    <t>IBD_UC_Serum_TQ02_Tryptophan_Plate_2B_063</t>
  </si>
  <si>
    <t>2021-09-12T03:25:21</t>
  </si>
  <si>
    <t>B166</t>
  </si>
  <si>
    <t>IBD_UC_Serum_TQ02_Tryptophan_Plate_3A_018</t>
  </si>
  <si>
    <t>2021-09-14T16:58:27</t>
  </si>
  <si>
    <t>B257</t>
  </si>
  <si>
    <t>IBD_UC_Serum_TQ02_Tryptophan_Plate_3A_019</t>
  </si>
  <si>
    <t>2021-09-14T17:06:53</t>
  </si>
  <si>
    <t>B011</t>
  </si>
  <si>
    <t>IBD_UC_Serum_TQ02_Tryptophan_Plate_3A_020</t>
  </si>
  <si>
    <t>2021-09-14T17:15:22</t>
  </si>
  <si>
    <t>B091</t>
  </si>
  <si>
    <t>IBD_UC_Serum_TQ02_Tryptophan_Plate_3A_021</t>
  </si>
  <si>
    <t>2021-09-14T17:23:43</t>
  </si>
  <si>
    <t>B089</t>
  </si>
  <si>
    <t>IBD_UC_Serum_TQ02_Tryptophan_Plate_3A_022</t>
  </si>
  <si>
    <t>2021-09-14T17:32:12</t>
  </si>
  <si>
    <t>B101</t>
  </si>
  <si>
    <t>IBD_UC_Serum_TQ02_Tryptophan_Plate_3A_023</t>
  </si>
  <si>
    <t>2021-09-14T17:40:41</t>
  </si>
  <si>
    <t>B079</t>
  </si>
  <si>
    <t>IBD_UC_Serum_TQ02_Tryptophan_Plate_3A_024</t>
  </si>
  <si>
    <t>2021-09-14T17:49:10</t>
  </si>
  <si>
    <t>B058</t>
  </si>
  <si>
    <t>IBD_UC_Serum_TQ02_Tryptophan_Plate_3A_025</t>
  </si>
  <si>
    <t>2021-09-14T17:57:31</t>
  </si>
  <si>
    <t>B213</t>
  </si>
  <si>
    <t>IBD_UC_Serum_TQ02_Tryptophan_Plate_3A_026</t>
  </si>
  <si>
    <t>2021-09-14T18:05:52</t>
  </si>
  <si>
    <t>B208</t>
  </si>
  <si>
    <t>IBD_UC_Serum_TQ02_Tryptophan_Plate_3A_027</t>
  </si>
  <si>
    <t>2021-09-14T18:14:21</t>
  </si>
  <si>
    <t>B209</t>
  </si>
  <si>
    <t>IBD_UC_Serum_TQ02_Tryptophan_Plate_3A_030</t>
  </si>
  <si>
    <t>2021-09-14T18:39:33</t>
  </si>
  <si>
    <t>B211</t>
  </si>
  <si>
    <t>IBD_UC_Serum_TQ02_Tryptophan_Plate_3A_031</t>
  </si>
  <si>
    <t>2021-09-14T18:48:02</t>
  </si>
  <si>
    <t>B215</t>
  </si>
  <si>
    <t>IBD_UC_Serum_TQ02_Tryptophan_Plate_3A_032</t>
  </si>
  <si>
    <t>2021-09-14T18:56:23</t>
  </si>
  <si>
    <t>B221</t>
  </si>
  <si>
    <t>IBD_UC_Serum_TQ02_Tryptophan_Plate_3A_033</t>
  </si>
  <si>
    <t>2021-09-14T19:04:44</t>
  </si>
  <si>
    <t>B057</t>
  </si>
  <si>
    <t>IBD_UC_Serum_TQ02_Tryptophan_Plate_3A_034</t>
  </si>
  <si>
    <t>2021-09-14T19:13:13</t>
  </si>
  <si>
    <t>B083</t>
  </si>
  <si>
    <t>IBD_UC_Serum_TQ02_Tryptophan_Plate_3A_035</t>
  </si>
  <si>
    <t>2021-09-14T19:21:42</t>
  </si>
  <si>
    <t>B090</t>
  </si>
  <si>
    <t>IBD_UC_Serum_TQ02_Tryptophan_Plate_3A_036</t>
  </si>
  <si>
    <t>2021-09-14T19:30:11</t>
  </si>
  <si>
    <t>B241</t>
  </si>
  <si>
    <t>IBD_UC_Serum_TQ02_Tryptophan_Plate_3A_037</t>
  </si>
  <si>
    <t>2021-09-14T19:38:40</t>
  </si>
  <si>
    <t>B110</t>
  </si>
  <si>
    <t>IBD_UC_Serum_TQ02_Tryptophan_Plate_3A_038</t>
  </si>
  <si>
    <t>2021-09-14T19:47:09</t>
  </si>
  <si>
    <t>B160</t>
  </si>
  <si>
    <t>IBD_UC_Serum_TQ02_Tryptophan_Plate_3A_039</t>
  </si>
  <si>
    <t>2021-09-14T19:55:38</t>
  </si>
  <si>
    <t>B144</t>
  </si>
  <si>
    <t>IBD_UC_Serum_TQ02_Tryptophan_Plate_3A_042</t>
  </si>
  <si>
    <t>2021-09-14T20:20:41</t>
  </si>
  <si>
    <t>B115</t>
  </si>
  <si>
    <t>IBD_UC_Serum_TQ02_Tryptophan_Plate_3A_043</t>
  </si>
  <si>
    <t>2021-09-14T20:29:10</t>
  </si>
  <si>
    <t>B113</t>
  </si>
  <si>
    <t>IBD_UC_Serum_TQ02_Tryptophan_Plate_3A_044</t>
  </si>
  <si>
    <t>2021-09-14T20:37:40</t>
  </si>
  <si>
    <t>B246</t>
  </si>
  <si>
    <t>IBD_UC_Serum_TQ02_Tryptophan_Plate_3A_045</t>
  </si>
  <si>
    <t>2021-09-14T20:46:01</t>
  </si>
  <si>
    <t>B253</t>
  </si>
  <si>
    <t>IBD_UC_Serum_TQ02_Tryptophan_Plate_3A_046</t>
  </si>
  <si>
    <t>2021-09-14T20:54:22</t>
  </si>
  <si>
    <t>B137</t>
  </si>
  <si>
    <t>IBD_UC_Serum_TQ02_Tryptophan_Plate_3A_047</t>
  </si>
  <si>
    <t>2021-09-14T21:02:43</t>
  </si>
  <si>
    <t>B150</t>
  </si>
  <si>
    <t>IBD_UC_Serum_TQ02_Tryptophan_Plate_3A_048</t>
  </si>
  <si>
    <t>2021-09-14T21:11:04</t>
  </si>
  <si>
    <t>B136</t>
  </si>
  <si>
    <t>IBD_UC_Serum_TQ02_Tryptophan_Plate_3A_049</t>
  </si>
  <si>
    <t>2021-09-14T21:19:25</t>
  </si>
  <si>
    <t>B149</t>
  </si>
  <si>
    <t>IBD_UC_Serum_TQ02_Tryptophan_Plate_3A_050</t>
  </si>
  <si>
    <t>2021-09-14T21:27:54</t>
  </si>
  <si>
    <t>B027</t>
  </si>
  <si>
    <t>IBD_UC_Serum_TQ02_Tryptophan_Plate_3A_051</t>
  </si>
  <si>
    <t>2021-09-14T21:36:23</t>
  </si>
  <si>
    <t>B056</t>
  </si>
  <si>
    <t>IBD_UC_Serum_TQ02_Tryptophan_Plate_3A_054</t>
  </si>
  <si>
    <t>2021-09-14T22:01:34</t>
  </si>
  <si>
    <t>B159</t>
  </si>
  <si>
    <t>IBD_UC_Serum_TQ02_Tryptophan_Plate_3A_055</t>
  </si>
  <si>
    <t>2021-09-14T22:10:03</t>
  </si>
  <si>
    <t>B145</t>
  </si>
  <si>
    <t>IBD_UC_Serum_TQ02_Tryptophan_Plate_3A_056</t>
  </si>
  <si>
    <t>2021-09-14T22:18:32</t>
  </si>
  <si>
    <t>B231</t>
  </si>
  <si>
    <t>IBD_UC_Serum_TQ02_Tryptophan_Plate_3A_057</t>
  </si>
  <si>
    <t>2021-09-14T22:26:53</t>
  </si>
  <si>
    <t>B228</t>
  </si>
  <si>
    <t>IBD_UC_Serum_TQ02_Tryptophan_Plate_3A_058</t>
  </si>
  <si>
    <t>2021-09-14T22:35:14</t>
  </si>
  <si>
    <t>B230</t>
  </si>
  <si>
    <t>IBD_UC_Serum_TQ02_Tryptophan_Plate_3A_059</t>
  </si>
  <si>
    <t>2021-09-14T22:43:35</t>
  </si>
  <si>
    <t>B202</t>
  </si>
  <si>
    <t>IBD_UC_Serum_TQ02_Tryptophan_Plate_3A_060</t>
  </si>
  <si>
    <t>2021-09-14T22:51:56</t>
  </si>
  <si>
    <t>B193</t>
  </si>
  <si>
    <t>IBD_UC_Serum_TQ02_Tryptophan_Plate_3A_061</t>
  </si>
  <si>
    <t>2021-09-14T23:00:25</t>
  </si>
  <si>
    <t>B232</t>
  </si>
  <si>
    <t>IBD_UC_Serum_TQ02_Tryptophan_Plate_3A_062</t>
  </si>
  <si>
    <t>2021-09-14T23:08:46</t>
  </si>
  <si>
    <t>B080</t>
  </si>
  <si>
    <t>IBD_UC_Serum_TQ02_Tryptophan_Plate_3A_063</t>
  </si>
  <si>
    <t>2021-09-14T23:17:07</t>
  </si>
  <si>
    <t>B059</t>
  </si>
  <si>
    <t>IBD_UC_Serum_TQ02_Tryptophan_Plate_3B_018</t>
  </si>
  <si>
    <t>2021-09-15T04:20:25</t>
  </si>
  <si>
    <t>B063</t>
  </si>
  <si>
    <t>IBD_UC_Serum_TQ02_Tryptophan_Plate_3B_019</t>
  </si>
  <si>
    <t>2021-09-15T04:28:55</t>
  </si>
  <si>
    <t>B023</t>
  </si>
  <si>
    <t>IBD_UC_Serum_TQ02_Tryptophan_Plate_3B_020</t>
  </si>
  <si>
    <t>2021-09-15T04:37:23</t>
  </si>
  <si>
    <t>B092</t>
  </si>
  <si>
    <t>IBD_UC_Serum_TQ02_Tryptophan_Plate_3B_021</t>
  </si>
  <si>
    <t>2021-09-15T04:45:53</t>
  </si>
  <si>
    <t>B012</t>
  </si>
  <si>
    <t>IBD_UC_Serum_TQ02_Tryptophan_Plate_3B_022</t>
  </si>
  <si>
    <t>2021-09-15T04:54:22</t>
  </si>
  <si>
    <t>B250</t>
  </si>
  <si>
    <t>IBD_UC_Serum_TQ02_Tryptophan_Plate_3B_023</t>
  </si>
  <si>
    <t>2021-09-15T05:02:51</t>
  </si>
  <si>
    <t>B134</t>
  </si>
  <si>
    <t>IBD_UC_Serum_TQ02_Tryptophan_Plate_3B_024</t>
  </si>
  <si>
    <t>2021-09-15T05:11:20</t>
  </si>
  <si>
    <t>B046</t>
  </si>
  <si>
    <t>IBD_UC_Serum_TQ02_Tryptophan_Plate_3B_025</t>
  </si>
  <si>
    <t>2021-09-15T05:19:49</t>
  </si>
  <si>
    <t>B007</t>
  </si>
  <si>
    <t>IBD_UC_Serum_TQ02_Tryptophan_Plate_3B_026</t>
  </si>
  <si>
    <t>2021-09-15T05:28:18</t>
  </si>
  <si>
    <t>B077</t>
  </si>
  <si>
    <t>IBD_UC_Serum_TQ02_Tryptophan_Plate_3B_027</t>
  </si>
  <si>
    <t>2021-09-15T05:36:39</t>
  </si>
  <si>
    <t>B054</t>
  </si>
  <si>
    <t>IBD_UC_Serum_TQ02_Tryptophan_Plate_3B_030</t>
  </si>
  <si>
    <t>2021-09-15T06:01:58</t>
  </si>
  <si>
    <t>B025</t>
  </si>
  <si>
    <t>IBD_UC_Serum_TQ02_Tryptophan_Plate_3B_031</t>
  </si>
  <si>
    <t>2021-09-15T06:10:19</t>
  </si>
  <si>
    <t>B009</t>
  </si>
  <si>
    <t>IBD_UC_Serum_TQ02_Tryptophan_Plate_3B_032</t>
  </si>
  <si>
    <t>2021-09-15T06:18:40</t>
  </si>
  <si>
    <t>B127</t>
  </si>
  <si>
    <t>IBD_UC_Serum_TQ02_Tryptophan_Plate_3B_033</t>
  </si>
  <si>
    <t>2021-09-15T06:27:01</t>
  </si>
  <si>
    <t>B147</t>
  </si>
  <si>
    <t>IBD_UC_Serum_TQ02_Tryptophan_Plate_3B_034</t>
  </si>
  <si>
    <t>2021-09-15T06:35:30</t>
  </si>
  <si>
    <t>B247</t>
  </si>
  <si>
    <t>IBD_UC_Serum_TQ02_Tryptophan_Plate_3B_035</t>
  </si>
  <si>
    <t>2021-09-15T06:43:59</t>
  </si>
  <si>
    <t>B064</t>
  </si>
  <si>
    <t>IBD_UC_Serum_TQ02_Tryptophan_Plate_3B_036</t>
  </si>
  <si>
    <t>2021-09-15T06:52:29</t>
  </si>
  <si>
    <t>B029</t>
  </si>
  <si>
    <t>IBD_UC_Serum_TQ02_Tryptophan_Plate_3B_037</t>
  </si>
  <si>
    <t>2021-09-15T07:00:58</t>
  </si>
  <si>
    <t>B006</t>
  </si>
  <si>
    <t>IBD_UC_Serum_TQ02_Tryptophan_Plate_3B_038</t>
  </si>
  <si>
    <t>2021-09-15T07:09:27</t>
  </si>
  <si>
    <t>B154</t>
  </si>
  <si>
    <t>IBD_UC_Serum_TQ02_Tryptophan_Plate_3B_039</t>
  </si>
  <si>
    <t>2021-09-15T07:17:48</t>
  </si>
  <si>
    <t>B104</t>
  </si>
  <si>
    <t>IBD_UC_Serum_TQ02_Tryptophan_Plate_3B_043</t>
  </si>
  <si>
    <t>2021-09-15T07:51:36</t>
  </si>
  <si>
    <t>B070</t>
  </si>
  <si>
    <t>IBD_UC_Serum_TQ02_Tryptophan_Plate_3B_044</t>
  </si>
  <si>
    <t>2021-09-15T07:59:57</t>
  </si>
  <si>
    <t>B052</t>
  </si>
  <si>
    <t>IBD_UC_Serum_TQ02_Tryptophan_Plate_3B_045</t>
  </si>
  <si>
    <t>2021-09-15T08:08:18</t>
  </si>
  <si>
    <t>B015</t>
  </si>
  <si>
    <t>IBD_UC_Serum_TQ02_Tryptophan_Plate_3B_046</t>
  </si>
  <si>
    <t>2021-09-15T08:16:39</t>
  </si>
  <si>
    <t>B242</t>
  </si>
  <si>
    <t>IBD_UC_Serum_TQ02_Tryptophan_Plate_3B_047</t>
  </si>
  <si>
    <t>2021-09-15T08:25:08</t>
  </si>
  <si>
    <t>B157</t>
  </si>
  <si>
    <t>IBD_UC_Serum_TQ02_Tryptophan_Plate_3B_048</t>
  </si>
  <si>
    <t>2021-09-15T08:33:37</t>
  </si>
  <si>
    <t>B132</t>
  </si>
  <si>
    <t>IBD_UC_Serum_TQ02_Tryptophan_Plate_3B_049</t>
  </si>
  <si>
    <t>2021-09-15T08:42:06</t>
  </si>
  <si>
    <t>B100</t>
  </si>
  <si>
    <t>IBD_UC_Serum_TQ02_Tryptophan_Plate_3B_050</t>
  </si>
  <si>
    <t>2021-09-15T08:50:35</t>
  </si>
  <si>
    <t>B248</t>
  </si>
  <si>
    <t>IBD_UC_Serum_TQ02_Tryptophan_Plate_3B_051</t>
  </si>
  <si>
    <t>2021-09-15T08:59:05</t>
  </si>
  <si>
    <t>B255</t>
  </si>
  <si>
    <t>IBD_UC_Serum_TQ02_Tryptophan_Plate_3B_054</t>
  </si>
  <si>
    <t>2021-09-15T09:24:24</t>
  </si>
  <si>
    <t>B256</t>
  </si>
  <si>
    <t>IBD_UC_Serum_TQ02_Tryptophan_Plate_3B_055</t>
  </si>
  <si>
    <t>2021-09-15T09:32:53</t>
  </si>
  <si>
    <t>B142</t>
  </si>
  <si>
    <t>IBD_UC_Serum_TQ02_Tryptophan_Plate_3B_056</t>
  </si>
  <si>
    <t>2021-09-15T09:41:22</t>
  </si>
  <si>
    <t>B117</t>
  </si>
  <si>
    <t>IBD_UC_Serum_TQ02_Tryptophan_Plate_3B_057</t>
  </si>
  <si>
    <t>2021-09-15T09:49:51</t>
  </si>
  <si>
    <t>B141</t>
  </si>
  <si>
    <t>IBD_UC_Serum_TQ02_Tryptophan_Plate_3B_058</t>
  </si>
  <si>
    <t>2021-09-15T09:58:20</t>
  </si>
  <si>
    <t>B158</t>
  </si>
  <si>
    <t>IBD_UC_Serum_TQ02_Tryptophan_Plate_3B_059</t>
  </si>
  <si>
    <t>2021-09-15T10:06:41</t>
  </si>
  <si>
    <t>B060</t>
  </si>
  <si>
    <t>IBD_UC_Serum_TQ02_Tryptophan_Plate_3B_060</t>
  </si>
  <si>
    <t>2021-09-15T10:15:02</t>
  </si>
  <si>
    <t>B037</t>
  </si>
  <si>
    <t>IBD_UC_Serum_TQ02_Tryptophan_Plate_3B_061</t>
  </si>
  <si>
    <t>2021-09-15T10:23:31</t>
  </si>
  <si>
    <t>B094</t>
  </si>
  <si>
    <t>IBD_UC_Serum_TQ02_Tryptophan_Plate_3B_062</t>
  </si>
  <si>
    <t>2021-09-15T10:32:00</t>
  </si>
  <si>
    <t>B245</t>
  </si>
  <si>
    <t>IBD_UC_Serum_TQ02_Tryptophan_Plate_3B_063</t>
  </si>
  <si>
    <t>2021-09-15T10:40:21</t>
  </si>
  <si>
    <t>B212</t>
  </si>
  <si>
    <t>IBD_UC_Serum_TQ02_Tryptophan_Plate_4A_018</t>
  </si>
  <si>
    <t>2021-09-15T15:44:12</t>
  </si>
  <si>
    <t>B214</t>
  </si>
  <si>
    <t>IBD_UC_Serum_TQ02_Tryptophan_Plate_4A_019</t>
  </si>
  <si>
    <t>2021-09-15T15:52:41</t>
  </si>
  <si>
    <t>B084</t>
  </si>
  <si>
    <t>IBD_UC_Serum_TQ02_Tryptophan_Plate_4A_020</t>
  </si>
  <si>
    <t>2021-09-15T16:01:10</t>
  </si>
  <si>
    <t>B204</t>
  </si>
  <si>
    <t>IBD_UC_Serum_TQ02_Tryptophan_Plate_4A_021</t>
  </si>
  <si>
    <t>2021-09-15T16:09:39</t>
  </si>
  <si>
    <t>B189</t>
  </si>
  <si>
    <t>IBD_UC_Serum_TQ02_Tryptophan_Plate_4A_022</t>
  </si>
  <si>
    <t>2021-09-15T16:18:08</t>
  </si>
  <si>
    <t>B191</t>
  </si>
  <si>
    <t>IBD_UC_Serum_TQ02_Tryptophan_Plate_4A_023</t>
  </si>
  <si>
    <t>2021-09-15T16:26:37</t>
  </si>
  <si>
    <t>B185</t>
  </si>
  <si>
    <t>IBD_UC_Serum_TQ02_Tryptophan_Plate_4A_024</t>
  </si>
  <si>
    <t>2021-09-15T16:35:06</t>
  </si>
  <si>
    <t>B188</t>
  </si>
  <si>
    <t>IBD_UC_Serum_TQ02_Tryptophan_Plate_4A_025</t>
  </si>
  <si>
    <t>2021-09-15T16:43:27</t>
  </si>
  <si>
    <t>B194</t>
  </si>
  <si>
    <t>IBD_UC_Serum_TQ02_Tryptophan_Plate_4A_026</t>
  </si>
  <si>
    <t>2021-09-15T16:51:48</t>
  </si>
  <si>
    <t>B099</t>
  </si>
  <si>
    <t>IBD_UC_Serum_TQ02_Tryptophan_Plate_4A_027</t>
  </si>
  <si>
    <t>2021-09-15T17:00:09</t>
  </si>
  <si>
    <t>B197</t>
  </si>
  <si>
    <t>IBD_UC_Serum_TQ02_Tryptophan_Plate_4A_030</t>
  </si>
  <si>
    <t>2021-09-15T17:25:20</t>
  </si>
  <si>
    <t>B205</t>
  </si>
  <si>
    <t>IBD_UC_Serum_TQ02_Tryptophan_Plate_4A_031</t>
  </si>
  <si>
    <t>2021-09-15T17:33:49</t>
  </si>
  <si>
    <t>B201</t>
  </si>
  <si>
    <t>IBD_UC_Serum_TQ02_Tryptophan_Plate_4A_032</t>
  </si>
  <si>
    <t>2021-09-15T17:42:19</t>
  </si>
  <si>
    <t>B200</t>
  </si>
  <si>
    <t>IBD_UC_Serum_TQ02_Tryptophan_Plate_4A_033</t>
  </si>
  <si>
    <t>2021-09-15T17:50:48</t>
  </si>
  <si>
    <t>B227</t>
  </si>
  <si>
    <t>IBD_UC_Serum_TQ02_Tryptophan_Plate_4A_034</t>
  </si>
  <si>
    <t>2021-09-15T17:59:17</t>
  </si>
  <si>
    <t>B210</t>
  </si>
  <si>
    <t>IBD_UC_Serum_TQ02_Tryptophan_Plate_4A_035</t>
  </si>
  <si>
    <t>2021-09-15T18:07:46</t>
  </si>
  <si>
    <t>B207</t>
  </si>
  <si>
    <t>IBD_UC_Serum_TQ02_Tryptophan_Plate_4A_036</t>
  </si>
  <si>
    <t>2021-09-15T18:16:15</t>
  </si>
  <si>
    <t>B254</t>
  </si>
  <si>
    <t>SMH260_B1-3</t>
  </si>
  <si>
    <t>SMH 261_B1-3</t>
  </si>
  <si>
    <t>SMH265_B1-4</t>
  </si>
  <si>
    <t>SMH267_B (1-6)</t>
  </si>
  <si>
    <t>SMH272_B1-6</t>
  </si>
  <si>
    <t>SMH273_B (1-6)</t>
  </si>
  <si>
    <t>SMH274_B1-6</t>
  </si>
  <si>
    <t>SMH269_B1-6</t>
  </si>
  <si>
    <t>SMH276_B1-2</t>
  </si>
  <si>
    <t>SMH277_B1-8</t>
  </si>
  <si>
    <t>SMH278_B1-6</t>
  </si>
  <si>
    <t>SMH279_B1-6</t>
  </si>
  <si>
    <t>SMH280_B1-8</t>
  </si>
  <si>
    <t>SMH281_B1-6</t>
  </si>
  <si>
    <t>SMH282_B (1-8</t>
  </si>
  <si>
    <t>SMH283_B1-6</t>
  </si>
  <si>
    <t>SMH284_B1-6</t>
  </si>
  <si>
    <t>SMH280_B9-14</t>
  </si>
  <si>
    <t>SMH265_B7-12</t>
  </si>
  <si>
    <t>SMH285_B1-6</t>
  </si>
  <si>
    <t>SMH286_B1-6</t>
  </si>
  <si>
    <t>SMH288_B1-6</t>
  </si>
  <si>
    <t>SMH279_B7-12</t>
  </si>
  <si>
    <t>SMH289_B (1-6)</t>
  </si>
  <si>
    <t>SMH290_B1-6</t>
  </si>
  <si>
    <t>SMH291_B1-4</t>
  </si>
  <si>
    <t>SMH292_B1-6</t>
  </si>
  <si>
    <t>SMH281_B7-12</t>
  </si>
  <si>
    <t>SMH273_B7-12</t>
  </si>
  <si>
    <t>SMH281_B13-18</t>
  </si>
  <si>
    <t>SMH291_B5-10</t>
  </si>
  <si>
    <t>SMH293_B1-6</t>
  </si>
  <si>
    <t>SMH288_B7-12</t>
  </si>
  <si>
    <t>SMH294_B1-6</t>
  </si>
  <si>
    <t>SMH280_B15-20</t>
  </si>
  <si>
    <t>SMH295_B1-6</t>
  </si>
  <si>
    <t>SMH296_B1-6</t>
  </si>
  <si>
    <t>SMH297_B1-6</t>
  </si>
  <si>
    <t>SMH269_B7-12</t>
  </si>
  <si>
    <t>SMH294_B7-12</t>
  </si>
  <si>
    <t>SMH293_B7-10</t>
  </si>
  <si>
    <t>SMH298_B1-6</t>
  </si>
  <si>
    <t>SMH295_B7-12</t>
  </si>
  <si>
    <t>SMH294_B13-18</t>
  </si>
  <si>
    <t>SMH272_B7-12</t>
  </si>
  <si>
    <t>SMH274_B7-12</t>
  </si>
  <si>
    <t>SMH288_B13-18</t>
  </si>
  <si>
    <t>SMH299_B1-6</t>
  </si>
  <si>
    <t>SMH300_B1-6</t>
  </si>
  <si>
    <t>SMH265_B13-18</t>
  </si>
  <si>
    <t>SMH298_B7-12</t>
  </si>
  <si>
    <t>SMH301_B1-6</t>
  </si>
  <si>
    <t>SMH289_B 7-12</t>
  </si>
  <si>
    <t>SMH290_B7-12</t>
  </si>
  <si>
    <t>SMH291_B11-16</t>
  </si>
  <si>
    <t>SMH292_B7-12</t>
  </si>
  <si>
    <t>SMH304_B1-6</t>
  </si>
  <si>
    <t>SMH302_B1-6</t>
  </si>
  <si>
    <t>SMH303_B1-6</t>
  </si>
  <si>
    <t>SMH296_B7-12</t>
  </si>
  <si>
    <t>SMH297_B7-12</t>
  </si>
  <si>
    <t>SMH305_B1-6</t>
  </si>
  <si>
    <t>SMH279_B13-18</t>
  </si>
  <si>
    <t>SMH273_B13-18</t>
  </si>
  <si>
    <t>SMH305_B7-12</t>
  </si>
  <si>
    <t>SMH306_B1-6</t>
  </si>
  <si>
    <t>SMH269_B13-18</t>
  </si>
  <si>
    <t>SMH307_B1-6</t>
  </si>
  <si>
    <t>SMH300_B7-12</t>
  </si>
  <si>
    <t>SMH301_B7-12</t>
  </si>
  <si>
    <t>SMH298_B13-18</t>
  </si>
  <si>
    <t>SMH308_B1-6</t>
  </si>
  <si>
    <t>SMH294_B19-24</t>
  </si>
  <si>
    <t>SMH272_B13-18</t>
  </si>
  <si>
    <t>SMH295_B13-18</t>
  </si>
  <si>
    <t>SMH305_B13-18</t>
  </si>
  <si>
    <t>SMH274_B13-18</t>
  </si>
  <si>
    <t>SMH308_B7-12</t>
  </si>
  <si>
    <t>SMH302_B7-12</t>
  </si>
  <si>
    <t>SMH303_B7-12</t>
  </si>
  <si>
    <t>SMH289_B13-18</t>
  </si>
  <si>
    <t>SMH307_B7-12</t>
  </si>
  <si>
    <t>SMH304_B7-12</t>
  </si>
  <si>
    <t>SMH309_B1-6</t>
  </si>
  <si>
    <t>SMH297_B13-18</t>
  </si>
  <si>
    <t>SMH305_B19-24</t>
  </si>
  <si>
    <t>SMH305_B25-30</t>
  </si>
  <si>
    <t>SMH305_B31-36</t>
  </si>
  <si>
    <t>SMH316_B1-6</t>
  </si>
  <si>
    <t>SMH304_B13-18</t>
  </si>
  <si>
    <t>SMH316_B7-12</t>
  </si>
  <si>
    <t>SMH279_B19-24</t>
  </si>
  <si>
    <t>SMH286_B7-12</t>
  </si>
  <si>
    <t>SMH296_B13-18</t>
  </si>
  <si>
    <t>SMH300_B13-18</t>
  </si>
  <si>
    <t>SMH305_B37-42</t>
  </si>
  <si>
    <t>SMH313_B1-6</t>
  </si>
  <si>
    <t>SMH305_B43-48</t>
  </si>
  <si>
    <t>SMH312_B1-6</t>
  </si>
  <si>
    <t>SMH319_B1-6</t>
  </si>
  <si>
    <t>SMH316_B13-17</t>
  </si>
  <si>
    <t>SMH308_B13-18</t>
  </si>
  <si>
    <t>SMH286_B13-18</t>
  </si>
  <si>
    <t>SMH321_B1-6</t>
  </si>
  <si>
    <t>SMH295_B19-24</t>
  </si>
  <si>
    <t>SMH288_B25-30</t>
  </si>
  <si>
    <t>SMH294_B25 - 30</t>
  </si>
  <si>
    <t>SMH327_B1-6</t>
  </si>
  <si>
    <t>SMH323_B1-6</t>
  </si>
  <si>
    <t>SMH326_B1-6</t>
  </si>
  <si>
    <t>SMH307_B13-18</t>
  </si>
  <si>
    <t>SMH322_B1-6</t>
  </si>
  <si>
    <t>SMH328_B1-6</t>
  </si>
  <si>
    <t>SM327_B7-12</t>
  </si>
  <si>
    <t>SMH328_B7-12</t>
  </si>
  <si>
    <t>SMH332_B1-6</t>
  </si>
  <si>
    <t>SMH334_B1-6</t>
  </si>
  <si>
    <t>SMH332_B7-12</t>
  </si>
  <si>
    <t>SM327_B13-18</t>
  </si>
  <si>
    <t>SMH329_B1-6</t>
  </si>
  <si>
    <t>SMH330_B1-6</t>
  </si>
  <si>
    <t>SMH331_B1-6</t>
  </si>
  <si>
    <t>SMH336_B1-6</t>
  </si>
  <si>
    <t>SMH331_B7-12</t>
  </si>
  <si>
    <t>SMH323_B7-12</t>
  </si>
  <si>
    <t>SMH337_B1-6</t>
  </si>
  <si>
    <t>SMH338_B1-6</t>
  </si>
  <si>
    <t>SMH329_B7-12</t>
  </si>
  <si>
    <t>SMH341_B1-6</t>
  </si>
  <si>
    <t>SMH340_B1-6</t>
  </si>
  <si>
    <t>SMH343_B1-6</t>
  </si>
  <si>
    <t>SMH336_B7-12</t>
  </si>
  <si>
    <t>SMH342_B1-6</t>
  </si>
  <si>
    <t>SMH337_B7-12</t>
  </si>
  <si>
    <t>SMH344_B1-6</t>
  </si>
  <si>
    <t>SMH345_B1-6</t>
  </si>
  <si>
    <t>SMH346_B1-6</t>
  </si>
  <si>
    <t>SMH347_B1-6</t>
  </si>
  <si>
    <t>SMH348_B1-6</t>
  </si>
  <si>
    <t>SMH349_B1-6</t>
  </si>
  <si>
    <t>SMH334_B7-12</t>
  </si>
  <si>
    <t>SMH350_B1-6</t>
  </si>
  <si>
    <t>SMH351_B1-6</t>
  </si>
  <si>
    <t>SMH352_B1-6</t>
  </si>
  <si>
    <t>SMH353_B1-6</t>
  </si>
  <si>
    <t>SMH338_B7-12</t>
  </si>
  <si>
    <t>SMH354_B1-6</t>
  </si>
  <si>
    <t>SMH344_B7-12</t>
  </si>
  <si>
    <t>SMH345_B7-12</t>
  </si>
  <si>
    <t>SMH355_B1-6</t>
  </si>
  <si>
    <t>SMH336_B13-18</t>
  </si>
  <si>
    <t>SMH356_B1-6</t>
  </si>
  <si>
    <t>SMH321_B7-12</t>
  </si>
  <si>
    <t>SMH358_B1-5</t>
  </si>
  <si>
    <t>SMH359_B1-6</t>
  </si>
  <si>
    <t>SMH360_B1-6</t>
  </si>
  <si>
    <t>SMH349_B7-12</t>
  </si>
  <si>
    <t>SMH352_B7-12</t>
  </si>
  <si>
    <t>SMH361_B1-6</t>
  </si>
  <si>
    <t>SMH358_B7-12</t>
  </si>
  <si>
    <t>SMH288_B19-24</t>
  </si>
  <si>
    <t>SMH346_B7-13</t>
  </si>
  <si>
    <t>SMH348_B7-13</t>
  </si>
  <si>
    <t>SMH262_B1-6</t>
  </si>
  <si>
    <t>SMH315_B1-6</t>
  </si>
  <si>
    <t>SMH313_B7-12</t>
  </si>
  <si>
    <t>SMH315_B7-12</t>
  </si>
  <si>
    <t>SMH317_B1-6</t>
  </si>
  <si>
    <t>SMH305_B49-54</t>
  </si>
  <si>
    <t>SMH315_B13-18</t>
  </si>
  <si>
    <t>SMH313_B13-18</t>
  </si>
  <si>
    <t>SMH315_B19-24</t>
  </si>
  <si>
    <t>SMH313_B19-24</t>
  </si>
  <si>
    <t>SMH317_B7-12</t>
  </si>
  <si>
    <t>SMH313_B25-30</t>
  </si>
  <si>
    <t>SMH317_B13-18</t>
  </si>
  <si>
    <t>SMH305_B55-60</t>
  </si>
  <si>
    <t>SMH320_B1-6</t>
  </si>
  <si>
    <t>SMH317_B19-24</t>
  </si>
  <si>
    <t>SMH320_B7-12</t>
  </si>
  <si>
    <t>SMH317_B25-30</t>
  </si>
  <si>
    <t>SMH313_B31-36</t>
  </si>
  <si>
    <t>SMH320_B13-18</t>
  </si>
  <si>
    <t>SMH312_B7-10</t>
  </si>
  <si>
    <t>SMH315_B31-36</t>
  </si>
  <si>
    <t>SMH320_B19-24</t>
  </si>
  <si>
    <t>SMH312_B11-16</t>
  </si>
  <si>
    <t>SMH312_B17-22</t>
  </si>
  <si>
    <t>SMH317_B31-36</t>
  </si>
  <si>
    <t>SMH312_B23-28</t>
  </si>
  <si>
    <t>SMH315_B25-30</t>
  </si>
  <si>
    <t>SMH318_B1-6</t>
  </si>
  <si>
    <t>SMH312_B29-34</t>
  </si>
  <si>
    <t>SMH324_B7-12</t>
  </si>
  <si>
    <t>SMH324_B13 - 18</t>
  </si>
  <si>
    <t>SMH325_B7-12</t>
  </si>
  <si>
    <t>SMH320_B25-30</t>
  </si>
  <si>
    <t>SMH324_B19-24</t>
  </si>
  <si>
    <t>SMH325_B13-18</t>
  </si>
  <si>
    <t>SMH325_B19-24</t>
  </si>
  <si>
    <t>SMH318_B28-33</t>
  </si>
  <si>
    <t>SMH324_B25-30</t>
  </si>
  <si>
    <t>SMH312_B35-40</t>
  </si>
  <si>
    <t>SMH325_B25-30</t>
  </si>
  <si>
    <t>SMH324_B31-36</t>
  </si>
  <si>
    <t>SMH325_B31-36</t>
  </si>
  <si>
    <t>SMH333_B1-6</t>
  </si>
  <si>
    <t>SMH333_B7-12</t>
  </si>
  <si>
    <t>SMH325_B37-42</t>
  </si>
  <si>
    <t>SMH333_B13-18</t>
  </si>
  <si>
    <t>SMH335_B1-6</t>
  </si>
  <si>
    <t>SMH333_B19-23</t>
  </si>
  <si>
    <t>SMH335_7-12</t>
  </si>
  <si>
    <t>SMH333_B24-29</t>
  </si>
  <si>
    <t>SMH307_B19-24</t>
  </si>
  <si>
    <t>SMH307_B25-30</t>
  </si>
  <si>
    <t>SMH307_B31-36</t>
  </si>
  <si>
    <t>SMH307_B37-42</t>
  </si>
  <si>
    <t>SMH324_B37-42</t>
  </si>
  <si>
    <t>SMH333_B30-35</t>
  </si>
  <si>
    <t>SMH307_B43-48</t>
  </si>
  <si>
    <t>SMH315_B37-42</t>
  </si>
  <si>
    <t>SMH322_B7-12</t>
  </si>
  <si>
    <t>SMH322_B13-18</t>
  </si>
  <si>
    <t>SMH317_B37-42</t>
  </si>
  <si>
    <t>SMH325_B1-6</t>
  </si>
  <si>
    <t>SMH318_B7-12</t>
  </si>
  <si>
    <t>SMH313_B37-42</t>
  </si>
  <si>
    <t>SMH318_B13-18</t>
  </si>
  <si>
    <t>SMH318_B19-21</t>
  </si>
  <si>
    <t>SMH318_B22-27</t>
  </si>
  <si>
    <t>SMH324_B1-6</t>
  </si>
  <si>
    <t>SMH322_B19-24</t>
  </si>
  <si>
    <t>SMH359_B7-12</t>
  </si>
  <si>
    <t>SMH355_B7-12</t>
  </si>
  <si>
    <t>SMH347_B7-12</t>
  </si>
  <si>
    <t>HC001_B1-6</t>
  </si>
  <si>
    <t>HC002_B1-5</t>
  </si>
  <si>
    <t>HC003_B1-6</t>
  </si>
  <si>
    <t>HC004_B1-6</t>
  </si>
  <si>
    <t>HC006_B1-5</t>
  </si>
  <si>
    <t>HC007_B1-3</t>
  </si>
  <si>
    <t>HC008_B1-3</t>
  </si>
  <si>
    <t>HC009_B1-6</t>
  </si>
  <si>
    <t>HC010_B1-6</t>
  </si>
  <si>
    <t>HC011_B1-6</t>
  </si>
  <si>
    <t>HC012_B1-6</t>
  </si>
  <si>
    <t>HC013_B1-6</t>
  </si>
  <si>
    <t>HC014_B1-5</t>
  </si>
  <si>
    <t>HC015_B1-6</t>
  </si>
  <si>
    <t>HC016_B1-5</t>
  </si>
  <si>
    <t>HC017_B1-6</t>
  </si>
  <si>
    <t>HC019_B1-6</t>
  </si>
  <si>
    <t>HC020_B1-3</t>
  </si>
  <si>
    <t>HC021_B1-6</t>
  </si>
  <si>
    <t>HC022_B1-6</t>
  </si>
  <si>
    <t>pt ID</t>
  </si>
  <si>
    <t>Disease control</t>
  </si>
  <si>
    <t>IBS-Diarrhoea</t>
  </si>
  <si>
    <t>N/A</t>
  </si>
  <si>
    <t>CAUCASIAN</t>
  </si>
  <si>
    <t>UC</t>
  </si>
  <si>
    <t>PAN</t>
  </si>
  <si>
    <t>no</t>
  </si>
  <si>
    <t>NON-CAUCASIAN</t>
  </si>
  <si>
    <t>IBS- Constipation</t>
  </si>
  <si>
    <t>Left sided</t>
  </si>
  <si>
    <t>yes</t>
  </si>
  <si>
    <t>CD</t>
  </si>
  <si>
    <t>TI</t>
  </si>
  <si>
    <t>N</t>
  </si>
  <si>
    <t>Proctitis</t>
  </si>
  <si>
    <t>ileocolonic w/perianal disease</t>
  </si>
  <si>
    <t>disease control</t>
  </si>
  <si>
    <t>post infection IBS</t>
  </si>
  <si>
    <t>ileocolonic</t>
  </si>
  <si>
    <t>Colonic CD</t>
  </si>
  <si>
    <t>Colonic CD w/perianal disease</t>
  </si>
  <si>
    <t>Healthy control</t>
  </si>
  <si>
    <t>healthy control</t>
  </si>
  <si>
    <t>Disease type</t>
  </si>
  <si>
    <t>Disease subtype</t>
  </si>
  <si>
    <t>Responder</t>
  </si>
  <si>
    <t>DOB</t>
  </si>
  <si>
    <t>Date of sample</t>
  </si>
  <si>
    <t>Age</t>
  </si>
  <si>
    <t>Sample point</t>
  </si>
  <si>
    <t>Ethnicity</t>
  </si>
  <si>
    <t>calp_value</t>
  </si>
  <si>
    <t>DAI_value</t>
  </si>
  <si>
    <t>SMH327_B13-18</t>
  </si>
  <si>
    <t>PatientID</t>
  </si>
  <si>
    <t>SampleID</t>
  </si>
  <si>
    <t>Unique Sample ID</t>
  </si>
  <si>
    <t>Hypermethylator/not</t>
  </si>
  <si>
    <t>No</t>
  </si>
  <si>
    <t>Yes</t>
  </si>
  <si>
    <t>Sex M(1) or F(0)</t>
  </si>
  <si>
    <t>BMI</t>
  </si>
  <si>
    <t>Meat</t>
  </si>
  <si>
    <t>Vegetarian</t>
  </si>
  <si>
    <t>Fomrula</t>
  </si>
  <si>
    <t>SMH261</t>
  </si>
  <si>
    <t>SMH265</t>
  </si>
  <si>
    <t>SMH272</t>
  </si>
  <si>
    <t>SMH274</t>
  </si>
  <si>
    <t>SMH279</t>
  </si>
  <si>
    <t>SMH280</t>
  </si>
  <si>
    <t>SMH286</t>
  </si>
  <si>
    <t>SMH288</t>
  </si>
  <si>
    <t>SMH291</t>
  </si>
  <si>
    <t>SMH292</t>
  </si>
  <si>
    <t>SMH294</t>
  </si>
  <si>
    <t>SMH296</t>
  </si>
  <si>
    <t>SMH297</t>
  </si>
  <si>
    <t>SMH295</t>
  </si>
  <si>
    <t>SMH301</t>
  </si>
  <si>
    <t>SMH304</t>
  </si>
  <si>
    <t>SMH302</t>
  </si>
  <si>
    <t>SMH305</t>
  </si>
  <si>
    <t>SMH307</t>
  </si>
  <si>
    <t>SMH308</t>
  </si>
  <si>
    <t>SMH327</t>
  </si>
  <si>
    <t>SMH328</t>
  </si>
  <si>
    <t>SMH332</t>
  </si>
  <si>
    <t>SMH329</t>
  </si>
  <si>
    <t>SMH331</t>
  </si>
  <si>
    <t>SMH337</t>
  </si>
  <si>
    <t>SMH338</t>
  </si>
  <si>
    <t>SMH343</t>
  </si>
  <si>
    <t>SMH344</t>
  </si>
  <si>
    <t>SMH345</t>
  </si>
  <si>
    <t>SMH347</t>
  </si>
  <si>
    <t>SMH348</t>
  </si>
  <si>
    <t>SMH349</t>
  </si>
  <si>
    <t>SMH355</t>
  </si>
  <si>
    <t>SMH356</t>
  </si>
  <si>
    <t>SMH358</t>
  </si>
  <si>
    <t>SMH359</t>
  </si>
  <si>
    <t xml:space="preserve">patient </t>
  </si>
  <si>
    <t>Formula</t>
  </si>
  <si>
    <t>Patient</t>
  </si>
  <si>
    <t>SMH312</t>
  </si>
  <si>
    <t>SMH313</t>
  </si>
  <si>
    <t>SMH315</t>
  </si>
  <si>
    <t>SMH317</t>
  </si>
  <si>
    <t>SMH318</t>
  </si>
  <si>
    <t>SMH320</t>
  </si>
  <si>
    <t>SMH322</t>
  </si>
  <si>
    <t>SMH324</t>
  </si>
  <si>
    <t>SMH325</t>
  </si>
  <si>
    <t>SMH333</t>
  </si>
  <si>
    <t>SMH335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</si>
</sst>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2"/>
      <color rgb="FF000000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Tahoma"/>
      <family val="2"/>
    </font>
    <font>
      <sz val="10"/>
      <color rgb="FF000000"/>
      <name val="Tahoma"/>
      <family val="2"/>
    </font>
    <font>
      <sz val="10"/>
      <color rgb="FF000000"/>
      <name val="Calibri"/>
      <family val="2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0"/>
      <color rgb="FF000000"/>
      <name val="Helvetica Neue"/>
      <family val="2"/>
    </font>
    <font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6">
    <xf numFmtId="0" fontId="0" fillId="0" borderId="0" xfId="0"/>
    <xf numFmtId="0" fontId="18" fillId="0" borderId="0" xfId="0" applyFont="1"/>
    <xf numFmtId="0" fontId="19" fillId="0" borderId="0" xfId="0" applyFont="1" applyAlignment="1">
      <alignment horizontal="center"/>
    </xf>
    <xf numFmtId="14" fontId="0" fillId="0" borderId="0" xfId="0" applyNumberFormat="1"/>
    <xf numFmtId="0" fontId="0" fillId="33" borderId="0" xfId="0" applyFill="1"/>
    <xf numFmtId="0" fontId="20" fillId="0" borderId="0" xfId="0" applyFont="1"/>
    <xf numFmtId="14" fontId="20" fillId="0" borderId="0" xfId="0" applyNumberFormat="1" applyFont="1"/>
    <xf numFmtId="2" fontId="21" fillId="0" borderId="0" xfId="0" applyNumberFormat="1" applyFont="1" applyAlignment="1">
      <alignment horizontal="right"/>
    </xf>
    <xf numFmtId="0" fontId="16" fillId="0" borderId="0" xfId="0" applyFont="1"/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T263"/>
  <sheetViews>
    <sheetView workbookViewId="0">
      <pane ySplit="1" topLeftCell="A220" activePane="bottomLeft" state="frozen"/>
      <selection pane="bottomLeft" activeCell="H237" sqref="H237:T237"/>
    </sheetView>
  </sheetViews>
  <sheetFormatPr defaultColWidth="11" defaultRowHeight="15.75"/>
  <sheetData>
    <row r="1" spans="1:20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>
        <v>0</v>
      </c>
      <c r="I1">
        <v>1</v>
      </c>
      <c r="J1">
        <v>2</v>
      </c>
      <c r="K1">
        <v>3</v>
      </c>
      <c r="L1">
        <v>4</v>
      </c>
      <c r="M1">
        <v>5</v>
      </c>
      <c r="N1">
        <v>6</v>
      </c>
      <c r="O1">
        <v>7</v>
      </c>
      <c r="P1">
        <v>8</v>
      </c>
      <c r="Q1">
        <v>9</v>
      </c>
      <c r="R1">
        <v>10</v>
      </c>
      <c r="S1">
        <v>11</v>
      </c>
      <c r="T1">
        <v>12</v>
      </c>
    </row>
    <row r="2" spans="1:20">
      <c r="A2">
        <v>126</v>
      </c>
      <c r="B2" t="s">
        <v>363</v>
      </c>
      <c r="C2" t="s">
        <v>364</v>
      </c>
      <c r="D2">
        <v>163</v>
      </c>
      <c r="E2">
        <v>2</v>
      </c>
      <c r="F2" t="s">
        <v>365</v>
      </c>
      <c r="G2" t="s">
        <v>33</v>
      </c>
      <c r="H2">
        <v>3.9661579570000001</v>
      </c>
      <c r="I2" t="s">
        <v>34</v>
      </c>
      <c r="J2">
        <v>5.9982347499999999</v>
      </c>
      <c r="K2">
        <v>133.99110769999999</v>
      </c>
      <c r="L2">
        <v>62.27400179</v>
      </c>
      <c r="M2" t="s">
        <v>35</v>
      </c>
      <c r="N2">
        <v>395.0173393</v>
      </c>
      <c r="O2">
        <v>6.0864533610000002</v>
      </c>
      <c r="P2">
        <v>11.04220383</v>
      </c>
      <c r="Q2">
        <v>2.384542862</v>
      </c>
      <c r="R2">
        <v>356.55996579999999</v>
      </c>
      <c r="S2">
        <v>1.2478741550000001</v>
      </c>
      <c r="T2">
        <v>9330.9369619999998</v>
      </c>
    </row>
    <row r="3" spans="1:20">
      <c r="A3">
        <v>149</v>
      </c>
      <c r="B3" t="s">
        <v>432</v>
      </c>
      <c r="C3" t="s">
        <v>433</v>
      </c>
      <c r="D3">
        <v>202</v>
      </c>
      <c r="E3">
        <v>2</v>
      </c>
      <c r="F3" t="s">
        <v>434</v>
      </c>
      <c r="G3" t="s">
        <v>33</v>
      </c>
      <c r="H3">
        <v>9.0364096259999993</v>
      </c>
      <c r="I3">
        <v>3.8526835369999999</v>
      </c>
      <c r="J3">
        <v>7.5824333920000004</v>
      </c>
      <c r="K3" t="s">
        <v>35</v>
      </c>
      <c r="L3">
        <v>94.205813180000007</v>
      </c>
      <c r="M3">
        <v>2125.9417570000001</v>
      </c>
      <c r="N3">
        <v>295.84390680000001</v>
      </c>
      <c r="O3">
        <v>8.6119553680000003</v>
      </c>
      <c r="P3">
        <v>23.798782320000001</v>
      </c>
      <c r="Q3">
        <v>4.3525816580000001</v>
      </c>
      <c r="R3">
        <v>387.45708009999998</v>
      </c>
      <c r="S3">
        <v>1.6147937409999999</v>
      </c>
      <c r="T3">
        <v>10571.25649</v>
      </c>
    </row>
    <row r="4" spans="1:20">
      <c r="A4">
        <v>133</v>
      </c>
      <c r="B4" t="s">
        <v>384</v>
      </c>
      <c r="C4" t="s">
        <v>385</v>
      </c>
      <c r="D4">
        <v>170</v>
      </c>
      <c r="E4">
        <v>2</v>
      </c>
      <c r="F4" t="s">
        <v>386</v>
      </c>
      <c r="G4" t="s">
        <v>33</v>
      </c>
      <c r="H4">
        <v>4.3928061530000004</v>
      </c>
      <c r="I4" t="s">
        <v>34</v>
      </c>
      <c r="J4" t="s">
        <v>34</v>
      </c>
      <c r="K4" t="s">
        <v>35</v>
      </c>
      <c r="L4">
        <v>43.209581659999998</v>
      </c>
      <c r="M4">
        <v>4309.8802079999996</v>
      </c>
      <c r="N4">
        <v>134.09263540000001</v>
      </c>
      <c r="O4">
        <v>2.8996078029999999</v>
      </c>
      <c r="P4">
        <v>31.82622237</v>
      </c>
      <c r="Q4" t="s">
        <v>34</v>
      </c>
      <c r="R4">
        <v>189.76601529999999</v>
      </c>
      <c r="S4">
        <v>6.2033718479999997</v>
      </c>
      <c r="T4">
        <v>4080.0258760000002</v>
      </c>
    </row>
    <row r="5" spans="1:20">
      <c r="A5">
        <v>148</v>
      </c>
      <c r="B5" t="s">
        <v>429</v>
      </c>
      <c r="C5" t="s">
        <v>430</v>
      </c>
      <c r="D5">
        <v>201</v>
      </c>
      <c r="E5">
        <v>2</v>
      </c>
      <c r="F5" t="s">
        <v>431</v>
      </c>
      <c r="G5" t="s">
        <v>33</v>
      </c>
      <c r="H5">
        <v>12.53875592</v>
      </c>
      <c r="I5" t="s">
        <v>34</v>
      </c>
      <c r="J5">
        <v>7.5905355779999999</v>
      </c>
      <c r="K5">
        <v>97.342422749999997</v>
      </c>
      <c r="L5">
        <v>102.4432426</v>
      </c>
      <c r="M5" t="s">
        <v>35</v>
      </c>
      <c r="N5">
        <v>338.17330820000001</v>
      </c>
      <c r="O5">
        <v>10.97909308</v>
      </c>
      <c r="P5">
        <v>14.935020400000001</v>
      </c>
      <c r="Q5">
        <v>3.6289633710000002</v>
      </c>
      <c r="R5">
        <v>611.54304679999996</v>
      </c>
      <c r="S5">
        <v>1.3368919050000001</v>
      </c>
      <c r="T5">
        <v>11709.74296</v>
      </c>
    </row>
    <row r="6" spans="1:20">
      <c r="A6">
        <v>163</v>
      </c>
      <c r="B6" t="s">
        <v>474</v>
      </c>
      <c r="C6" t="s">
        <v>475</v>
      </c>
      <c r="D6">
        <v>223</v>
      </c>
      <c r="E6">
        <v>2</v>
      </c>
      <c r="F6" t="s">
        <v>476</v>
      </c>
      <c r="G6" t="s">
        <v>33</v>
      </c>
      <c r="H6">
        <v>6.2030408960000001</v>
      </c>
      <c r="I6" t="s">
        <v>34</v>
      </c>
      <c r="J6">
        <v>5.0957737319999996</v>
      </c>
      <c r="K6">
        <v>158.5771001</v>
      </c>
      <c r="L6">
        <v>65.842667550000002</v>
      </c>
      <c r="M6" t="s">
        <v>35</v>
      </c>
      <c r="N6">
        <v>285.2652324</v>
      </c>
      <c r="O6">
        <v>7.3728252149999998</v>
      </c>
      <c r="P6">
        <v>18.846505629999999</v>
      </c>
      <c r="Q6">
        <v>2.3966921590000001</v>
      </c>
      <c r="R6">
        <v>461.44041229999999</v>
      </c>
      <c r="S6">
        <v>1.2407292489999999</v>
      </c>
      <c r="T6">
        <v>13793.29997</v>
      </c>
    </row>
    <row r="7" spans="1:20">
      <c r="A7">
        <v>57</v>
      </c>
      <c r="B7" t="s">
        <v>684</v>
      </c>
      <c r="C7" t="s">
        <v>685</v>
      </c>
      <c r="D7">
        <v>331</v>
      </c>
      <c r="E7">
        <v>1</v>
      </c>
      <c r="F7" t="s">
        <v>686</v>
      </c>
      <c r="G7" t="s">
        <v>33</v>
      </c>
      <c r="H7">
        <v>2.3281414229999999</v>
      </c>
      <c r="I7" t="s">
        <v>34</v>
      </c>
      <c r="J7">
        <v>4.4275973410000002</v>
      </c>
      <c r="K7">
        <v>125.93136699999999</v>
      </c>
      <c r="L7">
        <v>26.649001290000001</v>
      </c>
      <c r="M7" t="s">
        <v>35</v>
      </c>
      <c r="N7">
        <v>123.7847208</v>
      </c>
      <c r="O7">
        <v>4.172047386</v>
      </c>
      <c r="P7">
        <v>6.0939392400000001</v>
      </c>
      <c r="Q7">
        <v>1.648796266</v>
      </c>
      <c r="R7">
        <v>138.18388859999999</v>
      </c>
      <c r="S7">
        <v>0.88788201099999997</v>
      </c>
      <c r="T7">
        <v>7441.0903920000001</v>
      </c>
    </row>
    <row r="8" spans="1:20">
      <c r="A8">
        <v>47</v>
      </c>
      <c r="B8" t="s">
        <v>654</v>
      </c>
      <c r="C8" t="s">
        <v>655</v>
      </c>
      <c r="D8">
        <v>319</v>
      </c>
      <c r="E8">
        <v>1</v>
      </c>
      <c r="F8" t="s">
        <v>656</v>
      </c>
      <c r="G8" t="s">
        <v>33</v>
      </c>
      <c r="H8">
        <v>17.966949450000001</v>
      </c>
      <c r="I8" t="s">
        <v>34</v>
      </c>
      <c r="J8">
        <v>14.8152612</v>
      </c>
      <c r="K8">
        <v>136.1373686</v>
      </c>
      <c r="L8">
        <v>82.331926300000006</v>
      </c>
      <c r="M8" t="s">
        <v>35</v>
      </c>
      <c r="N8">
        <v>836.78332769999997</v>
      </c>
      <c r="O8">
        <v>12.10307851</v>
      </c>
      <c r="P8">
        <v>10.1207616</v>
      </c>
      <c r="Q8">
        <v>6.8275398850000002</v>
      </c>
      <c r="R8">
        <v>515.16997149999997</v>
      </c>
      <c r="S8">
        <v>2.062871119</v>
      </c>
      <c r="T8">
        <v>10790.043460000001</v>
      </c>
    </row>
    <row r="9" spans="1:20">
      <c r="A9">
        <v>121</v>
      </c>
      <c r="B9" t="s">
        <v>348</v>
      </c>
      <c r="C9" t="s">
        <v>349</v>
      </c>
      <c r="D9">
        <v>156</v>
      </c>
      <c r="E9">
        <v>2</v>
      </c>
      <c r="F9" t="s">
        <v>350</v>
      </c>
      <c r="G9" t="s">
        <v>33</v>
      </c>
      <c r="H9">
        <v>6.3100571260000002</v>
      </c>
      <c r="I9" t="s">
        <v>34</v>
      </c>
      <c r="J9">
        <v>5.5998718680000001</v>
      </c>
      <c r="K9">
        <v>145.65310969999999</v>
      </c>
      <c r="L9">
        <v>44.964904480000001</v>
      </c>
      <c r="M9">
        <v>4527.8925929999996</v>
      </c>
      <c r="N9">
        <v>227.5365051</v>
      </c>
      <c r="O9">
        <v>7.3291040550000002</v>
      </c>
      <c r="P9">
        <v>8.4093033659999996</v>
      </c>
      <c r="Q9">
        <v>2.3746778929999999</v>
      </c>
      <c r="R9">
        <v>347.51957440000001</v>
      </c>
      <c r="S9">
        <v>1.1855496919999999</v>
      </c>
      <c r="T9">
        <v>10940.293470000001</v>
      </c>
    </row>
    <row r="10" spans="1:20">
      <c r="A10">
        <v>51</v>
      </c>
      <c r="B10" t="s">
        <v>666</v>
      </c>
      <c r="C10" t="s">
        <v>667</v>
      </c>
      <c r="D10">
        <v>325</v>
      </c>
      <c r="E10">
        <v>1</v>
      </c>
      <c r="F10" t="s">
        <v>668</v>
      </c>
      <c r="G10" t="s">
        <v>33</v>
      </c>
      <c r="H10">
        <v>12.256629330000001</v>
      </c>
      <c r="I10" t="s">
        <v>34</v>
      </c>
      <c r="J10">
        <v>11.4170999</v>
      </c>
      <c r="K10" t="s">
        <v>34</v>
      </c>
      <c r="L10">
        <v>70.940553919999999</v>
      </c>
      <c r="M10" t="s">
        <v>35</v>
      </c>
      <c r="N10">
        <v>189.15066999999999</v>
      </c>
      <c r="O10">
        <v>10.93480742</v>
      </c>
      <c r="P10">
        <v>11.60881532</v>
      </c>
      <c r="Q10">
        <v>1.274469901</v>
      </c>
      <c r="R10">
        <v>505.86689539999998</v>
      </c>
      <c r="S10">
        <v>1.2361745319999999</v>
      </c>
      <c r="T10">
        <v>12441.82999</v>
      </c>
    </row>
    <row r="11" spans="1:20">
      <c r="A11">
        <v>154</v>
      </c>
      <c r="B11" t="s">
        <v>447</v>
      </c>
      <c r="C11" t="s">
        <v>448</v>
      </c>
      <c r="D11">
        <v>207</v>
      </c>
      <c r="E11">
        <v>2</v>
      </c>
      <c r="F11" t="s">
        <v>449</v>
      </c>
      <c r="G11" t="s">
        <v>33</v>
      </c>
      <c r="H11">
        <v>5.7336284620000004</v>
      </c>
      <c r="I11" t="s">
        <v>34</v>
      </c>
      <c r="J11">
        <v>8.8450238900000002</v>
      </c>
      <c r="K11">
        <v>156.28479089999999</v>
      </c>
      <c r="L11">
        <v>82.120706069999997</v>
      </c>
      <c r="M11" t="s">
        <v>35</v>
      </c>
      <c r="N11">
        <v>188.8272887</v>
      </c>
      <c r="O11">
        <v>14.122351370000001</v>
      </c>
      <c r="P11">
        <v>16.697368789999999</v>
      </c>
      <c r="Q11">
        <v>4.5743646929999997</v>
      </c>
      <c r="R11">
        <v>473.0427378</v>
      </c>
      <c r="S11">
        <v>1.5758954919999999</v>
      </c>
      <c r="T11">
        <v>9695.3914029999996</v>
      </c>
    </row>
    <row r="12" spans="1:20">
      <c r="A12">
        <v>1</v>
      </c>
      <c r="B12" t="s">
        <v>516</v>
      </c>
      <c r="C12" t="s">
        <v>517</v>
      </c>
      <c r="D12">
        <v>253</v>
      </c>
      <c r="E12">
        <v>1</v>
      </c>
      <c r="F12" t="s">
        <v>518</v>
      </c>
      <c r="G12" t="s">
        <v>33</v>
      </c>
      <c r="H12">
        <v>6.7141047599999997</v>
      </c>
      <c r="I12" t="s">
        <v>34</v>
      </c>
      <c r="J12">
        <v>7.7516135430000004</v>
      </c>
      <c r="K12">
        <v>99.622211190000002</v>
      </c>
      <c r="L12">
        <v>79.283624649999993</v>
      </c>
      <c r="M12" t="s">
        <v>35</v>
      </c>
      <c r="N12">
        <v>261.32645710000003</v>
      </c>
      <c r="O12">
        <v>13.69965957</v>
      </c>
      <c r="P12">
        <v>7.5739220950000004</v>
      </c>
      <c r="Q12">
        <v>6.491685983</v>
      </c>
      <c r="R12">
        <v>405.52588980000002</v>
      </c>
      <c r="S12">
        <v>1.226268645</v>
      </c>
      <c r="T12">
        <v>13178.10096</v>
      </c>
    </row>
    <row r="13" spans="1:20">
      <c r="A13">
        <v>43</v>
      </c>
      <c r="B13" t="s">
        <v>642</v>
      </c>
      <c r="C13" t="s">
        <v>643</v>
      </c>
      <c r="D13">
        <v>315</v>
      </c>
      <c r="E13">
        <v>1</v>
      </c>
      <c r="F13" t="s">
        <v>644</v>
      </c>
      <c r="G13" t="s">
        <v>33</v>
      </c>
      <c r="H13">
        <v>6.1508339980000004</v>
      </c>
      <c r="I13" t="s">
        <v>34</v>
      </c>
      <c r="J13">
        <v>10.821537810000001</v>
      </c>
      <c r="K13">
        <v>156.497467</v>
      </c>
      <c r="L13">
        <v>198.34344129999999</v>
      </c>
      <c r="M13">
        <v>3701.5041040000001</v>
      </c>
      <c r="N13">
        <v>216.4242314</v>
      </c>
      <c r="O13">
        <v>10.058418209999999</v>
      </c>
      <c r="P13">
        <v>15.09133396</v>
      </c>
      <c r="Q13">
        <v>2.2056184349999999</v>
      </c>
      <c r="R13">
        <v>763.86777930000005</v>
      </c>
      <c r="S13">
        <v>4.4011677110000003</v>
      </c>
      <c r="T13">
        <v>12151.99351</v>
      </c>
    </row>
    <row r="14" spans="1:20">
      <c r="A14">
        <v>157</v>
      </c>
      <c r="B14" t="s">
        <v>456</v>
      </c>
      <c r="C14" t="s">
        <v>457</v>
      </c>
      <c r="D14">
        <v>212</v>
      </c>
      <c r="E14">
        <v>2</v>
      </c>
      <c r="F14" t="s">
        <v>458</v>
      </c>
      <c r="G14" t="s">
        <v>33</v>
      </c>
      <c r="H14">
        <v>5.6385018740000001</v>
      </c>
      <c r="I14" t="s">
        <v>34</v>
      </c>
      <c r="J14">
        <v>5.9791125310000002</v>
      </c>
      <c r="K14" t="s">
        <v>35</v>
      </c>
      <c r="L14">
        <v>77.947645789999996</v>
      </c>
      <c r="M14">
        <v>4998.613762</v>
      </c>
      <c r="N14">
        <v>187.1867191</v>
      </c>
      <c r="O14">
        <v>8.7341479979999992</v>
      </c>
      <c r="P14">
        <v>8.2322676870000002</v>
      </c>
      <c r="Q14">
        <v>1.658231657</v>
      </c>
      <c r="R14">
        <v>252.8871024</v>
      </c>
      <c r="S14">
        <v>1.732107013</v>
      </c>
      <c r="T14">
        <v>5679.4760619999997</v>
      </c>
    </row>
    <row r="15" spans="1:20">
      <c r="A15">
        <v>140</v>
      </c>
      <c r="B15" t="s">
        <v>405</v>
      </c>
      <c r="C15" t="s">
        <v>406</v>
      </c>
      <c r="D15">
        <v>191</v>
      </c>
      <c r="E15">
        <v>2</v>
      </c>
      <c r="F15" t="s">
        <v>407</v>
      </c>
      <c r="G15" t="s">
        <v>33</v>
      </c>
      <c r="H15">
        <v>6.4446027380000004</v>
      </c>
      <c r="I15" t="s">
        <v>34</v>
      </c>
      <c r="J15">
        <v>7.4946771639999996</v>
      </c>
      <c r="K15">
        <v>171.9817357</v>
      </c>
      <c r="L15">
        <v>49.479427129999998</v>
      </c>
      <c r="M15" t="s">
        <v>35</v>
      </c>
      <c r="N15">
        <v>182.01445960000001</v>
      </c>
      <c r="O15">
        <v>7.8107836519999996</v>
      </c>
      <c r="P15">
        <v>8.7825578750000002</v>
      </c>
      <c r="Q15">
        <v>4.2208425189999996</v>
      </c>
      <c r="R15">
        <v>427.00257099999999</v>
      </c>
      <c r="S15">
        <v>1.0648652890000001</v>
      </c>
      <c r="T15">
        <v>12793.79616</v>
      </c>
    </row>
    <row r="16" spans="1:20">
      <c r="A16">
        <v>62</v>
      </c>
      <c r="B16" t="s">
        <v>699</v>
      </c>
      <c r="C16" t="s">
        <v>700</v>
      </c>
      <c r="D16">
        <v>339</v>
      </c>
      <c r="E16">
        <v>1</v>
      </c>
      <c r="F16" t="s">
        <v>701</v>
      </c>
      <c r="G16" t="s">
        <v>33</v>
      </c>
      <c r="H16">
        <v>2.7693402969999998</v>
      </c>
      <c r="I16" t="s">
        <v>34</v>
      </c>
      <c r="J16">
        <v>3.4340043759999999</v>
      </c>
      <c r="K16" t="s">
        <v>35</v>
      </c>
      <c r="L16">
        <v>178.14372470000001</v>
      </c>
      <c r="M16">
        <v>4226.0955329999997</v>
      </c>
      <c r="N16">
        <v>138.77762010000001</v>
      </c>
      <c r="O16">
        <v>3.6546143170000001</v>
      </c>
      <c r="P16">
        <v>27.135168799999999</v>
      </c>
      <c r="Q16" t="s">
        <v>34</v>
      </c>
      <c r="R16">
        <v>451.91062720000002</v>
      </c>
      <c r="S16">
        <v>3.1231130199999999</v>
      </c>
      <c r="T16">
        <v>4301.0442489999996</v>
      </c>
    </row>
    <row r="17" spans="1:20">
      <c r="A17">
        <v>251</v>
      </c>
      <c r="B17" t="s">
        <v>258</v>
      </c>
      <c r="C17" t="s">
        <v>259</v>
      </c>
      <c r="D17">
        <v>108</v>
      </c>
      <c r="E17">
        <v>3</v>
      </c>
      <c r="F17" t="s">
        <v>260</v>
      </c>
      <c r="G17" t="s">
        <v>33</v>
      </c>
      <c r="H17">
        <v>5.3751733850000001</v>
      </c>
      <c r="I17" t="s">
        <v>34</v>
      </c>
      <c r="J17">
        <v>5.786169535</v>
      </c>
      <c r="K17" t="s">
        <v>35</v>
      </c>
      <c r="L17">
        <v>77.503941499999996</v>
      </c>
      <c r="M17" t="s">
        <v>35</v>
      </c>
      <c r="N17">
        <v>414.65757860000002</v>
      </c>
      <c r="O17">
        <v>4.6449841420000002</v>
      </c>
      <c r="P17">
        <v>26.982893820000001</v>
      </c>
      <c r="Q17">
        <v>1.1929637639999999</v>
      </c>
      <c r="R17">
        <v>320.0485491</v>
      </c>
      <c r="S17">
        <v>2.5095940460000001</v>
      </c>
      <c r="T17">
        <v>6713.2631240000001</v>
      </c>
    </row>
    <row r="18" spans="1:20">
      <c r="A18">
        <v>111</v>
      </c>
      <c r="B18" t="s">
        <v>318</v>
      </c>
      <c r="C18" t="s">
        <v>319</v>
      </c>
      <c r="D18">
        <v>144</v>
      </c>
      <c r="E18">
        <v>2</v>
      </c>
      <c r="F18" t="s">
        <v>320</v>
      </c>
      <c r="G18" t="s">
        <v>33</v>
      </c>
      <c r="H18">
        <v>3.9240462599999999</v>
      </c>
      <c r="I18" t="s">
        <v>34</v>
      </c>
      <c r="J18">
        <v>4.5711269379999999</v>
      </c>
      <c r="K18">
        <v>56.219553650000002</v>
      </c>
      <c r="L18">
        <v>45.81228909</v>
      </c>
      <c r="M18">
        <v>4524.2623270000004</v>
      </c>
      <c r="N18">
        <v>193.87701290000001</v>
      </c>
      <c r="O18">
        <v>6.9940351329999997</v>
      </c>
      <c r="P18">
        <v>6.5860178139999999</v>
      </c>
      <c r="Q18">
        <v>2.6076235630000002</v>
      </c>
      <c r="R18">
        <v>363.98470609999998</v>
      </c>
      <c r="S18">
        <v>0.53716706999999997</v>
      </c>
      <c r="T18">
        <v>11814.97251</v>
      </c>
    </row>
    <row r="19" spans="1:20">
      <c r="A19">
        <v>159</v>
      </c>
      <c r="B19" t="s">
        <v>462</v>
      </c>
      <c r="C19" t="s">
        <v>463</v>
      </c>
      <c r="D19">
        <v>219</v>
      </c>
      <c r="E19">
        <v>2</v>
      </c>
      <c r="F19" t="s">
        <v>464</v>
      </c>
      <c r="G19" t="s">
        <v>33</v>
      </c>
      <c r="H19">
        <v>19.503082070000001</v>
      </c>
      <c r="I19" t="s">
        <v>34</v>
      </c>
      <c r="J19">
        <v>10.422261860000001</v>
      </c>
      <c r="K19" t="s">
        <v>35</v>
      </c>
      <c r="L19">
        <v>103.64937190000001</v>
      </c>
      <c r="M19" t="s">
        <v>35</v>
      </c>
      <c r="N19">
        <v>282.17477609999997</v>
      </c>
      <c r="O19">
        <v>10.17757787</v>
      </c>
      <c r="P19">
        <v>20.566653339999998</v>
      </c>
      <c r="Q19">
        <v>4.3080356389999999</v>
      </c>
      <c r="R19">
        <v>488.9487939</v>
      </c>
      <c r="S19">
        <v>1.511248916</v>
      </c>
      <c r="T19">
        <v>11036.99404</v>
      </c>
    </row>
    <row r="20" spans="1:20">
      <c r="A20">
        <v>134</v>
      </c>
      <c r="B20" t="s">
        <v>387</v>
      </c>
      <c r="C20" t="s">
        <v>388</v>
      </c>
      <c r="D20">
        <v>171</v>
      </c>
      <c r="E20">
        <v>2</v>
      </c>
      <c r="F20" t="s">
        <v>389</v>
      </c>
      <c r="G20" t="s">
        <v>33</v>
      </c>
      <c r="H20">
        <v>5.8521312940000003</v>
      </c>
      <c r="I20" t="s">
        <v>34</v>
      </c>
      <c r="J20">
        <v>5.4165857449999999</v>
      </c>
      <c r="K20">
        <v>116.0913068</v>
      </c>
      <c r="L20">
        <v>103.2261221</v>
      </c>
      <c r="M20" t="s">
        <v>35</v>
      </c>
      <c r="N20">
        <v>219.0083898</v>
      </c>
      <c r="O20">
        <v>7.1744554000000003</v>
      </c>
      <c r="P20">
        <v>30.708722649999999</v>
      </c>
      <c r="Q20">
        <v>1.952079817</v>
      </c>
      <c r="R20">
        <v>520.55033449999996</v>
      </c>
      <c r="S20">
        <v>1.845000242</v>
      </c>
      <c r="T20">
        <v>11877.25063</v>
      </c>
    </row>
    <row r="21" spans="1:20">
      <c r="A21">
        <v>119</v>
      </c>
      <c r="B21" t="s">
        <v>342</v>
      </c>
      <c r="C21" t="s">
        <v>343</v>
      </c>
      <c r="D21">
        <v>154</v>
      </c>
      <c r="E21">
        <v>2</v>
      </c>
      <c r="F21" t="s">
        <v>344</v>
      </c>
      <c r="G21" t="s">
        <v>33</v>
      </c>
      <c r="H21">
        <v>8.8000071149999997</v>
      </c>
      <c r="I21" t="s">
        <v>34</v>
      </c>
      <c r="J21">
        <v>7.8282766160000001</v>
      </c>
      <c r="K21">
        <v>186.3530557</v>
      </c>
      <c r="L21">
        <v>48.546761519999997</v>
      </c>
      <c r="M21" t="s">
        <v>35</v>
      </c>
      <c r="N21">
        <v>140.32017519999999</v>
      </c>
      <c r="O21">
        <v>8.0542160529999993</v>
      </c>
      <c r="P21">
        <v>10.694047149999999</v>
      </c>
      <c r="Q21">
        <v>3.0328868299999998</v>
      </c>
      <c r="R21">
        <v>425.58162609999999</v>
      </c>
      <c r="S21">
        <v>1.784434291</v>
      </c>
      <c r="T21">
        <v>9665.7055679999994</v>
      </c>
    </row>
    <row r="22" spans="1:20">
      <c r="A22">
        <v>166</v>
      </c>
      <c r="B22" t="s">
        <v>483</v>
      </c>
      <c r="C22" t="s">
        <v>484</v>
      </c>
      <c r="D22">
        <v>228</v>
      </c>
      <c r="E22">
        <v>2</v>
      </c>
      <c r="F22" t="s">
        <v>485</v>
      </c>
      <c r="G22" t="s">
        <v>33</v>
      </c>
      <c r="H22">
        <v>6.0303738750000004</v>
      </c>
      <c r="I22" t="s">
        <v>34</v>
      </c>
      <c r="J22">
        <v>11.28456647</v>
      </c>
      <c r="K22" t="s">
        <v>35</v>
      </c>
      <c r="L22">
        <v>61.495323970000001</v>
      </c>
      <c r="M22" t="s">
        <v>35</v>
      </c>
      <c r="N22">
        <v>194.885389</v>
      </c>
      <c r="O22">
        <v>16.69352696</v>
      </c>
      <c r="P22">
        <v>12.96736576</v>
      </c>
      <c r="Q22">
        <v>4.6481050140000004</v>
      </c>
      <c r="R22">
        <v>375.47561100000001</v>
      </c>
      <c r="S22">
        <v>1.2835884719999999</v>
      </c>
      <c r="T22">
        <v>11930.80323</v>
      </c>
    </row>
    <row r="23" spans="1:20">
      <c r="A23">
        <v>190</v>
      </c>
      <c r="B23" t="s">
        <v>75</v>
      </c>
      <c r="C23" t="s">
        <v>76</v>
      </c>
      <c r="D23">
        <v>23</v>
      </c>
      <c r="E23">
        <v>3</v>
      </c>
      <c r="F23" t="s">
        <v>77</v>
      </c>
      <c r="G23" t="s">
        <v>33</v>
      </c>
      <c r="H23">
        <v>13.90098008</v>
      </c>
      <c r="I23" t="s">
        <v>34</v>
      </c>
      <c r="J23">
        <v>8.8986663499999992</v>
      </c>
      <c r="K23" t="s">
        <v>35</v>
      </c>
      <c r="L23">
        <v>68.37778213</v>
      </c>
      <c r="M23" t="s">
        <v>35</v>
      </c>
      <c r="N23">
        <v>475.24810780000001</v>
      </c>
      <c r="O23">
        <v>10.884914950000001</v>
      </c>
      <c r="P23">
        <v>13.043611670000001</v>
      </c>
      <c r="Q23">
        <v>3.4206184529999999</v>
      </c>
      <c r="R23">
        <v>560.09710959999995</v>
      </c>
      <c r="S23">
        <v>1.3337762790000001</v>
      </c>
      <c r="T23">
        <v>10073.861209999999</v>
      </c>
    </row>
    <row r="24" spans="1:20">
      <c r="A24">
        <v>41</v>
      </c>
      <c r="B24" t="s">
        <v>636</v>
      </c>
      <c r="C24" t="s">
        <v>637</v>
      </c>
      <c r="D24">
        <v>313</v>
      </c>
      <c r="E24">
        <v>1</v>
      </c>
      <c r="F24" t="s">
        <v>638</v>
      </c>
      <c r="G24" t="s">
        <v>33</v>
      </c>
      <c r="H24">
        <v>8.6089498290000002</v>
      </c>
      <c r="I24" t="s">
        <v>34</v>
      </c>
      <c r="J24">
        <v>7.4364014660000004</v>
      </c>
      <c r="K24">
        <v>132.5620562</v>
      </c>
      <c r="L24">
        <v>60.109006010000002</v>
      </c>
      <c r="M24" t="s">
        <v>35</v>
      </c>
      <c r="N24">
        <v>250.3443705</v>
      </c>
      <c r="O24">
        <v>9.7515104729999997</v>
      </c>
      <c r="P24">
        <v>16.005030269999999</v>
      </c>
      <c r="Q24">
        <v>2.3728380370000002</v>
      </c>
      <c r="R24">
        <v>524.52782439999999</v>
      </c>
      <c r="S24">
        <v>1.352478912</v>
      </c>
      <c r="T24">
        <v>13323.24417</v>
      </c>
    </row>
    <row r="25" spans="1:20">
      <c r="A25">
        <v>124</v>
      </c>
      <c r="B25" t="s">
        <v>357</v>
      </c>
      <c r="C25" t="s">
        <v>358</v>
      </c>
      <c r="D25">
        <v>159</v>
      </c>
      <c r="E25">
        <v>2</v>
      </c>
      <c r="F25" t="s">
        <v>359</v>
      </c>
      <c r="G25" t="s">
        <v>33</v>
      </c>
      <c r="H25">
        <v>4.3920883850000001</v>
      </c>
      <c r="I25" t="s">
        <v>34</v>
      </c>
      <c r="J25">
        <v>6.3734000670000004</v>
      </c>
      <c r="K25" t="s">
        <v>35</v>
      </c>
      <c r="L25">
        <v>82.45237917</v>
      </c>
      <c r="M25" t="s">
        <v>35</v>
      </c>
      <c r="N25">
        <v>138.68815480000001</v>
      </c>
      <c r="O25">
        <v>8.0590955920000003</v>
      </c>
      <c r="P25">
        <v>7.7914493839999999</v>
      </c>
      <c r="Q25">
        <v>2.4871477139999998</v>
      </c>
      <c r="R25">
        <v>348.49440129999999</v>
      </c>
      <c r="S25">
        <v>0.98557025899999995</v>
      </c>
      <c r="T25">
        <v>9512.8461380000008</v>
      </c>
    </row>
    <row r="26" spans="1:20">
      <c r="A26">
        <v>50</v>
      </c>
      <c r="B26" t="s">
        <v>663</v>
      </c>
      <c r="C26" t="s">
        <v>664</v>
      </c>
      <c r="D26">
        <v>324</v>
      </c>
      <c r="E26">
        <v>1</v>
      </c>
      <c r="F26" t="s">
        <v>665</v>
      </c>
      <c r="G26" t="s">
        <v>33</v>
      </c>
      <c r="H26">
        <v>5.5962584919999996</v>
      </c>
      <c r="I26" t="s">
        <v>34</v>
      </c>
      <c r="J26">
        <v>6.718052052</v>
      </c>
      <c r="K26" t="s">
        <v>35</v>
      </c>
      <c r="L26">
        <v>56.97497225</v>
      </c>
      <c r="M26" t="s">
        <v>35</v>
      </c>
      <c r="N26">
        <v>345.4811368</v>
      </c>
      <c r="O26">
        <v>8.0291271260000006</v>
      </c>
      <c r="P26">
        <v>15.982100969999999</v>
      </c>
      <c r="Q26">
        <v>3.3307307449999999</v>
      </c>
      <c r="R26">
        <v>285.1822492</v>
      </c>
      <c r="S26">
        <v>1.1713508749999999</v>
      </c>
      <c r="T26">
        <v>10685.941489999999</v>
      </c>
    </row>
    <row r="27" spans="1:20">
      <c r="A27">
        <v>136</v>
      </c>
      <c r="B27" t="s">
        <v>393</v>
      </c>
      <c r="C27" t="s">
        <v>394</v>
      </c>
      <c r="D27">
        <v>187</v>
      </c>
      <c r="E27">
        <v>2</v>
      </c>
      <c r="F27" t="s">
        <v>395</v>
      </c>
      <c r="G27" t="s">
        <v>33</v>
      </c>
      <c r="H27">
        <v>7.9687610390000003</v>
      </c>
      <c r="I27" t="s">
        <v>34</v>
      </c>
      <c r="J27">
        <v>6.8418997490000004</v>
      </c>
      <c r="K27">
        <v>182.0923799</v>
      </c>
      <c r="L27">
        <v>83.690610149999998</v>
      </c>
      <c r="M27" t="s">
        <v>35</v>
      </c>
      <c r="N27">
        <v>101.2771429</v>
      </c>
      <c r="O27">
        <v>9.5363433369999999</v>
      </c>
      <c r="P27">
        <v>14.366669229999999</v>
      </c>
      <c r="Q27">
        <v>3.8644045990000002</v>
      </c>
      <c r="R27">
        <v>414.0081758</v>
      </c>
      <c r="S27">
        <v>1.917680805</v>
      </c>
      <c r="T27">
        <v>9223.8367760000001</v>
      </c>
    </row>
    <row r="28" spans="1:20">
      <c r="A28">
        <v>28</v>
      </c>
      <c r="B28" t="s">
        <v>597</v>
      </c>
      <c r="C28" t="s">
        <v>598</v>
      </c>
      <c r="D28">
        <v>284</v>
      </c>
      <c r="E28">
        <v>1</v>
      </c>
      <c r="F28" t="s">
        <v>599</v>
      </c>
      <c r="G28" t="s">
        <v>33</v>
      </c>
      <c r="H28">
        <v>4.356645264</v>
      </c>
      <c r="I28" t="s">
        <v>34</v>
      </c>
      <c r="J28">
        <v>5.1721292070000002</v>
      </c>
      <c r="K28" t="s">
        <v>35</v>
      </c>
      <c r="L28">
        <v>87.929660220000002</v>
      </c>
      <c r="M28" t="s">
        <v>35</v>
      </c>
      <c r="N28">
        <v>812.8120864</v>
      </c>
      <c r="O28">
        <v>3.4055202910000002</v>
      </c>
      <c r="P28">
        <v>112.1824582</v>
      </c>
      <c r="Q28">
        <v>1.0509073579999999</v>
      </c>
      <c r="R28">
        <v>414.38336859999998</v>
      </c>
      <c r="S28">
        <v>2.7587510210000001</v>
      </c>
      <c r="T28">
        <v>9711.2213119999997</v>
      </c>
    </row>
    <row r="29" spans="1:20">
      <c r="A29">
        <v>138</v>
      </c>
      <c r="B29" t="s">
        <v>399</v>
      </c>
      <c r="C29" t="s">
        <v>400</v>
      </c>
      <c r="D29">
        <v>189</v>
      </c>
      <c r="E29">
        <v>2</v>
      </c>
      <c r="F29" t="s">
        <v>401</v>
      </c>
      <c r="G29" t="s">
        <v>33</v>
      </c>
      <c r="H29">
        <v>3.9479914109999998</v>
      </c>
      <c r="I29" t="s">
        <v>34</v>
      </c>
      <c r="J29">
        <v>3.5968025469999998</v>
      </c>
      <c r="K29">
        <v>155.34913470000001</v>
      </c>
      <c r="L29">
        <v>42.674737649999997</v>
      </c>
      <c r="M29" t="s">
        <v>35</v>
      </c>
      <c r="N29">
        <v>177.53809519999999</v>
      </c>
      <c r="O29">
        <v>6.4909572000000004</v>
      </c>
      <c r="P29">
        <v>15.40276997</v>
      </c>
      <c r="Q29">
        <v>1.9727457289999999</v>
      </c>
      <c r="R29">
        <v>330.01035439999998</v>
      </c>
      <c r="S29">
        <v>0.947912541</v>
      </c>
      <c r="T29">
        <v>14046.10167</v>
      </c>
    </row>
    <row r="30" spans="1:20">
      <c r="A30">
        <v>56</v>
      </c>
      <c r="B30" t="s">
        <v>681</v>
      </c>
      <c r="C30" t="s">
        <v>682</v>
      </c>
      <c r="D30">
        <v>330</v>
      </c>
      <c r="E30">
        <v>1</v>
      </c>
      <c r="F30" t="s">
        <v>683</v>
      </c>
      <c r="G30" t="s">
        <v>33</v>
      </c>
      <c r="H30">
        <v>3.0168896479999998</v>
      </c>
      <c r="I30" t="s">
        <v>34</v>
      </c>
      <c r="J30">
        <v>5.9335172399999996</v>
      </c>
      <c r="K30">
        <v>107.0884569</v>
      </c>
      <c r="L30">
        <v>30.979346710000002</v>
      </c>
      <c r="M30" t="s">
        <v>35</v>
      </c>
      <c r="N30">
        <v>148.81738329999999</v>
      </c>
      <c r="O30">
        <v>3.0674676249999999</v>
      </c>
      <c r="P30">
        <v>11.438081009999999</v>
      </c>
      <c r="Q30">
        <v>1.749636988</v>
      </c>
      <c r="R30">
        <v>177.21042420000001</v>
      </c>
      <c r="S30">
        <v>0.81098357499999996</v>
      </c>
      <c r="T30">
        <v>8665.3416870000001</v>
      </c>
    </row>
    <row r="31" spans="1:20">
      <c r="A31">
        <v>139</v>
      </c>
      <c r="B31" t="s">
        <v>402</v>
      </c>
      <c r="C31" t="s">
        <v>403</v>
      </c>
      <c r="D31">
        <v>190</v>
      </c>
      <c r="E31">
        <v>2</v>
      </c>
      <c r="F31" t="s">
        <v>404</v>
      </c>
      <c r="G31" t="s">
        <v>33</v>
      </c>
      <c r="H31">
        <v>7.2908663880000004</v>
      </c>
      <c r="I31" t="s">
        <v>34</v>
      </c>
      <c r="J31">
        <v>7.4294833430000002</v>
      </c>
      <c r="K31">
        <v>178.2208249</v>
      </c>
      <c r="L31">
        <v>55.56506692</v>
      </c>
      <c r="M31" t="s">
        <v>35</v>
      </c>
      <c r="N31">
        <v>234.892776</v>
      </c>
      <c r="O31">
        <v>13.622163929999999</v>
      </c>
      <c r="P31">
        <v>10.19498613</v>
      </c>
      <c r="Q31">
        <v>6.0682588019999999</v>
      </c>
      <c r="R31">
        <v>436.99343970000001</v>
      </c>
      <c r="S31">
        <v>1.0083599400000001</v>
      </c>
      <c r="T31">
        <v>14367.7431</v>
      </c>
    </row>
    <row r="32" spans="1:20">
      <c r="A32">
        <v>137</v>
      </c>
      <c r="B32" t="s">
        <v>396</v>
      </c>
      <c r="C32" t="s">
        <v>397</v>
      </c>
      <c r="D32">
        <v>188</v>
      </c>
      <c r="E32">
        <v>2</v>
      </c>
      <c r="F32" t="s">
        <v>398</v>
      </c>
      <c r="G32" t="s">
        <v>33</v>
      </c>
      <c r="H32">
        <v>6.932038972</v>
      </c>
      <c r="I32" t="s">
        <v>34</v>
      </c>
      <c r="J32">
        <v>6.2284098969999997</v>
      </c>
      <c r="K32" t="s">
        <v>35</v>
      </c>
      <c r="L32">
        <v>106.0021376</v>
      </c>
      <c r="M32">
        <v>4882.7069289999999</v>
      </c>
      <c r="N32">
        <v>306.46810840000001</v>
      </c>
      <c r="O32">
        <v>8.5682217400000003</v>
      </c>
      <c r="P32">
        <v>19.82538035</v>
      </c>
      <c r="Q32">
        <v>4.5145341569999999</v>
      </c>
      <c r="R32">
        <v>424.19998220000002</v>
      </c>
      <c r="S32">
        <v>1.999735104</v>
      </c>
      <c r="T32">
        <v>7554.2955940000002</v>
      </c>
    </row>
    <row r="33" spans="1:20">
      <c r="A33">
        <v>195</v>
      </c>
      <c r="B33" t="s">
        <v>90</v>
      </c>
      <c r="C33" t="s">
        <v>91</v>
      </c>
      <c r="D33">
        <v>28</v>
      </c>
      <c r="E33">
        <v>3</v>
      </c>
      <c r="F33" t="s">
        <v>92</v>
      </c>
      <c r="G33" t="s">
        <v>33</v>
      </c>
      <c r="H33">
        <v>7.3640164050000001</v>
      </c>
      <c r="I33" t="s">
        <v>34</v>
      </c>
      <c r="J33">
        <v>4.7622720330000003</v>
      </c>
      <c r="K33">
        <v>134.72169030000001</v>
      </c>
      <c r="L33">
        <v>36.183950350000003</v>
      </c>
      <c r="M33">
        <v>4491.2214510000003</v>
      </c>
      <c r="N33">
        <v>179.6830818</v>
      </c>
      <c r="O33">
        <v>8.6088332649999995</v>
      </c>
      <c r="P33">
        <v>10.550920250000001</v>
      </c>
      <c r="Q33">
        <v>3.5203210170000001</v>
      </c>
      <c r="R33">
        <v>256.74599899999998</v>
      </c>
      <c r="S33">
        <v>1.2972762010000001</v>
      </c>
      <c r="T33">
        <v>8535.4252510000006</v>
      </c>
    </row>
    <row r="34" spans="1:20">
      <c r="A34">
        <v>189</v>
      </c>
      <c r="B34" t="s">
        <v>72</v>
      </c>
      <c r="C34" t="s">
        <v>73</v>
      </c>
      <c r="D34">
        <v>22</v>
      </c>
      <c r="E34">
        <v>3</v>
      </c>
      <c r="F34" t="s">
        <v>74</v>
      </c>
      <c r="G34" t="s">
        <v>33</v>
      </c>
      <c r="H34">
        <v>5.4846849329999996</v>
      </c>
      <c r="I34" t="s">
        <v>34</v>
      </c>
      <c r="J34">
        <v>6.7104410110000003</v>
      </c>
      <c r="K34" t="s">
        <v>35</v>
      </c>
      <c r="L34">
        <v>53.76206689</v>
      </c>
      <c r="M34">
        <v>4113.5460190000003</v>
      </c>
      <c r="N34">
        <v>103.02806990000001</v>
      </c>
      <c r="O34">
        <v>6.1488766220000004</v>
      </c>
      <c r="P34">
        <v>14.78781813</v>
      </c>
      <c r="Q34">
        <v>1.077598346</v>
      </c>
      <c r="R34">
        <v>415.30321609999999</v>
      </c>
      <c r="S34">
        <v>1.1239159379999999</v>
      </c>
      <c r="T34">
        <v>11877.29421</v>
      </c>
    </row>
    <row r="35" spans="1:20">
      <c r="A35">
        <v>96</v>
      </c>
      <c r="B35" t="s">
        <v>273</v>
      </c>
      <c r="C35" t="s">
        <v>274</v>
      </c>
      <c r="D35">
        <v>127</v>
      </c>
      <c r="E35">
        <v>2</v>
      </c>
      <c r="F35" t="s">
        <v>275</v>
      </c>
      <c r="G35" t="s">
        <v>33</v>
      </c>
      <c r="H35">
        <v>4.8753795440000003</v>
      </c>
      <c r="I35" t="s">
        <v>34</v>
      </c>
      <c r="J35">
        <v>9.0827824499999998</v>
      </c>
      <c r="K35">
        <v>197.39859530000001</v>
      </c>
      <c r="L35">
        <v>101.44845220000001</v>
      </c>
      <c r="M35" t="s">
        <v>35</v>
      </c>
      <c r="N35">
        <v>220.52513949999999</v>
      </c>
      <c r="O35">
        <v>7.8744174429999996</v>
      </c>
      <c r="P35">
        <v>13.763568210000001</v>
      </c>
      <c r="Q35">
        <v>4.1600462450000002</v>
      </c>
      <c r="R35">
        <v>580.82231660000002</v>
      </c>
      <c r="S35">
        <v>1.5219930399999999</v>
      </c>
      <c r="T35">
        <v>12473.17246</v>
      </c>
    </row>
    <row r="36" spans="1:20">
      <c r="A36">
        <v>158</v>
      </c>
      <c r="B36" t="s">
        <v>459</v>
      </c>
      <c r="C36" t="s">
        <v>460</v>
      </c>
      <c r="D36">
        <v>218</v>
      </c>
      <c r="E36">
        <v>2</v>
      </c>
      <c r="F36" t="s">
        <v>461</v>
      </c>
      <c r="G36" t="s">
        <v>33</v>
      </c>
      <c r="H36">
        <v>7.9730037810000001</v>
      </c>
      <c r="I36" t="s">
        <v>34</v>
      </c>
      <c r="J36">
        <v>5.5280722750000004</v>
      </c>
      <c r="K36" t="s">
        <v>35</v>
      </c>
      <c r="L36">
        <v>74.203743079999995</v>
      </c>
      <c r="M36">
        <v>4900.202483</v>
      </c>
      <c r="N36">
        <v>132.5378781</v>
      </c>
      <c r="O36">
        <v>6.5215593549999999</v>
      </c>
      <c r="P36">
        <v>19.742541760000002</v>
      </c>
      <c r="Q36">
        <v>2.58589212</v>
      </c>
      <c r="R36">
        <v>266.10956329999999</v>
      </c>
      <c r="S36">
        <v>1.164060782</v>
      </c>
      <c r="T36">
        <v>9893.9217680000002</v>
      </c>
    </row>
    <row r="37" spans="1:20">
      <c r="A37">
        <v>211</v>
      </c>
      <c r="B37" t="s">
        <v>138</v>
      </c>
      <c r="C37" t="s">
        <v>139</v>
      </c>
      <c r="D37">
        <v>48</v>
      </c>
      <c r="E37">
        <v>3</v>
      </c>
      <c r="F37" t="s">
        <v>140</v>
      </c>
      <c r="G37" t="s">
        <v>33</v>
      </c>
      <c r="H37">
        <v>14.521910630000001</v>
      </c>
      <c r="I37" t="s">
        <v>34</v>
      </c>
      <c r="J37">
        <v>4.944125294</v>
      </c>
      <c r="K37" t="s">
        <v>35</v>
      </c>
      <c r="L37">
        <v>68.141888069999993</v>
      </c>
      <c r="M37" t="s">
        <v>35</v>
      </c>
      <c r="N37">
        <v>149.0245074</v>
      </c>
      <c r="O37">
        <v>15.152375230000001</v>
      </c>
      <c r="P37">
        <v>20.489276060000002</v>
      </c>
      <c r="Q37">
        <v>4.9423817469999998</v>
      </c>
      <c r="R37">
        <v>447.99467129999999</v>
      </c>
      <c r="S37">
        <v>1.4800138819999999</v>
      </c>
      <c r="T37">
        <v>10166.578949999999</v>
      </c>
    </row>
    <row r="38" spans="1:20">
      <c r="A38">
        <v>75</v>
      </c>
      <c r="B38" t="s">
        <v>738</v>
      </c>
      <c r="C38" t="s">
        <v>739</v>
      </c>
      <c r="D38">
        <v>354</v>
      </c>
      <c r="E38">
        <v>1</v>
      </c>
      <c r="F38" t="s">
        <v>740</v>
      </c>
      <c r="G38" t="s">
        <v>33</v>
      </c>
      <c r="H38">
        <v>8.1735190739999997</v>
      </c>
      <c r="I38" t="s">
        <v>34</v>
      </c>
      <c r="J38">
        <v>12.036080370000001</v>
      </c>
      <c r="K38">
        <v>114.4296617</v>
      </c>
      <c r="L38">
        <v>69.425609350000002</v>
      </c>
      <c r="M38" t="s">
        <v>35</v>
      </c>
      <c r="N38">
        <v>687.76959899999997</v>
      </c>
      <c r="O38">
        <v>9.6992064160000009</v>
      </c>
      <c r="P38">
        <v>9.0028417879999996</v>
      </c>
      <c r="Q38">
        <v>7.2167971550000001</v>
      </c>
      <c r="R38">
        <v>374.24260240000001</v>
      </c>
      <c r="S38">
        <v>1.537294224</v>
      </c>
      <c r="T38">
        <v>10337.984710000001</v>
      </c>
    </row>
    <row r="39" spans="1:20">
      <c r="A39">
        <v>250</v>
      </c>
      <c r="B39" t="s">
        <v>255</v>
      </c>
      <c r="C39" t="s">
        <v>256</v>
      </c>
      <c r="D39">
        <v>107</v>
      </c>
      <c r="E39">
        <v>3</v>
      </c>
      <c r="F39" t="s">
        <v>257</v>
      </c>
      <c r="G39" t="s">
        <v>33</v>
      </c>
      <c r="H39">
        <v>14.748264900000001</v>
      </c>
      <c r="I39" t="s">
        <v>34</v>
      </c>
      <c r="J39">
        <v>7.614392337</v>
      </c>
      <c r="K39" t="s">
        <v>35</v>
      </c>
      <c r="L39">
        <v>77.485353040000007</v>
      </c>
      <c r="M39" t="s">
        <v>35</v>
      </c>
      <c r="N39">
        <v>416.89059930000002</v>
      </c>
      <c r="O39">
        <v>11.33122081</v>
      </c>
      <c r="P39">
        <v>19.547399760000001</v>
      </c>
      <c r="Q39">
        <v>5.4689928129999998</v>
      </c>
      <c r="R39">
        <v>470.98588059999997</v>
      </c>
      <c r="S39">
        <v>1.3333481789999999</v>
      </c>
      <c r="T39">
        <v>9503.8908769999998</v>
      </c>
    </row>
    <row r="40" spans="1:20">
      <c r="A40">
        <v>122</v>
      </c>
      <c r="B40" t="s">
        <v>351</v>
      </c>
      <c r="C40" t="s">
        <v>352</v>
      </c>
      <c r="D40">
        <v>157</v>
      </c>
      <c r="E40">
        <v>2</v>
      </c>
      <c r="F40" t="s">
        <v>353</v>
      </c>
      <c r="G40" t="s">
        <v>33</v>
      </c>
      <c r="H40">
        <v>9.1871588109999998</v>
      </c>
      <c r="I40" t="s">
        <v>34</v>
      </c>
      <c r="J40">
        <v>8.6754806940000009</v>
      </c>
      <c r="K40" t="s">
        <v>35</v>
      </c>
      <c r="L40">
        <v>47.100823730000002</v>
      </c>
      <c r="M40" t="s">
        <v>35</v>
      </c>
      <c r="N40">
        <v>280.88061249999998</v>
      </c>
      <c r="O40">
        <v>8.9367941739999992</v>
      </c>
      <c r="P40">
        <v>10.218853510000001</v>
      </c>
      <c r="Q40">
        <v>3.8823392010000002</v>
      </c>
      <c r="R40">
        <v>352.92372610000001</v>
      </c>
      <c r="S40">
        <v>0.714245978</v>
      </c>
      <c r="T40">
        <v>17394.37959</v>
      </c>
    </row>
    <row r="41" spans="1:20">
      <c r="A41">
        <v>252</v>
      </c>
      <c r="B41" t="s">
        <v>261</v>
      </c>
      <c r="C41" t="s">
        <v>262</v>
      </c>
      <c r="D41">
        <v>109</v>
      </c>
      <c r="E41">
        <v>3</v>
      </c>
      <c r="F41" t="s">
        <v>263</v>
      </c>
      <c r="G41" t="s">
        <v>33</v>
      </c>
      <c r="H41">
        <v>2.1522524380000001</v>
      </c>
      <c r="I41" t="s">
        <v>34</v>
      </c>
      <c r="J41">
        <v>6.0493244989999999</v>
      </c>
      <c r="K41" t="s">
        <v>35</v>
      </c>
      <c r="L41">
        <v>58.994036899999998</v>
      </c>
      <c r="M41" t="s">
        <v>35</v>
      </c>
      <c r="N41">
        <v>167.8944329</v>
      </c>
      <c r="O41">
        <v>5.230440336</v>
      </c>
      <c r="P41">
        <v>12.10835868</v>
      </c>
      <c r="Q41">
        <v>1.739189764</v>
      </c>
      <c r="R41">
        <v>425.72614970000001</v>
      </c>
      <c r="S41">
        <v>1.487054463</v>
      </c>
      <c r="T41">
        <v>7718.3650369999996</v>
      </c>
    </row>
    <row r="42" spans="1:20">
      <c r="A42">
        <v>196</v>
      </c>
      <c r="B42" t="s">
        <v>93</v>
      </c>
      <c r="C42" t="s">
        <v>94</v>
      </c>
      <c r="D42">
        <v>31</v>
      </c>
      <c r="E42">
        <v>3</v>
      </c>
      <c r="F42" t="s">
        <v>95</v>
      </c>
      <c r="G42" t="s">
        <v>33</v>
      </c>
      <c r="H42">
        <v>7.2063626699999999</v>
      </c>
      <c r="I42" t="s">
        <v>34</v>
      </c>
      <c r="J42">
        <v>9.8596310359999997</v>
      </c>
      <c r="K42">
        <v>175.60637460000001</v>
      </c>
      <c r="L42">
        <v>46.709636490000001</v>
      </c>
      <c r="M42" t="s">
        <v>35</v>
      </c>
      <c r="N42">
        <v>235.02813839999999</v>
      </c>
      <c r="O42">
        <v>11.96288397</v>
      </c>
      <c r="P42">
        <v>8.6364094710000003</v>
      </c>
      <c r="Q42">
        <v>4.5685107220000001</v>
      </c>
      <c r="R42">
        <v>382.65983349999999</v>
      </c>
      <c r="S42">
        <v>1.368394243</v>
      </c>
      <c r="T42">
        <v>12471.74958</v>
      </c>
    </row>
    <row r="43" spans="1:20">
      <c r="A43">
        <v>217</v>
      </c>
      <c r="B43" t="s">
        <v>156</v>
      </c>
      <c r="C43" t="s">
        <v>157</v>
      </c>
      <c r="D43">
        <v>68</v>
      </c>
      <c r="E43">
        <v>3</v>
      </c>
      <c r="F43" t="s">
        <v>158</v>
      </c>
      <c r="G43" t="s">
        <v>33</v>
      </c>
      <c r="H43">
        <v>3.96821526</v>
      </c>
      <c r="I43" t="s">
        <v>34</v>
      </c>
      <c r="J43">
        <v>8.9982210909999996</v>
      </c>
      <c r="K43" t="s">
        <v>35</v>
      </c>
      <c r="L43">
        <v>86.394456869999999</v>
      </c>
      <c r="M43" t="s">
        <v>35</v>
      </c>
      <c r="N43">
        <v>262.22217660000001</v>
      </c>
      <c r="O43">
        <v>6.9505034109999997</v>
      </c>
      <c r="P43">
        <v>19.189718060000001</v>
      </c>
      <c r="Q43">
        <v>2.6589828409999998</v>
      </c>
      <c r="R43">
        <v>466.14271170000001</v>
      </c>
      <c r="S43">
        <v>1.5864774109999999</v>
      </c>
      <c r="T43">
        <v>12960.21579</v>
      </c>
    </row>
    <row r="44" spans="1:20">
      <c r="A44">
        <v>210</v>
      </c>
      <c r="B44" t="s">
        <v>135</v>
      </c>
      <c r="C44" t="s">
        <v>136</v>
      </c>
      <c r="D44">
        <v>47</v>
      </c>
      <c r="E44">
        <v>3</v>
      </c>
      <c r="F44" t="s">
        <v>137</v>
      </c>
      <c r="G44" t="s">
        <v>33</v>
      </c>
      <c r="H44">
        <v>10.645415270000001</v>
      </c>
      <c r="I44" t="s">
        <v>34</v>
      </c>
      <c r="J44">
        <v>10.553437580000001</v>
      </c>
      <c r="K44">
        <v>180.25763069999999</v>
      </c>
      <c r="L44">
        <v>68.358234060000001</v>
      </c>
      <c r="M44" t="s">
        <v>35</v>
      </c>
      <c r="N44">
        <v>279.6283851</v>
      </c>
      <c r="O44">
        <v>16.321337920000001</v>
      </c>
      <c r="P44">
        <v>15.039950709999999</v>
      </c>
      <c r="Q44">
        <v>8.1509388919999992</v>
      </c>
      <c r="R44">
        <v>493.59435079999997</v>
      </c>
      <c r="S44">
        <v>1.2293272799999999</v>
      </c>
      <c r="T44">
        <v>12998.88767</v>
      </c>
    </row>
    <row r="45" spans="1:20">
      <c r="A45">
        <v>254</v>
      </c>
      <c r="B45" t="s">
        <v>267</v>
      </c>
      <c r="C45" t="s">
        <v>268</v>
      </c>
      <c r="D45">
        <v>111</v>
      </c>
      <c r="E45">
        <v>3</v>
      </c>
      <c r="F45" t="s">
        <v>269</v>
      </c>
      <c r="G45" t="s">
        <v>33</v>
      </c>
      <c r="H45">
        <v>6.5548813810000004</v>
      </c>
      <c r="I45" t="s">
        <v>34</v>
      </c>
      <c r="J45">
        <v>12.701025169999999</v>
      </c>
      <c r="K45" t="s">
        <v>35</v>
      </c>
      <c r="L45">
        <v>81.215173649999997</v>
      </c>
      <c r="M45" t="s">
        <v>35</v>
      </c>
      <c r="N45">
        <v>229.29594090000001</v>
      </c>
      <c r="O45">
        <v>7.8870770889999999</v>
      </c>
      <c r="P45">
        <v>15.08099912</v>
      </c>
      <c r="Q45">
        <v>4.7789186020000001</v>
      </c>
      <c r="R45">
        <v>441.77220670000003</v>
      </c>
      <c r="S45">
        <v>1.2036493580000001</v>
      </c>
      <c r="T45">
        <v>12416.60476</v>
      </c>
    </row>
    <row r="46" spans="1:20">
      <c r="A46">
        <v>162</v>
      </c>
      <c r="B46" t="s">
        <v>471</v>
      </c>
      <c r="C46" t="s">
        <v>472</v>
      </c>
      <c r="D46">
        <v>222</v>
      </c>
      <c r="E46">
        <v>2</v>
      </c>
      <c r="F46" t="s">
        <v>473</v>
      </c>
      <c r="G46" t="s">
        <v>33</v>
      </c>
      <c r="H46">
        <v>5.3024414100000001</v>
      </c>
      <c r="I46" t="s">
        <v>34</v>
      </c>
      <c r="J46">
        <v>7.5763545309999998</v>
      </c>
      <c r="K46">
        <v>197.21342709999999</v>
      </c>
      <c r="L46">
        <v>64.182145879999993</v>
      </c>
      <c r="M46" t="s">
        <v>35</v>
      </c>
      <c r="N46">
        <v>346.6580697</v>
      </c>
      <c r="O46">
        <v>7.093967299</v>
      </c>
      <c r="P46">
        <v>9.7432261990000004</v>
      </c>
      <c r="Q46">
        <v>2.760076593</v>
      </c>
      <c r="R46">
        <v>424.76633370000002</v>
      </c>
      <c r="S46">
        <v>1.19651872</v>
      </c>
      <c r="T46">
        <v>16266.954379999999</v>
      </c>
    </row>
    <row r="47" spans="1:20">
      <c r="A47">
        <v>46</v>
      </c>
      <c r="B47" t="s">
        <v>651</v>
      </c>
      <c r="C47" t="s">
        <v>652</v>
      </c>
      <c r="D47">
        <v>318</v>
      </c>
      <c r="E47">
        <v>1</v>
      </c>
      <c r="F47" t="s">
        <v>653</v>
      </c>
      <c r="G47" t="s">
        <v>33</v>
      </c>
      <c r="H47">
        <v>15.94668321</v>
      </c>
      <c r="I47">
        <v>6.8954535359999998</v>
      </c>
      <c r="J47">
        <v>19.663361009999999</v>
      </c>
      <c r="K47">
        <v>187.07304310000001</v>
      </c>
      <c r="L47" t="s">
        <v>35</v>
      </c>
      <c r="M47" t="s">
        <v>35</v>
      </c>
      <c r="N47">
        <v>440.91393570000002</v>
      </c>
      <c r="O47">
        <v>11.545307279999999</v>
      </c>
      <c r="P47">
        <v>9.7613532910000007</v>
      </c>
      <c r="Q47">
        <v>6.33677153</v>
      </c>
      <c r="R47">
        <v>623.27216369999996</v>
      </c>
      <c r="S47">
        <v>3.2731643689999999</v>
      </c>
      <c r="T47">
        <v>14580.49273</v>
      </c>
    </row>
    <row r="48" spans="1:20">
      <c r="A48">
        <v>191</v>
      </c>
      <c r="B48" t="s">
        <v>78</v>
      </c>
      <c r="C48" t="s">
        <v>79</v>
      </c>
      <c r="D48">
        <v>24</v>
      </c>
      <c r="E48">
        <v>3</v>
      </c>
      <c r="F48" t="s">
        <v>80</v>
      </c>
      <c r="G48" t="s">
        <v>33</v>
      </c>
      <c r="H48">
        <v>13.584303930000001</v>
      </c>
      <c r="I48" t="s">
        <v>34</v>
      </c>
      <c r="J48">
        <v>9.891883086</v>
      </c>
      <c r="K48" t="s">
        <v>35</v>
      </c>
      <c r="L48">
        <v>40.03136473</v>
      </c>
      <c r="M48" t="s">
        <v>35</v>
      </c>
      <c r="N48">
        <v>225.40621340000001</v>
      </c>
      <c r="O48">
        <v>7.7772106619999999</v>
      </c>
      <c r="P48">
        <v>13.83973479</v>
      </c>
      <c r="Q48">
        <v>3.6309683879999999</v>
      </c>
      <c r="R48">
        <v>362.1748963</v>
      </c>
      <c r="S48">
        <v>1.0203746819999999</v>
      </c>
      <c r="T48">
        <v>12867.030059999999</v>
      </c>
    </row>
    <row r="49" spans="1:20">
      <c r="A49">
        <v>160</v>
      </c>
      <c r="B49" t="s">
        <v>465</v>
      </c>
      <c r="C49" t="s">
        <v>466</v>
      </c>
      <c r="D49">
        <v>220</v>
      </c>
      <c r="E49">
        <v>2</v>
      </c>
      <c r="F49" t="s">
        <v>467</v>
      </c>
      <c r="G49" t="s">
        <v>33</v>
      </c>
      <c r="H49">
        <v>5.4223687639999998</v>
      </c>
      <c r="I49" t="s">
        <v>34</v>
      </c>
      <c r="J49">
        <v>6.0859184830000004</v>
      </c>
      <c r="K49">
        <v>61.833216909999997</v>
      </c>
      <c r="L49">
        <v>46.965343189999999</v>
      </c>
      <c r="M49" t="s">
        <v>35</v>
      </c>
      <c r="N49">
        <v>244.5249823</v>
      </c>
      <c r="O49">
        <v>8.1302783739999995</v>
      </c>
      <c r="P49">
        <v>13.47133429</v>
      </c>
      <c r="Q49">
        <v>3.3887736980000001</v>
      </c>
      <c r="R49">
        <v>341.9013544</v>
      </c>
      <c r="S49">
        <v>1.176521054</v>
      </c>
      <c r="T49">
        <v>10681.621639999999</v>
      </c>
    </row>
    <row r="50" spans="1:20">
      <c r="A50">
        <v>178</v>
      </c>
      <c r="B50" t="s">
        <v>39</v>
      </c>
      <c r="C50" t="s">
        <v>40</v>
      </c>
      <c r="D50">
        <v>9</v>
      </c>
      <c r="E50">
        <v>3</v>
      </c>
      <c r="F50" t="s">
        <v>41</v>
      </c>
      <c r="G50" t="s">
        <v>33</v>
      </c>
      <c r="H50">
        <v>5.5986554599999998</v>
      </c>
      <c r="I50" t="s">
        <v>34</v>
      </c>
      <c r="J50">
        <v>6.9741317189999998</v>
      </c>
      <c r="K50" t="s">
        <v>35</v>
      </c>
      <c r="L50">
        <v>67.643051209999996</v>
      </c>
      <c r="M50" t="s">
        <v>35</v>
      </c>
      <c r="N50">
        <v>435.43098859999998</v>
      </c>
      <c r="O50">
        <v>8.9876150179999996</v>
      </c>
      <c r="P50">
        <v>8.3212318360000008</v>
      </c>
      <c r="Q50">
        <v>3.064036717</v>
      </c>
      <c r="R50">
        <v>405.26343300000002</v>
      </c>
      <c r="S50">
        <v>0.67215107600000001</v>
      </c>
      <c r="T50">
        <v>15302.11476</v>
      </c>
    </row>
    <row r="51" spans="1:20">
      <c r="A51">
        <v>132</v>
      </c>
      <c r="B51" t="s">
        <v>381</v>
      </c>
      <c r="C51" t="s">
        <v>382</v>
      </c>
      <c r="D51">
        <v>169</v>
      </c>
      <c r="E51">
        <v>2</v>
      </c>
      <c r="F51" t="s">
        <v>383</v>
      </c>
      <c r="G51" t="s">
        <v>33</v>
      </c>
      <c r="H51">
        <v>6.3797175370000003</v>
      </c>
      <c r="I51" t="s">
        <v>34</v>
      </c>
      <c r="J51">
        <v>7.0423643939999998</v>
      </c>
      <c r="K51">
        <v>143.54915700000001</v>
      </c>
      <c r="L51">
        <v>54.545738550000003</v>
      </c>
      <c r="M51" t="s">
        <v>35</v>
      </c>
      <c r="N51">
        <v>216.06692820000001</v>
      </c>
      <c r="O51">
        <v>9.8335807020000008</v>
      </c>
      <c r="P51">
        <v>16.698294409999999</v>
      </c>
      <c r="Q51">
        <v>4.2503920930000003</v>
      </c>
      <c r="R51">
        <v>411.8532323</v>
      </c>
      <c r="S51">
        <v>1.57434206</v>
      </c>
      <c r="T51">
        <v>15024.867770000001</v>
      </c>
    </row>
    <row r="52" spans="1:20">
      <c r="A52">
        <v>218</v>
      </c>
      <c r="B52" t="s">
        <v>159</v>
      </c>
      <c r="C52" t="s">
        <v>160</v>
      </c>
      <c r="D52">
        <v>69</v>
      </c>
      <c r="E52">
        <v>3</v>
      </c>
      <c r="F52" t="s">
        <v>161</v>
      </c>
      <c r="G52" t="s">
        <v>33</v>
      </c>
      <c r="H52">
        <v>3.8416105470000002</v>
      </c>
      <c r="I52" t="s">
        <v>34</v>
      </c>
      <c r="J52">
        <v>6.456874622</v>
      </c>
      <c r="K52" t="s">
        <v>35</v>
      </c>
      <c r="L52">
        <v>69.179506689999997</v>
      </c>
      <c r="M52" t="s">
        <v>35</v>
      </c>
      <c r="N52">
        <v>300.86505210000001</v>
      </c>
      <c r="O52">
        <v>5.8712107959999997</v>
      </c>
      <c r="P52">
        <v>24.974439369999999</v>
      </c>
      <c r="Q52">
        <v>2.1176275429999998</v>
      </c>
      <c r="R52">
        <v>342.10172820000003</v>
      </c>
      <c r="S52">
        <v>1.5282233359999999</v>
      </c>
      <c r="T52">
        <v>8618.2757930000007</v>
      </c>
    </row>
    <row r="53" spans="1:20">
      <c r="A53">
        <v>61</v>
      </c>
      <c r="B53" t="s">
        <v>696</v>
      </c>
      <c r="C53" t="s">
        <v>697</v>
      </c>
      <c r="D53">
        <v>338</v>
      </c>
      <c r="E53">
        <v>1</v>
      </c>
      <c r="F53" t="s">
        <v>698</v>
      </c>
      <c r="G53" t="s">
        <v>33</v>
      </c>
      <c r="H53">
        <v>6.0288775000000001</v>
      </c>
      <c r="I53" t="s">
        <v>34</v>
      </c>
      <c r="J53">
        <v>3.8084949290000001</v>
      </c>
      <c r="K53">
        <v>188.53314929999999</v>
      </c>
      <c r="L53">
        <v>49.418430919999999</v>
      </c>
      <c r="M53" t="s">
        <v>35</v>
      </c>
      <c r="N53">
        <v>93.499792600000006</v>
      </c>
      <c r="O53">
        <v>4.8595046179999999</v>
      </c>
      <c r="P53">
        <v>7.0677833970000004</v>
      </c>
      <c r="Q53">
        <v>2.4612571399999998</v>
      </c>
      <c r="R53">
        <v>233.85697099999999</v>
      </c>
      <c r="S53">
        <v>1.325359435</v>
      </c>
      <c r="T53">
        <v>7920.6276129999997</v>
      </c>
    </row>
    <row r="54" spans="1:20">
      <c r="A54">
        <v>125</v>
      </c>
      <c r="B54" t="s">
        <v>360</v>
      </c>
      <c r="C54" t="s">
        <v>361</v>
      </c>
      <c r="D54">
        <v>160</v>
      </c>
      <c r="E54">
        <v>2</v>
      </c>
      <c r="F54" t="s">
        <v>362</v>
      </c>
      <c r="G54" t="s">
        <v>33</v>
      </c>
      <c r="H54">
        <v>5.0592109519999999</v>
      </c>
      <c r="I54" t="s">
        <v>34</v>
      </c>
      <c r="J54">
        <v>5.7274848990000002</v>
      </c>
      <c r="K54">
        <v>105.36669500000001</v>
      </c>
      <c r="L54">
        <v>59.419526480000002</v>
      </c>
      <c r="M54">
        <v>4017.0455160000001</v>
      </c>
      <c r="N54">
        <v>140.93446299999999</v>
      </c>
      <c r="O54">
        <v>6.0655577879999996</v>
      </c>
      <c r="P54">
        <v>18.06320646</v>
      </c>
      <c r="Q54">
        <v>1.6009309110000001</v>
      </c>
      <c r="R54">
        <v>336.2784249</v>
      </c>
      <c r="S54">
        <v>1.9388159460000001</v>
      </c>
      <c r="T54">
        <v>7323.5476870000002</v>
      </c>
    </row>
    <row r="55" spans="1:20">
      <c r="A55">
        <v>49</v>
      </c>
      <c r="B55" t="s">
        <v>660</v>
      </c>
      <c r="C55" t="s">
        <v>661</v>
      </c>
      <c r="D55">
        <v>321</v>
      </c>
      <c r="E55">
        <v>1</v>
      </c>
      <c r="F55" t="s">
        <v>662</v>
      </c>
      <c r="G55" t="s">
        <v>33</v>
      </c>
      <c r="H55">
        <v>11.073956799999999</v>
      </c>
      <c r="I55" t="s">
        <v>34</v>
      </c>
      <c r="J55">
        <v>8.2627060050000001</v>
      </c>
      <c r="K55">
        <v>145.5811071</v>
      </c>
      <c r="L55">
        <v>58.245302850000002</v>
      </c>
      <c r="M55" t="s">
        <v>35</v>
      </c>
      <c r="N55">
        <v>176.10294450000001</v>
      </c>
      <c r="O55">
        <v>9.8656645659999995</v>
      </c>
      <c r="P55">
        <v>21.20335378</v>
      </c>
      <c r="Q55">
        <v>4.394734648</v>
      </c>
      <c r="R55">
        <v>338.23805479999999</v>
      </c>
      <c r="S55">
        <v>1.1851885579999999</v>
      </c>
      <c r="T55">
        <v>11524.17035</v>
      </c>
    </row>
    <row r="56" spans="1:20">
      <c r="A56">
        <v>135</v>
      </c>
      <c r="B56" t="s">
        <v>390</v>
      </c>
      <c r="C56" t="s">
        <v>391</v>
      </c>
      <c r="D56">
        <v>172</v>
      </c>
      <c r="E56">
        <v>2</v>
      </c>
      <c r="F56" t="s">
        <v>392</v>
      </c>
      <c r="G56" t="s">
        <v>33</v>
      </c>
      <c r="H56">
        <v>8.172217775</v>
      </c>
      <c r="I56" t="s">
        <v>34</v>
      </c>
      <c r="J56">
        <v>9.5961409569999994</v>
      </c>
      <c r="K56">
        <v>187.19036740000001</v>
      </c>
      <c r="L56">
        <v>111.1924609</v>
      </c>
      <c r="M56" t="s">
        <v>35</v>
      </c>
      <c r="N56">
        <v>301.8412841</v>
      </c>
      <c r="O56">
        <v>8.6821076440000002</v>
      </c>
      <c r="P56">
        <v>33.04762607</v>
      </c>
      <c r="Q56">
        <v>5.1484135750000002</v>
      </c>
      <c r="R56">
        <v>367.52601870000001</v>
      </c>
      <c r="S56">
        <v>1.651655638</v>
      </c>
      <c r="T56">
        <v>10331.34498</v>
      </c>
    </row>
    <row r="57" spans="1:20">
      <c r="A57">
        <v>29</v>
      </c>
      <c r="B57" t="s">
        <v>600</v>
      </c>
      <c r="C57" t="s">
        <v>601</v>
      </c>
      <c r="D57">
        <v>285</v>
      </c>
      <c r="E57">
        <v>1</v>
      </c>
      <c r="F57" t="s">
        <v>602</v>
      </c>
      <c r="G57" t="s">
        <v>33</v>
      </c>
      <c r="H57">
        <v>8.5078965679999996</v>
      </c>
      <c r="I57" t="s">
        <v>34</v>
      </c>
      <c r="J57">
        <v>6.069815009</v>
      </c>
      <c r="K57">
        <v>186.03805550000001</v>
      </c>
      <c r="L57">
        <v>71.737063620000001</v>
      </c>
      <c r="M57">
        <v>4899.2850879999996</v>
      </c>
      <c r="N57">
        <v>753.57937019999997</v>
      </c>
      <c r="O57">
        <v>5.7502580879999998</v>
      </c>
      <c r="P57">
        <v>30.432261409999999</v>
      </c>
      <c r="Q57">
        <v>2.1262207659999999</v>
      </c>
      <c r="R57">
        <v>437.8826689</v>
      </c>
      <c r="S57">
        <v>2.1532879789999999</v>
      </c>
      <c r="T57">
        <v>12061.12328</v>
      </c>
    </row>
    <row r="58" spans="1:20">
      <c r="A58">
        <v>13</v>
      </c>
      <c r="B58" t="s">
        <v>552</v>
      </c>
      <c r="C58" t="s">
        <v>553</v>
      </c>
      <c r="D58">
        <v>267</v>
      </c>
      <c r="E58">
        <v>1</v>
      </c>
      <c r="F58" t="s">
        <v>554</v>
      </c>
      <c r="G58" t="s">
        <v>33</v>
      </c>
      <c r="H58">
        <v>11.92184144</v>
      </c>
      <c r="I58" t="s">
        <v>34</v>
      </c>
      <c r="J58">
        <v>9.5301141420000004</v>
      </c>
      <c r="K58" t="s">
        <v>35</v>
      </c>
      <c r="L58">
        <v>100.0811908</v>
      </c>
      <c r="M58" t="s">
        <v>35</v>
      </c>
      <c r="N58">
        <v>675.72694139999999</v>
      </c>
      <c r="O58">
        <v>8.0772210330000007</v>
      </c>
      <c r="P58">
        <v>18.311309659999999</v>
      </c>
      <c r="Q58">
        <v>3.2709127609999999</v>
      </c>
      <c r="R58">
        <v>423.6371762</v>
      </c>
      <c r="S58">
        <v>2.137539479</v>
      </c>
      <c r="T58">
        <v>7617.0195480000002</v>
      </c>
    </row>
    <row r="59" spans="1:20">
      <c r="A59">
        <v>6</v>
      </c>
      <c r="B59" t="s">
        <v>531</v>
      </c>
      <c r="C59" t="s">
        <v>532</v>
      </c>
      <c r="D59">
        <v>258</v>
      </c>
      <c r="E59">
        <v>1</v>
      </c>
      <c r="F59" t="s">
        <v>533</v>
      </c>
      <c r="G59" t="s">
        <v>33</v>
      </c>
      <c r="H59">
        <v>4.1799160190000002</v>
      </c>
      <c r="I59" t="s">
        <v>34</v>
      </c>
      <c r="J59">
        <v>6.1921874609999996</v>
      </c>
      <c r="K59">
        <v>114.97724940000001</v>
      </c>
      <c r="L59">
        <v>58.453195260000001</v>
      </c>
      <c r="M59" t="s">
        <v>35</v>
      </c>
      <c r="N59">
        <v>230.11962729999999</v>
      </c>
      <c r="O59">
        <v>7.6990510739999998</v>
      </c>
      <c r="P59">
        <v>11.11008492</v>
      </c>
      <c r="Q59">
        <v>3.0412358589999999</v>
      </c>
      <c r="R59">
        <v>414.78132399999998</v>
      </c>
      <c r="S59">
        <v>0.83152047600000001</v>
      </c>
      <c r="T59">
        <v>9540.3707680000007</v>
      </c>
    </row>
    <row r="60" spans="1:20">
      <c r="A60">
        <v>39</v>
      </c>
      <c r="B60" t="s">
        <v>630</v>
      </c>
      <c r="C60" t="s">
        <v>631</v>
      </c>
      <c r="D60">
        <v>297</v>
      </c>
      <c r="E60">
        <v>1</v>
      </c>
      <c r="F60" t="s">
        <v>632</v>
      </c>
      <c r="G60" t="s">
        <v>33</v>
      </c>
      <c r="H60">
        <v>13.46722772</v>
      </c>
      <c r="I60" t="s">
        <v>34</v>
      </c>
      <c r="J60">
        <v>4.8604305549999998</v>
      </c>
      <c r="K60">
        <v>163.91031659999999</v>
      </c>
      <c r="L60">
        <v>82.626726300000001</v>
      </c>
      <c r="M60" t="s">
        <v>35</v>
      </c>
      <c r="N60">
        <v>216.9963511</v>
      </c>
      <c r="O60">
        <v>9.7529016360000007</v>
      </c>
      <c r="P60">
        <v>15.57948107</v>
      </c>
      <c r="Q60">
        <v>2.4604093900000001</v>
      </c>
      <c r="R60">
        <v>500.55035220000002</v>
      </c>
      <c r="S60">
        <v>2.0022617170000001</v>
      </c>
      <c r="T60">
        <v>9749.6927130000004</v>
      </c>
    </row>
    <row r="61" spans="1:20">
      <c r="A61">
        <v>74</v>
      </c>
      <c r="B61" t="s">
        <v>735</v>
      </c>
      <c r="C61" t="s">
        <v>736</v>
      </c>
      <c r="D61">
        <v>353</v>
      </c>
      <c r="E61">
        <v>1</v>
      </c>
      <c r="F61" t="s">
        <v>737</v>
      </c>
      <c r="G61" t="s">
        <v>33</v>
      </c>
      <c r="H61">
        <v>7.7167899200000001</v>
      </c>
      <c r="I61" t="s">
        <v>34</v>
      </c>
      <c r="J61">
        <v>11.61702083</v>
      </c>
      <c r="K61">
        <v>101.9346542</v>
      </c>
      <c r="L61">
        <v>67.57128179</v>
      </c>
      <c r="M61">
        <v>4983.6096219999999</v>
      </c>
      <c r="N61">
        <v>267.16696710000002</v>
      </c>
      <c r="O61">
        <v>8.6982043240000007</v>
      </c>
      <c r="P61">
        <v>10.91641751</v>
      </c>
      <c r="Q61">
        <v>6.5330125319999999</v>
      </c>
      <c r="R61">
        <v>381.257158</v>
      </c>
      <c r="S61">
        <v>1.3703849189999999</v>
      </c>
      <c r="T61">
        <v>9958.0245309999991</v>
      </c>
    </row>
    <row r="62" spans="1:20">
      <c r="A62">
        <v>249</v>
      </c>
      <c r="B62" t="s">
        <v>252</v>
      </c>
      <c r="C62" t="s">
        <v>253</v>
      </c>
      <c r="D62">
        <v>106</v>
      </c>
      <c r="E62">
        <v>3</v>
      </c>
      <c r="F62" t="s">
        <v>254</v>
      </c>
      <c r="G62" t="s">
        <v>33</v>
      </c>
      <c r="H62">
        <v>12.449931060000001</v>
      </c>
      <c r="I62" t="s">
        <v>34</v>
      </c>
      <c r="J62">
        <v>7.3420819269999997</v>
      </c>
      <c r="K62">
        <v>136.30866689999999</v>
      </c>
      <c r="L62">
        <v>71.59995361</v>
      </c>
      <c r="M62" t="s">
        <v>35</v>
      </c>
      <c r="N62">
        <v>510.50118739999999</v>
      </c>
      <c r="O62">
        <v>11.99288233</v>
      </c>
      <c r="P62">
        <v>19.70690943</v>
      </c>
      <c r="Q62">
        <v>4.5716904899999999</v>
      </c>
      <c r="R62">
        <v>405.22767040000002</v>
      </c>
      <c r="S62">
        <v>1.2921532920000001</v>
      </c>
      <c r="T62">
        <v>7598.8264310000004</v>
      </c>
    </row>
    <row r="63" spans="1:20">
      <c r="A63">
        <v>223</v>
      </c>
      <c r="B63" t="s">
        <v>174</v>
      </c>
      <c r="C63" t="s">
        <v>175</v>
      </c>
      <c r="D63">
        <v>74</v>
      </c>
      <c r="E63">
        <v>3</v>
      </c>
      <c r="F63" t="s">
        <v>176</v>
      </c>
      <c r="G63" t="s">
        <v>33</v>
      </c>
      <c r="H63">
        <v>2.648518412</v>
      </c>
      <c r="I63" t="s">
        <v>34</v>
      </c>
      <c r="J63">
        <v>5.761712964</v>
      </c>
      <c r="K63" t="s">
        <v>35</v>
      </c>
      <c r="L63">
        <v>55.037263619999997</v>
      </c>
      <c r="M63">
        <v>4233.0302229999998</v>
      </c>
      <c r="N63">
        <v>122.5620444</v>
      </c>
      <c r="O63">
        <v>8.8563772679999992</v>
      </c>
      <c r="P63">
        <v>26.203176930000001</v>
      </c>
      <c r="Q63">
        <v>1.411222207</v>
      </c>
      <c r="R63">
        <v>416.50039409999999</v>
      </c>
      <c r="S63">
        <v>1.6736237979999999</v>
      </c>
      <c r="T63">
        <v>7893.9385599999996</v>
      </c>
    </row>
    <row r="64" spans="1:20">
      <c r="A64">
        <v>40</v>
      </c>
      <c r="B64" t="s">
        <v>633</v>
      </c>
      <c r="C64" t="s">
        <v>634</v>
      </c>
      <c r="D64">
        <v>312</v>
      </c>
      <c r="E64">
        <v>1</v>
      </c>
      <c r="F64" t="s">
        <v>635</v>
      </c>
      <c r="G64" t="s">
        <v>33</v>
      </c>
      <c r="H64">
        <v>8.7957654180000002</v>
      </c>
      <c r="I64" t="s">
        <v>34</v>
      </c>
      <c r="J64">
        <v>13.765039939999999</v>
      </c>
      <c r="K64">
        <v>149.14460270000001</v>
      </c>
      <c r="L64">
        <v>69.021559960000005</v>
      </c>
      <c r="M64" t="s">
        <v>35</v>
      </c>
      <c r="N64">
        <v>401.95157060000003</v>
      </c>
      <c r="O64">
        <v>14.25314663</v>
      </c>
      <c r="P64">
        <v>16.3529719</v>
      </c>
      <c r="Q64">
        <v>5.8692844959999997</v>
      </c>
      <c r="R64">
        <v>550.98922649999997</v>
      </c>
      <c r="S64">
        <v>0.97382943899999996</v>
      </c>
      <c r="T64">
        <v>14519.849050000001</v>
      </c>
    </row>
    <row r="65" spans="1:20">
      <c r="A65">
        <v>55</v>
      </c>
      <c r="B65" t="s">
        <v>678</v>
      </c>
      <c r="C65" t="s">
        <v>679</v>
      </c>
      <c r="D65">
        <v>329</v>
      </c>
      <c r="E65">
        <v>1</v>
      </c>
      <c r="F65" t="s">
        <v>680</v>
      </c>
      <c r="G65" t="s">
        <v>33</v>
      </c>
      <c r="H65">
        <v>3.8126776069999999</v>
      </c>
      <c r="I65" t="s">
        <v>34</v>
      </c>
      <c r="J65">
        <v>9.5106427930000006</v>
      </c>
      <c r="K65">
        <v>158.6372748</v>
      </c>
      <c r="L65">
        <v>31.49344387</v>
      </c>
      <c r="M65" t="s">
        <v>35</v>
      </c>
      <c r="N65">
        <v>223.06926569999999</v>
      </c>
      <c r="O65">
        <v>4.5172762080000002</v>
      </c>
      <c r="P65">
        <v>16.081421349999999</v>
      </c>
      <c r="Q65">
        <v>3.20809203</v>
      </c>
      <c r="R65">
        <v>269.07243140000003</v>
      </c>
      <c r="S65">
        <v>0.81292520199999996</v>
      </c>
      <c r="T65">
        <v>10713.348400000001</v>
      </c>
    </row>
    <row r="66" spans="1:20">
      <c r="A66">
        <v>224</v>
      </c>
      <c r="B66" t="s">
        <v>177</v>
      </c>
      <c r="C66" t="s">
        <v>178</v>
      </c>
      <c r="D66">
        <v>75</v>
      </c>
      <c r="E66">
        <v>3</v>
      </c>
      <c r="F66" t="s">
        <v>179</v>
      </c>
      <c r="G66" t="s">
        <v>33</v>
      </c>
      <c r="H66">
        <v>3.6500806899999998</v>
      </c>
      <c r="I66" t="s">
        <v>34</v>
      </c>
      <c r="J66">
        <v>5.5144173299999997</v>
      </c>
      <c r="K66" t="s">
        <v>35</v>
      </c>
      <c r="L66">
        <v>62.659016479999998</v>
      </c>
      <c r="M66" t="s">
        <v>35</v>
      </c>
      <c r="N66">
        <v>243.56147619999999</v>
      </c>
      <c r="O66">
        <v>8.990953245</v>
      </c>
      <c r="P66">
        <v>22.24318835</v>
      </c>
      <c r="Q66">
        <v>1.306528583</v>
      </c>
      <c r="R66">
        <v>458.1405709</v>
      </c>
      <c r="S66">
        <v>1.7565826499999999</v>
      </c>
      <c r="T66">
        <v>9436.3491190000004</v>
      </c>
    </row>
    <row r="67" spans="1:20">
      <c r="A67">
        <v>153</v>
      </c>
      <c r="B67" t="s">
        <v>444</v>
      </c>
      <c r="C67" t="s">
        <v>445</v>
      </c>
      <c r="D67">
        <v>206</v>
      </c>
      <c r="E67">
        <v>2</v>
      </c>
      <c r="F67" t="s">
        <v>446</v>
      </c>
      <c r="G67" t="s">
        <v>33</v>
      </c>
      <c r="H67">
        <v>5.1632290789999997</v>
      </c>
      <c r="I67" t="s">
        <v>34</v>
      </c>
      <c r="J67">
        <v>6.6968101080000002</v>
      </c>
      <c r="K67" t="s">
        <v>35</v>
      </c>
      <c r="L67">
        <v>56.040712120000002</v>
      </c>
      <c r="M67" t="s">
        <v>35</v>
      </c>
      <c r="N67">
        <v>229.3287641</v>
      </c>
      <c r="O67">
        <v>5.6620237250000001</v>
      </c>
      <c r="P67">
        <v>22.416742540000001</v>
      </c>
      <c r="Q67">
        <v>1.800654518</v>
      </c>
      <c r="R67">
        <v>339.7403521</v>
      </c>
      <c r="S67">
        <v>1.00992372</v>
      </c>
      <c r="T67">
        <v>9880.5502450000004</v>
      </c>
    </row>
    <row r="68" spans="1:20">
      <c r="A68">
        <v>120</v>
      </c>
      <c r="B68" t="s">
        <v>345</v>
      </c>
      <c r="C68" t="s">
        <v>346</v>
      </c>
      <c r="D68">
        <v>155</v>
      </c>
      <c r="E68">
        <v>2</v>
      </c>
      <c r="F68" t="s">
        <v>347</v>
      </c>
      <c r="G68" t="s">
        <v>33</v>
      </c>
      <c r="H68">
        <v>8.0549487519999996</v>
      </c>
      <c r="I68" t="s">
        <v>34</v>
      </c>
      <c r="J68">
        <v>3.246313212</v>
      </c>
      <c r="K68" t="s">
        <v>35</v>
      </c>
      <c r="L68">
        <v>52.661265569999998</v>
      </c>
      <c r="M68">
        <v>3202.840173</v>
      </c>
      <c r="N68">
        <v>406.04995050000002</v>
      </c>
      <c r="O68">
        <v>5.9744270459999997</v>
      </c>
      <c r="P68">
        <v>8.0358932250000006</v>
      </c>
      <c r="Q68">
        <v>1.8797172559999999</v>
      </c>
      <c r="R68">
        <v>301.82164260000002</v>
      </c>
      <c r="S68">
        <v>0.77186173700000005</v>
      </c>
      <c r="T68">
        <v>8336.5948970000009</v>
      </c>
    </row>
    <row r="69" spans="1:20">
      <c r="A69">
        <v>100</v>
      </c>
      <c r="B69" t="s">
        <v>285</v>
      </c>
      <c r="C69" t="s">
        <v>286</v>
      </c>
      <c r="D69">
        <v>131</v>
      </c>
      <c r="E69">
        <v>2</v>
      </c>
      <c r="F69" t="s">
        <v>287</v>
      </c>
      <c r="G69" t="s">
        <v>33</v>
      </c>
      <c r="H69">
        <v>6.0532374750000004</v>
      </c>
      <c r="I69" t="s">
        <v>34</v>
      </c>
      <c r="J69">
        <v>8.5265529890000007</v>
      </c>
      <c r="K69">
        <v>157.81936769999999</v>
      </c>
      <c r="L69">
        <v>69.425126680000005</v>
      </c>
      <c r="M69" t="s">
        <v>35</v>
      </c>
      <c r="N69">
        <v>211.49313760000001</v>
      </c>
      <c r="O69">
        <v>14.6503367</v>
      </c>
      <c r="P69">
        <v>11.845672220000001</v>
      </c>
      <c r="Q69">
        <v>5.3123567789999999</v>
      </c>
      <c r="R69">
        <v>362.6285939</v>
      </c>
      <c r="S69">
        <v>1.487702756</v>
      </c>
      <c r="T69">
        <v>14137.712890000001</v>
      </c>
    </row>
    <row r="70" spans="1:20">
      <c r="A70">
        <v>179</v>
      </c>
      <c r="B70" t="s">
        <v>42</v>
      </c>
      <c r="C70" t="s">
        <v>43</v>
      </c>
      <c r="D70">
        <v>10</v>
      </c>
      <c r="E70">
        <v>3</v>
      </c>
      <c r="F70" t="s">
        <v>44</v>
      </c>
      <c r="G70" t="s">
        <v>33</v>
      </c>
      <c r="H70">
        <v>9.1183583200000005</v>
      </c>
      <c r="I70" t="s">
        <v>34</v>
      </c>
      <c r="J70">
        <v>7.8103616010000003</v>
      </c>
      <c r="K70" t="s">
        <v>35</v>
      </c>
      <c r="L70">
        <v>58.797513530000003</v>
      </c>
      <c r="M70">
        <v>4096.6758179999997</v>
      </c>
      <c r="N70">
        <v>337.53869509999998</v>
      </c>
      <c r="O70">
        <v>9.1737583259999997</v>
      </c>
      <c r="P70">
        <v>12.93837824</v>
      </c>
      <c r="Q70">
        <v>3.9817749999999998</v>
      </c>
      <c r="R70">
        <v>354.42651460000002</v>
      </c>
      <c r="S70">
        <v>0.63680935100000002</v>
      </c>
      <c r="T70">
        <v>13532.799510000001</v>
      </c>
    </row>
    <row r="71" spans="1:20">
      <c r="A71">
        <v>60</v>
      </c>
      <c r="B71" t="s">
        <v>693</v>
      </c>
      <c r="C71" t="s">
        <v>694</v>
      </c>
      <c r="D71">
        <v>337</v>
      </c>
      <c r="E71">
        <v>1</v>
      </c>
      <c r="F71" t="s">
        <v>695</v>
      </c>
      <c r="G71" t="s">
        <v>33</v>
      </c>
      <c r="H71">
        <v>9.8090088350000002</v>
      </c>
      <c r="I71" t="s">
        <v>34</v>
      </c>
      <c r="J71">
        <v>11.920733520000001</v>
      </c>
      <c r="K71" t="s">
        <v>35</v>
      </c>
      <c r="L71">
        <v>72.266905309999999</v>
      </c>
      <c r="M71">
        <v>4719.9475359999997</v>
      </c>
      <c r="N71">
        <v>197.1869562</v>
      </c>
      <c r="O71">
        <v>8.1288448110000004</v>
      </c>
      <c r="P71">
        <v>16.07770404</v>
      </c>
      <c r="Q71">
        <v>6.7295336250000002</v>
      </c>
      <c r="R71">
        <v>390.22062620000003</v>
      </c>
      <c r="S71">
        <v>1.3347298409999999</v>
      </c>
      <c r="T71">
        <v>11672.363670000001</v>
      </c>
    </row>
    <row r="72" spans="1:20">
      <c r="A72">
        <v>216</v>
      </c>
      <c r="B72" t="s">
        <v>153</v>
      </c>
      <c r="C72" t="s">
        <v>154</v>
      </c>
      <c r="D72">
        <v>67</v>
      </c>
      <c r="E72">
        <v>3</v>
      </c>
      <c r="F72" t="s">
        <v>155</v>
      </c>
      <c r="G72" t="s">
        <v>33</v>
      </c>
      <c r="H72">
        <v>3.2589850459999998</v>
      </c>
      <c r="I72" t="s">
        <v>34</v>
      </c>
      <c r="J72">
        <v>6.6927298139999998</v>
      </c>
      <c r="K72" t="s">
        <v>35</v>
      </c>
      <c r="L72">
        <v>66.53701805</v>
      </c>
      <c r="M72" t="s">
        <v>35</v>
      </c>
      <c r="N72">
        <v>294.13343589999999</v>
      </c>
      <c r="O72">
        <v>5.7585233440000003</v>
      </c>
      <c r="P72">
        <v>18.127113430000001</v>
      </c>
      <c r="Q72">
        <v>2.5492171209999999</v>
      </c>
      <c r="R72">
        <v>396.73522359999998</v>
      </c>
      <c r="S72">
        <v>1.0830555319999999</v>
      </c>
      <c r="T72">
        <v>10608.6111</v>
      </c>
    </row>
    <row r="73" spans="1:20">
      <c r="A73">
        <v>143</v>
      </c>
      <c r="B73" t="s">
        <v>414</v>
      </c>
      <c r="C73" t="s">
        <v>415</v>
      </c>
      <c r="D73">
        <v>194</v>
      </c>
      <c r="E73">
        <v>2</v>
      </c>
      <c r="F73" t="s">
        <v>416</v>
      </c>
      <c r="G73" t="s">
        <v>33</v>
      </c>
      <c r="H73">
        <v>8.2725228729999998</v>
      </c>
      <c r="I73">
        <v>4.8312312669999997</v>
      </c>
      <c r="J73">
        <v>6.4551304380000003</v>
      </c>
      <c r="K73" t="s">
        <v>35</v>
      </c>
      <c r="L73">
        <v>164.0343867</v>
      </c>
      <c r="M73" t="s">
        <v>35</v>
      </c>
      <c r="N73">
        <v>207.19924370000001</v>
      </c>
      <c r="O73">
        <v>8.8623096090000004</v>
      </c>
      <c r="P73">
        <v>12.74206025</v>
      </c>
      <c r="Q73">
        <v>2.9933622529999999</v>
      </c>
      <c r="R73">
        <v>353.00885440000002</v>
      </c>
      <c r="S73">
        <v>2.1172407660000001</v>
      </c>
      <c r="T73">
        <v>9534.0116990000006</v>
      </c>
    </row>
    <row r="74" spans="1:20">
      <c r="A74">
        <v>253</v>
      </c>
      <c r="B74" t="s">
        <v>264</v>
      </c>
      <c r="C74" t="s">
        <v>265</v>
      </c>
      <c r="D74">
        <v>110</v>
      </c>
      <c r="E74">
        <v>3</v>
      </c>
      <c r="F74" t="s">
        <v>266</v>
      </c>
      <c r="G74" t="s">
        <v>33</v>
      </c>
      <c r="H74">
        <v>6.6012557919999999</v>
      </c>
      <c r="I74" t="s">
        <v>34</v>
      </c>
      <c r="J74">
        <v>11.67965931</v>
      </c>
      <c r="K74">
        <v>119.49745710000001</v>
      </c>
      <c r="L74">
        <v>98.723111489999994</v>
      </c>
      <c r="M74" t="s">
        <v>35</v>
      </c>
      <c r="N74">
        <v>384.84033440000002</v>
      </c>
      <c r="O74">
        <v>10.85542326</v>
      </c>
      <c r="P74">
        <v>12.654175390000001</v>
      </c>
      <c r="Q74">
        <v>8.0003861910000005</v>
      </c>
      <c r="R74">
        <v>516.02738599999998</v>
      </c>
      <c r="S74">
        <v>1.293086465</v>
      </c>
      <c r="T74">
        <v>12444.946250000001</v>
      </c>
    </row>
    <row r="75" spans="1:20">
      <c r="A75">
        <v>161</v>
      </c>
      <c r="B75" t="s">
        <v>468</v>
      </c>
      <c r="C75" t="s">
        <v>469</v>
      </c>
      <c r="D75">
        <v>221</v>
      </c>
      <c r="E75">
        <v>2</v>
      </c>
      <c r="F75" t="s">
        <v>470</v>
      </c>
      <c r="G75" t="s">
        <v>33</v>
      </c>
      <c r="H75">
        <v>16.8526813</v>
      </c>
      <c r="I75" t="s">
        <v>34</v>
      </c>
      <c r="J75">
        <v>15.54472062</v>
      </c>
      <c r="K75">
        <v>188.1308306</v>
      </c>
      <c r="L75">
        <v>68.153800820000001</v>
      </c>
      <c r="M75" t="s">
        <v>35</v>
      </c>
      <c r="N75">
        <v>331.84043730000002</v>
      </c>
      <c r="O75">
        <v>10.760643780000001</v>
      </c>
      <c r="P75">
        <v>26.491142289999999</v>
      </c>
      <c r="Q75">
        <v>9.3542399249999999</v>
      </c>
      <c r="R75">
        <v>484.23189409999998</v>
      </c>
      <c r="S75">
        <v>1.224449192</v>
      </c>
      <c r="T75">
        <v>16054.59568</v>
      </c>
    </row>
    <row r="76" spans="1:20">
      <c r="A76">
        <v>213</v>
      </c>
      <c r="B76" t="s">
        <v>144</v>
      </c>
      <c r="C76" t="s">
        <v>145</v>
      </c>
      <c r="D76">
        <v>50</v>
      </c>
      <c r="E76">
        <v>3</v>
      </c>
      <c r="F76" t="s">
        <v>146</v>
      </c>
      <c r="G76" t="s">
        <v>33</v>
      </c>
      <c r="H76">
        <v>7.3917391490000002</v>
      </c>
      <c r="I76" t="s">
        <v>34</v>
      </c>
      <c r="J76">
        <v>6.2341341830000001</v>
      </c>
      <c r="K76">
        <v>137.88497380000001</v>
      </c>
      <c r="L76">
        <v>71.257168789999994</v>
      </c>
      <c r="M76" t="s">
        <v>35</v>
      </c>
      <c r="N76">
        <v>207.4487867</v>
      </c>
      <c r="O76">
        <v>12.47191932</v>
      </c>
      <c r="P76">
        <v>24.204892449999999</v>
      </c>
      <c r="Q76">
        <v>3.8464308150000002</v>
      </c>
      <c r="R76">
        <v>484.67401489999997</v>
      </c>
      <c r="S76">
        <v>1.5365927589999999</v>
      </c>
      <c r="T76">
        <v>11099.361580000001</v>
      </c>
    </row>
    <row r="77" spans="1:20">
      <c r="A77">
        <v>228</v>
      </c>
      <c r="B77" t="s">
        <v>189</v>
      </c>
      <c r="C77" t="s">
        <v>190</v>
      </c>
      <c r="D77">
        <v>81</v>
      </c>
      <c r="E77">
        <v>3</v>
      </c>
      <c r="F77" t="s">
        <v>191</v>
      </c>
      <c r="G77" t="s">
        <v>33</v>
      </c>
      <c r="H77">
        <v>2.3039864209999998</v>
      </c>
      <c r="I77" t="s">
        <v>34</v>
      </c>
      <c r="J77">
        <v>4.2041521570000002</v>
      </c>
      <c r="K77" t="s">
        <v>35</v>
      </c>
      <c r="L77">
        <v>51.117094649999999</v>
      </c>
      <c r="M77">
        <v>4847.682933</v>
      </c>
      <c r="N77">
        <v>174.35768110000001</v>
      </c>
      <c r="O77">
        <v>5.4448299889999996</v>
      </c>
      <c r="P77">
        <v>37.356897400000001</v>
      </c>
      <c r="Q77">
        <v>0.51297733099999998</v>
      </c>
      <c r="R77">
        <v>371.39224359999997</v>
      </c>
      <c r="S77">
        <v>1.60870332</v>
      </c>
      <c r="T77">
        <v>6860.9702960000004</v>
      </c>
    </row>
    <row r="78" spans="1:20">
      <c r="A78">
        <v>48</v>
      </c>
      <c r="B78" t="s">
        <v>657</v>
      </c>
      <c r="C78" t="s">
        <v>658</v>
      </c>
      <c r="D78">
        <v>320</v>
      </c>
      <c r="E78">
        <v>1</v>
      </c>
      <c r="F78" t="s">
        <v>659</v>
      </c>
      <c r="G78" t="s">
        <v>33</v>
      </c>
      <c r="H78">
        <v>11.892411620000001</v>
      </c>
      <c r="I78" t="s">
        <v>34</v>
      </c>
      <c r="J78">
        <v>6.3434059310000004</v>
      </c>
      <c r="K78">
        <v>91.248247300000003</v>
      </c>
      <c r="L78">
        <v>67.048496290000003</v>
      </c>
      <c r="M78" t="s">
        <v>35</v>
      </c>
      <c r="N78">
        <v>224.81525970000001</v>
      </c>
      <c r="O78">
        <v>11.292510070000001</v>
      </c>
      <c r="P78">
        <v>14.35309638</v>
      </c>
      <c r="Q78">
        <v>4.976923223</v>
      </c>
      <c r="R78">
        <v>450.79314620000002</v>
      </c>
      <c r="S78">
        <v>1.989102559</v>
      </c>
      <c r="T78">
        <v>11860.13859</v>
      </c>
    </row>
    <row r="79" spans="1:20">
      <c r="A79">
        <v>141</v>
      </c>
      <c r="B79" t="s">
        <v>408</v>
      </c>
      <c r="C79" t="s">
        <v>409</v>
      </c>
      <c r="D79">
        <v>192</v>
      </c>
      <c r="E79">
        <v>2</v>
      </c>
      <c r="F79" t="s">
        <v>410</v>
      </c>
      <c r="G79" t="s">
        <v>33</v>
      </c>
      <c r="H79">
        <v>5.7944988750000004</v>
      </c>
      <c r="I79" t="s">
        <v>34</v>
      </c>
      <c r="J79">
        <v>4.6210968030000004</v>
      </c>
      <c r="K79" t="s">
        <v>35</v>
      </c>
      <c r="L79">
        <v>74.093612120000003</v>
      </c>
      <c r="M79" t="s">
        <v>35</v>
      </c>
      <c r="N79">
        <v>174.41170579999999</v>
      </c>
      <c r="O79">
        <v>6.229914913</v>
      </c>
      <c r="P79">
        <v>13.086862999999999</v>
      </c>
      <c r="Q79">
        <v>2.1161920790000002</v>
      </c>
      <c r="R79">
        <v>373.08949280000002</v>
      </c>
      <c r="S79">
        <v>1.378205736</v>
      </c>
      <c r="T79">
        <v>10949.60686</v>
      </c>
    </row>
    <row r="80" spans="1:20">
      <c r="A80">
        <v>5</v>
      </c>
      <c r="B80" t="s">
        <v>528</v>
      </c>
      <c r="C80" t="s">
        <v>529</v>
      </c>
      <c r="D80">
        <v>257</v>
      </c>
      <c r="E80">
        <v>1</v>
      </c>
      <c r="F80" t="s">
        <v>530</v>
      </c>
      <c r="G80" t="s">
        <v>33</v>
      </c>
      <c r="H80">
        <v>4.695308786</v>
      </c>
      <c r="I80" t="s">
        <v>34</v>
      </c>
      <c r="J80">
        <v>5.8541709270000002</v>
      </c>
      <c r="K80">
        <v>91.609492419999995</v>
      </c>
      <c r="L80">
        <v>57.594731179999997</v>
      </c>
      <c r="M80" t="s">
        <v>35</v>
      </c>
      <c r="N80">
        <v>195.78512280000001</v>
      </c>
      <c r="O80">
        <v>6.4366989869999998</v>
      </c>
      <c r="P80">
        <v>11.349264</v>
      </c>
      <c r="Q80">
        <v>3.135771718</v>
      </c>
      <c r="R80">
        <v>421.81839000000002</v>
      </c>
      <c r="S80">
        <v>0.92532599699999996</v>
      </c>
      <c r="T80">
        <v>11637.969940000001</v>
      </c>
    </row>
    <row r="81" spans="1:20">
      <c r="A81">
        <v>38</v>
      </c>
      <c r="B81" t="s">
        <v>627</v>
      </c>
      <c r="C81" t="s">
        <v>628</v>
      </c>
      <c r="D81">
        <v>296</v>
      </c>
      <c r="E81">
        <v>1</v>
      </c>
      <c r="F81" t="s">
        <v>629</v>
      </c>
      <c r="G81" t="s">
        <v>33</v>
      </c>
      <c r="H81">
        <v>19.16608733</v>
      </c>
      <c r="I81" t="s">
        <v>34</v>
      </c>
      <c r="J81">
        <v>10.058592559999999</v>
      </c>
      <c r="K81">
        <v>115.4842767</v>
      </c>
      <c r="L81">
        <v>86.10456843</v>
      </c>
      <c r="M81" t="s">
        <v>35</v>
      </c>
      <c r="N81">
        <v>247.082684</v>
      </c>
      <c r="O81">
        <v>24.30422111</v>
      </c>
      <c r="P81">
        <v>18.09238182</v>
      </c>
      <c r="Q81">
        <v>11.828669789999999</v>
      </c>
      <c r="R81">
        <v>704.31754239999998</v>
      </c>
      <c r="S81">
        <v>2.1189767740000001</v>
      </c>
      <c r="T81">
        <v>14555.70558</v>
      </c>
    </row>
    <row r="82" spans="1:20">
      <c r="A82">
        <v>123</v>
      </c>
      <c r="B82" t="s">
        <v>354</v>
      </c>
      <c r="C82" t="s">
        <v>355</v>
      </c>
      <c r="D82">
        <v>158</v>
      </c>
      <c r="E82">
        <v>2</v>
      </c>
      <c r="F82" t="s">
        <v>356</v>
      </c>
      <c r="G82" t="s">
        <v>33</v>
      </c>
      <c r="H82">
        <v>5.7883109340000001</v>
      </c>
      <c r="I82" t="s">
        <v>34</v>
      </c>
      <c r="J82">
        <v>7.6367258939999996</v>
      </c>
      <c r="K82">
        <v>172.92718869999999</v>
      </c>
      <c r="L82">
        <v>70.034024799999997</v>
      </c>
      <c r="M82" t="s">
        <v>35</v>
      </c>
      <c r="N82">
        <v>198.26005169999999</v>
      </c>
      <c r="O82">
        <v>10.18632502</v>
      </c>
      <c r="P82">
        <v>12.94752259</v>
      </c>
      <c r="Q82">
        <v>3.5483668709999998</v>
      </c>
      <c r="R82">
        <v>408.28642050000002</v>
      </c>
      <c r="S82">
        <v>1.317601054</v>
      </c>
      <c r="T82">
        <v>9979.3980929999998</v>
      </c>
    </row>
    <row r="83" spans="1:20">
      <c r="A83">
        <v>103</v>
      </c>
      <c r="B83" t="s">
        <v>294</v>
      </c>
      <c r="C83" t="s">
        <v>295</v>
      </c>
      <c r="D83">
        <v>134</v>
      </c>
      <c r="E83">
        <v>2</v>
      </c>
      <c r="F83" t="s">
        <v>296</v>
      </c>
      <c r="G83" t="s">
        <v>33</v>
      </c>
      <c r="H83">
        <v>5.0549511249999997</v>
      </c>
      <c r="I83" t="s">
        <v>34</v>
      </c>
      <c r="J83">
        <v>7.6931656799999999</v>
      </c>
      <c r="K83">
        <v>135.15557000000001</v>
      </c>
      <c r="L83">
        <v>54.551197989999999</v>
      </c>
      <c r="M83" t="s">
        <v>35</v>
      </c>
      <c r="N83">
        <v>171.919442</v>
      </c>
      <c r="O83">
        <v>9.4497071780000006</v>
      </c>
      <c r="P83">
        <v>10.935580180000001</v>
      </c>
      <c r="Q83">
        <v>4.2272864459999999</v>
      </c>
      <c r="R83">
        <v>300.38924789999999</v>
      </c>
      <c r="S83">
        <v>1.2034159529999999</v>
      </c>
      <c r="T83">
        <v>11631.855299999999</v>
      </c>
    </row>
    <row r="84" spans="1:20">
      <c r="A84">
        <v>14</v>
      </c>
      <c r="B84" t="s">
        <v>555</v>
      </c>
      <c r="C84" t="s">
        <v>556</v>
      </c>
      <c r="D84">
        <v>268</v>
      </c>
      <c r="E84">
        <v>1</v>
      </c>
      <c r="F84" t="s">
        <v>557</v>
      </c>
      <c r="G84" t="s">
        <v>33</v>
      </c>
      <c r="H84">
        <v>5.7098771570000002</v>
      </c>
      <c r="I84" t="s">
        <v>34</v>
      </c>
      <c r="J84">
        <v>10.13304411</v>
      </c>
      <c r="K84" t="s">
        <v>35</v>
      </c>
      <c r="L84">
        <v>64.903722569999999</v>
      </c>
      <c r="M84" t="s">
        <v>35</v>
      </c>
      <c r="N84">
        <v>291.6008415</v>
      </c>
      <c r="O84">
        <v>10.16634503</v>
      </c>
      <c r="P84">
        <v>37.21736301</v>
      </c>
      <c r="Q84">
        <v>4.7055374179999996</v>
      </c>
      <c r="R84">
        <v>323.19418739999998</v>
      </c>
      <c r="S84">
        <v>1.255107926</v>
      </c>
      <c r="T84">
        <v>11095.775439999999</v>
      </c>
    </row>
    <row r="85" spans="1:20">
      <c r="A85">
        <v>80</v>
      </c>
      <c r="B85" t="s">
        <v>753</v>
      </c>
      <c r="C85" t="s">
        <v>754</v>
      </c>
      <c r="D85">
        <v>373</v>
      </c>
      <c r="E85">
        <v>1</v>
      </c>
      <c r="F85" t="s">
        <v>755</v>
      </c>
      <c r="G85" t="s">
        <v>33</v>
      </c>
      <c r="H85">
        <v>10.114505380000001</v>
      </c>
      <c r="I85" t="s">
        <v>34</v>
      </c>
      <c r="J85">
        <v>7.05026113</v>
      </c>
      <c r="K85">
        <v>156.0357607</v>
      </c>
      <c r="L85">
        <v>63.443738760000002</v>
      </c>
      <c r="M85" t="s">
        <v>35</v>
      </c>
      <c r="N85">
        <v>171.06529040000001</v>
      </c>
      <c r="O85">
        <v>13.19130481</v>
      </c>
      <c r="P85">
        <v>14.314682619999999</v>
      </c>
      <c r="Q85">
        <v>4.6320074389999997</v>
      </c>
      <c r="R85">
        <v>389.17746449999999</v>
      </c>
      <c r="S85">
        <v>1.1394029779999999</v>
      </c>
      <c r="T85">
        <v>13318.92236</v>
      </c>
    </row>
    <row r="86" spans="1:20">
      <c r="A86">
        <v>248</v>
      </c>
      <c r="B86" t="s">
        <v>249</v>
      </c>
      <c r="C86" t="s">
        <v>250</v>
      </c>
      <c r="D86">
        <v>105</v>
      </c>
      <c r="E86">
        <v>3</v>
      </c>
      <c r="F86" t="s">
        <v>251</v>
      </c>
      <c r="G86" t="s">
        <v>33</v>
      </c>
      <c r="H86">
        <v>19.877599</v>
      </c>
      <c r="I86" t="s">
        <v>34</v>
      </c>
      <c r="J86">
        <v>11.29619952</v>
      </c>
      <c r="K86">
        <v>133.74648350000001</v>
      </c>
      <c r="L86">
        <v>91.877728959999999</v>
      </c>
      <c r="M86" t="s">
        <v>35</v>
      </c>
      <c r="N86">
        <v>569.87504799999999</v>
      </c>
      <c r="O86">
        <v>15.532589010000001</v>
      </c>
      <c r="P86">
        <v>35.901992139999997</v>
      </c>
      <c r="Q86">
        <v>7.731473609</v>
      </c>
      <c r="R86">
        <v>581.59619540000006</v>
      </c>
      <c r="S86">
        <v>1.226587595</v>
      </c>
      <c r="T86">
        <v>10595.40971</v>
      </c>
    </row>
    <row r="87" spans="1:20">
      <c r="A87">
        <v>226</v>
      </c>
      <c r="B87" t="s">
        <v>183</v>
      </c>
      <c r="C87" t="s">
        <v>184</v>
      </c>
      <c r="D87">
        <v>79</v>
      </c>
      <c r="E87">
        <v>3</v>
      </c>
      <c r="F87" t="s">
        <v>185</v>
      </c>
      <c r="G87" t="s">
        <v>33</v>
      </c>
      <c r="H87">
        <v>2.3851319320000002</v>
      </c>
      <c r="I87" t="s">
        <v>34</v>
      </c>
      <c r="J87">
        <v>3.1060399780000001</v>
      </c>
      <c r="K87">
        <v>193.9990081</v>
      </c>
      <c r="L87">
        <v>27.50931018</v>
      </c>
      <c r="M87">
        <v>3538.5022859999999</v>
      </c>
      <c r="N87">
        <v>125.7129848</v>
      </c>
      <c r="O87">
        <v>2.4302649660000002</v>
      </c>
      <c r="P87">
        <v>23.33522262</v>
      </c>
      <c r="Q87" t="s">
        <v>34</v>
      </c>
      <c r="R87">
        <v>205.26677770000001</v>
      </c>
      <c r="S87">
        <v>2.2303804540000001</v>
      </c>
      <c r="T87">
        <v>4244.6305540000003</v>
      </c>
    </row>
    <row r="88" spans="1:20">
      <c r="A88">
        <v>222</v>
      </c>
      <c r="B88" t="s">
        <v>171</v>
      </c>
      <c r="C88" t="s">
        <v>172</v>
      </c>
      <c r="D88">
        <v>73</v>
      </c>
      <c r="E88">
        <v>3</v>
      </c>
      <c r="F88" t="s">
        <v>173</v>
      </c>
      <c r="G88" t="s">
        <v>33</v>
      </c>
      <c r="H88" t="s">
        <v>34</v>
      </c>
      <c r="I88" t="s">
        <v>34</v>
      </c>
      <c r="J88">
        <v>4.1531719320000002</v>
      </c>
      <c r="K88" t="s">
        <v>35</v>
      </c>
      <c r="L88">
        <v>21.42699979</v>
      </c>
      <c r="M88">
        <v>3884.6801409999998</v>
      </c>
      <c r="N88">
        <v>150.17395550000001</v>
      </c>
      <c r="O88">
        <v>4.8796547419999996</v>
      </c>
      <c r="P88">
        <v>27.208377760000001</v>
      </c>
      <c r="Q88">
        <v>0.66118464700000001</v>
      </c>
      <c r="R88">
        <v>260.52168719999997</v>
      </c>
      <c r="S88">
        <v>1.4580179129999999</v>
      </c>
      <c r="T88">
        <v>9096.4791920000007</v>
      </c>
    </row>
    <row r="89" spans="1:20">
      <c r="A89">
        <v>227</v>
      </c>
      <c r="B89" t="s">
        <v>186</v>
      </c>
      <c r="C89" t="s">
        <v>187</v>
      </c>
      <c r="D89">
        <v>80</v>
      </c>
      <c r="E89">
        <v>3</v>
      </c>
      <c r="F89" t="s">
        <v>188</v>
      </c>
      <c r="G89" t="s">
        <v>33</v>
      </c>
      <c r="H89" t="s">
        <v>34</v>
      </c>
      <c r="I89" t="s">
        <v>34</v>
      </c>
      <c r="J89" t="s">
        <v>34</v>
      </c>
      <c r="K89" t="s">
        <v>35</v>
      </c>
      <c r="L89">
        <v>22.554523459999999</v>
      </c>
      <c r="M89">
        <v>4212.2602880000004</v>
      </c>
      <c r="N89">
        <v>154.0656936</v>
      </c>
      <c r="O89">
        <v>1.4104709740000001</v>
      </c>
      <c r="P89">
        <v>35.202416149999998</v>
      </c>
      <c r="Q89" t="s">
        <v>34</v>
      </c>
      <c r="R89">
        <v>125.11640250000001</v>
      </c>
      <c r="S89">
        <v>1.497820581</v>
      </c>
      <c r="T89">
        <v>3542.9325739999999</v>
      </c>
    </row>
    <row r="90" spans="1:20">
      <c r="A90">
        <v>3</v>
      </c>
      <c r="B90" t="s">
        <v>522</v>
      </c>
      <c r="C90" t="s">
        <v>523</v>
      </c>
      <c r="D90">
        <v>255</v>
      </c>
      <c r="E90">
        <v>1</v>
      </c>
      <c r="F90" t="s">
        <v>524</v>
      </c>
      <c r="G90" t="s">
        <v>33</v>
      </c>
      <c r="H90">
        <v>4.184326854</v>
      </c>
      <c r="I90" t="s">
        <v>34</v>
      </c>
      <c r="J90">
        <v>4.5189291880000004</v>
      </c>
      <c r="K90" t="s">
        <v>35</v>
      </c>
      <c r="L90">
        <v>44.196404149999999</v>
      </c>
      <c r="M90" t="s">
        <v>35</v>
      </c>
      <c r="N90">
        <v>164.9276639</v>
      </c>
      <c r="O90">
        <v>6.111785008</v>
      </c>
      <c r="P90">
        <v>11.977726880000001</v>
      </c>
      <c r="Q90">
        <v>2.109393485</v>
      </c>
      <c r="R90">
        <v>304.4387625</v>
      </c>
      <c r="S90">
        <v>0.90922938799999997</v>
      </c>
      <c r="T90">
        <v>11142.826929999999</v>
      </c>
    </row>
    <row r="91" spans="1:20">
      <c r="A91">
        <v>15</v>
      </c>
      <c r="B91" t="s">
        <v>558</v>
      </c>
      <c r="C91" t="s">
        <v>559</v>
      </c>
      <c r="D91">
        <v>269</v>
      </c>
      <c r="E91">
        <v>1</v>
      </c>
      <c r="F91" t="s">
        <v>560</v>
      </c>
      <c r="G91" t="s">
        <v>33</v>
      </c>
      <c r="H91">
        <v>10.229740850000001</v>
      </c>
      <c r="I91" t="s">
        <v>34</v>
      </c>
      <c r="J91">
        <v>16.172258249999999</v>
      </c>
      <c r="K91">
        <v>101.5402484</v>
      </c>
      <c r="L91">
        <v>104.4822635</v>
      </c>
      <c r="M91" t="s">
        <v>35</v>
      </c>
      <c r="N91">
        <v>220.39607799999999</v>
      </c>
      <c r="O91">
        <v>18.663131960000001</v>
      </c>
      <c r="P91">
        <v>34.422953100000001</v>
      </c>
      <c r="Q91">
        <v>8.9167092490000002</v>
      </c>
      <c r="R91">
        <v>572.9455481</v>
      </c>
      <c r="S91">
        <v>1.4775280559999999</v>
      </c>
      <c r="T91">
        <v>13153.932500000001</v>
      </c>
    </row>
    <row r="92" spans="1:20">
      <c r="A92">
        <v>2</v>
      </c>
      <c r="B92" t="s">
        <v>519</v>
      </c>
      <c r="C92" t="s">
        <v>520</v>
      </c>
      <c r="D92">
        <v>254</v>
      </c>
      <c r="E92">
        <v>1</v>
      </c>
      <c r="F92" t="s">
        <v>521</v>
      </c>
      <c r="G92" t="s">
        <v>33</v>
      </c>
      <c r="H92">
        <v>16.49456374</v>
      </c>
      <c r="I92" t="s">
        <v>34</v>
      </c>
      <c r="J92">
        <v>5.6770370740000002</v>
      </c>
      <c r="K92" t="s">
        <v>35</v>
      </c>
      <c r="L92">
        <v>51.677211300000003</v>
      </c>
      <c r="M92">
        <v>2846.147297</v>
      </c>
      <c r="N92">
        <v>107.17757880000001</v>
      </c>
      <c r="O92">
        <v>20.1467597</v>
      </c>
      <c r="P92">
        <v>18.556527920000001</v>
      </c>
      <c r="Q92">
        <v>8.3897984280000006</v>
      </c>
      <c r="R92">
        <v>331.8543717</v>
      </c>
      <c r="S92">
        <v>1.2134512550000001</v>
      </c>
      <c r="T92">
        <v>6175.199329</v>
      </c>
    </row>
    <row r="93" spans="1:20">
      <c r="A93">
        <v>42</v>
      </c>
      <c r="B93" t="s">
        <v>639</v>
      </c>
      <c r="C93" t="s">
        <v>640</v>
      </c>
      <c r="D93">
        <v>314</v>
      </c>
      <c r="E93">
        <v>1</v>
      </c>
      <c r="F93" t="s">
        <v>641</v>
      </c>
      <c r="G93" t="s">
        <v>33</v>
      </c>
      <c r="H93">
        <v>11.198941059999999</v>
      </c>
      <c r="I93" t="s">
        <v>34</v>
      </c>
      <c r="J93">
        <v>12.614824369999999</v>
      </c>
      <c r="K93">
        <v>126.59174520000001</v>
      </c>
      <c r="L93">
        <v>67.130066319999997</v>
      </c>
      <c r="M93" t="s">
        <v>35</v>
      </c>
      <c r="N93">
        <v>313.2878604</v>
      </c>
      <c r="O93">
        <v>13.77019739</v>
      </c>
      <c r="P93">
        <v>14.41245468</v>
      </c>
      <c r="Q93">
        <v>5.6951677199999997</v>
      </c>
      <c r="R93">
        <v>566.54328759999999</v>
      </c>
      <c r="S93">
        <v>0.90423421599999998</v>
      </c>
      <c r="T93">
        <v>16281.623009999999</v>
      </c>
    </row>
    <row r="94" spans="1:20">
      <c r="A94">
        <v>164</v>
      </c>
      <c r="B94" t="s">
        <v>477</v>
      </c>
      <c r="C94" t="s">
        <v>478</v>
      </c>
      <c r="D94">
        <v>224</v>
      </c>
      <c r="E94">
        <v>2</v>
      </c>
      <c r="F94" t="s">
        <v>479</v>
      </c>
      <c r="G94" t="s">
        <v>33</v>
      </c>
      <c r="H94">
        <v>7.8034542240000002</v>
      </c>
      <c r="I94" t="s">
        <v>34</v>
      </c>
      <c r="J94">
        <v>7.6205878059999996</v>
      </c>
      <c r="K94">
        <v>121.1473034</v>
      </c>
      <c r="L94">
        <v>54.49352811</v>
      </c>
      <c r="M94">
        <v>4949.3884900000003</v>
      </c>
      <c r="N94">
        <v>110.9281584</v>
      </c>
      <c r="O94">
        <v>14.463654030000001</v>
      </c>
      <c r="P94">
        <v>16.688031120000002</v>
      </c>
      <c r="Q94">
        <v>4.0278639170000003</v>
      </c>
      <c r="R94">
        <v>339.85583589999999</v>
      </c>
      <c r="S94">
        <v>1.1175890449999999</v>
      </c>
      <c r="T94">
        <v>6713.8793310000001</v>
      </c>
    </row>
    <row r="95" spans="1:20">
      <c r="A95">
        <v>76</v>
      </c>
      <c r="B95" t="s">
        <v>741</v>
      </c>
      <c r="C95" t="s">
        <v>742</v>
      </c>
      <c r="D95">
        <v>355</v>
      </c>
      <c r="E95">
        <v>1</v>
      </c>
      <c r="F95" t="s">
        <v>743</v>
      </c>
      <c r="G95" t="s">
        <v>33</v>
      </c>
      <c r="H95">
        <v>6.01840829</v>
      </c>
      <c r="I95" t="s">
        <v>34</v>
      </c>
      <c r="J95">
        <v>7.7233036229999996</v>
      </c>
      <c r="K95">
        <v>65.905197529999995</v>
      </c>
      <c r="L95">
        <v>68.20737029</v>
      </c>
      <c r="M95" t="s">
        <v>35</v>
      </c>
      <c r="N95">
        <v>533.67263949999995</v>
      </c>
      <c r="O95">
        <v>8.6052996000000004</v>
      </c>
      <c r="P95">
        <v>10.32312625</v>
      </c>
      <c r="Q95">
        <v>4.0985164430000003</v>
      </c>
      <c r="R95">
        <v>392.42039410000001</v>
      </c>
      <c r="S95">
        <v>1.663851513</v>
      </c>
      <c r="T95">
        <v>11896.218800000001</v>
      </c>
    </row>
    <row r="96" spans="1:20">
      <c r="A96">
        <v>180</v>
      </c>
      <c r="B96" t="s">
        <v>45</v>
      </c>
      <c r="C96" t="s">
        <v>46</v>
      </c>
      <c r="D96">
        <v>11</v>
      </c>
      <c r="E96">
        <v>3</v>
      </c>
      <c r="F96" t="s">
        <v>47</v>
      </c>
      <c r="G96" t="s">
        <v>33</v>
      </c>
      <c r="H96">
        <v>6.3809212129999997</v>
      </c>
      <c r="I96" t="s">
        <v>34</v>
      </c>
      <c r="J96">
        <v>10.925137319999999</v>
      </c>
      <c r="K96">
        <v>145.33430989999999</v>
      </c>
      <c r="L96">
        <v>88.366982239999999</v>
      </c>
      <c r="M96" t="s">
        <v>35</v>
      </c>
      <c r="N96">
        <v>351.71305189999998</v>
      </c>
      <c r="O96">
        <v>14.512168859999999</v>
      </c>
      <c r="P96">
        <v>8.9128415160000003</v>
      </c>
      <c r="Q96">
        <v>5.6645821129999998</v>
      </c>
      <c r="R96">
        <v>529.19730549999997</v>
      </c>
      <c r="S96">
        <v>0.90812328200000003</v>
      </c>
      <c r="T96">
        <v>16598.601910000001</v>
      </c>
    </row>
    <row r="97" spans="1:20">
      <c r="A97">
        <v>230</v>
      </c>
      <c r="B97" t="s">
        <v>195</v>
      </c>
      <c r="C97" t="s">
        <v>196</v>
      </c>
      <c r="D97">
        <v>83</v>
      </c>
      <c r="E97">
        <v>3</v>
      </c>
      <c r="F97" t="s">
        <v>197</v>
      </c>
      <c r="G97" t="s">
        <v>33</v>
      </c>
      <c r="H97" t="s">
        <v>34</v>
      </c>
      <c r="I97" t="s">
        <v>34</v>
      </c>
      <c r="J97">
        <v>5.6805820310000001</v>
      </c>
      <c r="K97" t="s">
        <v>35</v>
      </c>
      <c r="L97">
        <v>44.549775760000003</v>
      </c>
      <c r="M97">
        <v>3402.5319920000002</v>
      </c>
      <c r="N97">
        <v>141.8454644</v>
      </c>
      <c r="O97">
        <v>4.2331054750000003</v>
      </c>
      <c r="P97">
        <v>31.177785239999999</v>
      </c>
      <c r="Q97">
        <v>0.432323925</v>
      </c>
      <c r="R97">
        <v>316.02022849999997</v>
      </c>
      <c r="S97">
        <v>2.023814191</v>
      </c>
      <c r="T97">
        <v>9909.2963990000007</v>
      </c>
    </row>
    <row r="98" spans="1:20">
      <c r="A98">
        <v>116</v>
      </c>
      <c r="B98" t="s">
        <v>333</v>
      </c>
      <c r="C98" t="s">
        <v>334</v>
      </c>
      <c r="D98">
        <v>151</v>
      </c>
      <c r="E98">
        <v>2</v>
      </c>
      <c r="F98" t="s">
        <v>335</v>
      </c>
      <c r="G98" t="s">
        <v>33</v>
      </c>
      <c r="H98">
        <v>10.74600541</v>
      </c>
      <c r="I98" t="s">
        <v>34</v>
      </c>
      <c r="J98">
        <v>13.85928322</v>
      </c>
      <c r="K98">
        <v>50.082199840000001</v>
      </c>
      <c r="L98">
        <v>50.852330760000001</v>
      </c>
      <c r="M98" t="s">
        <v>35</v>
      </c>
      <c r="N98">
        <v>170.26826819999999</v>
      </c>
      <c r="O98">
        <v>7.8270801160000003</v>
      </c>
      <c r="P98">
        <v>11.70262733</v>
      </c>
      <c r="Q98">
        <v>4.1386019709999999</v>
      </c>
      <c r="R98">
        <v>246.446957</v>
      </c>
      <c r="S98">
        <v>0.79471583999999995</v>
      </c>
      <c r="T98">
        <v>8615.4960279999996</v>
      </c>
    </row>
    <row r="99" spans="1:20">
      <c r="A99">
        <v>229</v>
      </c>
      <c r="B99" t="s">
        <v>192</v>
      </c>
      <c r="C99" t="s">
        <v>193</v>
      </c>
      <c r="D99">
        <v>82</v>
      </c>
      <c r="E99">
        <v>3</v>
      </c>
      <c r="F99" t="s">
        <v>194</v>
      </c>
      <c r="G99" t="s">
        <v>33</v>
      </c>
      <c r="H99">
        <v>2.9807101980000001</v>
      </c>
      <c r="I99" t="s">
        <v>34</v>
      </c>
      <c r="J99">
        <v>4.1781791139999997</v>
      </c>
      <c r="K99" t="s">
        <v>35</v>
      </c>
      <c r="L99">
        <v>37.601129589999999</v>
      </c>
      <c r="M99">
        <v>2911.4383800000001</v>
      </c>
      <c r="N99">
        <v>512.08878279999999</v>
      </c>
      <c r="O99">
        <v>4.7382931519999998</v>
      </c>
      <c r="P99">
        <v>35.723464219999997</v>
      </c>
      <c r="Q99">
        <v>0.60025695099999998</v>
      </c>
      <c r="R99">
        <v>290.07758239999998</v>
      </c>
      <c r="S99">
        <v>2.7927146060000001</v>
      </c>
      <c r="T99">
        <v>9264.9227989999999</v>
      </c>
    </row>
    <row r="100" spans="1:20">
      <c r="A100">
        <v>87</v>
      </c>
      <c r="B100" t="s">
        <v>774</v>
      </c>
      <c r="C100" t="s">
        <v>775</v>
      </c>
      <c r="D100">
        <v>380</v>
      </c>
      <c r="E100">
        <v>1</v>
      </c>
      <c r="F100" t="s">
        <v>776</v>
      </c>
      <c r="G100" t="s">
        <v>33</v>
      </c>
      <c r="H100">
        <v>6.0334510259999998</v>
      </c>
      <c r="I100" t="s">
        <v>34</v>
      </c>
      <c r="J100">
        <v>5.2233500770000001</v>
      </c>
      <c r="K100">
        <v>91.739495969999993</v>
      </c>
      <c r="L100">
        <v>61.730145239999999</v>
      </c>
      <c r="M100" t="s">
        <v>35</v>
      </c>
      <c r="N100">
        <v>156.78041820000001</v>
      </c>
      <c r="O100">
        <v>8.6619386919999997</v>
      </c>
      <c r="P100">
        <v>15.49389309</v>
      </c>
      <c r="Q100">
        <v>2.0930060269999999</v>
      </c>
      <c r="R100">
        <v>534.62962400000004</v>
      </c>
      <c r="S100">
        <v>1.5976852770000001</v>
      </c>
      <c r="T100">
        <v>11249.742</v>
      </c>
    </row>
    <row r="101" spans="1:20">
      <c r="A101">
        <v>66</v>
      </c>
      <c r="B101" t="s">
        <v>711</v>
      </c>
      <c r="C101" t="s">
        <v>712</v>
      </c>
      <c r="D101">
        <v>343</v>
      </c>
      <c r="E101">
        <v>1</v>
      </c>
      <c r="F101" t="s">
        <v>713</v>
      </c>
      <c r="G101" t="s">
        <v>33</v>
      </c>
      <c r="H101">
        <v>5.5065791600000003</v>
      </c>
      <c r="I101" t="s">
        <v>34</v>
      </c>
      <c r="J101">
        <v>8.3608804899999996</v>
      </c>
      <c r="K101">
        <v>122.35365760000001</v>
      </c>
      <c r="L101">
        <v>46.484935950000001</v>
      </c>
      <c r="M101" t="s">
        <v>35</v>
      </c>
      <c r="N101">
        <v>174.99245759999999</v>
      </c>
      <c r="O101">
        <v>8.2461742489999992</v>
      </c>
      <c r="P101">
        <v>14.22275424</v>
      </c>
      <c r="Q101">
        <v>3.8031339200000001</v>
      </c>
      <c r="R101">
        <v>335.08028680000001</v>
      </c>
      <c r="S101">
        <v>1.0278810300000001</v>
      </c>
      <c r="T101">
        <v>13080.952219999999</v>
      </c>
    </row>
    <row r="102" spans="1:20">
      <c r="A102">
        <v>4</v>
      </c>
      <c r="B102" t="s">
        <v>525</v>
      </c>
      <c r="C102" t="s">
        <v>526</v>
      </c>
      <c r="D102">
        <v>256</v>
      </c>
      <c r="E102">
        <v>1</v>
      </c>
      <c r="F102" t="s">
        <v>527</v>
      </c>
      <c r="G102" t="s">
        <v>33</v>
      </c>
      <c r="H102">
        <v>5.27010326</v>
      </c>
      <c r="I102" t="s">
        <v>34</v>
      </c>
      <c r="J102">
        <v>4.4916707999999996</v>
      </c>
      <c r="K102" t="s">
        <v>35</v>
      </c>
      <c r="L102">
        <v>48.944991280000004</v>
      </c>
      <c r="M102" t="s">
        <v>35</v>
      </c>
      <c r="N102">
        <v>257.26715259999997</v>
      </c>
      <c r="O102">
        <v>8.1570879470000008</v>
      </c>
      <c r="P102">
        <v>16.106865890000002</v>
      </c>
      <c r="Q102">
        <v>2.6259516380000001</v>
      </c>
      <c r="R102">
        <v>372.77205900000001</v>
      </c>
      <c r="S102">
        <v>1.080665918</v>
      </c>
      <c r="T102">
        <v>12007.96092</v>
      </c>
    </row>
    <row r="103" spans="1:20">
      <c r="A103">
        <v>142</v>
      </c>
      <c r="B103" t="s">
        <v>411</v>
      </c>
      <c r="C103" t="s">
        <v>412</v>
      </c>
      <c r="D103">
        <v>193</v>
      </c>
      <c r="E103">
        <v>2</v>
      </c>
      <c r="F103" t="s">
        <v>413</v>
      </c>
      <c r="G103" t="s">
        <v>33</v>
      </c>
      <c r="H103">
        <v>6.0567065099999997</v>
      </c>
      <c r="I103" t="s">
        <v>34</v>
      </c>
      <c r="J103">
        <v>5.9678229270000003</v>
      </c>
      <c r="K103" t="s">
        <v>35</v>
      </c>
      <c r="L103">
        <v>67.954664370000003</v>
      </c>
      <c r="M103" t="s">
        <v>35</v>
      </c>
      <c r="N103">
        <v>175.64839520000001</v>
      </c>
      <c r="O103">
        <v>6.8844506919999997</v>
      </c>
      <c r="P103">
        <v>12.863872089999999</v>
      </c>
      <c r="Q103">
        <v>3.0485240230000001</v>
      </c>
      <c r="R103">
        <v>322.12736189999998</v>
      </c>
      <c r="S103">
        <v>1.6171308929999999</v>
      </c>
      <c r="T103">
        <v>9159.0749049999995</v>
      </c>
    </row>
    <row r="104" spans="1:20">
      <c r="A104">
        <v>165</v>
      </c>
      <c r="B104" t="s">
        <v>480</v>
      </c>
      <c r="C104" t="s">
        <v>481</v>
      </c>
      <c r="D104">
        <v>225</v>
      </c>
      <c r="E104">
        <v>2</v>
      </c>
      <c r="F104" t="s">
        <v>482</v>
      </c>
      <c r="G104" t="s">
        <v>33</v>
      </c>
      <c r="H104">
        <v>3.299249407</v>
      </c>
      <c r="I104" t="s">
        <v>34</v>
      </c>
      <c r="J104">
        <v>4.2220050149999997</v>
      </c>
      <c r="K104">
        <v>199.15563969999999</v>
      </c>
      <c r="L104">
        <v>42.59403227</v>
      </c>
      <c r="M104" t="s">
        <v>35</v>
      </c>
      <c r="N104">
        <v>140.02873640000001</v>
      </c>
      <c r="O104">
        <v>7.4320604269999997</v>
      </c>
      <c r="P104">
        <v>19.143708910000001</v>
      </c>
      <c r="Q104">
        <v>1.716607413</v>
      </c>
      <c r="R104">
        <v>255.58903129999999</v>
      </c>
      <c r="S104">
        <v>0.91564451499999999</v>
      </c>
      <c r="T104">
        <v>9309.8198069999999</v>
      </c>
    </row>
    <row r="105" spans="1:20">
      <c r="A105">
        <v>59</v>
      </c>
      <c r="B105" t="s">
        <v>690</v>
      </c>
      <c r="C105" t="s">
        <v>691</v>
      </c>
      <c r="D105">
        <v>333</v>
      </c>
      <c r="E105">
        <v>1</v>
      </c>
      <c r="F105" t="s">
        <v>692</v>
      </c>
      <c r="G105" t="s">
        <v>33</v>
      </c>
      <c r="H105">
        <v>3.5751751669999998</v>
      </c>
      <c r="I105" t="s">
        <v>34</v>
      </c>
      <c r="J105">
        <v>4.1129695369999997</v>
      </c>
      <c r="K105">
        <v>167.68579729999999</v>
      </c>
      <c r="L105">
        <v>50.571409760000002</v>
      </c>
      <c r="M105" t="s">
        <v>35</v>
      </c>
      <c r="N105">
        <v>168.67316270000001</v>
      </c>
      <c r="O105">
        <v>4.5185483849999999</v>
      </c>
      <c r="P105">
        <v>10.47839462</v>
      </c>
      <c r="Q105">
        <v>1.2124902040000001</v>
      </c>
      <c r="R105">
        <v>267.52071769999998</v>
      </c>
      <c r="S105">
        <v>0.75865442999999999</v>
      </c>
      <c r="T105">
        <v>9781.9061590000001</v>
      </c>
    </row>
    <row r="106" spans="1:20">
      <c r="A106">
        <v>212</v>
      </c>
      <c r="B106" t="s">
        <v>141</v>
      </c>
      <c r="C106" t="s">
        <v>142</v>
      </c>
      <c r="D106">
        <v>49</v>
      </c>
      <c r="E106">
        <v>3</v>
      </c>
      <c r="F106" t="s">
        <v>143</v>
      </c>
      <c r="G106" t="s">
        <v>33</v>
      </c>
      <c r="H106">
        <v>8.7182423960000008</v>
      </c>
      <c r="I106" t="s">
        <v>34</v>
      </c>
      <c r="J106">
        <v>6.1701237830000002</v>
      </c>
      <c r="K106">
        <v>153.24803499999999</v>
      </c>
      <c r="L106">
        <v>89.929921710000002</v>
      </c>
      <c r="M106" t="s">
        <v>35</v>
      </c>
      <c r="N106">
        <v>324.64407779999999</v>
      </c>
      <c r="O106">
        <v>13.4264762</v>
      </c>
      <c r="P106">
        <v>21.824715730000001</v>
      </c>
      <c r="Q106">
        <v>3.9618690399999998</v>
      </c>
      <c r="R106">
        <v>604.79675680000003</v>
      </c>
      <c r="S106">
        <v>2.0099812269999999</v>
      </c>
      <c r="T106">
        <v>13158.774950000001</v>
      </c>
    </row>
    <row r="107" spans="1:20">
      <c r="A107">
        <v>188</v>
      </c>
      <c r="B107" t="s">
        <v>69</v>
      </c>
      <c r="C107" t="s">
        <v>70</v>
      </c>
      <c r="D107">
        <v>21</v>
      </c>
      <c r="E107">
        <v>3</v>
      </c>
      <c r="F107" t="s">
        <v>71</v>
      </c>
      <c r="G107" t="s">
        <v>33</v>
      </c>
      <c r="H107">
        <v>12.61249318</v>
      </c>
      <c r="I107" t="s">
        <v>34</v>
      </c>
      <c r="J107">
        <v>8.3539557450000004</v>
      </c>
      <c r="K107" t="s">
        <v>35</v>
      </c>
      <c r="L107">
        <v>50.027906479999999</v>
      </c>
      <c r="M107" t="s">
        <v>35</v>
      </c>
      <c r="N107">
        <v>221.24502910000001</v>
      </c>
      <c r="O107">
        <v>7.5662615110000004</v>
      </c>
      <c r="P107">
        <v>12.56705782</v>
      </c>
      <c r="Q107">
        <v>2.2647783800000001</v>
      </c>
      <c r="R107">
        <v>403.7149771</v>
      </c>
      <c r="S107">
        <v>1.133741144</v>
      </c>
      <c r="T107">
        <v>13864.547640000001</v>
      </c>
    </row>
    <row r="108" spans="1:20">
      <c r="A108">
        <v>255</v>
      </c>
      <c r="B108" t="s">
        <v>270</v>
      </c>
      <c r="C108" t="s">
        <v>271</v>
      </c>
      <c r="D108">
        <v>112</v>
      </c>
      <c r="E108">
        <v>3</v>
      </c>
      <c r="F108" t="s">
        <v>272</v>
      </c>
      <c r="G108" t="s">
        <v>33</v>
      </c>
      <c r="H108">
        <v>6.5524374390000002</v>
      </c>
      <c r="I108" t="s">
        <v>34</v>
      </c>
      <c r="J108">
        <v>7.9593239569999996</v>
      </c>
      <c r="K108">
        <v>130.56403800000001</v>
      </c>
      <c r="L108">
        <v>91.943208970000001</v>
      </c>
      <c r="M108" t="s">
        <v>35</v>
      </c>
      <c r="N108">
        <v>210.3601664</v>
      </c>
      <c r="O108">
        <v>9.4219595609999995</v>
      </c>
      <c r="P108">
        <v>16.590171779999999</v>
      </c>
      <c r="Q108">
        <v>4.769904071</v>
      </c>
      <c r="R108">
        <v>457.36000339999998</v>
      </c>
      <c r="S108">
        <v>1.344781306</v>
      </c>
      <c r="T108">
        <v>11041.92517</v>
      </c>
    </row>
    <row r="109" spans="1:20">
      <c r="A109">
        <v>193</v>
      </c>
      <c r="B109" t="s">
        <v>84</v>
      </c>
      <c r="C109" t="s">
        <v>85</v>
      </c>
      <c r="D109">
        <v>26</v>
      </c>
      <c r="E109">
        <v>3</v>
      </c>
      <c r="F109" t="s">
        <v>86</v>
      </c>
      <c r="G109" t="s">
        <v>33</v>
      </c>
      <c r="H109">
        <v>8.1678988369999992</v>
      </c>
      <c r="I109" t="s">
        <v>34</v>
      </c>
      <c r="J109">
        <v>10.2862136</v>
      </c>
      <c r="K109" t="s">
        <v>35</v>
      </c>
      <c r="L109">
        <v>73.394944559999999</v>
      </c>
      <c r="M109" t="s">
        <v>35</v>
      </c>
      <c r="N109">
        <v>199.34857890000001</v>
      </c>
      <c r="O109">
        <v>5.4771290620000004</v>
      </c>
      <c r="P109">
        <v>14.960715649999999</v>
      </c>
      <c r="Q109">
        <v>3.2082090540000001</v>
      </c>
      <c r="R109">
        <v>370.68023399999998</v>
      </c>
      <c r="S109">
        <v>2.608964807</v>
      </c>
      <c r="T109">
        <v>13187.659240000001</v>
      </c>
    </row>
    <row r="110" spans="1:20">
      <c r="A110">
        <v>145</v>
      </c>
      <c r="B110" t="s">
        <v>420</v>
      </c>
      <c r="C110" t="s">
        <v>421</v>
      </c>
      <c r="D110">
        <v>196</v>
      </c>
      <c r="E110">
        <v>2</v>
      </c>
      <c r="F110" t="s">
        <v>422</v>
      </c>
      <c r="G110" t="s">
        <v>33</v>
      </c>
      <c r="H110">
        <v>10.04921229</v>
      </c>
      <c r="I110" t="s">
        <v>34</v>
      </c>
      <c r="J110">
        <v>6.8459698959999997</v>
      </c>
      <c r="K110">
        <v>167.12955669999999</v>
      </c>
      <c r="L110">
        <v>77.692464689999994</v>
      </c>
      <c r="M110" t="s">
        <v>35</v>
      </c>
      <c r="N110">
        <v>306.32674680000002</v>
      </c>
      <c r="O110">
        <v>13.31834866</v>
      </c>
      <c r="P110">
        <v>13.69729472</v>
      </c>
      <c r="Q110">
        <v>5.3338257579999997</v>
      </c>
      <c r="R110">
        <v>451.51709699999998</v>
      </c>
      <c r="S110">
        <v>1.160353982</v>
      </c>
      <c r="T110">
        <v>12860.5766</v>
      </c>
    </row>
    <row r="111" spans="1:20">
      <c r="A111">
        <v>17</v>
      </c>
      <c r="B111" t="s">
        <v>564</v>
      </c>
      <c r="C111" t="s">
        <v>565</v>
      </c>
      <c r="D111">
        <v>271</v>
      </c>
      <c r="E111">
        <v>1</v>
      </c>
      <c r="F111" t="s">
        <v>566</v>
      </c>
      <c r="G111" t="s">
        <v>33</v>
      </c>
      <c r="H111">
        <v>4.581328343</v>
      </c>
      <c r="I111" t="s">
        <v>34</v>
      </c>
      <c r="J111">
        <v>6.816257566</v>
      </c>
      <c r="K111" t="s">
        <v>35</v>
      </c>
      <c r="L111">
        <v>88.331263210000003</v>
      </c>
      <c r="M111" t="s">
        <v>35</v>
      </c>
      <c r="N111">
        <v>217.67444140000001</v>
      </c>
      <c r="O111">
        <v>7.1362069789999998</v>
      </c>
      <c r="P111">
        <v>8.9731065369999996</v>
      </c>
      <c r="Q111">
        <v>2.0058326050000002</v>
      </c>
      <c r="R111">
        <v>368.87652800000001</v>
      </c>
      <c r="S111">
        <v>2.2972882929999998</v>
      </c>
      <c r="T111">
        <v>7263.6232129999999</v>
      </c>
    </row>
    <row r="112" spans="1:20">
      <c r="A112">
        <v>104</v>
      </c>
      <c r="B112" t="s">
        <v>297</v>
      </c>
      <c r="C112" t="s">
        <v>298</v>
      </c>
      <c r="D112">
        <v>135</v>
      </c>
      <c r="E112">
        <v>2</v>
      </c>
      <c r="F112" t="s">
        <v>299</v>
      </c>
      <c r="G112" t="s">
        <v>33</v>
      </c>
      <c r="H112">
        <v>3.967712466</v>
      </c>
      <c r="I112" t="s">
        <v>34</v>
      </c>
      <c r="J112">
        <v>10.625454879999999</v>
      </c>
      <c r="K112">
        <v>178.3700422</v>
      </c>
      <c r="L112">
        <v>65.023873179999995</v>
      </c>
      <c r="M112">
        <v>3729.0262710000002</v>
      </c>
      <c r="N112">
        <v>100.9722154</v>
      </c>
      <c r="O112">
        <v>3.0076013540000002</v>
      </c>
      <c r="P112">
        <v>8.5466769819999993</v>
      </c>
      <c r="Q112">
        <v>1.921948588</v>
      </c>
      <c r="R112">
        <v>257.6021811</v>
      </c>
      <c r="S112">
        <v>2.6176232060000002</v>
      </c>
      <c r="T112">
        <v>9583.9180620000006</v>
      </c>
    </row>
    <row r="113" spans="1:20">
      <c r="A113">
        <v>238</v>
      </c>
      <c r="B113" t="s">
        <v>219</v>
      </c>
      <c r="C113" t="s">
        <v>220</v>
      </c>
      <c r="D113">
        <v>93</v>
      </c>
      <c r="E113">
        <v>3</v>
      </c>
      <c r="F113" t="s">
        <v>221</v>
      </c>
      <c r="G113" t="s">
        <v>33</v>
      </c>
      <c r="H113" t="s">
        <v>34</v>
      </c>
      <c r="I113" t="s">
        <v>34</v>
      </c>
      <c r="J113">
        <v>2.3711511440000002</v>
      </c>
      <c r="K113" t="s">
        <v>35</v>
      </c>
      <c r="L113">
        <v>35.629410810000003</v>
      </c>
      <c r="M113" t="s">
        <v>35</v>
      </c>
      <c r="N113">
        <v>114.45651169999999</v>
      </c>
      <c r="O113">
        <v>1.462456814</v>
      </c>
      <c r="P113">
        <v>23.04016987</v>
      </c>
      <c r="Q113" t="s">
        <v>34</v>
      </c>
      <c r="R113">
        <v>185.02275230000001</v>
      </c>
      <c r="S113">
        <v>3.1957901660000001</v>
      </c>
      <c r="T113">
        <v>3012.421789</v>
      </c>
    </row>
    <row r="114" spans="1:20">
      <c r="A114">
        <v>21</v>
      </c>
      <c r="B114" t="s">
        <v>576</v>
      </c>
      <c r="C114" t="s">
        <v>577</v>
      </c>
      <c r="D114">
        <v>277</v>
      </c>
      <c r="E114">
        <v>1</v>
      </c>
      <c r="F114" t="s">
        <v>578</v>
      </c>
      <c r="G114" t="s">
        <v>33</v>
      </c>
      <c r="H114">
        <v>3.6321672239999998</v>
      </c>
      <c r="I114" t="s">
        <v>34</v>
      </c>
      <c r="J114">
        <v>2.7637311480000002</v>
      </c>
      <c r="K114">
        <v>115.629119</v>
      </c>
      <c r="L114">
        <v>61.354372210000001</v>
      </c>
      <c r="M114" t="s">
        <v>35</v>
      </c>
      <c r="N114">
        <v>366.31301339999999</v>
      </c>
      <c r="O114">
        <v>4.2879239949999999</v>
      </c>
      <c r="P114">
        <v>9.7690133160000006</v>
      </c>
      <c r="Q114">
        <v>1.599844984</v>
      </c>
      <c r="R114">
        <v>365.35673910000003</v>
      </c>
      <c r="S114">
        <v>0.96163869099999999</v>
      </c>
      <c r="T114">
        <v>8329.1165779999992</v>
      </c>
    </row>
    <row r="115" spans="1:20">
      <c r="A115">
        <v>194</v>
      </c>
      <c r="B115" t="s">
        <v>87</v>
      </c>
      <c r="C115" t="s">
        <v>88</v>
      </c>
      <c r="D115">
        <v>27</v>
      </c>
      <c r="E115">
        <v>3</v>
      </c>
      <c r="F115" t="s">
        <v>89</v>
      </c>
      <c r="G115" t="s">
        <v>33</v>
      </c>
      <c r="H115">
        <v>10.34369613</v>
      </c>
      <c r="I115" t="s">
        <v>34</v>
      </c>
      <c r="J115">
        <v>7.265061437</v>
      </c>
      <c r="K115" t="s">
        <v>35</v>
      </c>
      <c r="L115">
        <v>39.923532489999999</v>
      </c>
      <c r="M115" t="s">
        <v>35</v>
      </c>
      <c r="N115">
        <v>98.851710159999996</v>
      </c>
      <c r="O115">
        <v>8.1196498219999995</v>
      </c>
      <c r="P115">
        <v>23.38401636</v>
      </c>
      <c r="Q115">
        <v>6.6280589320000001</v>
      </c>
      <c r="R115">
        <v>233.26960879999999</v>
      </c>
      <c r="S115">
        <v>0.87537604700000005</v>
      </c>
      <c r="T115">
        <v>11863.82123</v>
      </c>
    </row>
    <row r="116" spans="1:20">
      <c r="A116">
        <v>20</v>
      </c>
      <c r="B116" t="s">
        <v>573</v>
      </c>
      <c r="C116" t="s">
        <v>574</v>
      </c>
      <c r="D116">
        <v>276</v>
      </c>
      <c r="E116">
        <v>1</v>
      </c>
      <c r="F116" t="s">
        <v>575</v>
      </c>
      <c r="G116" t="s">
        <v>33</v>
      </c>
      <c r="H116">
        <v>4.8126752389999998</v>
      </c>
      <c r="I116" t="s">
        <v>34</v>
      </c>
      <c r="J116">
        <v>12.01609889</v>
      </c>
      <c r="K116">
        <v>98.654529870000005</v>
      </c>
      <c r="L116">
        <v>70.810456990000006</v>
      </c>
      <c r="M116">
        <v>4922.718108</v>
      </c>
      <c r="N116">
        <v>306.02505689999998</v>
      </c>
      <c r="O116">
        <v>7.60172559</v>
      </c>
      <c r="P116">
        <v>27.407950830000001</v>
      </c>
      <c r="Q116">
        <v>4.3921099420000003</v>
      </c>
      <c r="R116">
        <v>442.61094910000003</v>
      </c>
      <c r="S116">
        <v>0.89319639200000001</v>
      </c>
      <c r="T116">
        <v>12974.044099999999</v>
      </c>
    </row>
    <row r="117" spans="1:20">
      <c r="A117">
        <v>107</v>
      </c>
      <c r="B117" t="s">
        <v>306</v>
      </c>
      <c r="C117" t="s">
        <v>307</v>
      </c>
      <c r="D117">
        <v>140</v>
      </c>
      <c r="E117">
        <v>2</v>
      </c>
      <c r="F117" t="s">
        <v>308</v>
      </c>
      <c r="G117" t="s">
        <v>33</v>
      </c>
      <c r="H117">
        <v>2.5376499269999999</v>
      </c>
      <c r="I117" t="s">
        <v>34</v>
      </c>
      <c r="J117">
        <v>4.8456521820000003</v>
      </c>
      <c r="K117" t="s">
        <v>35</v>
      </c>
      <c r="L117">
        <v>75.612575320000005</v>
      </c>
      <c r="M117" t="s">
        <v>35</v>
      </c>
      <c r="N117">
        <v>141.69338759999999</v>
      </c>
      <c r="O117">
        <v>4.1529103559999996</v>
      </c>
      <c r="P117">
        <v>16.73520748</v>
      </c>
      <c r="Q117">
        <v>0.45454037800000002</v>
      </c>
      <c r="R117">
        <v>479.89391970000003</v>
      </c>
      <c r="S117">
        <v>2.1406946520000001</v>
      </c>
      <c r="T117">
        <v>7620.1097380000001</v>
      </c>
    </row>
    <row r="118" spans="1:20">
      <c r="A118">
        <v>71</v>
      </c>
      <c r="B118" t="s">
        <v>726</v>
      </c>
      <c r="C118" t="s">
        <v>727</v>
      </c>
      <c r="D118">
        <v>350</v>
      </c>
      <c r="E118">
        <v>1</v>
      </c>
      <c r="F118" t="s">
        <v>728</v>
      </c>
      <c r="G118" t="s">
        <v>33</v>
      </c>
      <c r="H118">
        <v>3.6282268150000001</v>
      </c>
      <c r="I118" t="s">
        <v>34</v>
      </c>
      <c r="J118">
        <v>5.8835621079999996</v>
      </c>
      <c r="K118">
        <v>111.2121446</v>
      </c>
      <c r="L118">
        <v>47.634423130000002</v>
      </c>
      <c r="M118" t="s">
        <v>35</v>
      </c>
      <c r="N118">
        <v>281.16089490000002</v>
      </c>
      <c r="O118">
        <v>5.5812027239999997</v>
      </c>
      <c r="P118">
        <v>11.83672258</v>
      </c>
      <c r="Q118">
        <v>1.608218353</v>
      </c>
      <c r="R118">
        <v>329.32369549999999</v>
      </c>
      <c r="S118">
        <v>0.82179375899999996</v>
      </c>
      <c r="T118">
        <v>11208.500700000001</v>
      </c>
    </row>
    <row r="119" spans="1:20">
      <c r="A119">
        <v>108</v>
      </c>
      <c r="B119" t="s">
        <v>309</v>
      </c>
      <c r="C119" t="s">
        <v>310</v>
      </c>
      <c r="D119">
        <v>141</v>
      </c>
      <c r="E119">
        <v>2</v>
      </c>
      <c r="F119" t="s">
        <v>311</v>
      </c>
      <c r="G119" t="s">
        <v>33</v>
      </c>
      <c r="H119">
        <v>9.061825207</v>
      </c>
      <c r="I119" t="s">
        <v>34</v>
      </c>
      <c r="J119">
        <v>13.57067105</v>
      </c>
      <c r="K119">
        <v>86.705597549999993</v>
      </c>
      <c r="L119">
        <v>67.273552719999998</v>
      </c>
      <c r="M119" t="s">
        <v>35</v>
      </c>
      <c r="N119">
        <v>283.10859729999999</v>
      </c>
      <c r="O119">
        <v>6.944564261</v>
      </c>
      <c r="P119">
        <v>21.39460115</v>
      </c>
      <c r="Q119">
        <v>3.609184087</v>
      </c>
      <c r="R119">
        <v>477.47471539999998</v>
      </c>
      <c r="S119">
        <v>1.2007259539999999</v>
      </c>
      <c r="T119">
        <v>12460.21019</v>
      </c>
    </row>
    <row r="120" spans="1:20">
      <c r="A120">
        <v>192</v>
      </c>
      <c r="B120" t="s">
        <v>81</v>
      </c>
      <c r="C120" t="s">
        <v>82</v>
      </c>
      <c r="D120">
        <v>25</v>
      </c>
      <c r="E120">
        <v>3</v>
      </c>
      <c r="F120" t="s">
        <v>83</v>
      </c>
      <c r="G120" t="s">
        <v>33</v>
      </c>
      <c r="H120">
        <v>11.7557814</v>
      </c>
      <c r="I120" t="s">
        <v>34</v>
      </c>
      <c r="J120">
        <v>13.0496187</v>
      </c>
      <c r="K120" t="s">
        <v>35</v>
      </c>
      <c r="L120">
        <v>59.70289416</v>
      </c>
      <c r="M120" t="s">
        <v>35</v>
      </c>
      <c r="N120">
        <v>186.6097173</v>
      </c>
      <c r="O120">
        <v>6.9722239149999998</v>
      </c>
      <c r="P120">
        <v>16.289696750000001</v>
      </c>
      <c r="Q120">
        <v>5.7916412639999999</v>
      </c>
      <c r="R120">
        <v>371.77504709999999</v>
      </c>
      <c r="S120">
        <v>1.3394880499999999</v>
      </c>
      <c r="T120">
        <v>13983.06358</v>
      </c>
    </row>
    <row r="121" spans="1:20">
      <c r="A121">
        <v>105</v>
      </c>
      <c r="B121" t="s">
        <v>300</v>
      </c>
      <c r="C121" t="s">
        <v>301</v>
      </c>
      <c r="D121">
        <v>136</v>
      </c>
      <c r="E121">
        <v>2</v>
      </c>
      <c r="F121" t="s">
        <v>302</v>
      </c>
      <c r="G121" t="s">
        <v>33</v>
      </c>
      <c r="H121">
        <v>3.1060632830000001</v>
      </c>
      <c r="I121" t="s">
        <v>34</v>
      </c>
      <c r="J121">
        <v>5.1743322950000001</v>
      </c>
      <c r="K121" t="s">
        <v>35</v>
      </c>
      <c r="L121">
        <v>71.701552530000001</v>
      </c>
      <c r="M121" t="s">
        <v>35</v>
      </c>
      <c r="N121">
        <v>70.76357668</v>
      </c>
      <c r="O121">
        <v>5.6841255210000003</v>
      </c>
      <c r="P121">
        <v>13.05054041</v>
      </c>
      <c r="Q121">
        <v>0.71136655599999998</v>
      </c>
      <c r="R121">
        <v>400.15812920000002</v>
      </c>
      <c r="S121">
        <v>2.4123099570000002</v>
      </c>
      <c r="T121">
        <v>5673.8427259999999</v>
      </c>
    </row>
    <row r="122" spans="1:20">
      <c r="A122">
        <v>220</v>
      </c>
      <c r="B122" t="s">
        <v>165</v>
      </c>
      <c r="C122" t="s">
        <v>166</v>
      </c>
      <c r="D122">
        <v>71</v>
      </c>
      <c r="E122">
        <v>3</v>
      </c>
      <c r="F122" t="s">
        <v>167</v>
      </c>
      <c r="G122" t="s">
        <v>33</v>
      </c>
      <c r="H122">
        <v>5.0798412900000001</v>
      </c>
      <c r="I122" t="s">
        <v>34</v>
      </c>
      <c r="J122">
        <v>6.1940228959999999</v>
      </c>
      <c r="K122" t="s">
        <v>35</v>
      </c>
      <c r="L122">
        <v>46.604346219999996</v>
      </c>
      <c r="M122">
        <v>3416.4522889999998</v>
      </c>
      <c r="N122">
        <v>185.91256609999999</v>
      </c>
      <c r="O122">
        <v>6.7040769969999996</v>
      </c>
      <c r="P122">
        <v>41.357934200000003</v>
      </c>
      <c r="Q122">
        <v>2.1998284460000002</v>
      </c>
      <c r="R122">
        <v>319.75176010000001</v>
      </c>
      <c r="S122">
        <v>1.1132135400000001</v>
      </c>
      <c r="T122">
        <v>10064.505569999999</v>
      </c>
    </row>
    <row r="123" spans="1:20">
      <c r="A123">
        <v>234</v>
      </c>
      <c r="B123" t="s">
        <v>207</v>
      </c>
      <c r="C123" t="s">
        <v>208</v>
      </c>
      <c r="D123">
        <v>87</v>
      </c>
      <c r="E123">
        <v>3</v>
      </c>
      <c r="F123" t="s">
        <v>209</v>
      </c>
      <c r="G123" t="s">
        <v>33</v>
      </c>
      <c r="H123">
        <v>4.5079948989999998</v>
      </c>
      <c r="I123" t="s">
        <v>34</v>
      </c>
      <c r="J123">
        <v>6.0148937739999999</v>
      </c>
      <c r="K123" t="s">
        <v>35</v>
      </c>
      <c r="L123">
        <v>74.676024060000003</v>
      </c>
      <c r="M123" t="s">
        <v>35</v>
      </c>
      <c r="N123">
        <v>530.6888798</v>
      </c>
      <c r="O123">
        <v>8.0448144339999992</v>
      </c>
      <c r="P123">
        <v>15.77501859</v>
      </c>
      <c r="Q123">
        <v>2.8349894959999999</v>
      </c>
      <c r="R123">
        <v>388.1016975</v>
      </c>
      <c r="S123">
        <v>1.6551603210000001</v>
      </c>
      <c r="T123">
        <v>9511.9629349999996</v>
      </c>
    </row>
    <row r="124" spans="1:20">
      <c r="A124">
        <v>151</v>
      </c>
      <c r="B124" t="s">
        <v>438</v>
      </c>
      <c r="C124" t="s">
        <v>439</v>
      </c>
      <c r="D124">
        <v>204</v>
      </c>
      <c r="E124">
        <v>2</v>
      </c>
      <c r="F124" t="s">
        <v>440</v>
      </c>
      <c r="G124" t="s">
        <v>33</v>
      </c>
      <c r="H124">
        <v>4.8266032719999998</v>
      </c>
      <c r="I124" t="s">
        <v>34</v>
      </c>
      <c r="J124">
        <v>4.9143968950000003</v>
      </c>
      <c r="K124" t="s">
        <v>35</v>
      </c>
      <c r="L124">
        <v>88.02809456</v>
      </c>
      <c r="M124" t="s">
        <v>35</v>
      </c>
      <c r="N124">
        <v>344.17620470000003</v>
      </c>
      <c r="O124">
        <v>6.4246062049999999</v>
      </c>
      <c r="P124">
        <v>16.640462509999999</v>
      </c>
      <c r="Q124">
        <v>1.113383561</v>
      </c>
      <c r="R124">
        <v>537.82952920000002</v>
      </c>
      <c r="S124">
        <v>1.2178912079999999</v>
      </c>
      <c r="T124">
        <v>10345.795040000001</v>
      </c>
    </row>
    <row r="125" spans="1:20">
      <c r="A125">
        <v>233</v>
      </c>
      <c r="B125" t="s">
        <v>204</v>
      </c>
      <c r="C125" t="s">
        <v>205</v>
      </c>
      <c r="D125">
        <v>86</v>
      </c>
      <c r="E125">
        <v>3</v>
      </c>
      <c r="F125" t="s">
        <v>206</v>
      </c>
      <c r="G125" t="s">
        <v>33</v>
      </c>
      <c r="H125">
        <v>4.0232422720000001</v>
      </c>
      <c r="I125" t="s">
        <v>34</v>
      </c>
      <c r="J125">
        <v>4.2032156580000004</v>
      </c>
      <c r="K125" t="s">
        <v>35</v>
      </c>
      <c r="L125">
        <v>70.906929300000002</v>
      </c>
      <c r="M125" t="s">
        <v>35</v>
      </c>
      <c r="N125">
        <v>153.94163219999999</v>
      </c>
      <c r="O125">
        <v>6.1676982479999998</v>
      </c>
      <c r="P125">
        <v>20.14671967</v>
      </c>
      <c r="Q125">
        <v>2.1735894980000001</v>
      </c>
      <c r="R125">
        <v>365.2852934</v>
      </c>
      <c r="S125">
        <v>1.4398923379999999</v>
      </c>
      <c r="T125">
        <v>11916.97322</v>
      </c>
    </row>
    <row r="126" spans="1:20">
      <c r="A126">
        <v>144</v>
      </c>
      <c r="B126" t="s">
        <v>417</v>
      </c>
      <c r="C126" t="s">
        <v>418</v>
      </c>
      <c r="D126">
        <v>195</v>
      </c>
      <c r="E126">
        <v>2</v>
      </c>
      <c r="F126" t="s">
        <v>419</v>
      </c>
      <c r="G126" t="s">
        <v>33</v>
      </c>
      <c r="H126">
        <v>17.358399689999999</v>
      </c>
      <c r="I126" t="s">
        <v>34</v>
      </c>
      <c r="J126">
        <v>9.0286746269999991</v>
      </c>
      <c r="K126">
        <v>152.91307019999999</v>
      </c>
      <c r="L126">
        <v>46.943940660000003</v>
      </c>
      <c r="M126" t="s">
        <v>35</v>
      </c>
      <c r="N126">
        <v>215.43554610000001</v>
      </c>
      <c r="O126">
        <v>10.58252925</v>
      </c>
      <c r="P126">
        <v>11.785159800000001</v>
      </c>
      <c r="Q126">
        <v>5.2757676460000003</v>
      </c>
      <c r="R126">
        <v>285.0687997</v>
      </c>
      <c r="S126">
        <v>0.86435703399999997</v>
      </c>
      <c r="T126">
        <v>14597.6548</v>
      </c>
    </row>
    <row r="127" spans="1:20">
      <c r="A127">
        <v>130</v>
      </c>
      <c r="B127" t="s">
        <v>375</v>
      </c>
      <c r="C127" t="s">
        <v>376</v>
      </c>
      <c r="D127">
        <v>167</v>
      </c>
      <c r="E127">
        <v>2</v>
      </c>
      <c r="F127" t="s">
        <v>377</v>
      </c>
      <c r="G127" t="s">
        <v>33</v>
      </c>
      <c r="H127">
        <v>7.5655957860000003</v>
      </c>
      <c r="I127" t="s">
        <v>34</v>
      </c>
      <c r="J127">
        <v>8.9238363920000001</v>
      </c>
      <c r="K127" t="s">
        <v>35</v>
      </c>
      <c r="L127">
        <v>76.129301380000001</v>
      </c>
      <c r="M127" t="s">
        <v>35</v>
      </c>
      <c r="N127">
        <v>336.38857209999998</v>
      </c>
      <c r="O127">
        <v>7.1089071099999996</v>
      </c>
      <c r="P127">
        <v>11.292208540000001</v>
      </c>
      <c r="Q127">
        <v>4.1474253489999997</v>
      </c>
      <c r="R127">
        <v>504.439347</v>
      </c>
      <c r="S127">
        <v>1.1461782819999999</v>
      </c>
      <c r="T127">
        <v>9791.5241850000002</v>
      </c>
    </row>
    <row r="128" spans="1:20">
      <c r="A128">
        <v>52</v>
      </c>
      <c r="B128" t="s">
        <v>669</v>
      </c>
      <c r="C128" t="s">
        <v>670</v>
      </c>
      <c r="D128">
        <v>326</v>
      </c>
      <c r="E128">
        <v>1</v>
      </c>
      <c r="F128" t="s">
        <v>671</v>
      </c>
      <c r="G128" t="s">
        <v>33</v>
      </c>
      <c r="H128">
        <v>7.2989009569999999</v>
      </c>
      <c r="I128" t="s">
        <v>34</v>
      </c>
      <c r="J128">
        <v>6.9665412</v>
      </c>
      <c r="K128" t="s">
        <v>35</v>
      </c>
      <c r="L128">
        <v>87.374632120000001</v>
      </c>
      <c r="M128" t="s">
        <v>35</v>
      </c>
      <c r="N128">
        <v>228.9332173</v>
      </c>
      <c r="O128">
        <v>6.3477424019999997</v>
      </c>
      <c r="P128">
        <v>15.48308712</v>
      </c>
      <c r="Q128">
        <v>1.515285558</v>
      </c>
      <c r="R128">
        <v>498.01884050000001</v>
      </c>
      <c r="S128">
        <v>2.6961709190000001</v>
      </c>
      <c r="T128">
        <v>11992.906999999999</v>
      </c>
    </row>
    <row r="129" spans="1:20">
      <c r="A129">
        <v>106</v>
      </c>
      <c r="B129" t="s">
        <v>303</v>
      </c>
      <c r="C129" t="s">
        <v>304</v>
      </c>
      <c r="D129">
        <v>139</v>
      </c>
      <c r="E129">
        <v>2</v>
      </c>
      <c r="F129" t="s">
        <v>305</v>
      </c>
      <c r="G129" t="s">
        <v>33</v>
      </c>
      <c r="H129">
        <v>6.3481855969999996</v>
      </c>
      <c r="I129" t="s">
        <v>34</v>
      </c>
      <c r="J129">
        <v>8.6182027730000001</v>
      </c>
      <c r="K129">
        <v>167.73988320000001</v>
      </c>
      <c r="L129">
        <v>156.63878199999999</v>
      </c>
      <c r="M129">
        <v>4987.172646</v>
      </c>
      <c r="N129">
        <v>196.509942</v>
      </c>
      <c r="O129">
        <v>13.40278451</v>
      </c>
      <c r="P129">
        <v>12.832073380000001</v>
      </c>
      <c r="Q129">
        <v>1.5104653299999999</v>
      </c>
      <c r="R129" t="s">
        <v>35</v>
      </c>
      <c r="S129">
        <v>3.581689414</v>
      </c>
      <c r="T129">
        <v>6538.754207</v>
      </c>
    </row>
    <row r="130" spans="1:20">
      <c r="A130">
        <v>199</v>
      </c>
      <c r="B130" t="s">
        <v>102</v>
      </c>
      <c r="C130" t="s">
        <v>103</v>
      </c>
      <c r="D130">
        <v>34</v>
      </c>
      <c r="E130">
        <v>3</v>
      </c>
      <c r="F130" t="s">
        <v>104</v>
      </c>
      <c r="G130" t="s">
        <v>33</v>
      </c>
      <c r="H130">
        <v>3.9111218390000002</v>
      </c>
      <c r="I130" t="s">
        <v>34</v>
      </c>
      <c r="J130">
        <v>5.8372755859999996</v>
      </c>
      <c r="K130">
        <v>106.24623560000001</v>
      </c>
      <c r="L130">
        <v>69.120086139999998</v>
      </c>
      <c r="M130" t="s">
        <v>35</v>
      </c>
      <c r="N130">
        <v>324.25639089999999</v>
      </c>
      <c r="O130">
        <v>8.3958002399999998</v>
      </c>
      <c r="P130">
        <v>12.668541469999999</v>
      </c>
      <c r="Q130">
        <v>2.0491103329999998</v>
      </c>
      <c r="R130">
        <v>488.17209810000003</v>
      </c>
      <c r="S130">
        <v>1.4942389190000001</v>
      </c>
      <c r="T130">
        <v>8622.3780160000006</v>
      </c>
    </row>
    <row r="131" spans="1:20">
      <c r="A131">
        <v>131</v>
      </c>
      <c r="B131" t="s">
        <v>378</v>
      </c>
      <c r="C131" t="s">
        <v>379</v>
      </c>
      <c r="D131">
        <v>168</v>
      </c>
      <c r="E131">
        <v>2</v>
      </c>
      <c r="F131" t="s">
        <v>380</v>
      </c>
      <c r="G131" t="s">
        <v>33</v>
      </c>
      <c r="H131">
        <v>3.8383564350000001</v>
      </c>
      <c r="I131" t="s">
        <v>34</v>
      </c>
      <c r="J131">
        <v>5.6939093339999998</v>
      </c>
      <c r="K131">
        <v>121.038584</v>
      </c>
      <c r="L131">
        <v>63.867926099999998</v>
      </c>
      <c r="M131" t="s">
        <v>35</v>
      </c>
      <c r="N131">
        <v>155.81884400000001</v>
      </c>
      <c r="O131">
        <v>7.724625477</v>
      </c>
      <c r="P131">
        <v>9.7015846109999995</v>
      </c>
      <c r="Q131">
        <v>2.8881256120000001</v>
      </c>
      <c r="R131">
        <v>351.90053810000001</v>
      </c>
      <c r="S131">
        <v>0.79490716800000005</v>
      </c>
      <c r="T131">
        <v>11606.48977</v>
      </c>
    </row>
    <row r="132" spans="1:20">
      <c r="A132">
        <v>65</v>
      </c>
      <c r="B132" t="s">
        <v>708</v>
      </c>
      <c r="C132" t="s">
        <v>709</v>
      </c>
      <c r="D132">
        <v>342</v>
      </c>
      <c r="E132">
        <v>1</v>
      </c>
      <c r="F132" t="s">
        <v>710</v>
      </c>
      <c r="G132" t="s">
        <v>33</v>
      </c>
      <c r="H132">
        <v>20.25235223</v>
      </c>
      <c r="I132">
        <v>4.6989716960000001</v>
      </c>
      <c r="J132">
        <v>7.8342237790000002</v>
      </c>
      <c r="K132">
        <v>192.8013311</v>
      </c>
      <c r="L132">
        <v>112.26346529999999</v>
      </c>
      <c r="M132" t="s">
        <v>35</v>
      </c>
      <c r="N132">
        <v>383.42229950000001</v>
      </c>
      <c r="O132">
        <v>9.5777517860000003</v>
      </c>
      <c r="P132">
        <v>10.93338994</v>
      </c>
      <c r="Q132">
        <v>5.291087965</v>
      </c>
      <c r="R132">
        <v>379.03057940000002</v>
      </c>
      <c r="S132">
        <v>1.2481739460000001</v>
      </c>
      <c r="T132">
        <v>8719.3702269999994</v>
      </c>
    </row>
    <row r="133" spans="1:20">
      <c r="A133">
        <v>150</v>
      </c>
      <c r="B133" t="s">
        <v>435</v>
      </c>
      <c r="C133" t="s">
        <v>436</v>
      </c>
      <c r="D133">
        <v>203</v>
      </c>
      <c r="E133">
        <v>2</v>
      </c>
      <c r="F133" t="s">
        <v>437</v>
      </c>
      <c r="G133" t="s">
        <v>33</v>
      </c>
      <c r="H133">
        <v>5.1507225410000004</v>
      </c>
      <c r="I133" t="s">
        <v>34</v>
      </c>
      <c r="J133">
        <v>8.7257142200000004</v>
      </c>
      <c r="K133" t="s">
        <v>35</v>
      </c>
      <c r="L133">
        <v>83.256509570000006</v>
      </c>
      <c r="M133" t="s">
        <v>35</v>
      </c>
      <c r="N133">
        <v>522.23655670000005</v>
      </c>
      <c r="O133">
        <v>9.6909381729999993</v>
      </c>
      <c r="P133">
        <v>11.94245029</v>
      </c>
      <c r="Q133">
        <v>2.736531024</v>
      </c>
      <c r="R133">
        <v>559.82221979999997</v>
      </c>
      <c r="S133">
        <v>1.131149366</v>
      </c>
      <c r="T133">
        <v>11219.306759999999</v>
      </c>
    </row>
    <row r="134" spans="1:20">
      <c r="A134">
        <v>45</v>
      </c>
      <c r="B134" t="s">
        <v>648</v>
      </c>
      <c r="C134" t="s">
        <v>649</v>
      </c>
      <c r="D134">
        <v>317</v>
      </c>
      <c r="E134">
        <v>1</v>
      </c>
      <c r="F134" t="s">
        <v>650</v>
      </c>
      <c r="G134" t="s">
        <v>33</v>
      </c>
      <c r="H134">
        <v>2.9124974130000001</v>
      </c>
      <c r="I134" t="s">
        <v>34</v>
      </c>
      <c r="J134">
        <v>5.1401147089999997</v>
      </c>
      <c r="K134">
        <v>91.865892759999994</v>
      </c>
      <c r="L134">
        <v>71.232013600000002</v>
      </c>
      <c r="M134" t="s">
        <v>35</v>
      </c>
      <c r="N134">
        <v>306.40830490000002</v>
      </c>
      <c r="O134">
        <v>6.3279944859999997</v>
      </c>
      <c r="P134">
        <v>9.7990790350000001</v>
      </c>
      <c r="Q134">
        <v>1.4478314299999999</v>
      </c>
      <c r="R134">
        <v>378.00980650000002</v>
      </c>
      <c r="S134">
        <v>1.6254481970000001</v>
      </c>
      <c r="T134">
        <v>11817.86815</v>
      </c>
    </row>
    <row r="135" spans="1:20">
      <c r="A135">
        <v>129</v>
      </c>
      <c r="B135" t="s">
        <v>372</v>
      </c>
      <c r="C135" t="s">
        <v>373</v>
      </c>
      <c r="D135">
        <v>166</v>
      </c>
      <c r="E135">
        <v>2</v>
      </c>
      <c r="F135" t="s">
        <v>374</v>
      </c>
      <c r="G135" t="s">
        <v>33</v>
      </c>
      <c r="H135">
        <v>5.8283311519999996</v>
      </c>
      <c r="I135" t="s">
        <v>34</v>
      </c>
      <c r="J135">
        <v>10.27434605</v>
      </c>
      <c r="K135">
        <v>139.71388049999999</v>
      </c>
      <c r="L135">
        <v>79.34885792</v>
      </c>
      <c r="M135" t="s">
        <v>35</v>
      </c>
      <c r="N135">
        <v>546.62329060000002</v>
      </c>
      <c r="O135">
        <v>9.4365232769999992</v>
      </c>
      <c r="P135">
        <v>17.369783569999999</v>
      </c>
      <c r="Q135">
        <v>5.1298500880000004</v>
      </c>
      <c r="R135">
        <v>515.17438819999995</v>
      </c>
      <c r="S135">
        <v>1.264526531</v>
      </c>
      <c r="T135">
        <v>11140.058230000001</v>
      </c>
    </row>
    <row r="136" spans="1:20">
      <c r="A136">
        <v>26</v>
      </c>
      <c r="B136" t="s">
        <v>591</v>
      </c>
      <c r="C136" t="s">
        <v>592</v>
      </c>
      <c r="D136">
        <v>282</v>
      </c>
      <c r="E136">
        <v>1</v>
      </c>
      <c r="F136" t="s">
        <v>593</v>
      </c>
      <c r="G136" t="s">
        <v>33</v>
      </c>
      <c r="H136">
        <v>4.9785751520000003</v>
      </c>
      <c r="I136" t="s">
        <v>34</v>
      </c>
      <c r="J136">
        <v>4.6138234799999998</v>
      </c>
      <c r="K136" t="s">
        <v>35</v>
      </c>
      <c r="L136">
        <v>50.234334079999996</v>
      </c>
      <c r="M136" t="s">
        <v>35</v>
      </c>
      <c r="N136">
        <v>211.6561706</v>
      </c>
      <c r="O136">
        <v>10.620465319999999</v>
      </c>
      <c r="P136">
        <v>10.94516761</v>
      </c>
      <c r="Q136">
        <v>2.8828303050000001</v>
      </c>
      <c r="R136">
        <v>376.22834419999998</v>
      </c>
      <c r="S136">
        <v>1.1630192779999999</v>
      </c>
      <c r="T136">
        <v>11977.879849999999</v>
      </c>
    </row>
    <row r="137" spans="1:20">
      <c r="A137">
        <v>24</v>
      </c>
      <c r="B137" t="s">
        <v>585</v>
      </c>
      <c r="C137" t="s">
        <v>586</v>
      </c>
      <c r="D137">
        <v>280</v>
      </c>
      <c r="E137">
        <v>1</v>
      </c>
      <c r="F137" t="s">
        <v>587</v>
      </c>
      <c r="G137" t="s">
        <v>33</v>
      </c>
      <c r="H137">
        <v>4.9933779669999998</v>
      </c>
      <c r="I137" t="s">
        <v>34</v>
      </c>
      <c r="J137">
        <v>6.1170425829999999</v>
      </c>
      <c r="K137" t="s">
        <v>35</v>
      </c>
      <c r="L137">
        <v>74.154402070000003</v>
      </c>
      <c r="M137" t="s">
        <v>35</v>
      </c>
      <c r="N137">
        <v>193.2358807</v>
      </c>
      <c r="O137">
        <v>8.1505918170000005</v>
      </c>
      <c r="P137">
        <v>11.82290442</v>
      </c>
      <c r="Q137">
        <v>1.5505833520000001</v>
      </c>
      <c r="R137">
        <v>452.44443710000002</v>
      </c>
      <c r="S137">
        <v>2.6410044890000002</v>
      </c>
      <c r="T137">
        <v>7203.860068</v>
      </c>
    </row>
    <row r="138" spans="1:20">
      <c r="A138">
        <v>197</v>
      </c>
      <c r="B138" t="s">
        <v>96</v>
      </c>
      <c r="C138" t="s">
        <v>97</v>
      </c>
      <c r="D138">
        <v>32</v>
      </c>
      <c r="E138">
        <v>3</v>
      </c>
      <c r="F138" t="s">
        <v>98</v>
      </c>
      <c r="G138" t="s">
        <v>33</v>
      </c>
      <c r="H138">
        <v>3.7308054319999999</v>
      </c>
      <c r="I138" t="s">
        <v>34</v>
      </c>
      <c r="J138">
        <v>6.3298294549999996</v>
      </c>
      <c r="K138" t="s">
        <v>35</v>
      </c>
      <c r="L138" t="s">
        <v>35</v>
      </c>
      <c r="M138">
        <v>4183.6123459999999</v>
      </c>
      <c r="N138">
        <v>231.9753958</v>
      </c>
      <c r="O138">
        <v>4.3970939429999998</v>
      </c>
      <c r="P138">
        <v>49.458036819999997</v>
      </c>
      <c r="Q138">
        <v>1.7312093630000001</v>
      </c>
      <c r="R138">
        <v>398.01305889999998</v>
      </c>
      <c r="S138">
        <v>2.0683295049999999</v>
      </c>
      <c r="T138">
        <v>7745.2335119999998</v>
      </c>
    </row>
    <row r="139" spans="1:20">
      <c r="A139">
        <v>201</v>
      </c>
      <c r="B139" t="s">
        <v>108</v>
      </c>
      <c r="C139" t="s">
        <v>109</v>
      </c>
      <c r="D139">
        <v>36</v>
      </c>
      <c r="E139">
        <v>3</v>
      </c>
      <c r="F139" t="s">
        <v>110</v>
      </c>
      <c r="G139" t="s">
        <v>33</v>
      </c>
      <c r="H139">
        <v>3.7586846309999999</v>
      </c>
      <c r="I139" t="s">
        <v>34</v>
      </c>
      <c r="J139">
        <v>5.6585857710000003</v>
      </c>
      <c r="K139">
        <v>118.89170009999999</v>
      </c>
      <c r="L139">
        <v>38.425963039999999</v>
      </c>
      <c r="M139" t="s">
        <v>35</v>
      </c>
      <c r="N139">
        <v>131.49744949999999</v>
      </c>
      <c r="O139">
        <v>5.2127034500000002</v>
      </c>
      <c r="P139">
        <v>17.566438980000001</v>
      </c>
      <c r="Q139">
        <v>1.526440904</v>
      </c>
      <c r="R139">
        <v>309.46634189999997</v>
      </c>
      <c r="S139">
        <v>1.0154279690000001</v>
      </c>
      <c r="T139">
        <v>10330.39451</v>
      </c>
    </row>
    <row r="140" spans="1:20">
      <c r="A140">
        <v>231</v>
      </c>
      <c r="B140" t="s">
        <v>198</v>
      </c>
      <c r="C140" t="s">
        <v>199</v>
      </c>
      <c r="D140">
        <v>84</v>
      </c>
      <c r="E140">
        <v>3</v>
      </c>
      <c r="F140" t="s">
        <v>200</v>
      </c>
      <c r="G140" t="s">
        <v>33</v>
      </c>
      <c r="H140">
        <v>3.544797623</v>
      </c>
      <c r="I140" t="s">
        <v>34</v>
      </c>
      <c r="J140">
        <v>6.0153893590000003</v>
      </c>
      <c r="K140" t="s">
        <v>35</v>
      </c>
      <c r="L140" t="s">
        <v>35</v>
      </c>
      <c r="M140">
        <v>2891.1973710000002</v>
      </c>
      <c r="N140">
        <v>158.8337923</v>
      </c>
      <c r="O140">
        <v>8.9973246499999995</v>
      </c>
      <c r="P140">
        <v>22.16859402</v>
      </c>
      <c r="Q140">
        <v>1.687196707</v>
      </c>
      <c r="R140">
        <v>607.47886140000003</v>
      </c>
      <c r="S140">
        <v>5.1200808289999999</v>
      </c>
      <c r="T140">
        <v>4653.3769190000003</v>
      </c>
    </row>
    <row r="141" spans="1:20">
      <c r="A141">
        <v>72</v>
      </c>
      <c r="B141" t="s">
        <v>729</v>
      </c>
      <c r="C141" t="s">
        <v>730</v>
      </c>
      <c r="D141">
        <v>351</v>
      </c>
      <c r="E141">
        <v>1</v>
      </c>
      <c r="F141" t="s">
        <v>731</v>
      </c>
      <c r="G141" t="s">
        <v>33</v>
      </c>
      <c r="H141">
        <v>8.0029116990000002</v>
      </c>
      <c r="I141" t="s">
        <v>34</v>
      </c>
      <c r="J141">
        <v>8.88430958</v>
      </c>
      <c r="K141" t="s">
        <v>35</v>
      </c>
      <c r="L141">
        <v>133.2315438</v>
      </c>
      <c r="M141" t="s">
        <v>35</v>
      </c>
      <c r="N141">
        <v>395.23969620000003</v>
      </c>
      <c r="O141">
        <v>15.15043</v>
      </c>
      <c r="P141">
        <v>58.7721108</v>
      </c>
      <c r="Q141">
        <v>4.0944622280000003</v>
      </c>
      <c r="R141">
        <v>775.63392590000001</v>
      </c>
      <c r="S141">
        <v>1.5601976580000001</v>
      </c>
      <c r="T141">
        <v>12076.680189999999</v>
      </c>
    </row>
    <row r="142" spans="1:20">
      <c r="A142">
        <v>70</v>
      </c>
      <c r="B142" t="s">
        <v>723</v>
      </c>
      <c r="C142" t="s">
        <v>724</v>
      </c>
      <c r="D142">
        <v>349</v>
      </c>
      <c r="E142">
        <v>1</v>
      </c>
      <c r="F142" t="s">
        <v>725</v>
      </c>
      <c r="G142" t="s">
        <v>33</v>
      </c>
      <c r="H142">
        <v>6.7214212350000002</v>
      </c>
      <c r="I142" t="s">
        <v>34</v>
      </c>
      <c r="J142">
        <v>7.0365384659999997</v>
      </c>
      <c r="K142">
        <v>105.0242889</v>
      </c>
      <c r="L142">
        <v>45.690278429999999</v>
      </c>
      <c r="M142" t="s">
        <v>35</v>
      </c>
      <c r="N142">
        <v>211.64216070000001</v>
      </c>
      <c r="O142">
        <v>6.5588182000000002</v>
      </c>
      <c r="P142">
        <v>8.1079057100000007</v>
      </c>
      <c r="Q142">
        <v>2.655576902</v>
      </c>
      <c r="R142">
        <v>294.91831350000001</v>
      </c>
      <c r="S142">
        <v>0.75390413899999997</v>
      </c>
      <c r="T142">
        <v>12454.695159999999</v>
      </c>
    </row>
    <row r="143" spans="1:20">
      <c r="A143">
        <v>146</v>
      </c>
      <c r="B143" t="s">
        <v>423</v>
      </c>
      <c r="C143" t="s">
        <v>424</v>
      </c>
      <c r="D143">
        <v>199</v>
      </c>
      <c r="E143">
        <v>2</v>
      </c>
      <c r="F143" t="s">
        <v>425</v>
      </c>
      <c r="G143" t="s">
        <v>33</v>
      </c>
      <c r="H143">
        <v>4.783685921</v>
      </c>
      <c r="I143" t="s">
        <v>34</v>
      </c>
      <c r="J143">
        <v>6.6922834440000001</v>
      </c>
      <c r="K143">
        <v>96.923815309999995</v>
      </c>
      <c r="L143">
        <v>63.037980930000003</v>
      </c>
      <c r="M143" t="s">
        <v>35</v>
      </c>
      <c r="N143">
        <v>258.58449969999998</v>
      </c>
      <c r="O143">
        <v>14.93628183</v>
      </c>
      <c r="P143">
        <v>11.38513466</v>
      </c>
      <c r="Q143">
        <v>5.0035403279999997</v>
      </c>
      <c r="R143">
        <v>380.0288276</v>
      </c>
      <c r="S143">
        <v>1.9087608460000001</v>
      </c>
      <c r="T143">
        <v>12897.07703</v>
      </c>
    </row>
    <row r="144" spans="1:20">
      <c r="A144">
        <v>19</v>
      </c>
      <c r="B144" t="s">
        <v>570</v>
      </c>
      <c r="C144" t="s">
        <v>571</v>
      </c>
      <c r="D144">
        <v>273</v>
      </c>
      <c r="E144">
        <v>1</v>
      </c>
      <c r="F144" t="s">
        <v>572</v>
      </c>
      <c r="G144" t="s">
        <v>33</v>
      </c>
      <c r="H144">
        <v>5.7966834780000003</v>
      </c>
      <c r="I144" t="s">
        <v>34</v>
      </c>
      <c r="J144">
        <v>8.1583395309999993</v>
      </c>
      <c r="K144">
        <v>120.332143</v>
      </c>
      <c r="L144">
        <v>134.9177847</v>
      </c>
      <c r="M144" t="s">
        <v>35</v>
      </c>
      <c r="N144">
        <v>348.80173600000001</v>
      </c>
      <c r="O144">
        <v>21.211254180000001</v>
      </c>
      <c r="P144">
        <v>23.041422260000001</v>
      </c>
      <c r="Q144">
        <v>3.9145023889999999</v>
      </c>
      <c r="R144">
        <v>661.85041130000002</v>
      </c>
      <c r="S144">
        <v>2.4163190719999998</v>
      </c>
      <c r="T144">
        <v>11184.647940000001</v>
      </c>
    </row>
    <row r="145" spans="1:20">
      <c r="A145">
        <v>31</v>
      </c>
      <c r="B145" t="s">
        <v>606</v>
      </c>
      <c r="C145" t="s">
        <v>607</v>
      </c>
      <c r="D145">
        <v>289</v>
      </c>
      <c r="E145">
        <v>1</v>
      </c>
      <c r="F145" t="s">
        <v>608</v>
      </c>
      <c r="G145" t="s">
        <v>33</v>
      </c>
      <c r="H145">
        <v>5.3014159420000002</v>
      </c>
      <c r="I145" t="s">
        <v>34</v>
      </c>
      <c r="J145">
        <v>6.017604188</v>
      </c>
      <c r="K145">
        <v>166.48310989999999</v>
      </c>
      <c r="L145">
        <v>62.355274870000002</v>
      </c>
      <c r="M145" t="s">
        <v>35</v>
      </c>
      <c r="N145">
        <v>190.799305</v>
      </c>
      <c r="O145">
        <v>5.5286128650000004</v>
      </c>
      <c r="P145">
        <v>10.42675644</v>
      </c>
      <c r="Q145">
        <v>1.9952838390000001</v>
      </c>
      <c r="R145">
        <v>353.27491609999998</v>
      </c>
      <c r="S145">
        <v>1.2770416259999999</v>
      </c>
      <c r="T145">
        <v>11456.81846</v>
      </c>
    </row>
    <row r="146" spans="1:20">
      <c r="A146">
        <v>181</v>
      </c>
      <c r="B146" t="s">
        <v>48</v>
      </c>
      <c r="C146" t="s">
        <v>49</v>
      </c>
      <c r="D146">
        <v>12</v>
      </c>
      <c r="E146">
        <v>3</v>
      </c>
      <c r="F146" t="s">
        <v>50</v>
      </c>
      <c r="G146" t="s">
        <v>33</v>
      </c>
      <c r="H146">
        <v>7.2059707489999996</v>
      </c>
      <c r="I146" t="s">
        <v>34</v>
      </c>
      <c r="J146">
        <v>13.25011254</v>
      </c>
      <c r="K146">
        <v>161.60373279999999</v>
      </c>
      <c r="L146">
        <v>78.660930359999995</v>
      </c>
      <c r="M146" t="s">
        <v>35</v>
      </c>
      <c r="N146" t="s">
        <v>35</v>
      </c>
      <c r="O146">
        <v>12.067359769999999</v>
      </c>
      <c r="P146">
        <v>17.625954499999999</v>
      </c>
      <c r="Q146">
        <v>4.1887943009999997</v>
      </c>
      <c r="R146">
        <v>561.39026720000004</v>
      </c>
      <c r="S146">
        <v>1.280884417</v>
      </c>
      <c r="T146">
        <v>14603.74295</v>
      </c>
    </row>
    <row r="147" spans="1:20">
      <c r="A147">
        <v>53</v>
      </c>
      <c r="B147" t="s">
        <v>672</v>
      </c>
      <c r="C147" t="s">
        <v>673</v>
      </c>
      <c r="D147">
        <v>327</v>
      </c>
      <c r="E147">
        <v>1</v>
      </c>
      <c r="F147" t="s">
        <v>674</v>
      </c>
      <c r="G147" t="s">
        <v>33</v>
      </c>
      <c r="H147">
        <v>26.871108230000001</v>
      </c>
      <c r="I147" t="s">
        <v>34</v>
      </c>
      <c r="J147">
        <v>38.952818479999998</v>
      </c>
      <c r="K147" t="s">
        <v>35</v>
      </c>
      <c r="L147">
        <v>109.26020579999999</v>
      </c>
      <c r="M147" t="s">
        <v>35</v>
      </c>
      <c r="N147">
        <v>285.88792230000001</v>
      </c>
      <c r="O147">
        <v>17.997154550000001</v>
      </c>
      <c r="P147">
        <v>10.628650629999999</v>
      </c>
      <c r="Q147">
        <v>14.78879689</v>
      </c>
      <c r="R147">
        <v>641.96640249999996</v>
      </c>
      <c r="S147">
        <v>0.79428603099999995</v>
      </c>
      <c r="T147">
        <v>16583.47061</v>
      </c>
    </row>
    <row r="148" spans="1:20">
      <c r="A148">
        <v>176</v>
      </c>
      <c r="B148" t="s">
        <v>30</v>
      </c>
      <c r="C148" t="s">
        <v>31</v>
      </c>
      <c r="D148">
        <v>7</v>
      </c>
      <c r="E148">
        <v>3</v>
      </c>
      <c r="F148" t="s">
        <v>32</v>
      </c>
      <c r="G148" t="s">
        <v>33</v>
      </c>
      <c r="H148">
        <v>8.3460364489999996</v>
      </c>
      <c r="I148" t="s">
        <v>34</v>
      </c>
      <c r="J148">
        <v>9.3448511710000002</v>
      </c>
      <c r="K148">
        <v>137.48851099999999</v>
      </c>
      <c r="L148">
        <v>85.476720990000004</v>
      </c>
      <c r="M148" t="s">
        <v>35</v>
      </c>
      <c r="N148">
        <v>275.96331939999999</v>
      </c>
      <c r="O148">
        <v>8.4795235560000002</v>
      </c>
      <c r="P148">
        <v>11.939709880000001</v>
      </c>
      <c r="Q148">
        <v>4.5292439719999997</v>
      </c>
      <c r="R148">
        <v>346.1610786</v>
      </c>
      <c r="S148">
        <v>1.0179256969999999</v>
      </c>
      <c r="T148">
        <v>11754.117329999999</v>
      </c>
    </row>
    <row r="149" spans="1:20">
      <c r="A149">
        <v>27</v>
      </c>
      <c r="B149" t="s">
        <v>594</v>
      </c>
      <c r="C149" t="s">
        <v>595</v>
      </c>
      <c r="D149">
        <v>283</v>
      </c>
      <c r="E149">
        <v>1</v>
      </c>
      <c r="F149" t="s">
        <v>596</v>
      </c>
      <c r="G149" t="s">
        <v>33</v>
      </c>
      <c r="H149">
        <v>5.5427839470000002</v>
      </c>
      <c r="I149" t="s">
        <v>34</v>
      </c>
      <c r="J149">
        <v>5.6375575089999996</v>
      </c>
      <c r="K149">
        <v>185.8999882</v>
      </c>
      <c r="L149">
        <v>74.041845780000003</v>
      </c>
      <c r="M149" t="s">
        <v>35</v>
      </c>
      <c r="N149">
        <v>136.53606730000001</v>
      </c>
      <c r="O149">
        <v>7.891951744</v>
      </c>
      <c r="P149">
        <v>7.8887794900000001</v>
      </c>
      <c r="Q149">
        <v>2.6864091970000001</v>
      </c>
      <c r="R149">
        <v>330.72288880000002</v>
      </c>
      <c r="S149">
        <v>1.713500915</v>
      </c>
      <c r="T149">
        <v>9558.6118320000005</v>
      </c>
    </row>
    <row r="150" spans="1:20">
      <c r="A150">
        <v>25</v>
      </c>
      <c r="B150" t="s">
        <v>588</v>
      </c>
      <c r="C150" t="s">
        <v>589</v>
      </c>
      <c r="D150">
        <v>281</v>
      </c>
      <c r="E150">
        <v>1</v>
      </c>
      <c r="F150" t="s">
        <v>590</v>
      </c>
      <c r="G150" t="s">
        <v>33</v>
      </c>
      <c r="H150">
        <v>5.7956250650000003</v>
      </c>
      <c r="I150" t="s">
        <v>34</v>
      </c>
      <c r="J150">
        <v>5.6760607690000002</v>
      </c>
      <c r="K150">
        <v>170.8243994</v>
      </c>
      <c r="L150">
        <v>84.265374679999994</v>
      </c>
      <c r="M150" t="s">
        <v>35</v>
      </c>
      <c r="N150">
        <v>314.84717389999997</v>
      </c>
      <c r="O150">
        <v>8.5231058149999992</v>
      </c>
      <c r="P150">
        <v>17.446223920000001</v>
      </c>
      <c r="Q150">
        <v>2.282962012</v>
      </c>
      <c r="R150">
        <v>516.8300031</v>
      </c>
      <c r="S150">
        <v>2.1872568480000001</v>
      </c>
      <c r="T150">
        <v>12341.208570000001</v>
      </c>
    </row>
    <row r="151" spans="1:20">
      <c r="A151">
        <v>168</v>
      </c>
      <c r="B151" t="s">
        <v>489</v>
      </c>
      <c r="C151" t="s">
        <v>490</v>
      </c>
      <c r="D151">
        <v>230</v>
      </c>
      <c r="E151">
        <v>2</v>
      </c>
      <c r="F151" t="s">
        <v>491</v>
      </c>
      <c r="G151" t="s">
        <v>33</v>
      </c>
      <c r="H151">
        <v>17.328652559999998</v>
      </c>
      <c r="I151" t="s">
        <v>34</v>
      </c>
      <c r="J151">
        <v>13.90770843</v>
      </c>
      <c r="K151">
        <v>38.105782019999999</v>
      </c>
      <c r="L151">
        <v>69.154679770000001</v>
      </c>
      <c r="M151" t="s">
        <v>35</v>
      </c>
      <c r="N151">
        <v>496.1349778</v>
      </c>
      <c r="O151">
        <v>7.3270739259999997</v>
      </c>
      <c r="P151">
        <v>15.59452626</v>
      </c>
      <c r="Q151">
        <v>9.2193722509999994</v>
      </c>
      <c r="R151">
        <v>330.90368960000001</v>
      </c>
      <c r="S151">
        <v>0.90561074600000002</v>
      </c>
      <c r="T151">
        <v>16932.586039999998</v>
      </c>
    </row>
    <row r="152" spans="1:20">
      <c r="A152">
        <v>152</v>
      </c>
      <c r="B152" t="s">
        <v>441</v>
      </c>
      <c r="C152" t="s">
        <v>442</v>
      </c>
      <c r="D152">
        <v>205</v>
      </c>
      <c r="E152">
        <v>2</v>
      </c>
      <c r="F152" t="s">
        <v>443</v>
      </c>
      <c r="G152" t="s">
        <v>33</v>
      </c>
      <c r="H152">
        <v>4.9401773090000001</v>
      </c>
      <c r="I152" t="s">
        <v>34</v>
      </c>
      <c r="J152">
        <v>7.1097299730000003</v>
      </c>
      <c r="K152" t="s">
        <v>35</v>
      </c>
      <c r="L152">
        <v>87.171194310000004</v>
      </c>
      <c r="M152" t="s">
        <v>35</v>
      </c>
      <c r="N152" t="s">
        <v>35</v>
      </c>
      <c r="O152">
        <v>10.218442120000001</v>
      </c>
      <c r="P152">
        <v>16.074191930000001</v>
      </c>
      <c r="Q152">
        <v>2.6421348930000002</v>
      </c>
      <c r="R152">
        <v>599.25560970000004</v>
      </c>
      <c r="S152">
        <v>1.4533710099999999</v>
      </c>
      <c r="T152">
        <v>12594.08351</v>
      </c>
    </row>
    <row r="153" spans="1:20">
      <c r="A153">
        <v>110</v>
      </c>
      <c r="B153" t="s">
        <v>315</v>
      </c>
      <c r="C153" t="s">
        <v>316</v>
      </c>
      <c r="D153">
        <v>143</v>
      </c>
      <c r="E153">
        <v>2</v>
      </c>
      <c r="F153" t="s">
        <v>317</v>
      </c>
      <c r="G153" t="s">
        <v>33</v>
      </c>
      <c r="H153">
        <v>6.5543837759999999</v>
      </c>
      <c r="I153" t="s">
        <v>34</v>
      </c>
      <c r="J153">
        <v>11.65789532</v>
      </c>
      <c r="K153" t="s">
        <v>35</v>
      </c>
      <c r="L153">
        <v>63.258148380000002</v>
      </c>
      <c r="M153" t="s">
        <v>35</v>
      </c>
      <c r="N153">
        <v>272.93974040000001</v>
      </c>
      <c r="O153">
        <v>8.3763727200000009</v>
      </c>
      <c r="P153">
        <v>12.6826314</v>
      </c>
      <c r="Q153">
        <v>4.2050332179999996</v>
      </c>
      <c r="R153">
        <v>289.1102707</v>
      </c>
      <c r="S153">
        <v>1.1360349860000001</v>
      </c>
      <c r="T153">
        <v>9916.0117210000008</v>
      </c>
    </row>
    <row r="154" spans="1:20">
      <c r="A154">
        <v>58</v>
      </c>
      <c r="B154" t="s">
        <v>687</v>
      </c>
      <c r="C154" t="s">
        <v>688</v>
      </c>
      <c r="D154">
        <v>332</v>
      </c>
      <c r="E154">
        <v>1</v>
      </c>
      <c r="F154" t="s">
        <v>689</v>
      </c>
      <c r="G154" t="s">
        <v>33</v>
      </c>
      <c r="H154">
        <v>5.4204588100000004</v>
      </c>
      <c r="I154" t="s">
        <v>34</v>
      </c>
      <c r="J154">
        <v>3.7668977020000001</v>
      </c>
      <c r="K154" t="s">
        <v>35</v>
      </c>
      <c r="L154">
        <v>47.243347229999998</v>
      </c>
      <c r="M154" t="s">
        <v>35</v>
      </c>
      <c r="N154">
        <v>290.20054859999999</v>
      </c>
      <c r="O154">
        <v>4.7338279740000004</v>
      </c>
      <c r="P154">
        <v>14.87020497</v>
      </c>
      <c r="Q154">
        <v>1.3880193249999999</v>
      </c>
      <c r="R154">
        <v>246.67199489999999</v>
      </c>
      <c r="S154">
        <v>0.91312896899999996</v>
      </c>
      <c r="T154">
        <v>9784.308266</v>
      </c>
    </row>
    <row r="155" spans="1:20">
      <c r="A155">
        <v>127</v>
      </c>
      <c r="B155" t="s">
        <v>366</v>
      </c>
      <c r="C155" t="s">
        <v>367</v>
      </c>
      <c r="D155">
        <v>164</v>
      </c>
      <c r="E155">
        <v>2</v>
      </c>
      <c r="F155" t="s">
        <v>368</v>
      </c>
      <c r="G155" t="s">
        <v>33</v>
      </c>
      <c r="H155">
        <v>4.3723782</v>
      </c>
      <c r="I155" t="s">
        <v>34</v>
      </c>
      <c r="J155">
        <v>5.3616286510000002</v>
      </c>
      <c r="K155">
        <v>111.47842470000001</v>
      </c>
      <c r="L155">
        <v>57.544749799999998</v>
      </c>
      <c r="M155">
        <v>3769.585736</v>
      </c>
      <c r="N155">
        <v>190.69046059999999</v>
      </c>
      <c r="O155">
        <v>6.633050968</v>
      </c>
      <c r="P155">
        <v>14.23755929</v>
      </c>
      <c r="Q155">
        <v>1.748755845</v>
      </c>
      <c r="R155">
        <v>394.61297280000002</v>
      </c>
      <c r="S155">
        <v>1.6052943660000001</v>
      </c>
      <c r="T155">
        <v>11712.961289999999</v>
      </c>
    </row>
    <row r="156" spans="1:20">
      <c r="A156">
        <v>214</v>
      </c>
      <c r="B156" t="s">
        <v>147</v>
      </c>
      <c r="C156" t="s">
        <v>148</v>
      </c>
      <c r="D156">
        <v>51</v>
      </c>
      <c r="E156">
        <v>3</v>
      </c>
      <c r="F156" t="s">
        <v>149</v>
      </c>
      <c r="G156" t="s">
        <v>33</v>
      </c>
      <c r="H156">
        <v>7.6539570389999998</v>
      </c>
      <c r="I156" t="s">
        <v>34</v>
      </c>
      <c r="J156">
        <v>7.1245687269999998</v>
      </c>
      <c r="K156" t="s">
        <v>35</v>
      </c>
      <c r="L156">
        <v>52.792812159999997</v>
      </c>
      <c r="M156" t="s">
        <v>35</v>
      </c>
      <c r="N156">
        <v>340.75223720000002</v>
      </c>
      <c r="O156">
        <v>12.05985329</v>
      </c>
      <c r="P156">
        <v>10.71584015</v>
      </c>
      <c r="Q156">
        <v>4.233185808</v>
      </c>
      <c r="R156">
        <v>387.44170860000003</v>
      </c>
      <c r="S156">
        <v>1.163503282</v>
      </c>
      <c r="T156">
        <v>11727.303449999999</v>
      </c>
    </row>
    <row r="157" spans="1:20">
      <c r="A157">
        <v>64</v>
      </c>
      <c r="B157" t="s">
        <v>705</v>
      </c>
      <c r="C157" t="s">
        <v>706</v>
      </c>
      <c r="D157">
        <v>341</v>
      </c>
      <c r="E157">
        <v>1</v>
      </c>
      <c r="F157" t="s">
        <v>707</v>
      </c>
      <c r="G157" t="s">
        <v>33</v>
      </c>
      <c r="H157">
        <v>3.9581561660000002</v>
      </c>
      <c r="I157" t="s">
        <v>34</v>
      </c>
      <c r="J157">
        <v>7.0373509089999997</v>
      </c>
      <c r="K157">
        <v>70.751325100000003</v>
      </c>
      <c r="L157">
        <v>73.5224707</v>
      </c>
      <c r="M157" t="s">
        <v>35</v>
      </c>
      <c r="N157">
        <v>212.12702899999999</v>
      </c>
      <c r="O157">
        <v>9.6325918769999994</v>
      </c>
      <c r="P157">
        <v>8.1181942679999999</v>
      </c>
      <c r="Q157">
        <v>2.7955459760000001</v>
      </c>
      <c r="R157">
        <v>371.34882929999998</v>
      </c>
      <c r="S157">
        <v>1.0918021609999999</v>
      </c>
      <c r="T157">
        <v>10042.58072</v>
      </c>
    </row>
    <row r="158" spans="1:20">
      <c r="A158">
        <v>73</v>
      </c>
      <c r="B158" t="s">
        <v>732</v>
      </c>
      <c r="C158" t="s">
        <v>733</v>
      </c>
      <c r="D158">
        <v>352</v>
      </c>
      <c r="E158">
        <v>1</v>
      </c>
      <c r="F158" t="s">
        <v>734</v>
      </c>
      <c r="G158" t="s">
        <v>33</v>
      </c>
      <c r="H158">
        <v>15.438612279999999</v>
      </c>
      <c r="I158" t="s">
        <v>34</v>
      </c>
      <c r="J158">
        <v>11.605017910000001</v>
      </c>
      <c r="K158">
        <v>154.510447</v>
      </c>
      <c r="L158">
        <v>82.945657999999995</v>
      </c>
      <c r="M158">
        <v>4137.4644719999997</v>
      </c>
      <c r="N158">
        <v>363.52751760000001</v>
      </c>
      <c r="O158">
        <v>11.63001094</v>
      </c>
      <c r="P158">
        <v>8.9437401839999993</v>
      </c>
      <c r="Q158">
        <v>6.9080848980000003</v>
      </c>
      <c r="R158">
        <v>549.78064099999995</v>
      </c>
      <c r="S158">
        <v>1.127779592</v>
      </c>
      <c r="T158">
        <v>11978.75122</v>
      </c>
    </row>
    <row r="159" spans="1:20">
      <c r="A159">
        <v>30</v>
      </c>
      <c r="B159" t="s">
        <v>603</v>
      </c>
      <c r="C159" t="s">
        <v>604</v>
      </c>
      <c r="D159">
        <v>288</v>
      </c>
      <c r="E159">
        <v>1</v>
      </c>
      <c r="F159" t="s">
        <v>605</v>
      </c>
      <c r="G159" t="s">
        <v>33</v>
      </c>
      <c r="H159">
        <v>11.504564309999999</v>
      </c>
      <c r="I159" t="s">
        <v>34</v>
      </c>
      <c r="J159">
        <v>6.3546674699999999</v>
      </c>
      <c r="K159">
        <v>112.24165170000001</v>
      </c>
      <c r="L159">
        <v>34.413316279999997</v>
      </c>
      <c r="M159">
        <v>4026.2921820000001</v>
      </c>
      <c r="N159">
        <v>159.80864829999999</v>
      </c>
      <c r="O159">
        <v>7.0425891930000004</v>
      </c>
      <c r="P159">
        <v>11.06046016</v>
      </c>
      <c r="Q159">
        <v>3.5168626970000001</v>
      </c>
      <c r="R159">
        <v>234.6566005</v>
      </c>
      <c r="S159">
        <v>1.040914248</v>
      </c>
      <c r="T159">
        <v>9533.4336770000009</v>
      </c>
    </row>
    <row r="160" spans="1:20">
      <c r="A160">
        <v>18</v>
      </c>
      <c r="B160" t="s">
        <v>567</v>
      </c>
      <c r="C160" t="s">
        <v>568</v>
      </c>
      <c r="D160">
        <v>272</v>
      </c>
      <c r="E160">
        <v>1</v>
      </c>
      <c r="F160" t="s">
        <v>569</v>
      </c>
      <c r="G160" t="s">
        <v>33</v>
      </c>
      <c r="H160">
        <v>2.4885086159999998</v>
      </c>
      <c r="I160" t="s">
        <v>34</v>
      </c>
      <c r="J160">
        <v>2.6087780509999998</v>
      </c>
      <c r="K160" t="s">
        <v>35</v>
      </c>
      <c r="L160">
        <v>35.48952843</v>
      </c>
      <c r="M160" t="s">
        <v>35</v>
      </c>
      <c r="N160">
        <v>177.24653739999999</v>
      </c>
      <c r="O160">
        <v>1.8733240090000001</v>
      </c>
      <c r="P160">
        <v>9.5401260140000002</v>
      </c>
      <c r="Q160">
        <v>0.48201851000000001</v>
      </c>
      <c r="R160">
        <v>180.6603906</v>
      </c>
      <c r="S160">
        <v>1.052984079</v>
      </c>
      <c r="T160">
        <v>5731.106393</v>
      </c>
    </row>
    <row r="161" spans="1:20">
      <c r="A161">
        <v>128</v>
      </c>
      <c r="B161" t="s">
        <v>369</v>
      </c>
      <c r="C161" t="s">
        <v>370</v>
      </c>
      <c r="D161">
        <v>165</v>
      </c>
      <c r="E161">
        <v>2</v>
      </c>
      <c r="F161" t="s">
        <v>371</v>
      </c>
      <c r="G161" t="s">
        <v>33</v>
      </c>
      <c r="H161">
        <v>5.1315568689999997</v>
      </c>
      <c r="I161" t="s">
        <v>34</v>
      </c>
      <c r="J161">
        <v>5.5009350469999996</v>
      </c>
      <c r="K161">
        <v>93.361464380000001</v>
      </c>
      <c r="L161">
        <v>50.072115750000002</v>
      </c>
      <c r="M161" t="s">
        <v>35</v>
      </c>
      <c r="N161">
        <v>161.866637</v>
      </c>
      <c r="O161">
        <v>7.5728713330000001</v>
      </c>
      <c r="P161">
        <v>11.686853749999999</v>
      </c>
      <c r="Q161">
        <v>1.646162269</v>
      </c>
      <c r="R161">
        <v>361.13429939999997</v>
      </c>
      <c r="S161">
        <v>1.189530443</v>
      </c>
      <c r="T161">
        <v>12273.745440000001</v>
      </c>
    </row>
    <row r="162" spans="1:20">
      <c r="A162">
        <v>187</v>
      </c>
      <c r="B162" t="s">
        <v>66</v>
      </c>
      <c r="C162" t="s">
        <v>67</v>
      </c>
      <c r="D162">
        <v>20</v>
      </c>
      <c r="E162">
        <v>3</v>
      </c>
      <c r="F162" t="s">
        <v>68</v>
      </c>
      <c r="G162" t="s">
        <v>33</v>
      </c>
      <c r="H162">
        <v>11.87990418</v>
      </c>
      <c r="I162" t="s">
        <v>34</v>
      </c>
      <c r="J162">
        <v>10.51890291</v>
      </c>
      <c r="K162">
        <v>175.02369859999999</v>
      </c>
      <c r="L162">
        <v>45.052666420000001</v>
      </c>
      <c r="M162" t="s">
        <v>35</v>
      </c>
      <c r="N162">
        <v>230.81276249999999</v>
      </c>
      <c r="O162">
        <v>8.4116034949999996</v>
      </c>
      <c r="P162">
        <v>20.886860389999999</v>
      </c>
      <c r="Q162">
        <v>2.7242486289999999</v>
      </c>
      <c r="R162">
        <v>370.9050628</v>
      </c>
      <c r="S162">
        <v>1.1651574330000001</v>
      </c>
      <c r="T162">
        <v>15144.714599999999</v>
      </c>
    </row>
    <row r="163" spans="1:20">
      <c r="A163">
        <v>198</v>
      </c>
      <c r="B163" t="s">
        <v>99</v>
      </c>
      <c r="C163" t="s">
        <v>100</v>
      </c>
      <c r="D163">
        <v>33</v>
      </c>
      <c r="E163">
        <v>3</v>
      </c>
      <c r="F163" t="s">
        <v>101</v>
      </c>
      <c r="G163" t="s">
        <v>33</v>
      </c>
      <c r="H163">
        <v>4.9113575379999999</v>
      </c>
      <c r="I163" t="s">
        <v>34</v>
      </c>
      <c r="J163">
        <v>9.7772705010000003</v>
      </c>
      <c r="K163" t="s">
        <v>35</v>
      </c>
      <c r="L163">
        <v>172.77695539999999</v>
      </c>
      <c r="M163">
        <v>4648.9436059999998</v>
      </c>
      <c r="N163">
        <v>184.75947909999999</v>
      </c>
      <c r="O163">
        <v>5.5399306140000002</v>
      </c>
      <c r="P163">
        <v>20.223524520000002</v>
      </c>
      <c r="Q163">
        <v>2.825683444</v>
      </c>
      <c r="R163">
        <v>368.05084290000002</v>
      </c>
      <c r="S163">
        <v>1.4473485740000001</v>
      </c>
      <c r="T163">
        <v>7421.4084670000002</v>
      </c>
    </row>
    <row r="164" spans="1:20">
      <c r="A164">
        <v>232</v>
      </c>
      <c r="B164" t="s">
        <v>201</v>
      </c>
      <c r="C164" t="s">
        <v>202</v>
      </c>
      <c r="D164">
        <v>85</v>
      </c>
      <c r="E164">
        <v>3</v>
      </c>
      <c r="F164" t="s">
        <v>203</v>
      </c>
      <c r="G164" t="s">
        <v>33</v>
      </c>
      <c r="H164">
        <v>4.8883884259999997</v>
      </c>
      <c r="I164" t="s">
        <v>34</v>
      </c>
      <c r="J164">
        <v>6.6846012940000001</v>
      </c>
      <c r="K164" t="s">
        <v>35</v>
      </c>
      <c r="L164">
        <v>148.56894030000001</v>
      </c>
      <c r="M164" t="s">
        <v>35</v>
      </c>
      <c r="N164">
        <v>325.06301439999999</v>
      </c>
      <c r="O164">
        <v>16.120907290000002</v>
      </c>
      <c r="P164">
        <v>75.200472070000004</v>
      </c>
      <c r="Q164">
        <v>6.1001480160000003</v>
      </c>
      <c r="R164">
        <v>675.28923759999998</v>
      </c>
      <c r="S164">
        <v>2.9552246960000002</v>
      </c>
      <c r="T164">
        <v>6515.5746810000001</v>
      </c>
    </row>
    <row r="165" spans="1:20">
      <c r="A165">
        <v>177</v>
      </c>
      <c r="B165" t="s">
        <v>36</v>
      </c>
      <c r="C165" t="s">
        <v>37</v>
      </c>
      <c r="D165">
        <v>8</v>
      </c>
      <c r="E165">
        <v>3</v>
      </c>
      <c r="F165" t="s">
        <v>38</v>
      </c>
      <c r="G165" t="s">
        <v>33</v>
      </c>
      <c r="H165">
        <v>5.1832145199999999</v>
      </c>
      <c r="I165" t="s">
        <v>34</v>
      </c>
      <c r="J165">
        <v>5.5274278629999998</v>
      </c>
      <c r="K165">
        <v>84.636957609999996</v>
      </c>
      <c r="L165">
        <v>49.313930509999999</v>
      </c>
      <c r="M165">
        <v>3839.7830439999998</v>
      </c>
      <c r="N165">
        <v>251.5649626</v>
      </c>
      <c r="O165">
        <v>8.6125928609999995</v>
      </c>
      <c r="P165">
        <v>9.2150796370000005</v>
      </c>
      <c r="Q165">
        <v>3.1770904799999999</v>
      </c>
      <c r="R165">
        <v>338.52574179999999</v>
      </c>
      <c r="S165">
        <v>0.90041204100000005</v>
      </c>
      <c r="T165">
        <v>9139.0390499999994</v>
      </c>
    </row>
    <row r="166" spans="1:20">
      <c r="A166">
        <v>175</v>
      </c>
      <c r="B166" t="s">
        <v>510</v>
      </c>
      <c r="C166" t="s">
        <v>511</v>
      </c>
      <c r="D166">
        <v>237</v>
      </c>
      <c r="E166">
        <v>2</v>
      </c>
      <c r="F166" t="s">
        <v>512</v>
      </c>
      <c r="G166" t="s">
        <v>33</v>
      </c>
      <c r="H166">
        <v>6.2822241769999998</v>
      </c>
      <c r="I166" t="s">
        <v>34</v>
      </c>
      <c r="J166">
        <v>11.305498890000001</v>
      </c>
      <c r="K166">
        <v>160.41303009999999</v>
      </c>
      <c r="L166">
        <v>162.58300199999999</v>
      </c>
      <c r="M166">
        <v>4191.7805200000003</v>
      </c>
      <c r="N166">
        <v>295.17560520000001</v>
      </c>
      <c r="O166">
        <v>13.70153945</v>
      </c>
      <c r="P166">
        <v>19.991725710000001</v>
      </c>
      <c r="Q166">
        <v>2.8308874880000001</v>
      </c>
      <c r="R166" t="s">
        <v>35</v>
      </c>
      <c r="S166">
        <v>2.8087369029999998</v>
      </c>
      <c r="T166">
        <v>13424.936540000001</v>
      </c>
    </row>
    <row r="167" spans="1:20">
      <c r="A167">
        <v>112</v>
      </c>
      <c r="B167" t="s">
        <v>321</v>
      </c>
      <c r="C167" t="s">
        <v>322</v>
      </c>
      <c r="D167">
        <v>145</v>
      </c>
      <c r="E167">
        <v>2</v>
      </c>
      <c r="F167" t="s">
        <v>323</v>
      </c>
      <c r="G167" t="s">
        <v>33</v>
      </c>
      <c r="H167">
        <v>17.16293263</v>
      </c>
      <c r="I167" t="s">
        <v>34</v>
      </c>
      <c r="J167">
        <v>11.17053069</v>
      </c>
      <c r="K167">
        <v>39.300049399999999</v>
      </c>
      <c r="L167">
        <v>39.648561919999999</v>
      </c>
      <c r="M167" t="s">
        <v>35</v>
      </c>
      <c r="N167">
        <v>340.47966339999999</v>
      </c>
      <c r="O167">
        <v>10.33540837</v>
      </c>
      <c r="P167">
        <v>16.221363920000002</v>
      </c>
      <c r="Q167">
        <v>5.2170366369999996</v>
      </c>
      <c r="R167">
        <v>235.1354571</v>
      </c>
      <c r="S167">
        <v>0.79601183900000005</v>
      </c>
      <c r="T167">
        <v>9906.6318279999996</v>
      </c>
    </row>
    <row r="168" spans="1:20">
      <c r="A168">
        <v>174</v>
      </c>
      <c r="B168" t="s">
        <v>507</v>
      </c>
      <c r="C168" t="s">
        <v>508</v>
      </c>
      <c r="D168">
        <v>236</v>
      </c>
      <c r="E168">
        <v>2</v>
      </c>
      <c r="F168" t="s">
        <v>509</v>
      </c>
      <c r="G168" t="s">
        <v>33</v>
      </c>
      <c r="H168">
        <v>7.6652352459999999</v>
      </c>
      <c r="I168" t="s">
        <v>34</v>
      </c>
      <c r="J168">
        <v>14.17216691</v>
      </c>
      <c r="K168">
        <v>147.01690099999999</v>
      </c>
      <c r="L168">
        <v>122.94757319999999</v>
      </c>
      <c r="M168">
        <v>4391.94661</v>
      </c>
      <c r="N168">
        <v>364.92962679999999</v>
      </c>
      <c r="O168">
        <v>13.75957987</v>
      </c>
      <c r="P168">
        <v>20.412948140000001</v>
      </c>
      <c r="Q168">
        <v>5.347863641</v>
      </c>
      <c r="R168">
        <v>678.65490360000001</v>
      </c>
      <c r="S168">
        <v>2.5333547639999998</v>
      </c>
      <c r="T168">
        <v>13550.593769999999</v>
      </c>
    </row>
    <row r="169" spans="1:20">
      <c r="A169">
        <v>244</v>
      </c>
      <c r="B169" t="s">
        <v>237</v>
      </c>
      <c r="C169" t="s">
        <v>238</v>
      </c>
      <c r="D169">
        <v>99</v>
      </c>
      <c r="E169">
        <v>3</v>
      </c>
      <c r="F169" t="s">
        <v>239</v>
      </c>
      <c r="G169" t="s">
        <v>33</v>
      </c>
      <c r="H169">
        <v>6.29315845</v>
      </c>
      <c r="I169" t="s">
        <v>34</v>
      </c>
      <c r="J169">
        <v>9.1674817999999991</v>
      </c>
      <c r="K169">
        <v>143.58889590000001</v>
      </c>
      <c r="L169">
        <v>37.765848759999997</v>
      </c>
      <c r="M169">
        <v>3432.3323690000002</v>
      </c>
      <c r="N169">
        <v>160.72736269999999</v>
      </c>
      <c r="O169">
        <v>6.1071770519999999</v>
      </c>
      <c r="P169">
        <v>12.37892796</v>
      </c>
      <c r="Q169">
        <v>4.3891738629999999</v>
      </c>
      <c r="R169">
        <v>277.20047749999998</v>
      </c>
      <c r="S169">
        <v>1.5289015029999999</v>
      </c>
      <c r="T169">
        <v>10993.894770000001</v>
      </c>
    </row>
    <row r="170" spans="1:20">
      <c r="A170">
        <v>225</v>
      </c>
      <c r="B170" t="s">
        <v>180</v>
      </c>
      <c r="C170" t="s">
        <v>181</v>
      </c>
      <c r="D170">
        <v>76</v>
      </c>
      <c r="E170">
        <v>3</v>
      </c>
      <c r="F170" t="s">
        <v>182</v>
      </c>
      <c r="G170" t="s">
        <v>33</v>
      </c>
      <c r="H170">
        <v>1.671986602</v>
      </c>
      <c r="I170" t="s">
        <v>34</v>
      </c>
      <c r="J170">
        <v>5.6445825169999999</v>
      </c>
      <c r="K170" t="s">
        <v>35</v>
      </c>
      <c r="L170">
        <v>58.847334330000002</v>
      </c>
      <c r="M170">
        <v>3039.9553770000002</v>
      </c>
      <c r="N170" t="s">
        <v>35</v>
      </c>
      <c r="O170">
        <v>4.233210251</v>
      </c>
      <c r="P170">
        <v>22.008981200000001</v>
      </c>
      <c r="Q170" t="s">
        <v>34</v>
      </c>
      <c r="R170">
        <v>438.74006900000001</v>
      </c>
      <c r="S170">
        <v>2.7002412850000002</v>
      </c>
      <c r="T170">
        <v>8868.369385</v>
      </c>
    </row>
    <row r="171" spans="1:20">
      <c r="A171">
        <v>170</v>
      </c>
      <c r="B171" t="s">
        <v>495</v>
      </c>
      <c r="C171" t="s">
        <v>496</v>
      </c>
      <c r="D171">
        <v>232</v>
      </c>
      <c r="E171">
        <v>2</v>
      </c>
      <c r="F171" t="s">
        <v>497</v>
      </c>
      <c r="G171" t="s">
        <v>33</v>
      </c>
      <c r="H171">
        <v>6.423085092</v>
      </c>
      <c r="I171" t="s">
        <v>34</v>
      </c>
      <c r="J171">
        <v>14.712336430000001</v>
      </c>
      <c r="K171">
        <v>140.4757261</v>
      </c>
      <c r="L171">
        <v>117.619957</v>
      </c>
      <c r="M171">
        <v>4975.141552</v>
      </c>
      <c r="N171">
        <v>208.70136020000001</v>
      </c>
      <c r="O171">
        <v>16.838657919999999</v>
      </c>
      <c r="P171">
        <v>19.603472310000001</v>
      </c>
      <c r="Q171">
        <v>5.4759089469999997</v>
      </c>
      <c r="R171">
        <v>783.40708080000002</v>
      </c>
      <c r="S171">
        <v>2.437158132</v>
      </c>
      <c r="T171">
        <v>18152.501209999999</v>
      </c>
    </row>
    <row r="172" spans="1:20">
      <c r="A172">
        <v>113</v>
      </c>
      <c r="B172" t="s">
        <v>324</v>
      </c>
      <c r="C172" t="s">
        <v>325</v>
      </c>
      <c r="D172">
        <v>146</v>
      </c>
      <c r="E172">
        <v>2</v>
      </c>
      <c r="F172" t="s">
        <v>326</v>
      </c>
      <c r="G172" t="s">
        <v>33</v>
      </c>
      <c r="H172">
        <v>11.48604797</v>
      </c>
      <c r="I172" t="s">
        <v>34</v>
      </c>
      <c r="J172">
        <v>9.3000136540000007</v>
      </c>
      <c r="K172">
        <v>43.99317044</v>
      </c>
      <c r="L172">
        <v>32.854328500000001</v>
      </c>
      <c r="M172" t="s">
        <v>35</v>
      </c>
      <c r="N172">
        <v>487.63201129999999</v>
      </c>
      <c r="O172">
        <v>8.8032489359999992</v>
      </c>
      <c r="P172">
        <v>12.380582410000001</v>
      </c>
      <c r="Q172">
        <v>5.1034974899999996</v>
      </c>
      <c r="R172">
        <v>224.7745309</v>
      </c>
      <c r="S172">
        <v>0.92982366400000005</v>
      </c>
      <c r="T172">
        <v>7155.3370729999997</v>
      </c>
    </row>
    <row r="173" spans="1:20">
      <c r="A173">
        <v>173</v>
      </c>
      <c r="B173" t="s">
        <v>504</v>
      </c>
      <c r="C173" t="s">
        <v>505</v>
      </c>
      <c r="D173">
        <v>235</v>
      </c>
      <c r="E173">
        <v>2</v>
      </c>
      <c r="F173" t="s">
        <v>506</v>
      </c>
      <c r="G173" t="s">
        <v>33</v>
      </c>
      <c r="H173">
        <v>3.7612231719999998</v>
      </c>
      <c r="I173" t="s">
        <v>34</v>
      </c>
      <c r="J173">
        <v>8.4745268530000004</v>
      </c>
      <c r="K173">
        <v>169.68253870000001</v>
      </c>
      <c r="L173">
        <v>90.370861660000003</v>
      </c>
      <c r="M173">
        <v>4885.4446589999998</v>
      </c>
      <c r="N173">
        <v>282.10968869999999</v>
      </c>
      <c r="O173">
        <v>10.616958410000001</v>
      </c>
      <c r="P173">
        <v>16.07693828</v>
      </c>
      <c r="Q173">
        <v>2.6060512309999999</v>
      </c>
      <c r="R173">
        <v>631.65953850000005</v>
      </c>
      <c r="S173">
        <v>2.3537682069999999</v>
      </c>
      <c r="T173">
        <v>10881.54441</v>
      </c>
    </row>
    <row r="174" spans="1:20">
      <c r="A174">
        <v>115</v>
      </c>
      <c r="B174" t="s">
        <v>330</v>
      </c>
      <c r="C174" t="s">
        <v>331</v>
      </c>
      <c r="D174">
        <v>148</v>
      </c>
      <c r="E174">
        <v>2</v>
      </c>
      <c r="F174" t="s">
        <v>332</v>
      </c>
      <c r="G174" t="s">
        <v>33</v>
      </c>
      <c r="H174">
        <v>11.50627222</v>
      </c>
      <c r="I174" t="s">
        <v>34</v>
      </c>
      <c r="J174">
        <v>8.8223487679999995</v>
      </c>
      <c r="K174">
        <v>30.75535202</v>
      </c>
      <c r="L174">
        <v>34.39109594</v>
      </c>
      <c r="M174" t="s">
        <v>35</v>
      </c>
      <c r="N174">
        <v>262.49598420000001</v>
      </c>
      <c r="O174">
        <v>9.8352065660000001</v>
      </c>
      <c r="P174">
        <v>9.8085670100000009</v>
      </c>
      <c r="Q174">
        <v>5.0733338359999998</v>
      </c>
      <c r="R174">
        <v>215.99539189999999</v>
      </c>
      <c r="S174">
        <v>0.78999625299999998</v>
      </c>
      <c r="T174">
        <v>7529.4062080000003</v>
      </c>
    </row>
    <row r="175" spans="1:20">
      <c r="A175">
        <v>247</v>
      </c>
      <c r="B175" t="s">
        <v>246</v>
      </c>
      <c r="C175" t="s">
        <v>247</v>
      </c>
      <c r="D175">
        <v>104</v>
      </c>
      <c r="E175">
        <v>3</v>
      </c>
      <c r="F175" t="s">
        <v>248</v>
      </c>
      <c r="G175" t="s">
        <v>33</v>
      </c>
      <c r="H175">
        <v>7.1222215379999998</v>
      </c>
      <c r="I175" t="s">
        <v>34</v>
      </c>
      <c r="J175">
        <v>13.13377828</v>
      </c>
      <c r="K175">
        <v>85.983918669999994</v>
      </c>
      <c r="L175">
        <v>42.639094329999999</v>
      </c>
      <c r="M175">
        <v>3078.3707380000001</v>
      </c>
      <c r="N175">
        <v>247.5980792</v>
      </c>
      <c r="O175">
        <v>10.21299687</v>
      </c>
      <c r="P175">
        <v>12.326708979999999</v>
      </c>
      <c r="Q175">
        <v>6.4624690530000004</v>
      </c>
      <c r="R175">
        <v>369.11585919999999</v>
      </c>
      <c r="S175">
        <v>1.9240003109999999</v>
      </c>
      <c r="T175">
        <v>9514.4158160000006</v>
      </c>
    </row>
    <row r="176" spans="1:20">
      <c r="A176">
        <v>117</v>
      </c>
      <c r="B176" t="s">
        <v>336</v>
      </c>
      <c r="C176" t="s">
        <v>337</v>
      </c>
      <c r="D176">
        <v>152</v>
      </c>
      <c r="E176">
        <v>2</v>
      </c>
      <c r="F176" t="s">
        <v>338</v>
      </c>
      <c r="G176" t="s">
        <v>33</v>
      </c>
      <c r="H176">
        <v>10.39733638</v>
      </c>
      <c r="I176" t="s">
        <v>34</v>
      </c>
      <c r="J176">
        <v>6.6626998090000003</v>
      </c>
      <c r="K176">
        <v>25.427639840000001</v>
      </c>
      <c r="L176">
        <v>40.112672150000002</v>
      </c>
      <c r="M176" t="s">
        <v>35</v>
      </c>
      <c r="N176">
        <v>326.65030289999999</v>
      </c>
      <c r="O176">
        <v>9.3550416330000008</v>
      </c>
      <c r="P176">
        <v>9.0156640410000009</v>
      </c>
      <c r="Q176">
        <v>5.2321245059999999</v>
      </c>
      <c r="R176">
        <v>271.7090129</v>
      </c>
      <c r="S176">
        <v>0.88930114199999999</v>
      </c>
      <c r="T176">
        <v>9398.044339</v>
      </c>
    </row>
    <row r="177" spans="1:20">
      <c r="A177">
        <v>242</v>
      </c>
      <c r="B177" t="s">
        <v>231</v>
      </c>
      <c r="C177" t="s">
        <v>232</v>
      </c>
      <c r="D177">
        <v>97</v>
      </c>
      <c r="E177">
        <v>3</v>
      </c>
      <c r="F177" t="s">
        <v>233</v>
      </c>
      <c r="G177" t="s">
        <v>33</v>
      </c>
      <c r="H177">
        <v>7.2739981440000001</v>
      </c>
      <c r="I177" t="s">
        <v>34</v>
      </c>
      <c r="J177">
        <v>12.85635319</v>
      </c>
      <c r="K177">
        <v>77.044595709999996</v>
      </c>
      <c r="L177">
        <v>35.441462399999999</v>
      </c>
      <c r="M177">
        <v>3127.1468159999999</v>
      </c>
      <c r="N177">
        <v>158.07862399999999</v>
      </c>
      <c r="O177">
        <v>8.6915202790000006</v>
      </c>
      <c r="P177">
        <v>13.565573669999999</v>
      </c>
      <c r="Q177">
        <v>6.7356474589999999</v>
      </c>
      <c r="R177">
        <v>288.2625984</v>
      </c>
      <c r="S177">
        <v>1.7078509909999999</v>
      </c>
      <c r="T177">
        <v>10760.752860000001</v>
      </c>
    </row>
    <row r="178" spans="1:20">
      <c r="A178">
        <v>221</v>
      </c>
      <c r="B178" t="s">
        <v>168</v>
      </c>
      <c r="C178" t="s">
        <v>169</v>
      </c>
      <c r="D178">
        <v>72</v>
      </c>
      <c r="E178">
        <v>3</v>
      </c>
      <c r="F178" t="s">
        <v>170</v>
      </c>
      <c r="G178" t="s">
        <v>33</v>
      </c>
      <c r="H178">
        <v>1.7424027689999999</v>
      </c>
      <c r="I178" t="s">
        <v>34</v>
      </c>
      <c r="J178">
        <v>3.2544665629999998</v>
      </c>
      <c r="K178" t="s">
        <v>35</v>
      </c>
      <c r="L178">
        <v>25.190394919999999</v>
      </c>
      <c r="M178">
        <v>3119.5230959999999</v>
      </c>
      <c r="N178">
        <v>349.20756649999998</v>
      </c>
      <c r="O178">
        <v>4.2636056609999997</v>
      </c>
      <c r="P178">
        <v>19.975892330000001</v>
      </c>
      <c r="Q178">
        <v>0.51196327100000005</v>
      </c>
      <c r="R178">
        <v>235.8230514</v>
      </c>
      <c r="S178">
        <v>2.0594414169999999</v>
      </c>
      <c r="T178">
        <v>6775.0969439999999</v>
      </c>
    </row>
    <row r="179" spans="1:20">
      <c r="A179">
        <v>185</v>
      </c>
      <c r="B179" t="s">
        <v>60</v>
      </c>
      <c r="C179" t="s">
        <v>61</v>
      </c>
      <c r="D179">
        <v>16</v>
      </c>
      <c r="E179">
        <v>3</v>
      </c>
      <c r="F179" t="s">
        <v>62</v>
      </c>
      <c r="G179" t="s">
        <v>33</v>
      </c>
      <c r="H179">
        <v>12.801451670000001</v>
      </c>
      <c r="I179" t="s">
        <v>34</v>
      </c>
      <c r="J179">
        <v>7.427214846</v>
      </c>
      <c r="K179">
        <v>157.97314510000001</v>
      </c>
      <c r="L179">
        <v>95.658021629999993</v>
      </c>
      <c r="M179" t="s">
        <v>35</v>
      </c>
      <c r="N179">
        <v>368.91404590000002</v>
      </c>
      <c r="O179">
        <v>21.275454719999999</v>
      </c>
      <c r="P179">
        <v>20.758905949999999</v>
      </c>
      <c r="Q179">
        <v>8.189066403</v>
      </c>
      <c r="R179">
        <v>446.90966839999999</v>
      </c>
      <c r="S179">
        <v>4.2191698090000003</v>
      </c>
      <c r="T179">
        <v>8679.5260020000005</v>
      </c>
    </row>
    <row r="180" spans="1:20">
      <c r="A180">
        <v>245</v>
      </c>
      <c r="B180" t="s">
        <v>240</v>
      </c>
      <c r="C180" t="s">
        <v>241</v>
      </c>
      <c r="D180">
        <v>100</v>
      </c>
      <c r="E180">
        <v>3</v>
      </c>
      <c r="F180" t="s">
        <v>242</v>
      </c>
      <c r="G180" t="s">
        <v>33</v>
      </c>
      <c r="H180">
        <v>6.5561308939999998</v>
      </c>
      <c r="I180" t="s">
        <v>34</v>
      </c>
      <c r="J180">
        <v>10.73589316</v>
      </c>
      <c r="K180">
        <v>131.02562040000001</v>
      </c>
      <c r="L180">
        <v>43.172876119999998</v>
      </c>
      <c r="M180">
        <v>3120.0868869999999</v>
      </c>
      <c r="N180">
        <v>241.46298770000001</v>
      </c>
      <c r="O180">
        <v>12.30213217</v>
      </c>
      <c r="P180">
        <v>11.696719420000001</v>
      </c>
      <c r="Q180">
        <v>6.7245156279999998</v>
      </c>
      <c r="R180">
        <v>335.64841439999998</v>
      </c>
      <c r="S180">
        <v>2.1769409479999999</v>
      </c>
      <c r="T180">
        <v>14141.811180000001</v>
      </c>
    </row>
    <row r="181" spans="1:20">
      <c r="A181">
        <v>183</v>
      </c>
      <c r="B181" t="s">
        <v>54</v>
      </c>
      <c r="C181" t="s">
        <v>55</v>
      </c>
      <c r="D181">
        <v>14</v>
      </c>
      <c r="E181">
        <v>3</v>
      </c>
      <c r="F181" t="s">
        <v>56</v>
      </c>
      <c r="G181" t="s">
        <v>33</v>
      </c>
      <c r="H181">
        <v>10.91425935</v>
      </c>
      <c r="I181" t="s">
        <v>34</v>
      </c>
      <c r="J181">
        <v>4.773243312</v>
      </c>
      <c r="K181">
        <v>110.5103561</v>
      </c>
      <c r="L181">
        <v>104.22116389999999</v>
      </c>
      <c r="M181" t="s">
        <v>35</v>
      </c>
      <c r="N181">
        <v>248.20615530000001</v>
      </c>
      <c r="O181">
        <v>22.926883610000001</v>
      </c>
      <c r="P181">
        <v>26.21808716</v>
      </c>
      <c r="Q181">
        <v>6.4161147730000003</v>
      </c>
      <c r="R181">
        <v>420.1511873</v>
      </c>
      <c r="S181">
        <v>3.6920393859999998</v>
      </c>
      <c r="T181">
        <v>8285.7217970000002</v>
      </c>
    </row>
    <row r="182" spans="1:20">
      <c r="A182">
        <v>243</v>
      </c>
      <c r="B182" t="s">
        <v>234</v>
      </c>
      <c r="C182" t="s">
        <v>235</v>
      </c>
      <c r="D182">
        <v>98</v>
      </c>
      <c r="E182">
        <v>3</v>
      </c>
      <c r="F182" t="s">
        <v>236</v>
      </c>
      <c r="G182" t="s">
        <v>33</v>
      </c>
      <c r="H182">
        <v>6.0187250690000003</v>
      </c>
      <c r="I182" t="s">
        <v>34</v>
      </c>
      <c r="J182">
        <v>13.249569340000001</v>
      </c>
      <c r="K182">
        <v>153.23477639999999</v>
      </c>
      <c r="L182">
        <v>35.884960270000001</v>
      </c>
      <c r="M182">
        <v>3635.991974</v>
      </c>
      <c r="N182">
        <v>161.6419784</v>
      </c>
      <c r="O182">
        <v>9.4551558040000003</v>
      </c>
      <c r="P182">
        <v>16.992781430000001</v>
      </c>
      <c r="Q182">
        <v>9.0787220219999991</v>
      </c>
      <c r="R182">
        <v>302.26585660000001</v>
      </c>
      <c r="S182">
        <v>1.49345635</v>
      </c>
      <c r="T182">
        <v>8978.3202959999999</v>
      </c>
    </row>
    <row r="183" spans="1:20">
      <c r="A183">
        <v>118</v>
      </c>
      <c r="B183" t="s">
        <v>339</v>
      </c>
      <c r="C183" t="s">
        <v>340</v>
      </c>
      <c r="D183">
        <v>153</v>
      </c>
      <c r="E183">
        <v>2</v>
      </c>
      <c r="F183" t="s">
        <v>341</v>
      </c>
      <c r="G183" t="s">
        <v>33</v>
      </c>
      <c r="H183">
        <v>8.3338840249999997</v>
      </c>
      <c r="I183" t="s">
        <v>34</v>
      </c>
      <c r="J183">
        <v>7.5156070030000004</v>
      </c>
      <c r="K183">
        <v>43.249083419999998</v>
      </c>
      <c r="L183">
        <v>89.967829769999994</v>
      </c>
      <c r="M183">
        <v>3864.1896099999999</v>
      </c>
      <c r="N183">
        <v>194.9515566</v>
      </c>
      <c r="O183">
        <v>7.362215741</v>
      </c>
      <c r="P183">
        <v>18.76644945</v>
      </c>
      <c r="Q183">
        <v>2.233432536</v>
      </c>
      <c r="R183">
        <v>438.61935349999999</v>
      </c>
      <c r="S183">
        <v>1.461322376</v>
      </c>
      <c r="T183">
        <v>10275.217699999999</v>
      </c>
    </row>
    <row r="184" spans="1:20">
      <c r="A184">
        <v>184</v>
      </c>
      <c r="B184" t="s">
        <v>57</v>
      </c>
      <c r="C184" t="s">
        <v>58</v>
      </c>
      <c r="D184">
        <v>15</v>
      </c>
      <c r="E184">
        <v>3</v>
      </c>
      <c r="F184" t="s">
        <v>59</v>
      </c>
      <c r="G184" t="s">
        <v>33</v>
      </c>
      <c r="H184">
        <v>8.7699645430000004</v>
      </c>
      <c r="I184" t="s">
        <v>34</v>
      </c>
      <c r="J184">
        <v>5.6612924619999996</v>
      </c>
      <c r="K184">
        <v>131.05547630000001</v>
      </c>
      <c r="L184">
        <v>138.18989790000001</v>
      </c>
      <c r="M184" t="s">
        <v>35</v>
      </c>
      <c r="N184">
        <v>313.89510469999999</v>
      </c>
      <c r="O184">
        <v>18.573060590000001</v>
      </c>
      <c r="P184">
        <v>27.905186789999998</v>
      </c>
      <c r="Q184">
        <v>4.9208792309999998</v>
      </c>
      <c r="R184">
        <v>539.82893260000003</v>
      </c>
      <c r="S184">
        <v>4.6954855330000003</v>
      </c>
      <c r="T184">
        <v>9665.4510709999995</v>
      </c>
    </row>
    <row r="185" spans="1:20">
      <c r="A185">
        <v>84</v>
      </c>
      <c r="B185" t="s">
        <v>765</v>
      </c>
      <c r="C185" t="s">
        <v>766</v>
      </c>
      <c r="D185">
        <v>377</v>
      </c>
      <c r="E185">
        <v>1</v>
      </c>
      <c r="F185" t="s">
        <v>767</v>
      </c>
      <c r="G185" t="s">
        <v>33</v>
      </c>
      <c r="H185">
        <v>10.059183730000001</v>
      </c>
      <c r="I185" t="s">
        <v>34</v>
      </c>
      <c r="J185">
        <v>13.67153375</v>
      </c>
      <c r="K185">
        <v>146.40084580000001</v>
      </c>
      <c r="L185">
        <v>77.710753249999996</v>
      </c>
      <c r="M185" t="s">
        <v>35</v>
      </c>
      <c r="N185">
        <v>385.99464280000001</v>
      </c>
      <c r="O185">
        <v>10.602203729999999</v>
      </c>
      <c r="P185">
        <v>17.362586010000001</v>
      </c>
      <c r="Q185">
        <v>3.416387297</v>
      </c>
      <c r="R185">
        <v>509.26901199999998</v>
      </c>
      <c r="S185">
        <v>1.4588174410000001</v>
      </c>
      <c r="T185">
        <v>13076.451370000001</v>
      </c>
    </row>
    <row r="186" spans="1:20">
      <c r="A186">
        <v>169</v>
      </c>
      <c r="B186" t="s">
        <v>492</v>
      </c>
      <c r="C186" t="s">
        <v>493</v>
      </c>
      <c r="D186">
        <v>231</v>
      </c>
      <c r="E186">
        <v>2</v>
      </c>
      <c r="F186" t="s">
        <v>494</v>
      </c>
      <c r="G186" t="s">
        <v>33</v>
      </c>
      <c r="H186">
        <v>7.2423533649999996</v>
      </c>
      <c r="I186" t="s">
        <v>34</v>
      </c>
      <c r="J186">
        <v>9.8632311149999996</v>
      </c>
      <c r="K186">
        <v>132.1328383</v>
      </c>
      <c r="L186">
        <v>127.1144237</v>
      </c>
      <c r="M186" t="s">
        <v>35</v>
      </c>
      <c r="N186">
        <v>325.9743158</v>
      </c>
      <c r="O186">
        <v>15.38449891</v>
      </c>
      <c r="P186">
        <v>20.845088969999999</v>
      </c>
      <c r="Q186">
        <v>3.405613679</v>
      </c>
      <c r="R186" t="s">
        <v>35</v>
      </c>
      <c r="S186">
        <v>1.9667766820000001</v>
      </c>
      <c r="T186">
        <v>15303.330959999999</v>
      </c>
    </row>
    <row r="187" spans="1:20">
      <c r="A187">
        <v>186</v>
      </c>
      <c r="B187" t="s">
        <v>63</v>
      </c>
      <c r="C187" t="s">
        <v>64</v>
      </c>
      <c r="D187">
        <v>19</v>
      </c>
      <c r="E187">
        <v>3</v>
      </c>
      <c r="F187" t="s">
        <v>65</v>
      </c>
      <c r="G187" t="s">
        <v>33</v>
      </c>
      <c r="H187">
        <v>11.036828659999999</v>
      </c>
      <c r="I187" t="s">
        <v>34</v>
      </c>
      <c r="J187">
        <v>21.425609999999999</v>
      </c>
      <c r="K187">
        <v>90.639021959999994</v>
      </c>
      <c r="L187" t="s">
        <v>35</v>
      </c>
      <c r="M187">
        <v>2124.5504599999999</v>
      </c>
      <c r="N187">
        <v>159.68666020000001</v>
      </c>
      <c r="O187">
        <v>33.322145089999999</v>
      </c>
      <c r="P187">
        <v>30.751028600000001</v>
      </c>
      <c r="Q187">
        <v>7.8869310080000004</v>
      </c>
      <c r="R187" t="s">
        <v>35</v>
      </c>
      <c r="S187" t="s">
        <v>35</v>
      </c>
      <c r="T187">
        <v>5771.1890880000001</v>
      </c>
    </row>
    <row r="188" spans="1:20">
      <c r="A188">
        <v>85</v>
      </c>
      <c r="B188" t="s">
        <v>768</v>
      </c>
      <c r="C188" t="s">
        <v>769</v>
      </c>
      <c r="D188">
        <v>378</v>
      </c>
      <c r="E188">
        <v>1</v>
      </c>
      <c r="F188" t="s">
        <v>770</v>
      </c>
      <c r="G188" t="s">
        <v>33</v>
      </c>
      <c r="H188">
        <v>4.56196761</v>
      </c>
      <c r="I188" t="s">
        <v>34</v>
      </c>
      <c r="J188">
        <v>6.2164444110000003</v>
      </c>
      <c r="K188">
        <v>132.17423400000001</v>
      </c>
      <c r="L188">
        <v>94.227918399999993</v>
      </c>
      <c r="M188" t="s">
        <v>35</v>
      </c>
      <c r="N188">
        <v>302.68281969999998</v>
      </c>
      <c r="O188">
        <v>5.9062012450000001</v>
      </c>
      <c r="P188">
        <v>13.738105040000001</v>
      </c>
      <c r="Q188">
        <v>1.124002433</v>
      </c>
      <c r="R188">
        <v>592.30468819999999</v>
      </c>
      <c r="S188">
        <v>2.5246820130000001</v>
      </c>
      <c r="T188">
        <v>12589.81979</v>
      </c>
    </row>
    <row r="189" spans="1:20">
      <c r="A189">
        <v>82</v>
      </c>
      <c r="B189" t="s">
        <v>759</v>
      </c>
      <c r="C189" t="s">
        <v>760</v>
      </c>
      <c r="D189">
        <v>375</v>
      </c>
      <c r="E189">
        <v>1</v>
      </c>
      <c r="F189" t="s">
        <v>761</v>
      </c>
      <c r="G189" t="s">
        <v>33</v>
      </c>
      <c r="H189">
        <v>7.5833667030000003</v>
      </c>
      <c r="I189" t="s">
        <v>34</v>
      </c>
      <c r="J189">
        <v>10.06817466</v>
      </c>
      <c r="K189">
        <v>191.6873047</v>
      </c>
      <c r="L189">
        <v>84.018105370000001</v>
      </c>
      <c r="M189" t="s">
        <v>35</v>
      </c>
      <c r="N189">
        <v>350.18183909999999</v>
      </c>
      <c r="O189">
        <v>13.38676519</v>
      </c>
      <c r="P189">
        <v>13.91668836</v>
      </c>
      <c r="Q189">
        <v>3.6803033850000002</v>
      </c>
      <c r="R189">
        <v>565.41227579999997</v>
      </c>
      <c r="S189">
        <v>1.705807222</v>
      </c>
      <c r="T189">
        <v>11617.11692</v>
      </c>
    </row>
    <row r="190" spans="1:20">
      <c r="A190">
        <v>246</v>
      </c>
      <c r="B190" t="s">
        <v>243</v>
      </c>
      <c r="C190" t="s">
        <v>244</v>
      </c>
      <c r="D190">
        <v>103</v>
      </c>
      <c r="E190">
        <v>3</v>
      </c>
      <c r="F190" t="s">
        <v>245</v>
      </c>
      <c r="G190" t="s">
        <v>33</v>
      </c>
      <c r="H190">
        <v>5.0756111439999998</v>
      </c>
      <c r="I190" t="s">
        <v>34</v>
      </c>
      <c r="J190">
        <v>10.444081369999999</v>
      </c>
      <c r="K190">
        <v>39.108166779999998</v>
      </c>
      <c r="L190">
        <v>66.194015449999995</v>
      </c>
      <c r="M190">
        <v>3609.0936190000002</v>
      </c>
      <c r="N190">
        <v>192.1168648</v>
      </c>
      <c r="O190">
        <v>9.2843353450000006</v>
      </c>
      <c r="P190">
        <v>6.5296640119999996</v>
      </c>
      <c r="Q190">
        <v>6.4491339720000003</v>
      </c>
      <c r="R190">
        <v>371.71703009999999</v>
      </c>
      <c r="S190">
        <v>2.2547106220000002</v>
      </c>
      <c r="T190">
        <v>10855.75669</v>
      </c>
    </row>
    <row r="191" spans="1:20">
      <c r="A191">
        <v>83</v>
      </c>
      <c r="B191" t="s">
        <v>762</v>
      </c>
      <c r="C191" t="s">
        <v>763</v>
      </c>
      <c r="D191">
        <v>376</v>
      </c>
      <c r="E191">
        <v>1</v>
      </c>
      <c r="F191" t="s">
        <v>764</v>
      </c>
      <c r="G191" t="s">
        <v>33</v>
      </c>
      <c r="H191">
        <v>10.26793784</v>
      </c>
      <c r="I191" t="s">
        <v>34</v>
      </c>
      <c r="J191">
        <v>12.27972845</v>
      </c>
      <c r="K191" t="s">
        <v>35</v>
      </c>
      <c r="L191">
        <v>74.301432129999995</v>
      </c>
      <c r="M191" t="s">
        <v>35</v>
      </c>
      <c r="N191">
        <v>383.67986509999997</v>
      </c>
      <c r="O191">
        <v>12.9452962</v>
      </c>
      <c r="P191">
        <v>11.243932819999999</v>
      </c>
      <c r="Q191">
        <v>4.5072057299999999</v>
      </c>
      <c r="R191">
        <v>560.1698136</v>
      </c>
      <c r="S191">
        <v>1.31082718</v>
      </c>
      <c r="T191">
        <v>14374.34519</v>
      </c>
    </row>
    <row r="192" spans="1:20">
      <c r="A192">
        <v>172</v>
      </c>
      <c r="B192" t="s">
        <v>501</v>
      </c>
      <c r="C192" t="s">
        <v>502</v>
      </c>
      <c r="D192">
        <v>234</v>
      </c>
      <c r="E192">
        <v>2</v>
      </c>
      <c r="F192" t="s">
        <v>503</v>
      </c>
      <c r="G192" t="s">
        <v>33</v>
      </c>
      <c r="H192">
        <v>4.7528143409999997</v>
      </c>
      <c r="I192" t="s">
        <v>34</v>
      </c>
      <c r="J192">
        <v>10.692198940000001</v>
      </c>
      <c r="K192">
        <v>166.5290564</v>
      </c>
      <c r="L192">
        <v>116.95133970000001</v>
      </c>
      <c r="M192">
        <v>4997.0294649999996</v>
      </c>
      <c r="N192">
        <v>312.0697073</v>
      </c>
      <c r="O192">
        <v>12.254662639999999</v>
      </c>
      <c r="P192">
        <v>18.674160149999999</v>
      </c>
      <c r="Q192">
        <v>2.2465542510000001</v>
      </c>
      <c r="R192">
        <v>777.63959639999996</v>
      </c>
      <c r="S192">
        <v>2.1428406249999998</v>
      </c>
      <c r="T192">
        <v>13298.10816</v>
      </c>
    </row>
    <row r="193" spans="1:20">
      <c r="A193">
        <v>36</v>
      </c>
      <c r="B193" t="s">
        <v>621</v>
      </c>
      <c r="C193" t="s">
        <v>622</v>
      </c>
      <c r="D193">
        <v>294</v>
      </c>
      <c r="E193">
        <v>1</v>
      </c>
      <c r="F193" t="s">
        <v>623</v>
      </c>
      <c r="G193" t="s">
        <v>33</v>
      </c>
      <c r="H193">
        <v>4.6375261160000001</v>
      </c>
      <c r="I193" t="s">
        <v>34</v>
      </c>
      <c r="J193">
        <v>5.5427857950000003</v>
      </c>
      <c r="K193" t="s">
        <v>35</v>
      </c>
      <c r="L193">
        <v>72.123737849999998</v>
      </c>
      <c r="M193">
        <v>4881.7282939999996</v>
      </c>
      <c r="N193">
        <v>297.22103620000001</v>
      </c>
      <c r="O193">
        <v>4.595246414</v>
      </c>
      <c r="P193">
        <v>13.0653875</v>
      </c>
      <c r="Q193">
        <v>0.86378378700000003</v>
      </c>
      <c r="R193">
        <v>420.15139099999999</v>
      </c>
      <c r="S193">
        <v>1.7694565760000001</v>
      </c>
      <c r="T193">
        <v>11116.246639999999</v>
      </c>
    </row>
    <row r="194" spans="1:20">
      <c r="A194">
        <v>86</v>
      </c>
      <c r="B194" t="s">
        <v>771</v>
      </c>
      <c r="C194" t="s">
        <v>772</v>
      </c>
      <c r="D194">
        <v>379</v>
      </c>
      <c r="E194">
        <v>1</v>
      </c>
      <c r="F194" t="s">
        <v>773</v>
      </c>
      <c r="G194" t="s">
        <v>33</v>
      </c>
      <c r="H194">
        <v>4.5834858360000004</v>
      </c>
      <c r="I194" t="s">
        <v>34</v>
      </c>
      <c r="J194">
        <v>7.6428640190000001</v>
      </c>
      <c r="K194">
        <v>187.37151750000001</v>
      </c>
      <c r="L194">
        <v>60.531537210000003</v>
      </c>
      <c r="M194" t="s">
        <v>35</v>
      </c>
      <c r="N194">
        <v>175.63411690000001</v>
      </c>
      <c r="O194">
        <v>12.0097123</v>
      </c>
      <c r="P194">
        <v>11.917823840000001</v>
      </c>
      <c r="Q194">
        <v>3.6735185420000001</v>
      </c>
      <c r="R194">
        <v>455.97067390000001</v>
      </c>
      <c r="S194">
        <v>1.457518506</v>
      </c>
      <c r="T194">
        <v>12145.007310000001</v>
      </c>
    </row>
    <row r="195" spans="1:20">
      <c r="A195">
        <v>207</v>
      </c>
      <c r="B195" t="s">
        <v>126</v>
      </c>
      <c r="C195" t="s">
        <v>127</v>
      </c>
      <c r="D195">
        <v>44</v>
      </c>
      <c r="E195">
        <v>3</v>
      </c>
      <c r="F195" t="s">
        <v>128</v>
      </c>
      <c r="G195" t="s">
        <v>33</v>
      </c>
      <c r="H195">
        <v>3.6067866999999998</v>
      </c>
      <c r="I195" t="s">
        <v>34</v>
      </c>
      <c r="J195">
        <v>7.3953771770000003</v>
      </c>
      <c r="K195" t="s">
        <v>35</v>
      </c>
      <c r="L195">
        <v>29.05757826</v>
      </c>
      <c r="M195" t="s">
        <v>35</v>
      </c>
      <c r="N195">
        <v>310.79271699999998</v>
      </c>
      <c r="O195">
        <v>5.0079380440000003</v>
      </c>
      <c r="P195">
        <v>10.829731880000001</v>
      </c>
      <c r="Q195">
        <v>1.8496176259999999</v>
      </c>
      <c r="R195">
        <v>247.22463310000001</v>
      </c>
      <c r="S195">
        <v>1.119033282</v>
      </c>
      <c r="T195">
        <v>12572.71175</v>
      </c>
    </row>
    <row r="196" spans="1:20">
      <c r="A196">
        <v>205</v>
      </c>
      <c r="B196" t="s">
        <v>120</v>
      </c>
      <c r="C196" t="s">
        <v>121</v>
      </c>
      <c r="D196">
        <v>40</v>
      </c>
      <c r="E196">
        <v>3</v>
      </c>
      <c r="F196" t="s">
        <v>122</v>
      </c>
      <c r="G196" t="s">
        <v>33</v>
      </c>
      <c r="H196">
        <v>4.5779386899999999</v>
      </c>
      <c r="I196" t="s">
        <v>34</v>
      </c>
      <c r="J196">
        <v>8.2110648180000005</v>
      </c>
      <c r="K196" t="s">
        <v>35</v>
      </c>
      <c r="L196">
        <v>34.419377930000003</v>
      </c>
      <c r="M196" t="s">
        <v>35</v>
      </c>
      <c r="N196">
        <v>246.4057085</v>
      </c>
      <c r="O196">
        <v>5.0317060930000004</v>
      </c>
      <c r="P196">
        <v>13.44940984</v>
      </c>
      <c r="Q196">
        <v>2.112079305</v>
      </c>
      <c r="R196">
        <v>287.93966399999999</v>
      </c>
      <c r="S196">
        <v>1.0758672419999999</v>
      </c>
      <c r="T196">
        <v>17857.365549999999</v>
      </c>
    </row>
    <row r="197" spans="1:20">
      <c r="A197">
        <v>88</v>
      </c>
      <c r="B197" t="s">
        <v>777</v>
      </c>
      <c r="C197" t="s">
        <v>778</v>
      </c>
      <c r="D197">
        <v>381</v>
      </c>
      <c r="E197">
        <v>1</v>
      </c>
      <c r="F197" t="s">
        <v>779</v>
      </c>
      <c r="G197" t="s">
        <v>33</v>
      </c>
      <c r="H197">
        <v>17.937510150000001</v>
      </c>
      <c r="I197" t="s">
        <v>34</v>
      </c>
      <c r="J197">
        <v>23.88238827</v>
      </c>
      <c r="K197">
        <v>24.536543829999999</v>
      </c>
      <c r="L197">
        <v>165.97196020000001</v>
      </c>
      <c r="M197" t="s">
        <v>35</v>
      </c>
      <c r="N197">
        <v>684.91579490000004</v>
      </c>
      <c r="O197">
        <v>12.695021150000001</v>
      </c>
      <c r="P197">
        <v>11.306287599999999</v>
      </c>
      <c r="Q197">
        <v>20.223544929999999</v>
      </c>
      <c r="R197">
        <v>564.38282160000006</v>
      </c>
      <c r="S197">
        <v>1.4192785699999999</v>
      </c>
      <c r="T197">
        <v>16560.79638</v>
      </c>
    </row>
    <row r="198" spans="1:20">
      <c r="A198">
        <v>182</v>
      </c>
      <c r="B198" t="s">
        <v>51</v>
      </c>
      <c r="C198" t="s">
        <v>52</v>
      </c>
      <c r="D198">
        <v>13</v>
      </c>
      <c r="E198">
        <v>3</v>
      </c>
      <c r="F198" t="s">
        <v>53</v>
      </c>
      <c r="G198" t="s">
        <v>33</v>
      </c>
      <c r="H198">
        <v>7.0755467120000004</v>
      </c>
      <c r="I198" t="s">
        <v>34</v>
      </c>
      <c r="J198">
        <v>8.1268170499999997</v>
      </c>
      <c r="K198">
        <v>138.90179549999999</v>
      </c>
      <c r="L198">
        <v>122.2314087</v>
      </c>
      <c r="M198" t="s">
        <v>35</v>
      </c>
      <c r="N198">
        <v>337.3605154</v>
      </c>
      <c r="O198">
        <v>23.725285230000001</v>
      </c>
      <c r="P198">
        <v>14.973786369999999</v>
      </c>
      <c r="Q198">
        <v>7.9989175829999999</v>
      </c>
      <c r="R198">
        <v>555.67926790000001</v>
      </c>
      <c r="S198">
        <v>2.6302687310000001</v>
      </c>
      <c r="T198">
        <v>11448.7863</v>
      </c>
    </row>
    <row r="199" spans="1:20">
      <c r="A199">
        <v>203</v>
      </c>
      <c r="B199" t="s">
        <v>114</v>
      </c>
      <c r="C199" t="s">
        <v>115</v>
      </c>
      <c r="D199">
        <v>38</v>
      </c>
      <c r="E199">
        <v>3</v>
      </c>
      <c r="F199" t="s">
        <v>116</v>
      </c>
      <c r="G199" t="s">
        <v>33</v>
      </c>
      <c r="H199">
        <v>6.8343320790000002</v>
      </c>
      <c r="I199" t="s">
        <v>34</v>
      </c>
      <c r="J199">
        <v>18.854173150000001</v>
      </c>
      <c r="K199" t="s">
        <v>35</v>
      </c>
      <c r="L199">
        <v>40.227596009999999</v>
      </c>
      <c r="M199" t="s">
        <v>35</v>
      </c>
      <c r="N199">
        <v>282.576483</v>
      </c>
      <c r="O199">
        <v>7.0947151359999996</v>
      </c>
      <c r="P199">
        <v>30.945807850000001</v>
      </c>
      <c r="Q199">
        <v>3.9320680160000001</v>
      </c>
      <c r="R199">
        <v>263.02751840000002</v>
      </c>
      <c r="S199">
        <v>1.1568512630000001</v>
      </c>
      <c r="T199">
        <v>12431.62844</v>
      </c>
    </row>
    <row r="200" spans="1:20">
      <c r="A200">
        <v>91</v>
      </c>
      <c r="B200" t="s">
        <v>786</v>
      </c>
      <c r="C200" t="s">
        <v>787</v>
      </c>
      <c r="D200">
        <v>386</v>
      </c>
      <c r="E200">
        <v>1</v>
      </c>
      <c r="F200" t="s">
        <v>788</v>
      </c>
      <c r="G200" t="s">
        <v>33</v>
      </c>
      <c r="H200">
        <v>9.614466578</v>
      </c>
      <c r="I200" t="s">
        <v>34</v>
      </c>
      <c r="J200">
        <v>12.68179497</v>
      </c>
      <c r="K200">
        <v>21.132794010000001</v>
      </c>
      <c r="L200">
        <v>104.27768260000001</v>
      </c>
      <c r="M200" t="s">
        <v>35</v>
      </c>
      <c r="N200">
        <v>435.94818579999998</v>
      </c>
      <c r="O200">
        <v>8.8372842009999992</v>
      </c>
      <c r="P200">
        <v>9.3602206199999998</v>
      </c>
      <c r="Q200">
        <v>10.54277222</v>
      </c>
      <c r="R200">
        <v>321.04982310000003</v>
      </c>
      <c r="S200">
        <v>1.5439529789999999</v>
      </c>
      <c r="T200">
        <v>10952.93492</v>
      </c>
    </row>
    <row r="201" spans="1:20">
      <c r="A201">
        <v>90</v>
      </c>
      <c r="B201" t="s">
        <v>783</v>
      </c>
      <c r="C201" t="s">
        <v>784</v>
      </c>
      <c r="D201">
        <v>385</v>
      </c>
      <c r="E201">
        <v>1</v>
      </c>
      <c r="F201" t="s">
        <v>785</v>
      </c>
      <c r="G201" t="s">
        <v>33</v>
      </c>
      <c r="H201">
        <v>3.8974342310000001</v>
      </c>
      <c r="I201" t="s">
        <v>34</v>
      </c>
      <c r="J201">
        <v>6.3218305130000001</v>
      </c>
      <c r="K201">
        <v>23.979671060000001</v>
      </c>
      <c r="L201">
        <v>80.94870813</v>
      </c>
      <c r="M201">
        <v>3621.353443</v>
      </c>
      <c r="N201">
        <v>282.25007090000003</v>
      </c>
      <c r="O201">
        <v>5.6398056260000002</v>
      </c>
      <c r="P201">
        <v>39.265330130000002</v>
      </c>
      <c r="Q201">
        <v>3.5491290879999999</v>
      </c>
      <c r="R201">
        <v>331.18790369999999</v>
      </c>
      <c r="S201">
        <v>1.618349662</v>
      </c>
      <c r="T201">
        <v>9549.5503399999998</v>
      </c>
    </row>
    <row r="202" spans="1:20">
      <c r="A202">
        <v>35</v>
      </c>
      <c r="B202" t="s">
        <v>618</v>
      </c>
      <c r="C202" t="s">
        <v>619</v>
      </c>
      <c r="D202">
        <v>293</v>
      </c>
      <c r="E202">
        <v>1</v>
      </c>
      <c r="F202" t="s">
        <v>620</v>
      </c>
      <c r="G202" t="s">
        <v>33</v>
      </c>
      <c r="H202">
        <v>4.3175117930000004</v>
      </c>
      <c r="I202" t="s">
        <v>34</v>
      </c>
      <c r="J202">
        <v>4.8195516249999999</v>
      </c>
      <c r="K202" t="s">
        <v>35</v>
      </c>
      <c r="L202">
        <v>52.418485689999997</v>
      </c>
      <c r="M202" t="s">
        <v>35</v>
      </c>
      <c r="N202">
        <v>372.47654540000002</v>
      </c>
      <c r="O202">
        <v>5.2282848389999996</v>
      </c>
      <c r="P202">
        <v>18.25287865</v>
      </c>
      <c r="Q202">
        <v>1.66367273</v>
      </c>
      <c r="R202">
        <v>397.81516010000001</v>
      </c>
      <c r="S202">
        <v>1.1872721509999999</v>
      </c>
      <c r="T202">
        <v>10120.0021</v>
      </c>
    </row>
    <row r="203" spans="1:20">
      <c r="A203">
        <v>204</v>
      </c>
      <c r="B203" t="s">
        <v>117</v>
      </c>
      <c r="C203" t="s">
        <v>118</v>
      </c>
      <c r="D203">
        <v>39</v>
      </c>
      <c r="E203">
        <v>3</v>
      </c>
      <c r="F203" t="s">
        <v>119</v>
      </c>
      <c r="G203" t="s">
        <v>33</v>
      </c>
      <c r="H203">
        <v>11.357535990000001</v>
      </c>
      <c r="I203" t="s">
        <v>34</v>
      </c>
      <c r="J203">
        <v>15.300217630000001</v>
      </c>
      <c r="K203">
        <v>194.43165379999999</v>
      </c>
      <c r="L203">
        <v>40.162406259999997</v>
      </c>
      <c r="M203" t="s">
        <v>35</v>
      </c>
      <c r="N203">
        <v>207.58346090000001</v>
      </c>
      <c r="O203">
        <v>8.6779756920000004</v>
      </c>
      <c r="P203">
        <v>11.26482852</v>
      </c>
      <c r="Q203">
        <v>4.1162888979999996</v>
      </c>
      <c r="R203">
        <v>225.8594362</v>
      </c>
      <c r="S203">
        <v>0.69216221499999997</v>
      </c>
      <c r="T203">
        <v>9588.9064350000008</v>
      </c>
    </row>
    <row r="204" spans="1:20">
      <c r="A204">
        <v>81</v>
      </c>
      <c r="B204" t="s">
        <v>756</v>
      </c>
      <c r="C204" t="s">
        <v>757</v>
      </c>
      <c r="D204">
        <v>374</v>
      </c>
      <c r="E204">
        <v>1</v>
      </c>
      <c r="F204" t="s">
        <v>758</v>
      </c>
      <c r="G204" t="s">
        <v>33</v>
      </c>
      <c r="H204">
        <v>7.3335071599999999</v>
      </c>
      <c r="I204" t="s">
        <v>34</v>
      </c>
      <c r="J204">
        <v>9.9338353010000002</v>
      </c>
      <c r="K204">
        <v>122.4309854</v>
      </c>
      <c r="L204">
        <v>65.060106750000003</v>
      </c>
      <c r="M204" t="s">
        <v>35</v>
      </c>
      <c r="N204">
        <v>228.87512670000001</v>
      </c>
      <c r="O204">
        <v>14.80914342</v>
      </c>
      <c r="P204">
        <v>13.907317490000001</v>
      </c>
      <c r="Q204">
        <v>4.3465003290000004</v>
      </c>
      <c r="R204">
        <v>485.08772520000002</v>
      </c>
      <c r="S204">
        <v>1.4624663179999999</v>
      </c>
      <c r="T204">
        <v>11928.15885</v>
      </c>
    </row>
    <row r="205" spans="1:20">
      <c r="A205">
        <v>89</v>
      </c>
      <c r="B205" t="s">
        <v>780</v>
      </c>
      <c r="C205" t="s">
        <v>781</v>
      </c>
      <c r="D205">
        <v>384</v>
      </c>
      <c r="E205">
        <v>1</v>
      </c>
      <c r="F205" t="s">
        <v>782</v>
      </c>
      <c r="G205" t="s">
        <v>33</v>
      </c>
      <c r="H205">
        <v>6.0189625089999996</v>
      </c>
      <c r="I205" t="s">
        <v>34</v>
      </c>
      <c r="J205">
        <v>11.5573867</v>
      </c>
      <c r="K205">
        <v>22.305496059999999</v>
      </c>
      <c r="L205">
        <v>99.465424940000005</v>
      </c>
      <c r="M205">
        <v>4478.7581410000003</v>
      </c>
      <c r="N205">
        <v>288.0217561</v>
      </c>
      <c r="O205">
        <v>8.4808032769999997</v>
      </c>
      <c r="P205">
        <v>10.13013366</v>
      </c>
      <c r="Q205">
        <v>9.8771598639999993</v>
      </c>
      <c r="R205">
        <v>309.80273510000001</v>
      </c>
      <c r="S205">
        <v>1.6925745379999999</v>
      </c>
      <c r="T205">
        <v>10857.43093</v>
      </c>
    </row>
    <row r="206" spans="1:20">
      <c r="A206">
        <v>206</v>
      </c>
      <c r="B206" t="s">
        <v>123</v>
      </c>
      <c r="C206" t="s">
        <v>124</v>
      </c>
      <c r="D206">
        <v>43</v>
      </c>
      <c r="E206">
        <v>3</v>
      </c>
      <c r="F206" t="s">
        <v>125</v>
      </c>
      <c r="G206" t="s">
        <v>33</v>
      </c>
      <c r="H206">
        <v>4.793478307</v>
      </c>
      <c r="I206" t="s">
        <v>34</v>
      </c>
      <c r="J206">
        <v>13.229198370000001</v>
      </c>
      <c r="K206" t="s">
        <v>35</v>
      </c>
      <c r="L206">
        <v>42.995678310000002</v>
      </c>
      <c r="M206" t="s">
        <v>35</v>
      </c>
      <c r="N206">
        <v>218.96337349999999</v>
      </c>
      <c r="O206">
        <v>7.4581658729999996</v>
      </c>
      <c r="P206">
        <v>8.6222006150000006</v>
      </c>
      <c r="Q206">
        <v>2.5256719080000001</v>
      </c>
      <c r="R206">
        <v>328.93790669999998</v>
      </c>
      <c r="S206">
        <v>1.4807237369999999</v>
      </c>
      <c r="T206">
        <v>9550.9339889999992</v>
      </c>
    </row>
    <row r="207" spans="1:20">
      <c r="A207">
        <v>94</v>
      </c>
      <c r="B207" t="s">
        <v>795</v>
      </c>
      <c r="C207" t="s">
        <v>796</v>
      </c>
      <c r="D207">
        <v>389</v>
      </c>
      <c r="E207">
        <v>1</v>
      </c>
      <c r="F207" t="s">
        <v>797</v>
      </c>
      <c r="G207" t="s">
        <v>33</v>
      </c>
      <c r="H207">
        <v>5.8653301249999998</v>
      </c>
      <c r="I207" t="s">
        <v>34</v>
      </c>
      <c r="J207">
        <v>8.3978493000000007</v>
      </c>
      <c r="K207">
        <v>28.75596058</v>
      </c>
      <c r="L207">
        <v>101.540865</v>
      </c>
      <c r="M207" t="s">
        <v>35</v>
      </c>
      <c r="N207">
        <v>253.54590020000001</v>
      </c>
      <c r="O207">
        <v>6.774147138</v>
      </c>
      <c r="P207">
        <v>8.7986410579999994</v>
      </c>
      <c r="Q207">
        <v>6.0742336239999997</v>
      </c>
      <c r="R207">
        <v>301.7006844</v>
      </c>
      <c r="S207">
        <v>1.53294291</v>
      </c>
      <c r="T207">
        <v>10193.32123</v>
      </c>
    </row>
    <row r="208" spans="1:20">
      <c r="A208">
        <v>8</v>
      </c>
      <c r="B208" t="s">
        <v>537</v>
      </c>
      <c r="C208" t="s">
        <v>538</v>
      </c>
      <c r="D208">
        <v>260</v>
      </c>
      <c r="E208">
        <v>1</v>
      </c>
      <c r="F208" t="s">
        <v>539</v>
      </c>
      <c r="G208" t="s">
        <v>33</v>
      </c>
      <c r="H208">
        <v>7.4722535609999996</v>
      </c>
      <c r="I208" t="s">
        <v>34</v>
      </c>
      <c r="J208">
        <v>9.2588765530000003</v>
      </c>
      <c r="K208">
        <v>116.6964627</v>
      </c>
      <c r="L208">
        <v>67.607316569999995</v>
      </c>
      <c r="M208" t="s">
        <v>35</v>
      </c>
      <c r="N208">
        <v>382.0525586</v>
      </c>
      <c r="O208">
        <v>11.92194795</v>
      </c>
      <c r="P208">
        <v>13.9784115</v>
      </c>
      <c r="Q208">
        <v>5.2718753019999998</v>
      </c>
      <c r="R208">
        <v>461.24796579999997</v>
      </c>
      <c r="S208">
        <v>1.3213287899999999</v>
      </c>
      <c r="T208">
        <v>11803.21825</v>
      </c>
    </row>
    <row r="209" spans="1:20">
      <c r="A209">
        <v>9</v>
      </c>
      <c r="B209" t="s">
        <v>540</v>
      </c>
      <c r="C209" t="s">
        <v>541</v>
      </c>
      <c r="D209">
        <v>261</v>
      </c>
      <c r="E209">
        <v>1</v>
      </c>
      <c r="F209" t="s">
        <v>542</v>
      </c>
      <c r="G209" t="s">
        <v>33</v>
      </c>
      <c r="H209">
        <v>6.3083267540000003</v>
      </c>
      <c r="I209" t="s">
        <v>34</v>
      </c>
      <c r="J209">
        <v>10.339641719999999</v>
      </c>
      <c r="K209">
        <v>183.38101259999999</v>
      </c>
      <c r="L209">
        <v>65.213577849999993</v>
      </c>
      <c r="M209" t="s">
        <v>35</v>
      </c>
      <c r="N209">
        <v>453.55795010000003</v>
      </c>
      <c r="O209">
        <v>11.424562079999999</v>
      </c>
      <c r="P209">
        <v>8.2756105469999994</v>
      </c>
      <c r="Q209">
        <v>3.6899990730000001</v>
      </c>
      <c r="R209">
        <v>529.76491920000001</v>
      </c>
      <c r="S209">
        <v>1.2862698969999999</v>
      </c>
      <c r="T209">
        <v>11642.67353</v>
      </c>
    </row>
    <row r="210" spans="1:20">
      <c r="A210">
        <v>93</v>
      </c>
      <c r="B210" t="s">
        <v>792</v>
      </c>
      <c r="C210" t="s">
        <v>793</v>
      </c>
      <c r="D210">
        <v>388</v>
      </c>
      <c r="E210">
        <v>1</v>
      </c>
      <c r="F210" t="s">
        <v>794</v>
      </c>
      <c r="G210" t="s">
        <v>33</v>
      </c>
      <c r="H210">
        <v>7.9318903460000003</v>
      </c>
      <c r="I210" t="s">
        <v>34</v>
      </c>
      <c r="J210">
        <v>7.9561385900000001</v>
      </c>
      <c r="K210">
        <v>35.218173110000002</v>
      </c>
      <c r="L210">
        <v>70.944026179999994</v>
      </c>
      <c r="M210" t="s">
        <v>35</v>
      </c>
      <c r="N210">
        <v>288.74643809999998</v>
      </c>
      <c r="O210">
        <v>5.2191964500000001</v>
      </c>
      <c r="P210">
        <v>11.47366768</v>
      </c>
      <c r="Q210">
        <v>2.9859594079999998</v>
      </c>
      <c r="R210">
        <v>300.68793979999998</v>
      </c>
      <c r="S210">
        <v>1.18338535</v>
      </c>
      <c r="T210">
        <v>10866.566860000001</v>
      </c>
    </row>
    <row r="211" spans="1:20">
      <c r="A211">
        <v>10</v>
      </c>
      <c r="B211" t="s">
        <v>543</v>
      </c>
      <c r="C211" t="s">
        <v>544</v>
      </c>
      <c r="D211">
        <v>264</v>
      </c>
      <c r="E211">
        <v>1</v>
      </c>
      <c r="F211" t="s">
        <v>545</v>
      </c>
      <c r="G211" t="s">
        <v>33</v>
      </c>
      <c r="H211">
        <v>6.0979461690000001</v>
      </c>
      <c r="I211" t="s">
        <v>34</v>
      </c>
      <c r="J211">
        <v>10.975985379999999</v>
      </c>
      <c r="K211" t="s">
        <v>35</v>
      </c>
      <c r="L211">
        <v>59.18160134</v>
      </c>
      <c r="M211" t="s">
        <v>35</v>
      </c>
      <c r="N211">
        <v>279.95265760000001</v>
      </c>
      <c r="O211">
        <v>10.88262868</v>
      </c>
      <c r="P211">
        <v>10.45781519</v>
      </c>
      <c r="Q211">
        <v>4.5732057890000002</v>
      </c>
      <c r="R211">
        <v>408.51719960000003</v>
      </c>
      <c r="S211">
        <v>1.5504883389999999</v>
      </c>
      <c r="T211">
        <v>14099.08489</v>
      </c>
    </row>
    <row r="212" spans="1:20">
      <c r="A212">
        <v>78</v>
      </c>
      <c r="B212" t="s">
        <v>747</v>
      </c>
      <c r="C212" t="s">
        <v>748</v>
      </c>
      <c r="D212">
        <v>357</v>
      </c>
      <c r="E212">
        <v>1</v>
      </c>
      <c r="F212" t="s">
        <v>749</v>
      </c>
      <c r="G212" t="s">
        <v>33</v>
      </c>
      <c r="H212">
        <v>8.2224323290000001</v>
      </c>
      <c r="I212" t="s">
        <v>34</v>
      </c>
      <c r="J212">
        <v>6.2534319280000004</v>
      </c>
      <c r="K212">
        <v>117.9701082</v>
      </c>
      <c r="L212">
        <v>70.606274459999995</v>
      </c>
      <c r="M212" t="s">
        <v>35</v>
      </c>
      <c r="N212">
        <v>243.1871586</v>
      </c>
      <c r="O212">
        <v>8.8438021130000006</v>
      </c>
      <c r="P212">
        <v>9.3711885450000008</v>
      </c>
      <c r="Q212">
        <v>2.957918163</v>
      </c>
      <c r="R212">
        <v>521.13182919999997</v>
      </c>
      <c r="S212">
        <v>1.3688390930000001</v>
      </c>
      <c r="T212">
        <v>11563.860720000001</v>
      </c>
    </row>
    <row r="213" spans="1:20">
      <c r="A213">
        <v>7</v>
      </c>
      <c r="B213" t="s">
        <v>534</v>
      </c>
      <c r="C213" t="s">
        <v>535</v>
      </c>
      <c r="D213">
        <v>259</v>
      </c>
      <c r="E213">
        <v>1</v>
      </c>
      <c r="F213" t="s">
        <v>536</v>
      </c>
      <c r="G213" t="s">
        <v>33</v>
      </c>
      <c r="H213">
        <v>6.0602215519999998</v>
      </c>
      <c r="I213" t="s">
        <v>34</v>
      </c>
      <c r="J213">
        <v>8.7348856339999994</v>
      </c>
      <c r="K213">
        <v>119.5846233</v>
      </c>
      <c r="L213">
        <v>62.263987010000001</v>
      </c>
      <c r="M213" t="s">
        <v>35</v>
      </c>
      <c r="N213">
        <v>457.7952679</v>
      </c>
      <c r="O213">
        <v>9.3665393019999996</v>
      </c>
      <c r="P213">
        <v>11.030041239999999</v>
      </c>
      <c r="Q213">
        <v>3.3138519899999999</v>
      </c>
      <c r="R213">
        <v>455.7140119</v>
      </c>
      <c r="S213">
        <v>1.2939023409999999</v>
      </c>
      <c r="T213">
        <v>11473.338309999999</v>
      </c>
    </row>
    <row r="214" spans="1:20">
      <c r="A214">
        <v>79</v>
      </c>
      <c r="B214" t="s">
        <v>750</v>
      </c>
      <c r="C214" t="s">
        <v>751</v>
      </c>
      <c r="D214">
        <v>372</v>
      </c>
      <c r="E214">
        <v>1</v>
      </c>
      <c r="F214" t="s">
        <v>752</v>
      </c>
      <c r="G214" t="s">
        <v>33</v>
      </c>
      <c r="H214">
        <v>4.5629106930000001</v>
      </c>
      <c r="I214" t="s">
        <v>34</v>
      </c>
      <c r="J214">
        <v>5.9529699340000004</v>
      </c>
      <c r="K214">
        <v>51.759768540000003</v>
      </c>
      <c r="L214">
        <v>55.425899880000003</v>
      </c>
      <c r="M214" t="s">
        <v>35</v>
      </c>
      <c r="N214">
        <v>195.3799052</v>
      </c>
      <c r="O214">
        <v>10.4281986</v>
      </c>
      <c r="P214">
        <v>6.0552150960000004</v>
      </c>
      <c r="Q214">
        <v>2.0751521959999999</v>
      </c>
      <c r="R214">
        <v>376.16087900000002</v>
      </c>
      <c r="S214">
        <v>1.5069741560000001</v>
      </c>
      <c r="T214">
        <v>8902.9033689999997</v>
      </c>
    </row>
    <row r="215" spans="1:20">
      <c r="A215">
        <v>11</v>
      </c>
      <c r="B215" t="s">
        <v>546</v>
      </c>
      <c r="C215" t="s">
        <v>547</v>
      </c>
      <c r="D215">
        <v>265</v>
      </c>
      <c r="E215">
        <v>1</v>
      </c>
      <c r="F215" t="s">
        <v>548</v>
      </c>
      <c r="G215" t="s">
        <v>33</v>
      </c>
      <c r="H215">
        <v>4.949928237</v>
      </c>
      <c r="I215" t="s">
        <v>34</v>
      </c>
      <c r="J215">
        <v>8.5680271589999997</v>
      </c>
      <c r="K215">
        <v>124.3947203</v>
      </c>
      <c r="L215">
        <v>105.3707564</v>
      </c>
      <c r="M215">
        <v>4928.6884369999998</v>
      </c>
      <c r="N215">
        <v>340.6151936</v>
      </c>
      <c r="O215">
        <v>10.93925932</v>
      </c>
      <c r="P215">
        <v>9.8116330919999992</v>
      </c>
      <c r="Q215">
        <v>3.9518735010000001</v>
      </c>
      <c r="R215">
        <v>568.6391509</v>
      </c>
      <c r="S215">
        <v>3.5635566330000001</v>
      </c>
      <c r="T215">
        <v>10348.803910000001</v>
      </c>
    </row>
    <row r="216" spans="1:20">
      <c r="A216">
        <v>101</v>
      </c>
      <c r="B216" t="s">
        <v>288</v>
      </c>
      <c r="C216" t="s">
        <v>289</v>
      </c>
      <c r="D216">
        <v>132</v>
      </c>
      <c r="E216">
        <v>2</v>
      </c>
      <c r="F216" t="s">
        <v>290</v>
      </c>
      <c r="G216" t="s">
        <v>33</v>
      </c>
      <c r="H216">
        <v>7.3093879739999998</v>
      </c>
      <c r="I216" t="s">
        <v>34</v>
      </c>
      <c r="J216">
        <v>11.868419729999999</v>
      </c>
      <c r="K216">
        <v>104.1570244</v>
      </c>
      <c r="L216">
        <v>105.9266403</v>
      </c>
      <c r="M216" t="s">
        <v>35</v>
      </c>
      <c r="N216">
        <v>266.72406960000001</v>
      </c>
      <c r="O216">
        <v>18.75352397</v>
      </c>
      <c r="P216">
        <v>7.5005594670000004</v>
      </c>
      <c r="Q216">
        <v>7.6383482310000002</v>
      </c>
      <c r="R216">
        <v>636.49771480000004</v>
      </c>
      <c r="S216">
        <v>2.4613271229999998</v>
      </c>
      <c r="T216">
        <v>13913.48811</v>
      </c>
    </row>
    <row r="217" spans="1:20">
      <c r="A217">
        <v>97</v>
      </c>
      <c r="B217" t="s">
        <v>276</v>
      </c>
      <c r="C217" t="s">
        <v>277</v>
      </c>
      <c r="D217">
        <v>128</v>
      </c>
      <c r="E217">
        <v>2</v>
      </c>
      <c r="F217" t="s">
        <v>278</v>
      </c>
      <c r="G217" t="s">
        <v>33</v>
      </c>
      <c r="H217">
        <v>4.721281973</v>
      </c>
      <c r="I217" t="s">
        <v>34</v>
      </c>
      <c r="J217">
        <v>9.4043614229999992</v>
      </c>
      <c r="K217" t="s">
        <v>35</v>
      </c>
      <c r="L217">
        <v>106.7059604</v>
      </c>
      <c r="M217" t="s">
        <v>35</v>
      </c>
      <c r="N217">
        <v>169.94251840000001</v>
      </c>
      <c r="O217">
        <v>12.50086413</v>
      </c>
      <c r="P217">
        <v>7.8216109969999996</v>
      </c>
      <c r="Q217">
        <v>4.2802517770000001</v>
      </c>
      <c r="R217">
        <v>564.55047309999998</v>
      </c>
      <c r="S217">
        <v>1.896865502</v>
      </c>
      <c r="T217">
        <v>11474.8516</v>
      </c>
    </row>
    <row r="218" spans="1:20">
      <c r="A218">
        <v>98</v>
      </c>
      <c r="B218" t="s">
        <v>279</v>
      </c>
      <c r="C218" t="s">
        <v>280</v>
      </c>
      <c r="D218">
        <v>129</v>
      </c>
      <c r="E218">
        <v>2</v>
      </c>
      <c r="F218" t="s">
        <v>281</v>
      </c>
      <c r="G218" t="s">
        <v>33</v>
      </c>
      <c r="H218">
        <v>9.3836612739999996</v>
      </c>
      <c r="I218" t="s">
        <v>34</v>
      </c>
      <c r="J218">
        <v>12.12698492</v>
      </c>
      <c r="K218" t="s">
        <v>35</v>
      </c>
      <c r="L218">
        <v>108.8601384</v>
      </c>
      <c r="M218" t="s">
        <v>35</v>
      </c>
      <c r="N218">
        <v>278.42332579999999</v>
      </c>
      <c r="O218">
        <v>15.42470138</v>
      </c>
      <c r="P218">
        <v>8.3658406509999992</v>
      </c>
      <c r="Q218">
        <v>6.2423783259999999</v>
      </c>
      <c r="R218">
        <v>544.76923020000004</v>
      </c>
      <c r="S218">
        <v>1.9921225810000001</v>
      </c>
      <c r="T218">
        <v>10091.63048</v>
      </c>
    </row>
    <row r="219" spans="1:20">
      <c r="A219">
        <v>102</v>
      </c>
      <c r="B219" t="s">
        <v>291</v>
      </c>
      <c r="C219" t="s">
        <v>292</v>
      </c>
      <c r="D219">
        <v>133</v>
      </c>
      <c r="E219">
        <v>2</v>
      </c>
      <c r="F219" t="s">
        <v>293</v>
      </c>
      <c r="G219" t="s">
        <v>33</v>
      </c>
      <c r="H219">
        <v>2.8603906860000001</v>
      </c>
      <c r="I219" t="s">
        <v>34</v>
      </c>
      <c r="J219">
        <v>6.387228951</v>
      </c>
      <c r="K219">
        <v>177.57097390000001</v>
      </c>
      <c r="L219">
        <v>69.866631420000004</v>
      </c>
      <c r="M219" t="s">
        <v>35</v>
      </c>
      <c r="N219">
        <v>187.9156969</v>
      </c>
      <c r="O219">
        <v>5.5353321209999997</v>
      </c>
      <c r="P219">
        <v>14.02591209</v>
      </c>
      <c r="Q219">
        <v>1.5471575900000001</v>
      </c>
      <c r="R219">
        <v>456.4076245</v>
      </c>
      <c r="S219">
        <v>2.16094177</v>
      </c>
      <c r="T219">
        <v>14491.351430000001</v>
      </c>
    </row>
    <row r="220" spans="1:20">
      <c r="A220">
        <v>209</v>
      </c>
      <c r="B220" t="s">
        <v>132</v>
      </c>
      <c r="C220" t="s">
        <v>133</v>
      </c>
      <c r="D220">
        <v>46</v>
      </c>
      <c r="E220">
        <v>3</v>
      </c>
      <c r="F220" t="s">
        <v>134</v>
      </c>
      <c r="G220" t="s">
        <v>33</v>
      </c>
      <c r="H220">
        <v>8.3826318840000003</v>
      </c>
      <c r="I220" t="s">
        <v>34</v>
      </c>
      <c r="J220">
        <v>9.9288170779999998</v>
      </c>
      <c r="K220">
        <v>147.9574274</v>
      </c>
      <c r="L220">
        <v>53.561382129999998</v>
      </c>
      <c r="M220" t="s">
        <v>35</v>
      </c>
      <c r="N220">
        <v>274.3762893</v>
      </c>
      <c r="O220">
        <v>12.82325629</v>
      </c>
      <c r="P220">
        <v>13.416765180000001</v>
      </c>
      <c r="Q220">
        <v>6.3322019320000003</v>
      </c>
      <c r="R220">
        <v>357.72522459999999</v>
      </c>
      <c r="S220">
        <v>1.1216224589999999</v>
      </c>
      <c r="T220">
        <v>12496.1806</v>
      </c>
    </row>
    <row r="221" spans="1:20">
      <c r="A221">
        <v>12</v>
      </c>
      <c r="B221" t="s">
        <v>549</v>
      </c>
      <c r="C221" t="s">
        <v>550</v>
      </c>
      <c r="D221">
        <v>266</v>
      </c>
      <c r="E221">
        <v>1</v>
      </c>
      <c r="F221" t="s">
        <v>551</v>
      </c>
      <c r="G221" t="s">
        <v>33</v>
      </c>
      <c r="H221">
        <v>5.902193832</v>
      </c>
      <c r="I221" t="s">
        <v>34</v>
      </c>
      <c r="J221">
        <v>7.9537636090000001</v>
      </c>
      <c r="K221">
        <v>111.36548430000001</v>
      </c>
      <c r="L221">
        <v>57.626557079999998</v>
      </c>
      <c r="M221" t="s">
        <v>35</v>
      </c>
      <c r="N221">
        <v>263.20576929999999</v>
      </c>
      <c r="O221">
        <v>14.367861080000001</v>
      </c>
      <c r="P221">
        <v>12.77482915</v>
      </c>
      <c r="Q221">
        <v>5.0798234320000004</v>
      </c>
      <c r="R221">
        <v>339.2030403</v>
      </c>
      <c r="S221">
        <v>1.4270969899999999</v>
      </c>
      <c r="T221">
        <v>9183.7010150000006</v>
      </c>
    </row>
    <row r="222" spans="1:20">
      <c r="A222">
        <v>99</v>
      </c>
      <c r="B222" t="s">
        <v>282</v>
      </c>
      <c r="C222" t="s">
        <v>283</v>
      </c>
      <c r="D222">
        <v>130</v>
      </c>
      <c r="E222">
        <v>2</v>
      </c>
      <c r="F222" t="s">
        <v>284</v>
      </c>
      <c r="G222" t="s">
        <v>33</v>
      </c>
      <c r="H222">
        <v>6.1465562739999999</v>
      </c>
      <c r="I222" t="s">
        <v>34</v>
      </c>
      <c r="J222">
        <v>6.9592856420000002</v>
      </c>
      <c r="K222">
        <v>106.1214894</v>
      </c>
      <c r="L222">
        <v>54.514540859999997</v>
      </c>
      <c r="M222" t="s">
        <v>35</v>
      </c>
      <c r="N222">
        <v>121.95117380000001</v>
      </c>
      <c r="O222">
        <v>16.969078549999999</v>
      </c>
      <c r="P222">
        <v>21.053649050000001</v>
      </c>
      <c r="Q222">
        <v>6.2397291719999997</v>
      </c>
      <c r="R222">
        <v>259.59800000000001</v>
      </c>
      <c r="S222">
        <v>1.071602078</v>
      </c>
      <c r="T222">
        <v>8383.9368489999997</v>
      </c>
    </row>
    <row r="223" spans="1:20">
      <c r="A223">
        <v>171</v>
      </c>
      <c r="B223" t="s">
        <v>498</v>
      </c>
      <c r="C223" t="s">
        <v>499</v>
      </c>
      <c r="D223">
        <v>233</v>
      </c>
      <c r="E223">
        <v>2</v>
      </c>
      <c r="F223" t="s">
        <v>500</v>
      </c>
      <c r="G223" t="s">
        <v>33</v>
      </c>
      <c r="H223">
        <v>10.73952675</v>
      </c>
      <c r="I223" t="s">
        <v>34</v>
      </c>
      <c r="J223">
        <v>13.66343533</v>
      </c>
      <c r="K223">
        <v>147.0408199</v>
      </c>
      <c r="L223">
        <v>153.71696900000001</v>
      </c>
      <c r="M223" t="s">
        <v>35</v>
      </c>
      <c r="N223">
        <v>447.52722670000003</v>
      </c>
      <c r="O223">
        <v>19.687452480000001</v>
      </c>
      <c r="P223">
        <v>23.460805579999999</v>
      </c>
      <c r="Q223">
        <v>5.9891219160000002</v>
      </c>
      <c r="R223">
        <v>798.81128850000005</v>
      </c>
      <c r="S223">
        <v>2.5799466670000002</v>
      </c>
      <c r="T223">
        <v>12759.575129999999</v>
      </c>
    </row>
    <row r="224" spans="1:20">
      <c r="A224">
        <v>235</v>
      </c>
      <c r="B224" t="s">
        <v>210</v>
      </c>
      <c r="C224" t="s">
        <v>211</v>
      </c>
      <c r="D224">
        <v>88</v>
      </c>
      <c r="E224">
        <v>3</v>
      </c>
      <c r="F224" t="s">
        <v>212</v>
      </c>
      <c r="G224" t="s">
        <v>33</v>
      </c>
      <c r="H224" t="s">
        <v>34</v>
      </c>
      <c r="I224" t="s">
        <v>34</v>
      </c>
      <c r="J224">
        <v>2.737282693</v>
      </c>
      <c r="K224" t="s">
        <v>35</v>
      </c>
      <c r="L224">
        <v>29.27061621</v>
      </c>
      <c r="M224" t="s">
        <v>35</v>
      </c>
      <c r="N224">
        <v>97.289722990000001</v>
      </c>
      <c r="O224">
        <v>3.0012668370000002</v>
      </c>
      <c r="P224">
        <v>13.58286562</v>
      </c>
      <c r="Q224" t="s">
        <v>34</v>
      </c>
      <c r="R224">
        <v>196.4928251</v>
      </c>
      <c r="S224">
        <v>3.930961237</v>
      </c>
      <c r="T224">
        <v>3895.6578589999999</v>
      </c>
    </row>
    <row r="225" spans="1:20">
      <c r="A225">
        <v>236</v>
      </c>
      <c r="B225" t="s">
        <v>213</v>
      </c>
      <c r="C225" t="s">
        <v>214</v>
      </c>
      <c r="D225">
        <v>91</v>
      </c>
      <c r="E225">
        <v>3</v>
      </c>
      <c r="F225" t="s">
        <v>215</v>
      </c>
      <c r="G225" t="s">
        <v>33</v>
      </c>
      <c r="H225" t="s">
        <v>34</v>
      </c>
      <c r="I225" t="s">
        <v>34</v>
      </c>
      <c r="J225">
        <v>2.1233393469999999</v>
      </c>
      <c r="K225" t="s">
        <v>35</v>
      </c>
      <c r="L225">
        <v>25.808535719999998</v>
      </c>
      <c r="M225" t="s">
        <v>35</v>
      </c>
      <c r="N225">
        <v>301.18961710000002</v>
      </c>
      <c r="O225">
        <v>1.211374715</v>
      </c>
      <c r="P225">
        <v>12.873714680000001</v>
      </c>
      <c r="Q225" t="s">
        <v>34</v>
      </c>
      <c r="R225">
        <v>144.97404090000001</v>
      </c>
      <c r="S225">
        <v>3.3625572560000001</v>
      </c>
      <c r="T225">
        <v>4467.1925339999998</v>
      </c>
    </row>
    <row r="226" spans="1:20">
      <c r="A226">
        <v>241</v>
      </c>
      <c r="B226" t="s">
        <v>228</v>
      </c>
      <c r="C226" t="s">
        <v>229</v>
      </c>
      <c r="D226">
        <v>96</v>
      </c>
      <c r="E226">
        <v>3</v>
      </c>
      <c r="F226" t="s">
        <v>230</v>
      </c>
      <c r="G226" t="s">
        <v>33</v>
      </c>
      <c r="H226">
        <v>3.2018348919999999</v>
      </c>
      <c r="I226" t="s">
        <v>34</v>
      </c>
      <c r="J226">
        <v>8.0842501339999995</v>
      </c>
      <c r="K226">
        <v>21.158948070000001</v>
      </c>
      <c r="L226">
        <v>45.155011340000001</v>
      </c>
      <c r="M226">
        <v>3595.613167</v>
      </c>
      <c r="N226">
        <v>140.8175569</v>
      </c>
      <c r="O226">
        <v>4.8478032779999998</v>
      </c>
      <c r="P226">
        <v>4.6950268739999999</v>
      </c>
      <c r="Q226">
        <v>4.1710320420000002</v>
      </c>
      <c r="R226">
        <v>249.20146220000001</v>
      </c>
      <c r="S226">
        <v>1.3538246279999999</v>
      </c>
      <c r="T226">
        <v>11083.043240000001</v>
      </c>
    </row>
    <row r="227" spans="1:20">
      <c r="A227">
        <v>92</v>
      </c>
      <c r="B227" t="s">
        <v>789</v>
      </c>
      <c r="C227" t="s">
        <v>790</v>
      </c>
      <c r="D227">
        <v>387</v>
      </c>
      <c r="E227">
        <v>1</v>
      </c>
      <c r="F227" t="s">
        <v>791</v>
      </c>
      <c r="G227" t="s">
        <v>33</v>
      </c>
      <c r="H227">
        <v>7.6042649840000003</v>
      </c>
      <c r="I227">
        <v>11.692842069999999</v>
      </c>
      <c r="J227">
        <v>8.6462217789999993</v>
      </c>
      <c r="K227">
        <v>20.681291099999999</v>
      </c>
      <c r="L227">
        <v>87.153768830000004</v>
      </c>
      <c r="M227">
        <v>4824.9238260000002</v>
      </c>
      <c r="N227">
        <v>697.49754710000002</v>
      </c>
      <c r="O227">
        <v>6.8583718229999997</v>
      </c>
      <c r="P227">
        <v>8.4604841549999996</v>
      </c>
      <c r="Q227">
        <v>5.602079925</v>
      </c>
      <c r="R227">
        <v>385.40114610000001</v>
      </c>
      <c r="S227">
        <v>1.7151370699999999</v>
      </c>
      <c r="T227">
        <v>9149.0652809999992</v>
      </c>
    </row>
    <row r="228" spans="1:20">
      <c r="A228">
        <v>33</v>
      </c>
      <c r="B228" t="s">
        <v>612</v>
      </c>
      <c r="C228" t="s">
        <v>613</v>
      </c>
      <c r="D228">
        <v>291</v>
      </c>
      <c r="E228">
        <v>1</v>
      </c>
      <c r="F228" t="s">
        <v>614</v>
      </c>
      <c r="G228" t="s">
        <v>33</v>
      </c>
      <c r="H228">
        <v>3.0863774350000002</v>
      </c>
      <c r="I228" t="s">
        <v>34</v>
      </c>
      <c r="J228">
        <v>4.5204259850000001</v>
      </c>
      <c r="K228" t="s">
        <v>35</v>
      </c>
      <c r="L228">
        <v>64.135730440000003</v>
      </c>
      <c r="M228" t="s">
        <v>35</v>
      </c>
      <c r="N228">
        <v>269.69375129999997</v>
      </c>
      <c r="O228">
        <v>3.1750614399999999</v>
      </c>
      <c r="P228">
        <v>23.261864760000002</v>
      </c>
      <c r="Q228">
        <v>0.79128856599999997</v>
      </c>
      <c r="R228">
        <v>329.6916976</v>
      </c>
      <c r="S228">
        <v>4.5862107109999997</v>
      </c>
      <c r="T228">
        <v>8548.7869169999994</v>
      </c>
    </row>
    <row r="229" spans="1:20">
      <c r="A229">
        <v>114</v>
      </c>
      <c r="B229" t="s">
        <v>327</v>
      </c>
      <c r="C229" t="s">
        <v>328</v>
      </c>
      <c r="D229">
        <v>147</v>
      </c>
      <c r="E229">
        <v>2</v>
      </c>
      <c r="F229" t="s">
        <v>329</v>
      </c>
      <c r="G229" t="s">
        <v>33</v>
      </c>
      <c r="H229">
        <v>7.6157314769999997</v>
      </c>
      <c r="I229">
        <v>4.0097560149999998</v>
      </c>
      <c r="J229">
        <v>5.419932373</v>
      </c>
      <c r="K229">
        <v>48.121164280000002</v>
      </c>
      <c r="L229">
        <v>132.46436940000001</v>
      </c>
      <c r="M229" t="s">
        <v>35</v>
      </c>
      <c r="N229">
        <v>230.1114001</v>
      </c>
      <c r="O229">
        <v>7.1328603619999997</v>
      </c>
      <c r="P229">
        <v>12.479302280000001</v>
      </c>
      <c r="Q229">
        <v>1.894449212</v>
      </c>
      <c r="R229">
        <v>449.42746510000001</v>
      </c>
      <c r="S229">
        <v>1.1155996989999999</v>
      </c>
      <c r="T229">
        <v>12740.09791</v>
      </c>
    </row>
    <row r="230" spans="1:20">
      <c r="A230">
        <v>34</v>
      </c>
      <c r="B230" t="s">
        <v>615</v>
      </c>
      <c r="C230" t="s">
        <v>616</v>
      </c>
      <c r="D230">
        <v>292</v>
      </c>
      <c r="E230">
        <v>1</v>
      </c>
      <c r="F230" t="s">
        <v>617</v>
      </c>
      <c r="G230" t="s">
        <v>33</v>
      </c>
      <c r="H230">
        <v>5.750393775</v>
      </c>
      <c r="I230" t="s">
        <v>34</v>
      </c>
      <c r="J230">
        <v>8.1985420569999992</v>
      </c>
      <c r="K230" t="s">
        <v>35</v>
      </c>
      <c r="L230">
        <v>56.659825589999997</v>
      </c>
      <c r="M230" t="s">
        <v>35</v>
      </c>
      <c r="N230">
        <v>190.55094109999999</v>
      </c>
      <c r="O230">
        <v>5.134120426</v>
      </c>
      <c r="P230">
        <v>9.9755924030000003</v>
      </c>
      <c r="Q230">
        <v>1.9862692209999999</v>
      </c>
      <c r="R230">
        <v>390.18967559999999</v>
      </c>
      <c r="S230">
        <v>1.3959448510000001</v>
      </c>
      <c r="T230">
        <v>8450.9803090000005</v>
      </c>
    </row>
    <row r="231" spans="1:20">
      <c r="A231">
        <v>32</v>
      </c>
      <c r="B231" t="s">
        <v>609</v>
      </c>
      <c r="C231" t="s">
        <v>610</v>
      </c>
      <c r="D231">
        <v>290</v>
      </c>
      <c r="E231">
        <v>1</v>
      </c>
      <c r="F231" t="s">
        <v>611</v>
      </c>
      <c r="G231" t="s">
        <v>33</v>
      </c>
      <c r="H231">
        <v>3.1825728049999999</v>
      </c>
      <c r="I231" t="s">
        <v>34</v>
      </c>
      <c r="J231">
        <v>5.4550448249999999</v>
      </c>
      <c r="K231" t="s">
        <v>35</v>
      </c>
      <c r="L231">
        <v>52.055494600000003</v>
      </c>
      <c r="M231" t="s">
        <v>35</v>
      </c>
      <c r="N231">
        <v>195.78243209999999</v>
      </c>
      <c r="O231">
        <v>4.043928835</v>
      </c>
      <c r="P231">
        <v>7.9091270859999998</v>
      </c>
      <c r="Q231">
        <v>1.2610657890000001</v>
      </c>
      <c r="R231">
        <v>385.3118422</v>
      </c>
      <c r="S231">
        <v>1.333770407</v>
      </c>
      <c r="T231">
        <v>7735.7513989999998</v>
      </c>
    </row>
    <row r="232" spans="1:20">
      <c r="A232">
        <v>37</v>
      </c>
      <c r="B232" t="s">
        <v>624</v>
      </c>
      <c r="C232" t="s">
        <v>625</v>
      </c>
      <c r="D232">
        <v>295</v>
      </c>
      <c r="E232">
        <v>1</v>
      </c>
      <c r="F232" t="s">
        <v>626</v>
      </c>
      <c r="G232" t="s">
        <v>33</v>
      </c>
      <c r="H232">
        <v>4.883791145</v>
      </c>
      <c r="I232" t="s">
        <v>34</v>
      </c>
      <c r="J232">
        <v>6.0112171500000002</v>
      </c>
      <c r="K232" t="s">
        <v>35</v>
      </c>
      <c r="L232">
        <v>47.754904060000001</v>
      </c>
      <c r="M232" t="s">
        <v>35</v>
      </c>
      <c r="N232">
        <v>171.26439629999999</v>
      </c>
      <c r="O232">
        <v>4.3311839680000004</v>
      </c>
      <c r="P232">
        <v>14.51584618</v>
      </c>
      <c r="Q232">
        <v>1.3180676870000001</v>
      </c>
      <c r="R232">
        <v>378.99588449999999</v>
      </c>
      <c r="S232">
        <v>1.332214394</v>
      </c>
      <c r="T232">
        <v>8285.043619</v>
      </c>
    </row>
    <row r="233" spans="1:20">
      <c r="A233">
        <v>208</v>
      </c>
      <c r="B233" t="s">
        <v>129</v>
      </c>
      <c r="C233" t="s">
        <v>130</v>
      </c>
      <c r="D233">
        <v>45</v>
      </c>
      <c r="E233">
        <v>3</v>
      </c>
      <c r="F233" t="s">
        <v>131</v>
      </c>
      <c r="G233" t="s">
        <v>33</v>
      </c>
      <c r="H233">
        <v>6.3680300609999998</v>
      </c>
      <c r="I233" t="s">
        <v>34</v>
      </c>
      <c r="J233">
        <v>11.84705634</v>
      </c>
      <c r="K233" t="s">
        <v>35</v>
      </c>
      <c r="L233">
        <v>37.458973030000003</v>
      </c>
      <c r="M233" t="s">
        <v>35</v>
      </c>
      <c r="N233">
        <v>237.5721375</v>
      </c>
      <c r="O233">
        <v>7.0916125059999997</v>
      </c>
      <c r="P233">
        <v>21.016173559999999</v>
      </c>
      <c r="Q233">
        <v>3.1604591160000002</v>
      </c>
      <c r="R233">
        <v>318.26473399999998</v>
      </c>
      <c r="S233">
        <v>1.228538656</v>
      </c>
      <c r="T233">
        <v>15748.75208</v>
      </c>
    </row>
    <row r="234" spans="1:20">
      <c r="A234">
        <v>237</v>
      </c>
      <c r="B234" t="s">
        <v>216</v>
      </c>
      <c r="C234" t="s">
        <v>217</v>
      </c>
      <c r="D234">
        <v>92</v>
      </c>
      <c r="E234">
        <v>3</v>
      </c>
      <c r="F234" t="s">
        <v>218</v>
      </c>
      <c r="G234" t="s">
        <v>33</v>
      </c>
      <c r="H234">
        <v>3.4872988130000002</v>
      </c>
      <c r="I234" t="s">
        <v>34</v>
      </c>
      <c r="J234">
        <v>4.8609890609999997</v>
      </c>
      <c r="K234" t="s">
        <v>35</v>
      </c>
      <c r="L234">
        <v>54.517578710000002</v>
      </c>
      <c r="M234">
        <v>3028.1353509999999</v>
      </c>
      <c r="N234">
        <v>50.12013013</v>
      </c>
      <c r="O234">
        <v>4.3139441380000001</v>
      </c>
      <c r="P234">
        <v>15.27087878</v>
      </c>
      <c r="Q234">
        <v>0.84361743700000003</v>
      </c>
      <c r="R234">
        <v>251.2254973</v>
      </c>
      <c r="S234">
        <v>3.0455685830000001</v>
      </c>
      <c r="T234">
        <v>3776.081259</v>
      </c>
    </row>
    <row r="235" spans="1:20">
      <c r="A235">
        <v>215</v>
      </c>
      <c r="B235" t="s">
        <v>150</v>
      </c>
      <c r="C235" t="s">
        <v>151</v>
      </c>
      <c r="D235">
        <v>52</v>
      </c>
      <c r="E235">
        <v>3</v>
      </c>
      <c r="F235" t="s">
        <v>152</v>
      </c>
      <c r="G235" t="s">
        <v>33</v>
      </c>
      <c r="H235">
        <v>8.5159038640000002</v>
      </c>
      <c r="I235" t="s">
        <v>34</v>
      </c>
      <c r="J235">
        <v>7.0207372079999999</v>
      </c>
      <c r="K235" t="s">
        <v>35</v>
      </c>
      <c r="L235">
        <v>43.872866770000002</v>
      </c>
      <c r="M235" t="s">
        <v>35</v>
      </c>
      <c r="N235">
        <v>283.95384439999998</v>
      </c>
      <c r="O235">
        <v>11.340289690000001</v>
      </c>
      <c r="P235">
        <v>11.15572057</v>
      </c>
      <c r="Q235">
        <v>4.0666735469999997</v>
      </c>
      <c r="R235">
        <v>346.35943420000001</v>
      </c>
      <c r="S235">
        <v>1.1983687119999999</v>
      </c>
      <c r="T235">
        <v>10594.612090000001</v>
      </c>
    </row>
    <row r="236" spans="1:20">
      <c r="A236">
        <v>167</v>
      </c>
      <c r="B236" t="s">
        <v>486</v>
      </c>
      <c r="C236" t="s">
        <v>487</v>
      </c>
      <c r="D236">
        <v>229</v>
      </c>
      <c r="E236">
        <v>2</v>
      </c>
      <c r="F236" t="s">
        <v>488</v>
      </c>
      <c r="G236" t="s">
        <v>33</v>
      </c>
      <c r="H236">
        <v>12.737672269999999</v>
      </c>
      <c r="I236" t="s">
        <v>34</v>
      </c>
      <c r="J236">
        <v>15.57549187</v>
      </c>
      <c r="K236">
        <v>45.042158190000002</v>
      </c>
      <c r="L236">
        <v>76.873678200000001</v>
      </c>
      <c r="M236">
        <v>4806.8715609999999</v>
      </c>
      <c r="N236">
        <v>204.43507320000001</v>
      </c>
      <c r="O236">
        <v>6.3618294630000003</v>
      </c>
      <c r="P236">
        <v>8.2644838840000006</v>
      </c>
      <c r="Q236">
        <v>7.4881019689999997</v>
      </c>
      <c r="R236">
        <v>350.68180760000001</v>
      </c>
      <c r="S236">
        <v>1.2910404310000001</v>
      </c>
      <c r="T236">
        <v>15503.49604</v>
      </c>
    </row>
    <row r="237" spans="1:20">
      <c r="A237">
        <v>200</v>
      </c>
      <c r="B237" t="s">
        <v>105</v>
      </c>
      <c r="C237" t="s">
        <v>106</v>
      </c>
      <c r="D237">
        <v>35</v>
      </c>
      <c r="E237">
        <v>3</v>
      </c>
      <c r="F237" t="s">
        <v>107</v>
      </c>
      <c r="G237" t="s">
        <v>33</v>
      </c>
      <c r="H237">
        <v>2.8792242809999999</v>
      </c>
      <c r="I237" t="s">
        <v>34</v>
      </c>
      <c r="J237">
        <v>4.4815496939999999</v>
      </c>
      <c r="K237">
        <v>132.22148089999999</v>
      </c>
      <c r="L237">
        <v>34.079324200000002</v>
      </c>
      <c r="M237" t="s">
        <v>35</v>
      </c>
      <c r="N237">
        <v>146.09530050000001</v>
      </c>
      <c r="O237">
        <v>5.305795142</v>
      </c>
      <c r="P237">
        <v>86.177096259999999</v>
      </c>
      <c r="Q237">
        <v>1.4793571169999999</v>
      </c>
      <c r="R237">
        <v>313.31025840000001</v>
      </c>
      <c r="S237">
        <v>1.0984118199999999</v>
      </c>
      <c r="T237">
        <v>11610.77794</v>
      </c>
    </row>
    <row r="238" spans="1:20">
      <c r="A238">
        <v>155</v>
      </c>
      <c r="B238" t="s">
        <v>450</v>
      </c>
      <c r="C238" t="s">
        <v>451</v>
      </c>
      <c r="D238">
        <v>208</v>
      </c>
      <c r="E238">
        <v>2</v>
      </c>
      <c r="F238" t="s">
        <v>452</v>
      </c>
      <c r="G238" t="s">
        <v>33</v>
      </c>
      <c r="H238">
        <v>4.6318959279999996</v>
      </c>
      <c r="I238" t="s">
        <v>34</v>
      </c>
      <c r="J238">
        <v>5.8159095909999996</v>
      </c>
      <c r="K238">
        <v>127.3673964</v>
      </c>
      <c r="L238">
        <v>48.247145969999998</v>
      </c>
      <c r="M238" t="s">
        <v>35</v>
      </c>
      <c r="N238">
        <v>486.89366080000002</v>
      </c>
      <c r="O238">
        <v>7.7841416150000002</v>
      </c>
      <c r="P238">
        <v>10.26911177</v>
      </c>
      <c r="Q238">
        <v>2.6249990830000001</v>
      </c>
      <c r="R238">
        <v>305.46039039999999</v>
      </c>
      <c r="S238">
        <v>1.386539083</v>
      </c>
      <c r="T238">
        <v>10628.572029999999</v>
      </c>
    </row>
    <row r="239" spans="1:20">
      <c r="A239">
        <v>202</v>
      </c>
      <c r="B239" t="s">
        <v>111</v>
      </c>
      <c r="C239" t="s">
        <v>112</v>
      </c>
      <c r="D239">
        <v>37</v>
      </c>
      <c r="E239">
        <v>3</v>
      </c>
      <c r="F239" t="s">
        <v>113</v>
      </c>
      <c r="G239" t="s">
        <v>33</v>
      </c>
      <c r="H239">
        <v>6.1524021009999998</v>
      </c>
      <c r="I239" t="s">
        <v>34</v>
      </c>
      <c r="J239">
        <v>10.077440470000001</v>
      </c>
      <c r="K239" t="s">
        <v>35</v>
      </c>
      <c r="L239">
        <v>61.9846918</v>
      </c>
      <c r="M239" t="s">
        <v>35</v>
      </c>
      <c r="N239">
        <v>689.56531150000001</v>
      </c>
      <c r="O239">
        <v>9.1826350649999995</v>
      </c>
      <c r="P239">
        <v>11.6714918</v>
      </c>
      <c r="Q239">
        <v>4.5357124730000002</v>
      </c>
      <c r="R239">
        <v>412.90521280000002</v>
      </c>
      <c r="S239">
        <v>1.564290811</v>
      </c>
      <c r="T239">
        <v>11442.23792</v>
      </c>
    </row>
    <row r="240" spans="1:20">
      <c r="A240">
        <v>147</v>
      </c>
      <c r="B240" t="s">
        <v>426</v>
      </c>
      <c r="C240" t="s">
        <v>427</v>
      </c>
      <c r="D240">
        <v>200</v>
      </c>
      <c r="E240">
        <v>2</v>
      </c>
      <c r="F240" t="s">
        <v>428</v>
      </c>
      <c r="G240" t="s">
        <v>33</v>
      </c>
      <c r="H240">
        <v>15.66824802</v>
      </c>
      <c r="I240" t="s">
        <v>34</v>
      </c>
      <c r="J240">
        <v>10.709482660000001</v>
      </c>
      <c r="K240">
        <v>89.06963519</v>
      </c>
      <c r="L240">
        <v>75.821677249999993</v>
      </c>
      <c r="M240" t="s">
        <v>35</v>
      </c>
      <c r="N240">
        <v>362.4402594</v>
      </c>
      <c r="O240">
        <v>9.5241540380000007</v>
      </c>
      <c r="P240">
        <v>9.9301675540000005</v>
      </c>
      <c r="Q240">
        <v>6.5990287480000003</v>
      </c>
      <c r="R240">
        <v>487.06815870000003</v>
      </c>
      <c r="S240">
        <v>1.072946559</v>
      </c>
      <c r="T240">
        <v>11716.78644</v>
      </c>
    </row>
    <row r="241" spans="1:20">
      <c r="A241">
        <v>16</v>
      </c>
      <c r="B241" t="s">
        <v>561</v>
      </c>
      <c r="C241" t="s">
        <v>562</v>
      </c>
      <c r="D241">
        <v>270</v>
      </c>
      <c r="E241">
        <v>1</v>
      </c>
      <c r="F241" t="s">
        <v>563</v>
      </c>
      <c r="G241" t="s">
        <v>33</v>
      </c>
      <c r="H241">
        <v>6.5815522059999996</v>
      </c>
      <c r="I241" t="s">
        <v>34</v>
      </c>
      <c r="J241">
        <v>8.8404359419999992</v>
      </c>
      <c r="K241" t="s">
        <v>35</v>
      </c>
      <c r="L241">
        <v>83.524478529999996</v>
      </c>
      <c r="M241" t="s">
        <v>35</v>
      </c>
      <c r="N241">
        <v>958.82536779999998</v>
      </c>
      <c r="O241">
        <v>9.125031968</v>
      </c>
      <c r="P241">
        <v>7.7414175460000001</v>
      </c>
      <c r="Q241">
        <v>3.7283912899999998</v>
      </c>
      <c r="R241">
        <v>490.01249919999998</v>
      </c>
      <c r="S241">
        <v>1.9107777939999999</v>
      </c>
      <c r="T241">
        <v>13290.344929999999</v>
      </c>
    </row>
    <row r="242" spans="1:20">
      <c r="A242">
        <v>63</v>
      </c>
      <c r="B242" t="s">
        <v>702</v>
      </c>
      <c r="C242" t="s">
        <v>703</v>
      </c>
      <c r="D242">
        <v>340</v>
      </c>
      <c r="E242">
        <v>1</v>
      </c>
      <c r="F242" t="s">
        <v>704</v>
      </c>
      <c r="G242" t="s">
        <v>33</v>
      </c>
      <c r="H242">
        <v>11.52835885</v>
      </c>
      <c r="I242" t="s">
        <v>34</v>
      </c>
      <c r="J242">
        <v>9.7867500869999997</v>
      </c>
      <c r="K242" t="s">
        <v>35</v>
      </c>
      <c r="L242">
        <v>66.315870950000004</v>
      </c>
      <c r="M242" t="s">
        <v>35</v>
      </c>
      <c r="N242">
        <v>409.06973599999998</v>
      </c>
      <c r="O242">
        <v>16.41913117</v>
      </c>
      <c r="P242">
        <v>12.630229099999999</v>
      </c>
      <c r="Q242">
        <v>6.7103972330000001</v>
      </c>
      <c r="R242">
        <v>434.78487330000002</v>
      </c>
      <c r="S242">
        <v>0.93463290600000004</v>
      </c>
      <c r="T242">
        <v>10039.819600000001</v>
      </c>
    </row>
    <row r="243" spans="1:20">
      <c r="A243">
        <v>109</v>
      </c>
      <c r="B243" t="s">
        <v>312</v>
      </c>
      <c r="C243" t="s">
        <v>313</v>
      </c>
      <c r="D243">
        <v>142</v>
      </c>
      <c r="E243">
        <v>2</v>
      </c>
      <c r="F243" t="s">
        <v>314</v>
      </c>
      <c r="G243" t="s">
        <v>33</v>
      </c>
      <c r="H243">
        <v>3.468804564</v>
      </c>
      <c r="I243" t="s">
        <v>34</v>
      </c>
      <c r="J243">
        <v>4.8725374849999996</v>
      </c>
      <c r="K243">
        <v>152.87785149999999</v>
      </c>
      <c r="L243">
        <v>59.026504170000003</v>
      </c>
      <c r="M243" t="s">
        <v>35</v>
      </c>
      <c r="N243">
        <v>147.09051769999999</v>
      </c>
      <c r="O243">
        <v>6.0534995970000001</v>
      </c>
      <c r="P243">
        <v>9.0688514110000007</v>
      </c>
      <c r="Q243">
        <v>1.5623457199999999</v>
      </c>
      <c r="R243">
        <v>367.98076120000002</v>
      </c>
      <c r="S243">
        <v>1.123187562</v>
      </c>
      <c r="T243">
        <v>9185.8988950000003</v>
      </c>
    </row>
    <row r="244" spans="1:20">
      <c r="A244">
        <v>239</v>
      </c>
      <c r="B244" t="s">
        <v>222</v>
      </c>
      <c r="C244" t="s">
        <v>223</v>
      </c>
      <c r="D244">
        <v>94</v>
      </c>
      <c r="E244">
        <v>3</v>
      </c>
      <c r="F244" t="s">
        <v>224</v>
      </c>
      <c r="G244" t="s">
        <v>33</v>
      </c>
      <c r="H244">
        <v>5.9632226429999999</v>
      </c>
      <c r="I244" t="s">
        <v>34</v>
      </c>
      <c r="J244">
        <v>6.2344403850000001</v>
      </c>
      <c r="K244">
        <v>143.514171</v>
      </c>
      <c r="L244">
        <v>33.669533100000002</v>
      </c>
      <c r="M244" t="s">
        <v>35</v>
      </c>
      <c r="N244">
        <v>292.84404110000003</v>
      </c>
      <c r="O244">
        <v>9.0821872040000002</v>
      </c>
      <c r="P244">
        <v>10.60414183</v>
      </c>
      <c r="Q244">
        <v>4.0100207919999997</v>
      </c>
      <c r="R244">
        <v>278.03698530000003</v>
      </c>
      <c r="S244">
        <v>0.65222281400000004</v>
      </c>
      <c r="T244">
        <v>10148.376759999999</v>
      </c>
    </row>
    <row r="245" spans="1:20">
      <c r="A245">
        <v>77</v>
      </c>
      <c r="B245" t="s">
        <v>744</v>
      </c>
      <c r="C245" t="s">
        <v>745</v>
      </c>
      <c r="D245">
        <v>356</v>
      </c>
      <c r="E245">
        <v>1</v>
      </c>
      <c r="F245" t="s">
        <v>746</v>
      </c>
      <c r="G245" t="s">
        <v>33</v>
      </c>
      <c r="H245">
        <v>11.57757065</v>
      </c>
      <c r="I245" t="s">
        <v>34</v>
      </c>
      <c r="J245">
        <v>6.2617504039999998</v>
      </c>
      <c r="K245">
        <v>122.7750736</v>
      </c>
      <c r="L245">
        <v>69.411762060000001</v>
      </c>
      <c r="M245" t="s">
        <v>35</v>
      </c>
      <c r="N245">
        <v>253.21472829999999</v>
      </c>
      <c r="O245">
        <v>7.5151957759999997</v>
      </c>
      <c r="P245">
        <v>9.0994101730000008</v>
      </c>
      <c r="Q245">
        <v>3.196061233</v>
      </c>
      <c r="R245">
        <v>383.69691010000003</v>
      </c>
      <c r="S245">
        <v>1.552172527</v>
      </c>
      <c r="T245">
        <v>12846.75742</v>
      </c>
    </row>
    <row r="246" spans="1:20">
      <c r="A246">
        <v>22</v>
      </c>
      <c r="B246" t="s">
        <v>579</v>
      </c>
      <c r="C246" t="s">
        <v>580</v>
      </c>
      <c r="D246">
        <v>278</v>
      </c>
      <c r="E246">
        <v>1</v>
      </c>
      <c r="F246" t="s">
        <v>581</v>
      </c>
      <c r="G246" t="s">
        <v>33</v>
      </c>
      <c r="H246">
        <v>9.7308658480000005</v>
      </c>
      <c r="I246" t="s">
        <v>34</v>
      </c>
      <c r="J246">
        <v>7.9169981680000001</v>
      </c>
      <c r="K246" t="s">
        <v>35</v>
      </c>
      <c r="L246">
        <v>67.886580699999996</v>
      </c>
      <c r="M246" t="s">
        <v>35</v>
      </c>
      <c r="N246">
        <v>366.81584980000002</v>
      </c>
      <c r="O246">
        <v>11.883419849999999</v>
      </c>
      <c r="P246">
        <v>13.18694054</v>
      </c>
      <c r="Q246">
        <v>4.6253475249999996</v>
      </c>
      <c r="R246">
        <v>423.5989553</v>
      </c>
      <c r="S246">
        <v>1.1712651430000001</v>
      </c>
      <c r="T246">
        <v>10795.7336</v>
      </c>
    </row>
    <row r="247" spans="1:20">
      <c r="A247">
        <v>54</v>
      </c>
      <c r="B247" t="s">
        <v>675</v>
      </c>
      <c r="C247" t="s">
        <v>676</v>
      </c>
      <c r="D247">
        <v>328</v>
      </c>
      <c r="E247">
        <v>1</v>
      </c>
      <c r="F247" t="s">
        <v>677</v>
      </c>
      <c r="G247" t="s">
        <v>33</v>
      </c>
      <c r="H247">
        <v>5.3186038870000001</v>
      </c>
      <c r="I247" t="s">
        <v>34</v>
      </c>
      <c r="J247">
        <v>9.3393027499999999</v>
      </c>
      <c r="K247" t="s">
        <v>35</v>
      </c>
      <c r="L247">
        <v>51.831368599999998</v>
      </c>
      <c r="M247" t="s">
        <v>35</v>
      </c>
      <c r="N247">
        <v>223.1405603</v>
      </c>
      <c r="O247">
        <v>7.8788180849999998</v>
      </c>
      <c r="P247">
        <v>8.7488346670000006</v>
      </c>
      <c r="Q247">
        <v>3.353025175</v>
      </c>
      <c r="R247">
        <v>370.978228</v>
      </c>
      <c r="S247">
        <v>1.485248449</v>
      </c>
      <c r="T247">
        <v>8846.1430600000003</v>
      </c>
    </row>
    <row r="248" spans="1:20">
      <c r="A248">
        <v>67</v>
      </c>
      <c r="B248" t="s">
        <v>714</v>
      </c>
      <c r="C248" t="s">
        <v>715</v>
      </c>
      <c r="D248">
        <v>344</v>
      </c>
      <c r="E248">
        <v>1</v>
      </c>
      <c r="F248" t="s">
        <v>716</v>
      </c>
      <c r="G248" t="s">
        <v>33</v>
      </c>
      <c r="H248">
        <v>7.4557927099999999</v>
      </c>
      <c r="I248" t="s">
        <v>34</v>
      </c>
      <c r="J248">
        <v>7.9403957480000003</v>
      </c>
      <c r="K248">
        <v>126.7718247</v>
      </c>
      <c r="L248">
        <v>39.031563300000002</v>
      </c>
      <c r="M248" t="s">
        <v>35</v>
      </c>
      <c r="N248">
        <v>279.0176179</v>
      </c>
      <c r="O248">
        <v>10.2888547</v>
      </c>
      <c r="P248">
        <v>12.499175579999999</v>
      </c>
      <c r="Q248">
        <v>4.682940018</v>
      </c>
      <c r="R248">
        <v>382.40795509999998</v>
      </c>
      <c r="S248">
        <v>1.0472815550000001</v>
      </c>
      <c r="T248">
        <v>14131.53894</v>
      </c>
    </row>
    <row r="249" spans="1:20">
      <c r="A249">
        <v>219</v>
      </c>
      <c r="B249" t="s">
        <v>162</v>
      </c>
      <c r="C249" t="s">
        <v>163</v>
      </c>
      <c r="D249">
        <v>70</v>
      </c>
      <c r="E249">
        <v>3</v>
      </c>
      <c r="F249" t="s">
        <v>164</v>
      </c>
      <c r="G249" t="s">
        <v>33</v>
      </c>
      <c r="H249">
        <v>9.9556343910000002</v>
      </c>
      <c r="I249" t="s">
        <v>34</v>
      </c>
      <c r="J249">
        <v>8.2430249950000007</v>
      </c>
      <c r="K249">
        <v>135.19529750000001</v>
      </c>
      <c r="L249">
        <v>57.931315720000001</v>
      </c>
      <c r="M249" t="s">
        <v>35</v>
      </c>
      <c r="N249">
        <v>284.30168250000003</v>
      </c>
      <c r="O249">
        <v>8.5998798109999992</v>
      </c>
      <c r="P249">
        <v>9.718020718</v>
      </c>
      <c r="Q249">
        <v>4.9019412009999996</v>
      </c>
      <c r="R249">
        <v>309.3890591</v>
      </c>
      <c r="S249">
        <v>0.95907478800000001</v>
      </c>
      <c r="T249">
        <v>9872.9205340000008</v>
      </c>
    </row>
    <row r="250" spans="1:20">
      <c r="A250">
        <v>44</v>
      </c>
      <c r="B250" t="s">
        <v>645</v>
      </c>
      <c r="C250" t="s">
        <v>646</v>
      </c>
      <c r="D250">
        <v>316</v>
      </c>
      <c r="E250">
        <v>1</v>
      </c>
      <c r="F250" t="s">
        <v>647</v>
      </c>
      <c r="G250" t="s">
        <v>33</v>
      </c>
      <c r="H250">
        <v>7.2379427720000002</v>
      </c>
      <c r="I250" t="s">
        <v>34</v>
      </c>
      <c r="J250">
        <v>9.4756675050000005</v>
      </c>
      <c r="K250" t="s">
        <v>35</v>
      </c>
      <c r="L250">
        <v>61.765176369999999</v>
      </c>
      <c r="M250" t="s">
        <v>35</v>
      </c>
      <c r="N250">
        <v>247.23483189999999</v>
      </c>
      <c r="O250">
        <v>11.82528267</v>
      </c>
      <c r="P250">
        <v>10.63654886</v>
      </c>
      <c r="Q250">
        <v>4.0365441579999999</v>
      </c>
      <c r="R250">
        <v>428.53799850000001</v>
      </c>
      <c r="S250">
        <v>0.80899610899999996</v>
      </c>
      <c r="T250">
        <v>12066.925149999999</v>
      </c>
    </row>
    <row r="251" spans="1:20">
      <c r="A251">
        <v>240</v>
      </c>
      <c r="B251" t="s">
        <v>225</v>
      </c>
      <c r="C251" t="s">
        <v>226</v>
      </c>
      <c r="D251">
        <v>95</v>
      </c>
      <c r="E251">
        <v>3</v>
      </c>
      <c r="F251" t="s">
        <v>227</v>
      </c>
      <c r="G251" t="s">
        <v>33</v>
      </c>
      <c r="H251">
        <v>6.2927926459999997</v>
      </c>
      <c r="I251" t="s">
        <v>34</v>
      </c>
      <c r="J251">
        <v>6.0509457720000004</v>
      </c>
      <c r="K251">
        <v>171.8359423</v>
      </c>
      <c r="L251">
        <v>51.113568379999997</v>
      </c>
      <c r="M251" t="s">
        <v>35</v>
      </c>
      <c r="N251">
        <v>330.57863570000001</v>
      </c>
      <c r="O251">
        <v>9.8682283169999998</v>
      </c>
      <c r="P251">
        <v>10.73704489</v>
      </c>
      <c r="Q251">
        <v>1.8174091029999999</v>
      </c>
      <c r="R251">
        <v>418.4395313</v>
      </c>
      <c r="S251">
        <v>1.353846667</v>
      </c>
      <c r="T251">
        <v>9176.6300879999999</v>
      </c>
    </row>
    <row r="252" spans="1:20">
      <c r="A252">
        <v>156</v>
      </c>
      <c r="B252" t="s">
        <v>453</v>
      </c>
      <c r="C252" t="s">
        <v>454</v>
      </c>
      <c r="D252">
        <v>211</v>
      </c>
      <c r="E252">
        <v>2</v>
      </c>
      <c r="F252" t="s">
        <v>455</v>
      </c>
      <c r="G252" t="s">
        <v>33</v>
      </c>
      <c r="H252">
        <v>6.5065945010000004</v>
      </c>
      <c r="I252" t="s">
        <v>34</v>
      </c>
      <c r="J252">
        <v>6.9130190899999997</v>
      </c>
      <c r="K252">
        <v>139.13669229999999</v>
      </c>
      <c r="L252">
        <v>73.512493620000001</v>
      </c>
      <c r="M252" t="s">
        <v>35</v>
      </c>
      <c r="N252">
        <v>296.1260868</v>
      </c>
      <c r="O252">
        <v>9.0893451299999999</v>
      </c>
      <c r="P252">
        <v>9.7719447269999993</v>
      </c>
      <c r="Q252">
        <v>2.5581439370000001</v>
      </c>
      <c r="R252">
        <v>454.11632950000001</v>
      </c>
      <c r="S252">
        <v>1.5728656990000001</v>
      </c>
      <c r="T252">
        <v>10926.65352</v>
      </c>
    </row>
    <row r="253" spans="1:20">
      <c r="A253">
        <v>23</v>
      </c>
      <c r="B253" t="s">
        <v>582</v>
      </c>
      <c r="C253" t="s">
        <v>583</v>
      </c>
      <c r="D253">
        <v>279</v>
      </c>
      <c r="E253">
        <v>1</v>
      </c>
      <c r="F253" t="s">
        <v>584</v>
      </c>
      <c r="G253" t="s">
        <v>33</v>
      </c>
      <c r="H253">
        <v>5.6079735299999998</v>
      </c>
      <c r="I253" t="s">
        <v>34</v>
      </c>
      <c r="J253">
        <v>8.0352626679999997</v>
      </c>
      <c r="K253">
        <v>125.6787762</v>
      </c>
      <c r="L253">
        <v>44.715173180000001</v>
      </c>
      <c r="M253" t="s">
        <v>35</v>
      </c>
      <c r="N253">
        <v>417.12146310000003</v>
      </c>
      <c r="O253">
        <v>11.56501003</v>
      </c>
      <c r="P253">
        <v>7.7403239519999998</v>
      </c>
      <c r="Q253">
        <v>4.5243389430000001</v>
      </c>
      <c r="R253">
        <v>308.06449730000003</v>
      </c>
      <c r="S253">
        <v>0.615253461</v>
      </c>
      <c r="T253">
        <v>10353.70477</v>
      </c>
    </row>
    <row r="254" spans="1:20">
      <c r="A254">
        <v>95</v>
      </c>
      <c r="B254" t="s">
        <v>798</v>
      </c>
      <c r="C254" t="s">
        <v>799</v>
      </c>
      <c r="D254">
        <v>390</v>
      </c>
      <c r="E254">
        <v>1</v>
      </c>
      <c r="F254" t="s">
        <v>800</v>
      </c>
      <c r="G254" t="s">
        <v>33</v>
      </c>
      <c r="H254">
        <v>5.7048265359999997</v>
      </c>
      <c r="I254" t="s">
        <v>34</v>
      </c>
      <c r="J254">
        <v>5.8708521559999998</v>
      </c>
      <c r="K254" t="s">
        <v>35</v>
      </c>
      <c r="L254">
        <v>61.23159106</v>
      </c>
      <c r="M254" t="s">
        <v>35</v>
      </c>
      <c r="N254">
        <v>433.26648569999998</v>
      </c>
      <c r="O254">
        <v>9.8735390869999993</v>
      </c>
      <c r="P254">
        <v>13.722828120000001</v>
      </c>
      <c r="Q254">
        <v>3.1627205420000002</v>
      </c>
      <c r="R254">
        <v>353.3725594</v>
      </c>
      <c r="S254">
        <v>1.0263223269999999</v>
      </c>
      <c r="T254">
        <v>8842.5553400000008</v>
      </c>
    </row>
    <row r="255" spans="1:20">
      <c r="A255">
        <v>68</v>
      </c>
      <c r="B255" t="s">
        <v>717</v>
      </c>
      <c r="C255" t="s">
        <v>718</v>
      </c>
      <c r="D255">
        <v>345</v>
      </c>
      <c r="E255">
        <v>1</v>
      </c>
      <c r="F255" t="s">
        <v>719</v>
      </c>
      <c r="G255" t="s">
        <v>33</v>
      </c>
      <c r="H255">
        <v>5.158115209</v>
      </c>
      <c r="I255" t="s">
        <v>34</v>
      </c>
      <c r="J255">
        <v>10.6346208</v>
      </c>
      <c r="K255" t="s">
        <v>35</v>
      </c>
      <c r="L255">
        <v>193.89308449999999</v>
      </c>
      <c r="M255" t="s">
        <v>35</v>
      </c>
      <c r="N255">
        <v>178.29831949999999</v>
      </c>
      <c r="O255">
        <v>12.65861913</v>
      </c>
      <c r="P255">
        <v>7.9041846500000004</v>
      </c>
      <c r="Q255">
        <v>1.888268238</v>
      </c>
      <c r="R255">
        <v>794.01180380000005</v>
      </c>
      <c r="S255">
        <v>6.1492570229999997</v>
      </c>
      <c r="T255">
        <v>10429.141100000001</v>
      </c>
    </row>
    <row r="256" spans="1:20">
      <c r="A256">
        <v>69</v>
      </c>
      <c r="B256" t="s">
        <v>720</v>
      </c>
      <c r="C256" t="s">
        <v>721</v>
      </c>
      <c r="D256">
        <v>348</v>
      </c>
      <c r="E256">
        <v>1</v>
      </c>
      <c r="F256" t="s">
        <v>722</v>
      </c>
      <c r="G256" t="s">
        <v>33</v>
      </c>
      <c r="H256">
        <v>6.4274233040000004</v>
      </c>
      <c r="I256">
        <v>3.2768094959999998</v>
      </c>
      <c r="J256">
        <v>5.9643285080000004</v>
      </c>
      <c r="K256">
        <v>110.37767460000001</v>
      </c>
      <c r="L256">
        <v>66.167577460000004</v>
      </c>
      <c r="M256" t="s">
        <v>35</v>
      </c>
      <c r="N256">
        <v>236.8628621</v>
      </c>
      <c r="O256">
        <v>6.7752211999999998</v>
      </c>
      <c r="P256">
        <v>7.6370389660000004</v>
      </c>
      <c r="Q256">
        <v>2.7028438650000002</v>
      </c>
      <c r="R256">
        <v>370.43659280000003</v>
      </c>
      <c r="S256">
        <v>1.407038153</v>
      </c>
      <c r="T256">
        <v>11810.99386</v>
      </c>
    </row>
    <row r="257" spans="1:20">
      <c r="A257">
        <v>0</v>
      </c>
      <c r="B257" t="s">
        <v>513</v>
      </c>
      <c r="C257" t="s">
        <v>514</v>
      </c>
      <c r="D257">
        <v>252</v>
      </c>
      <c r="E257">
        <v>1</v>
      </c>
      <c r="F257" t="s">
        <v>515</v>
      </c>
      <c r="G257" t="s">
        <v>33</v>
      </c>
      <c r="H257">
        <v>4.85093614</v>
      </c>
      <c r="I257" t="s">
        <v>34</v>
      </c>
      <c r="J257">
        <v>7.1130092840000003</v>
      </c>
      <c r="K257">
        <v>149.7364311</v>
      </c>
      <c r="L257">
        <v>46.250915030000002</v>
      </c>
      <c r="M257" t="s">
        <v>35</v>
      </c>
      <c r="N257">
        <v>97.365957699999996</v>
      </c>
      <c r="O257">
        <v>6.341094247</v>
      </c>
      <c r="P257">
        <v>6.6772182659999997</v>
      </c>
      <c r="Q257">
        <v>2.8544879920000001</v>
      </c>
      <c r="R257">
        <v>427.5348654</v>
      </c>
      <c r="S257">
        <v>1.052066385</v>
      </c>
      <c r="T257">
        <v>13637.45508</v>
      </c>
    </row>
    <row r="258" spans="1:20">
      <c r="A258" t="s">
        <v>6</v>
      </c>
      <c r="H258" t="s">
        <v>7</v>
      </c>
      <c r="I258" t="s">
        <v>8</v>
      </c>
      <c r="J258" t="s">
        <v>9</v>
      </c>
      <c r="K258" t="s">
        <v>10</v>
      </c>
      <c r="L258" t="s">
        <v>11</v>
      </c>
      <c r="M258" t="s">
        <v>12</v>
      </c>
      <c r="N258" t="s">
        <v>13</v>
      </c>
      <c r="O258" t="s">
        <v>14</v>
      </c>
      <c r="P258" t="s">
        <v>15</v>
      </c>
      <c r="Q258" t="s">
        <v>16</v>
      </c>
      <c r="R258" t="s">
        <v>17</v>
      </c>
      <c r="S258" t="s">
        <v>18</v>
      </c>
      <c r="T258" t="s">
        <v>19</v>
      </c>
    </row>
    <row r="259" spans="1:20">
      <c r="A259" t="s">
        <v>20</v>
      </c>
      <c r="H259" t="s">
        <v>21</v>
      </c>
      <c r="I259" t="s">
        <v>21</v>
      </c>
      <c r="J259" t="s">
        <v>21</v>
      </c>
      <c r="K259" t="s">
        <v>22</v>
      </c>
      <c r="L259" t="s">
        <v>21</v>
      </c>
      <c r="M259" t="s">
        <v>21</v>
      </c>
      <c r="N259" t="s">
        <v>21</v>
      </c>
      <c r="O259" t="s">
        <v>21</v>
      </c>
      <c r="P259" t="s">
        <v>21</v>
      </c>
      <c r="Q259" t="s">
        <v>21</v>
      </c>
      <c r="R259" t="s">
        <v>21</v>
      </c>
      <c r="S259" t="s">
        <v>21</v>
      </c>
      <c r="T259" t="s">
        <v>21</v>
      </c>
    </row>
    <row r="260" spans="1:20">
      <c r="A260" t="s">
        <v>23</v>
      </c>
      <c r="H260" t="s">
        <v>24</v>
      </c>
      <c r="I260" t="s">
        <v>24</v>
      </c>
      <c r="J260" t="s">
        <v>24</v>
      </c>
      <c r="K260" t="s">
        <v>25</v>
      </c>
      <c r="L260" t="s">
        <v>24</v>
      </c>
      <c r="M260" t="s">
        <v>24</v>
      </c>
      <c r="N260" t="s">
        <v>24</v>
      </c>
      <c r="O260" t="s">
        <v>24</v>
      </c>
      <c r="P260" t="s">
        <v>24</v>
      </c>
      <c r="Q260" t="s">
        <v>24</v>
      </c>
      <c r="R260" t="s">
        <v>24</v>
      </c>
      <c r="S260" t="s">
        <v>24</v>
      </c>
      <c r="T260" t="s">
        <v>24</v>
      </c>
    </row>
    <row r="261" spans="1:20">
      <c r="A261" t="s">
        <v>26</v>
      </c>
      <c r="H261" t="s">
        <v>27</v>
      </c>
      <c r="I261" t="s">
        <v>27</v>
      </c>
      <c r="J261" t="s">
        <v>27</v>
      </c>
      <c r="K261" t="s">
        <v>27</v>
      </c>
      <c r="L261" t="s">
        <v>27</v>
      </c>
      <c r="M261" t="s">
        <v>27</v>
      </c>
      <c r="N261" t="s">
        <v>27</v>
      </c>
      <c r="O261" t="s">
        <v>27</v>
      </c>
      <c r="P261" t="s">
        <v>27</v>
      </c>
      <c r="Q261" t="s">
        <v>27</v>
      </c>
      <c r="R261" t="s">
        <v>27</v>
      </c>
      <c r="S261" t="s">
        <v>27</v>
      </c>
      <c r="T261" t="s">
        <v>27</v>
      </c>
    </row>
    <row r="262" spans="1:20">
      <c r="A262" t="s">
        <v>28</v>
      </c>
      <c r="H262">
        <v>1.6</v>
      </c>
      <c r="I262">
        <v>1.6</v>
      </c>
      <c r="J262">
        <v>2</v>
      </c>
      <c r="K262">
        <v>20</v>
      </c>
      <c r="L262">
        <v>2</v>
      </c>
      <c r="M262">
        <v>100</v>
      </c>
      <c r="N262">
        <v>20</v>
      </c>
      <c r="O262">
        <v>0.4</v>
      </c>
      <c r="P262">
        <v>2</v>
      </c>
      <c r="Q262">
        <v>0.4</v>
      </c>
      <c r="R262">
        <v>80</v>
      </c>
      <c r="S262">
        <v>0.2</v>
      </c>
      <c r="T262">
        <v>200</v>
      </c>
    </row>
    <row r="263" spans="1:20">
      <c r="A263" t="s">
        <v>29</v>
      </c>
      <c r="H263">
        <v>40</v>
      </c>
      <c r="I263">
        <v>40</v>
      </c>
      <c r="J263">
        <v>200</v>
      </c>
      <c r="K263">
        <v>200</v>
      </c>
      <c r="L263">
        <v>200</v>
      </c>
      <c r="M263">
        <v>5000</v>
      </c>
      <c r="N263">
        <v>1000</v>
      </c>
      <c r="O263">
        <v>40</v>
      </c>
      <c r="P263">
        <v>200</v>
      </c>
      <c r="Q263">
        <v>40</v>
      </c>
      <c r="R263">
        <v>800</v>
      </c>
      <c r="S263">
        <v>20</v>
      </c>
      <c r="T263">
        <v>20000</v>
      </c>
    </row>
  </sheetData>
  <sortState xmlns:xlrd2="http://schemas.microsoft.com/office/spreadsheetml/2017/richdata2" ref="A2:T263">
    <sortCondition ref="F1:F263"/>
  </sortState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B260"/>
  <sheetViews>
    <sheetView workbookViewId="0">
      <pane ySplit="1" topLeftCell="A194" activePane="bottomLeft" state="frozen"/>
      <selection activeCell="H1" sqref="H1"/>
      <selection pane="bottomLeft" activeCell="A216" sqref="A216:O236"/>
    </sheetView>
  </sheetViews>
  <sheetFormatPr defaultColWidth="11" defaultRowHeight="15.75"/>
  <sheetData>
    <row r="1" spans="1:28" s="8" customFormat="1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1057</v>
      </c>
      <c r="Q1" s="7" t="s">
        <v>1081</v>
      </c>
      <c r="R1" s="7" t="s">
        <v>1082</v>
      </c>
      <c r="S1" s="1" t="s">
        <v>1083</v>
      </c>
      <c r="T1" s="1" t="s">
        <v>1084</v>
      </c>
      <c r="U1" s="1" t="s">
        <v>1085</v>
      </c>
      <c r="V1" s="1" t="s">
        <v>1086</v>
      </c>
      <c r="W1" s="1" t="s">
        <v>1087</v>
      </c>
      <c r="X1" s="1" t="s">
        <v>1088</v>
      </c>
      <c r="Y1" s="1" t="s">
        <v>1089</v>
      </c>
      <c r="Z1" s="1" t="s">
        <v>1090</v>
      </c>
    </row>
    <row r="3" spans="1:28">
      <c r="B3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  <c r="L3">
        <v>10</v>
      </c>
      <c r="M3">
        <v>11</v>
      </c>
      <c r="N3">
        <v>12</v>
      </c>
    </row>
    <row r="4" spans="1:28">
      <c r="A4" t="s">
        <v>365</v>
      </c>
      <c r="B4">
        <v>3.9661579570000001</v>
      </c>
      <c r="C4" t="s">
        <v>34</v>
      </c>
      <c r="D4">
        <v>5.9982347499999999</v>
      </c>
      <c r="E4">
        <v>133.99110769999999</v>
      </c>
      <c r="F4">
        <v>62.27400179</v>
      </c>
      <c r="G4" t="s">
        <v>35</v>
      </c>
      <c r="H4">
        <v>395.0173393</v>
      </c>
      <c r="I4">
        <v>6.0864533610000002</v>
      </c>
      <c r="J4">
        <v>11.04220383</v>
      </c>
      <c r="K4">
        <v>2.384542862</v>
      </c>
      <c r="L4">
        <v>356.55996579999999</v>
      </c>
      <c r="M4">
        <v>1.2478741550000001</v>
      </c>
      <c r="N4">
        <v>9330.9369619999998</v>
      </c>
      <c r="O4" s="1" t="s">
        <v>801</v>
      </c>
      <c r="P4" t="s">
        <v>365</v>
      </c>
      <c r="Q4" t="s">
        <v>1058</v>
      </c>
      <c r="R4" t="s">
        <v>1059</v>
      </c>
      <c r="S4" t="s">
        <v>1060</v>
      </c>
      <c r="T4" s="3">
        <v>36363</v>
      </c>
      <c r="U4" s="3">
        <v>43210</v>
      </c>
      <c r="V4">
        <f t="shared" ref="V4:V11" si="0">DATEDIF(T4,U4,"Y")</f>
        <v>18</v>
      </c>
      <c r="W4">
        <v>1</v>
      </c>
      <c r="X4" t="s">
        <v>1061</v>
      </c>
      <c r="Y4">
        <v>200</v>
      </c>
      <c r="Z4" t="s">
        <v>1060</v>
      </c>
      <c r="AB4" t="str">
        <f t="shared" ref="AB4:AB67" si="1">IF(P4=A4, "TRUE", "FALSE")</f>
        <v>TRUE</v>
      </c>
    </row>
    <row r="5" spans="1:28">
      <c r="A5" t="s">
        <v>434</v>
      </c>
      <c r="B5">
        <v>9.0364096259999993</v>
      </c>
      <c r="C5">
        <v>3.8526835369999999</v>
      </c>
      <c r="D5">
        <v>7.5824333920000004</v>
      </c>
      <c r="E5" t="s">
        <v>35</v>
      </c>
      <c r="F5">
        <v>94.205813180000007</v>
      </c>
      <c r="G5">
        <v>2125.9417570000001</v>
      </c>
      <c r="H5">
        <v>295.84390680000001</v>
      </c>
      <c r="I5">
        <v>8.6119553680000003</v>
      </c>
      <c r="J5">
        <v>23.798782320000001</v>
      </c>
      <c r="K5">
        <v>4.3525816580000001</v>
      </c>
      <c r="L5">
        <v>387.45708009999998</v>
      </c>
      <c r="M5">
        <v>1.6147937409999999</v>
      </c>
      <c r="N5">
        <v>10571.25649</v>
      </c>
      <c r="O5" s="1" t="s">
        <v>802</v>
      </c>
      <c r="P5" t="s">
        <v>434</v>
      </c>
      <c r="Q5" t="s">
        <v>1062</v>
      </c>
      <c r="R5" t="s">
        <v>1063</v>
      </c>
      <c r="S5" t="s">
        <v>1064</v>
      </c>
      <c r="T5" s="3">
        <v>21294</v>
      </c>
      <c r="U5" s="3">
        <v>43210</v>
      </c>
      <c r="V5">
        <f t="shared" si="0"/>
        <v>60</v>
      </c>
      <c r="W5">
        <v>1</v>
      </c>
      <c r="X5" t="s">
        <v>1065</v>
      </c>
      <c r="Y5">
        <v>1269</v>
      </c>
      <c r="Z5">
        <v>8</v>
      </c>
      <c r="AB5" t="str">
        <f t="shared" si="1"/>
        <v>TRUE</v>
      </c>
    </row>
    <row r="6" spans="1:28">
      <c r="A6" t="s">
        <v>386</v>
      </c>
      <c r="B6">
        <v>4.3928061530000004</v>
      </c>
      <c r="C6" t="s">
        <v>34</v>
      </c>
      <c r="D6" t="s">
        <v>34</v>
      </c>
      <c r="E6" t="s">
        <v>35</v>
      </c>
      <c r="F6">
        <v>43.209581659999998</v>
      </c>
      <c r="G6">
        <v>4309.8802079999996</v>
      </c>
      <c r="H6">
        <v>134.09263540000001</v>
      </c>
      <c r="I6">
        <v>2.8996078029999999</v>
      </c>
      <c r="J6">
        <v>31.82622237</v>
      </c>
      <c r="K6" t="s">
        <v>34</v>
      </c>
      <c r="L6">
        <v>189.76601529999999</v>
      </c>
      <c r="M6">
        <v>6.2033718479999997</v>
      </c>
      <c r="N6">
        <v>4080.0258760000002</v>
      </c>
      <c r="O6" s="1" t="s">
        <v>803</v>
      </c>
      <c r="P6" t="s">
        <v>386</v>
      </c>
      <c r="Q6" t="s">
        <v>1062</v>
      </c>
      <c r="R6" t="s">
        <v>1063</v>
      </c>
      <c r="S6" t="s">
        <v>1064</v>
      </c>
      <c r="T6" s="3">
        <v>21589</v>
      </c>
      <c r="U6" s="3">
        <v>43291</v>
      </c>
      <c r="V6">
        <f t="shared" si="0"/>
        <v>59</v>
      </c>
      <c r="W6">
        <v>1</v>
      </c>
      <c r="X6" t="s">
        <v>1061</v>
      </c>
      <c r="Y6">
        <v>3000</v>
      </c>
      <c r="Z6">
        <v>9</v>
      </c>
      <c r="AB6" t="str">
        <f t="shared" si="1"/>
        <v>TRUE</v>
      </c>
    </row>
    <row r="7" spans="1:28">
      <c r="A7" t="s">
        <v>431</v>
      </c>
      <c r="B7">
        <v>12.53875592</v>
      </c>
      <c r="C7" t="s">
        <v>34</v>
      </c>
      <c r="D7">
        <v>7.5905355779999999</v>
      </c>
      <c r="E7">
        <v>97.342422749999997</v>
      </c>
      <c r="F7">
        <v>102.4432426</v>
      </c>
      <c r="G7" t="s">
        <v>35</v>
      </c>
      <c r="H7">
        <v>338.17330820000001</v>
      </c>
      <c r="I7">
        <v>10.97909308</v>
      </c>
      <c r="J7">
        <v>14.935020400000001</v>
      </c>
      <c r="K7">
        <v>3.6289633710000002</v>
      </c>
      <c r="L7">
        <v>611.54304679999996</v>
      </c>
      <c r="M7">
        <v>1.3368919050000001</v>
      </c>
      <c r="N7">
        <v>11709.74296</v>
      </c>
      <c r="O7" s="1" t="s">
        <v>804</v>
      </c>
      <c r="P7" t="s">
        <v>431</v>
      </c>
      <c r="Q7" t="s">
        <v>1058</v>
      </c>
      <c r="R7" t="s">
        <v>1066</v>
      </c>
      <c r="S7" t="s">
        <v>1060</v>
      </c>
      <c r="T7" s="3">
        <v>21741</v>
      </c>
      <c r="U7" s="3">
        <v>43297</v>
      </c>
      <c r="V7">
        <f t="shared" si="0"/>
        <v>59</v>
      </c>
      <c r="W7">
        <v>1</v>
      </c>
      <c r="X7" t="s">
        <v>1065</v>
      </c>
      <c r="Y7">
        <v>289</v>
      </c>
      <c r="Z7" t="s">
        <v>1060</v>
      </c>
      <c r="AB7" t="str">
        <f t="shared" si="1"/>
        <v>TRUE</v>
      </c>
    </row>
    <row r="8" spans="1:28">
      <c r="A8" t="s">
        <v>476</v>
      </c>
      <c r="B8">
        <v>6.2030408960000001</v>
      </c>
      <c r="C8" t="s">
        <v>34</v>
      </c>
      <c r="D8">
        <v>5.0957737319999996</v>
      </c>
      <c r="E8">
        <v>158.5771001</v>
      </c>
      <c r="F8">
        <v>65.842667550000002</v>
      </c>
      <c r="G8" t="s">
        <v>35</v>
      </c>
      <c r="H8">
        <v>285.2652324</v>
      </c>
      <c r="I8">
        <v>7.3728252149999998</v>
      </c>
      <c r="J8">
        <v>18.846505629999999</v>
      </c>
      <c r="K8">
        <v>2.3966921590000001</v>
      </c>
      <c r="L8">
        <v>461.44041229999999</v>
      </c>
      <c r="M8">
        <v>1.2407292489999999</v>
      </c>
      <c r="N8">
        <v>13793.29997</v>
      </c>
      <c r="O8" s="1" t="s">
        <v>805</v>
      </c>
      <c r="P8" t="s">
        <v>476</v>
      </c>
      <c r="Q8" t="s">
        <v>1062</v>
      </c>
      <c r="R8" t="s">
        <v>1067</v>
      </c>
      <c r="S8" t="s">
        <v>1068</v>
      </c>
      <c r="T8" s="3">
        <v>30401</v>
      </c>
      <c r="U8" s="3">
        <v>43300</v>
      </c>
      <c r="V8">
        <f t="shared" si="0"/>
        <v>35</v>
      </c>
      <c r="W8">
        <v>1</v>
      </c>
      <c r="X8" t="s">
        <v>1061</v>
      </c>
      <c r="Y8">
        <v>250</v>
      </c>
      <c r="Z8">
        <v>0</v>
      </c>
      <c r="AB8" t="str">
        <f t="shared" si="1"/>
        <v>TRUE</v>
      </c>
    </row>
    <row r="9" spans="1:28">
      <c r="A9" t="s">
        <v>686</v>
      </c>
      <c r="B9">
        <v>2.3281414229999999</v>
      </c>
      <c r="C9" t="s">
        <v>34</v>
      </c>
      <c r="D9">
        <v>4.4275973410000002</v>
      </c>
      <c r="E9">
        <v>125.93136699999999</v>
      </c>
      <c r="F9">
        <v>26.649001290000001</v>
      </c>
      <c r="G9" t="s">
        <v>35</v>
      </c>
      <c r="H9">
        <v>123.7847208</v>
      </c>
      <c r="I9">
        <v>4.172047386</v>
      </c>
      <c r="J9">
        <v>6.0939392400000001</v>
      </c>
      <c r="K9">
        <v>1.648796266</v>
      </c>
      <c r="L9">
        <v>138.18388859999999</v>
      </c>
      <c r="M9">
        <v>0.88788201099999997</v>
      </c>
      <c r="N9">
        <v>7441.0903920000001</v>
      </c>
      <c r="O9" s="1" t="s">
        <v>806</v>
      </c>
      <c r="P9" t="s">
        <v>686</v>
      </c>
      <c r="Q9" t="s">
        <v>1069</v>
      </c>
      <c r="R9" t="s">
        <v>1070</v>
      </c>
      <c r="S9" t="s">
        <v>1064</v>
      </c>
      <c r="T9" s="3">
        <v>29526</v>
      </c>
      <c r="U9" s="3">
        <v>43301</v>
      </c>
      <c r="V9">
        <f t="shared" si="0"/>
        <v>37</v>
      </c>
      <c r="W9">
        <v>1</v>
      </c>
      <c r="X9" t="s">
        <v>1065</v>
      </c>
      <c r="Y9">
        <v>70</v>
      </c>
      <c r="Z9">
        <v>6</v>
      </c>
      <c r="AB9" t="str">
        <f t="shared" si="1"/>
        <v>TRUE</v>
      </c>
    </row>
    <row r="10" spans="1:28">
      <c r="A10" t="s">
        <v>656</v>
      </c>
      <c r="B10">
        <v>17.966949450000001</v>
      </c>
      <c r="C10" t="s">
        <v>34</v>
      </c>
      <c r="D10">
        <v>14.8152612</v>
      </c>
      <c r="E10">
        <v>136.1373686</v>
      </c>
      <c r="F10">
        <v>82.331926300000006</v>
      </c>
      <c r="G10" t="s">
        <v>35</v>
      </c>
      <c r="H10">
        <v>836.78332769999997</v>
      </c>
      <c r="I10">
        <v>12.10307851</v>
      </c>
      <c r="J10">
        <v>10.1207616</v>
      </c>
      <c r="K10">
        <v>6.8275398850000002</v>
      </c>
      <c r="L10">
        <v>515.16997149999997</v>
      </c>
      <c r="M10">
        <v>2.062871119</v>
      </c>
      <c r="N10">
        <v>10790.043460000001</v>
      </c>
      <c r="O10" s="1" t="s">
        <v>807</v>
      </c>
      <c r="P10" t="s">
        <v>656</v>
      </c>
      <c r="Q10" t="s">
        <v>1062</v>
      </c>
      <c r="R10" t="s">
        <v>1067</v>
      </c>
      <c r="S10" t="s">
        <v>1068</v>
      </c>
      <c r="T10" s="3">
        <v>32618</v>
      </c>
      <c r="U10" s="3">
        <v>43308</v>
      </c>
      <c r="V10">
        <f t="shared" si="0"/>
        <v>29</v>
      </c>
      <c r="W10">
        <v>1</v>
      </c>
      <c r="X10" t="s">
        <v>1061</v>
      </c>
      <c r="Y10">
        <v>2826</v>
      </c>
      <c r="Z10">
        <v>5</v>
      </c>
      <c r="AB10" t="str">
        <f t="shared" si="1"/>
        <v>TRUE</v>
      </c>
    </row>
    <row r="11" spans="1:28">
      <c r="A11" t="s">
        <v>350</v>
      </c>
      <c r="B11">
        <v>6.3100571260000002</v>
      </c>
      <c r="C11" t="s">
        <v>34</v>
      </c>
      <c r="D11">
        <v>5.5998718680000001</v>
      </c>
      <c r="E11">
        <v>145.65310969999999</v>
      </c>
      <c r="F11">
        <v>44.964904480000001</v>
      </c>
      <c r="G11">
        <v>4527.8925929999996</v>
      </c>
      <c r="H11">
        <v>227.5365051</v>
      </c>
      <c r="I11">
        <v>7.3291040550000002</v>
      </c>
      <c r="J11">
        <v>8.4093033659999996</v>
      </c>
      <c r="K11">
        <v>2.3746778929999999</v>
      </c>
      <c r="L11">
        <v>347.51957440000001</v>
      </c>
      <c r="M11">
        <v>1.1855496919999999</v>
      </c>
      <c r="N11">
        <v>10940.293470000001</v>
      </c>
      <c r="O11" s="1" t="s">
        <v>808</v>
      </c>
      <c r="P11" t="s">
        <v>350</v>
      </c>
      <c r="Q11" t="s">
        <v>1069</v>
      </c>
      <c r="R11" t="s">
        <v>1070</v>
      </c>
      <c r="S11" t="s">
        <v>1068</v>
      </c>
      <c r="T11" s="3">
        <v>32901</v>
      </c>
      <c r="U11" s="3">
        <v>43296</v>
      </c>
      <c r="V11">
        <f t="shared" si="0"/>
        <v>28</v>
      </c>
      <c r="W11">
        <v>1</v>
      </c>
      <c r="X11" t="s">
        <v>1061</v>
      </c>
      <c r="Y11">
        <v>796</v>
      </c>
      <c r="Z11">
        <v>6</v>
      </c>
      <c r="AB11" t="str">
        <f t="shared" si="1"/>
        <v>TRUE</v>
      </c>
    </row>
    <row r="12" spans="1:28">
      <c r="A12" t="s">
        <v>668</v>
      </c>
      <c r="B12">
        <v>12.256629330000001</v>
      </c>
      <c r="C12" t="s">
        <v>34</v>
      </c>
      <c r="D12">
        <v>11.4170999</v>
      </c>
      <c r="E12" t="s">
        <v>34</v>
      </c>
      <c r="F12">
        <v>70.940553919999999</v>
      </c>
      <c r="G12" t="s">
        <v>35</v>
      </c>
      <c r="H12">
        <v>189.15066999999999</v>
      </c>
      <c r="I12">
        <v>10.93480742</v>
      </c>
      <c r="J12">
        <v>11.60881532</v>
      </c>
      <c r="K12">
        <v>1.274469901</v>
      </c>
      <c r="L12">
        <v>505.86689539999998</v>
      </c>
      <c r="M12">
        <v>1.2361745319999999</v>
      </c>
      <c r="N12">
        <v>12441.82999</v>
      </c>
      <c r="O12" s="2" t="s">
        <v>809</v>
      </c>
      <c r="P12" t="s">
        <v>668</v>
      </c>
      <c r="Q12" t="s">
        <v>1058</v>
      </c>
      <c r="R12" t="s">
        <v>1059</v>
      </c>
      <c r="S12" t="s">
        <v>1060</v>
      </c>
      <c r="T12" s="3">
        <v>27100</v>
      </c>
      <c r="U12" s="3">
        <v>43318</v>
      </c>
      <c r="V12">
        <v>44</v>
      </c>
      <c r="W12">
        <v>1</v>
      </c>
      <c r="X12" t="s">
        <v>1065</v>
      </c>
      <c r="Y12">
        <v>300</v>
      </c>
      <c r="Z12" t="s">
        <v>1060</v>
      </c>
      <c r="AB12" t="str">
        <f t="shared" si="1"/>
        <v>TRUE</v>
      </c>
    </row>
    <row r="13" spans="1:28">
      <c r="A13" t="s">
        <v>449</v>
      </c>
      <c r="B13">
        <v>5.7336284620000004</v>
      </c>
      <c r="C13" t="s">
        <v>34</v>
      </c>
      <c r="D13">
        <v>8.8450238900000002</v>
      </c>
      <c r="E13">
        <v>156.28479089999999</v>
      </c>
      <c r="F13">
        <v>82.120706069999997</v>
      </c>
      <c r="G13" t="s">
        <v>35</v>
      </c>
      <c r="H13">
        <v>188.8272887</v>
      </c>
      <c r="I13">
        <v>14.122351370000001</v>
      </c>
      <c r="J13">
        <v>16.697368789999999</v>
      </c>
      <c r="K13">
        <v>4.5743646929999997</v>
      </c>
      <c r="L13">
        <v>473.0427378</v>
      </c>
      <c r="M13">
        <v>1.5758954919999999</v>
      </c>
      <c r="N13">
        <v>9695.3914029999996</v>
      </c>
      <c r="O13" s="1" t="s">
        <v>810</v>
      </c>
      <c r="P13" t="s">
        <v>449</v>
      </c>
      <c r="Q13" t="s">
        <v>1058</v>
      </c>
      <c r="R13" t="s">
        <v>1066</v>
      </c>
      <c r="S13" t="s">
        <v>1060</v>
      </c>
      <c r="T13" s="3">
        <v>36594</v>
      </c>
      <c r="U13" s="3">
        <v>43320</v>
      </c>
      <c r="V13">
        <f t="shared" ref="V13:V25" si="2">DATEDIF(T13,U13,"Y")</f>
        <v>18</v>
      </c>
      <c r="W13">
        <v>1</v>
      </c>
      <c r="X13" t="s">
        <v>1061</v>
      </c>
      <c r="Y13">
        <v>133</v>
      </c>
      <c r="Z13" t="s">
        <v>1060</v>
      </c>
      <c r="AB13" t="str">
        <f t="shared" si="1"/>
        <v>TRUE</v>
      </c>
    </row>
    <row r="14" spans="1:28">
      <c r="A14" t="s">
        <v>518</v>
      </c>
      <c r="B14">
        <v>6.7141047599999997</v>
      </c>
      <c r="C14" t="s">
        <v>34</v>
      </c>
      <c r="D14">
        <v>7.7516135430000004</v>
      </c>
      <c r="E14">
        <v>99.622211190000002</v>
      </c>
      <c r="F14">
        <v>79.283624649999993</v>
      </c>
      <c r="G14" t="s">
        <v>35</v>
      </c>
      <c r="H14">
        <v>261.32645710000003</v>
      </c>
      <c r="I14">
        <v>13.69965957</v>
      </c>
      <c r="J14">
        <v>7.5739220950000004</v>
      </c>
      <c r="K14">
        <v>6.491685983</v>
      </c>
      <c r="L14">
        <v>405.52588980000002</v>
      </c>
      <c r="M14">
        <v>1.226268645</v>
      </c>
      <c r="N14">
        <v>13178.10096</v>
      </c>
      <c r="O14" s="1" t="s">
        <v>811</v>
      </c>
      <c r="P14" t="s">
        <v>518</v>
      </c>
      <c r="Q14" t="s">
        <v>1058</v>
      </c>
      <c r="R14" t="s">
        <v>1066</v>
      </c>
      <c r="S14" t="s">
        <v>1071</v>
      </c>
      <c r="T14" s="3">
        <v>32592</v>
      </c>
      <c r="U14" s="3">
        <v>43321</v>
      </c>
      <c r="V14">
        <f t="shared" si="2"/>
        <v>29</v>
      </c>
      <c r="W14">
        <v>1</v>
      </c>
      <c r="X14" t="s">
        <v>1061</v>
      </c>
      <c r="Y14">
        <v>125</v>
      </c>
      <c r="Z14" t="s">
        <v>1060</v>
      </c>
      <c r="AB14" t="str">
        <f t="shared" si="1"/>
        <v>TRUE</v>
      </c>
    </row>
    <row r="15" spans="1:28">
      <c r="A15" t="s">
        <v>644</v>
      </c>
      <c r="B15">
        <v>6.1508339980000004</v>
      </c>
      <c r="C15" t="s">
        <v>34</v>
      </c>
      <c r="D15">
        <v>10.821537810000001</v>
      </c>
      <c r="E15">
        <v>156.497467</v>
      </c>
      <c r="F15">
        <v>198.34344129999999</v>
      </c>
      <c r="G15">
        <v>3701.5041040000001</v>
      </c>
      <c r="H15">
        <v>216.4242314</v>
      </c>
      <c r="I15">
        <v>10.058418209999999</v>
      </c>
      <c r="J15">
        <v>15.09133396</v>
      </c>
      <c r="K15">
        <v>2.2056184349999999</v>
      </c>
      <c r="L15">
        <v>763.86777930000005</v>
      </c>
      <c r="M15">
        <v>4.4011677110000003</v>
      </c>
      <c r="N15">
        <v>12151.99351</v>
      </c>
      <c r="O15" s="1" t="s">
        <v>812</v>
      </c>
      <c r="P15" t="s">
        <v>644</v>
      </c>
      <c r="Q15" t="s">
        <v>1062</v>
      </c>
      <c r="R15" t="s">
        <v>1063</v>
      </c>
      <c r="S15" t="s">
        <v>1068</v>
      </c>
      <c r="T15" s="3">
        <v>29445</v>
      </c>
      <c r="U15" s="3">
        <v>43329</v>
      </c>
      <c r="V15">
        <f t="shared" si="2"/>
        <v>38</v>
      </c>
      <c r="W15">
        <v>1</v>
      </c>
      <c r="X15" t="s">
        <v>1061</v>
      </c>
      <c r="Y15">
        <v>2043</v>
      </c>
      <c r="Z15">
        <v>8</v>
      </c>
      <c r="AB15" t="str">
        <f t="shared" si="1"/>
        <v>TRUE</v>
      </c>
    </row>
    <row r="16" spans="1:28">
      <c r="A16" t="s">
        <v>458</v>
      </c>
      <c r="B16">
        <v>5.6385018740000001</v>
      </c>
      <c r="C16" t="s">
        <v>34</v>
      </c>
      <c r="D16">
        <v>5.9791125310000002</v>
      </c>
      <c r="E16" t="s">
        <v>35</v>
      </c>
      <c r="F16">
        <v>77.947645789999996</v>
      </c>
      <c r="G16">
        <v>4998.613762</v>
      </c>
      <c r="H16">
        <v>187.1867191</v>
      </c>
      <c r="I16">
        <v>8.7341479979999992</v>
      </c>
      <c r="J16">
        <v>8.2322676870000002</v>
      </c>
      <c r="K16">
        <v>1.658231657</v>
      </c>
      <c r="L16">
        <v>252.8871024</v>
      </c>
      <c r="M16">
        <v>1.732107013</v>
      </c>
      <c r="N16">
        <v>5679.4760619999997</v>
      </c>
      <c r="O16" s="1" t="s">
        <v>813</v>
      </c>
      <c r="P16" t="s">
        <v>458</v>
      </c>
      <c r="Q16" t="s">
        <v>1062</v>
      </c>
      <c r="R16" t="s">
        <v>1072</v>
      </c>
      <c r="S16" t="s">
        <v>1068</v>
      </c>
      <c r="T16" s="3">
        <v>31343</v>
      </c>
      <c r="U16" s="3">
        <v>43340</v>
      </c>
      <c r="V16">
        <f t="shared" si="2"/>
        <v>32</v>
      </c>
      <c r="W16" s="4">
        <v>1</v>
      </c>
      <c r="X16" t="s">
        <v>1061</v>
      </c>
      <c r="Y16">
        <v>143</v>
      </c>
      <c r="Z16">
        <v>5</v>
      </c>
      <c r="AB16" t="str">
        <f t="shared" si="1"/>
        <v>TRUE</v>
      </c>
    </row>
    <row r="17" spans="1:28">
      <c r="A17" t="s">
        <v>407</v>
      </c>
      <c r="B17">
        <v>6.4446027380000004</v>
      </c>
      <c r="C17" t="s">
        <v>34</v>
      </c>
      <c r="D17">
        <v>7.4946771639999996</v>
      </c>
      <c r="E17">
        <v>171.9817357</v>
      </c>
      <c r="F17">
        <v>49.479427129999998</v>
      </c>
      <c r="G17" t="s">
        <v>35</v>
      </c>
      <c r="H17">
        <v>182.01445960000001</v>
      </c>
      <c r="I17">
        <v>7.8107836519999996</v>
      </c>
      <c r="J17">
        <v>8.7825578750000002</v>
      </c>
      <c r="K17">
        <v>4.2208425189999996</v>
      </c>
      <c r="L17">
        <v>427.00257099999999</v>
      </c>
      <c r="M17">
        <v>1.0648652890000001</v>
      </c>
      <c r="N17">
        <v>12793.79616</v>
      </c>
      <c r="O17" s="1" t="s">
        <v>814</v>
      </c>
      <c r="P17" t="s">
        <v>407</v>
      </c>
      <c r="Q17" t="s">
        <v>1058</v>
      </c>
      <c r="R17" t="s">
        <v>1059</v>
      </c>
      <c r="S17" t="s">
        <v>1060</v>
      </c>
      <c r="T17" s="3">
        <v>32770</v>
      </c>
      <c r="U17" s="3">
        <v>43341</v>
      </c>
      <c r="V17">
        <f t="shared" si="2"/>
        <v>28</v>
      </c>
      <c r="W17">
        <v>1</v>
      </c>
      <c r="X17" t="s">
        <v>1061</v>
      </c>
      <c r="Y17">
        <v>56</v>
      </c>
      <c r="Z17" t="s">
        <v>1060</v>
      </c>
      <c r="AB17" t="str">
        <f t="shared" si="1"/>
        <v>TRUE</v>
      </c>
    </row>
    <row r="18" spans="1:28">
      <c r="A18" t="s">
        <v>701</v>
      </c>
      <c r="B18">
        <v>2.7693402969999998</v>
      </c>
      <c r="C18" t="s">
        <v>34</v>
      </c>
      <c r="D18">
        <v>3.4340043759999999</v>
      </c>
      <c r="E18" t="s">
        <v>35</v>
      </c>
      <c r="F18">
        <v>178.14372470000001</v>
      </c>
      <c r="G18">
        <v>4226.0955329999997</v>
      </c>
      <c r="H18">
        <v>138.77762010000001</v>
      </c>
      <c r="I18">
        <v>3.6546143170000001</v>
      </c>
      <c r="J18">
        <v>27.135168799999999</v>
      </c>
      <c r="K18" t="s">
        <v>34</v>
      </c>
      <c r="L18">
        <v>451.91062720000002</v>
      </c>
      <c r="M18">
        <v>3.1231130199999999</v>
      </c>
      <c r="N18">
        <v>4301.0442489999996</v>
      </c>
      <c r="O18" s="1" t="s">
        <v>815</v>
      </c>
      <c r="P18" t="s">
        <v>701</v>
      </c>
      <c r="Q18" t="s">
        <v>1069</v>
      </c>
      <c r="R18" t="s">
        <v>1073</v>
      </c>
      <c r="S18" t="s">
        <v>1064</v>
      </c>
      <c r="T18" s="3">
        <v>36556</v>
      </c>
      <c r="U18" s="3">
        <v>43343</v>
      </c>
      <c r="V18">
        <f t="shared" si="2"/>
        <v>18</v>
      </c>
      <c r="W18">
        <v>1</v>
      </c>
      <c r="X18" t="s">
        <v>1065</v>
      </c>
      <c r="Y18">
        <v>2552</v>
      </c>
      <c r="Z18">
        <v>6</v>
      </c>
      <c r="AB18" t="str">
        <f t="shared" si="1"/>
        <v>TRUE</v>
      </c>
    </row>
    <row r="19" spans="1:28">
      <c r="A19" t="s">
        <v>260</v>
      </c>
      <c r="B19">
        <v>5.3751733850000001</v>
      </c>
      <c r="C19" t="s">
        <v>34</v>
      </c>
      <c r="D19">
        <v>5.786169535</v>
      </c>
      <c r="E19" t="s">
        <v>35</v>
      </c>
      <c r="F19">
        <v>77.503941499999996</v>
      </c>
      <c r="G19" t="s">
        <v>35</v>
      </c>
      <c r="H19">
        <v>414.65757860000002</v>
      </c>
      <c r="I19">
        <v>4.6449841420000002</v>
      </c>
      <c r="J19">
        <v>26.982893820000001</v>
      </c>
      <c r="K19">
        <v>1.1929637639999999</v>
      </c>
      <c r="L19">
        <v>320.0485491</v>
      </c>
      <c r="M19">
        <v>2.5095940460000001</v>
      </c>
      <c r="N19">
        <v>6713.2631240000001</v>
      </c>
      <c r="O19" s="1" t="s">
        <v>816</v>
      </c>
      <c r="P19" t="s">
        <v>260</v>
      </c>
      <c r="Q19" t="s">
        <v>1069</v>
      </c>
      <c r="R19" t="s">
        <v>1070</v>
      </c>
      <c r="S19" t="s">
        <v>1068</v>
      </c>
      <c r="T19" s="3">
        <v>21233</v>
      </c>
      <c r="U19" s="3">
        <v>43350</v>
      </c>
      <c r="V19">
        <f t="shared" si="2"/>
        <v>60</v>
      </c>
      <c r="W19">
        <v>1</v>
      </c>
      <c r="X19" t="s">
        <v>1061</v>
      </c>
      <c r="Y19">
        <v>992</v>
      </c>
      <c r="Z19">
        <v>1</v>
      </c>
      <c r="AB19" t="str">
        <f t="shared" si="1"/>
        <v>TRUE</v>
      </c>
    </row>
    <row r="20" spans="1:28">
      <c r="A20" t="s">
        <v>320</v>
      </c>
      <c r="B20">
        <v>3.9240462599999999</v>
      </c>
      <c r="C20" t="s">
        <v>34</v>
      </c>
      <c r="D20">
        <v>4.5711269379999999</v>
      </c>
      <c r="E20">
        <v>56.219553650000002</v>
      </c>
      <c r="F20">
        <v>45.81228909</v>
      </c>
      <c r="G20">
        <v>4524.2623270000004</v>
      </c>
      <c r="H20">
        <v>193.87701290000001</v>
      </c>
      <c r="I20">
        <v>6.9940351329999997</v>
      </c>
      <c r="J20">
        <v>6.5860178139999999</v>
      </c>
      <c r="K20">
        <v>2.6076235630000002</v>
      </c>
      <c r="L20">
        <v>363.98470609999998</v>
      </c>
      <c r="M20">
        <v>0.53716706999999997</v>
      </c>
      <c r="N20">
        <v>11814.97251</v>
      </c>
      <c r="O20" s="1" t="s">
        <v>817</v>
      </c>
      <c r="P20" t="s">
        <v>320</v>
      </c>
      <c r="Q20" t="s">
        <v>1074</v>
      </c>
      <c r="R20" t="s">
        <v>1075</v>
      </c>
      <c r="S20" t="s">
        <v>1060</v>
      </c>
      <c r="T20" s="3">
        <v>26185</v>
      </c>
      <c r="U20" s="3">
        <v>43354</v>
      </c>
      <c r="V20">
        <f t="shared" si="2"/>
        <v>47</v>
      </c>
      <c r="W20">
        <v>1</v>
      </c>
      <c r="X20" t="s">
        <v>1061</v>
      </c>
      <c r="Y20">
        <v>644</v>
      </c>
      <c r="Z20" t="s">
        <v>1060</v>
      </c>
      <c r="AB20" t="str">
        <f t="shared" si="1"/>
        <v>TRUE</v>
      </c>
    </row>
    <row r="21" spans="1:28">
      <c r="A21" t="s">
        <v>464</v>
      </c>
      <c r="B21">
        <v>19.503082070000001</v>
      </c>
      <c r="C21" t="s">
        <v>34</v>
      </c>
      <c r="D21">
        <v>10.422261860000001</v>
      </c>
      <c r="E21" t="s">
        <v>35</v>
      </c>
      <c r="F21">
        <v>103.64937190000001</v>
      </c>
      <c r="G21" t="s">
        <v>35</v>
      </c>
      <c r="H21">
        <v>282.17477609999997</v>
      </c>
      <c r="I21">
        <v>10.17757787</v>
      </c>
      <c r="J21">
        <v>20.566653339999998</v>
      </c>
      <c r="K21">
        <v>4.3080356389999999</v>
      </c>
      <c r="L21">
        <v>488.9487939</v>
      </c>
      <c r="M21">
        <v>1.511248916</v>
      </c>
      <c r="N21">
        <v>11036.99404</v>
      </c>
      <c r="O21" s="1" t="s">
        <v>818</v>
      </c>
      <c r="P21" t="s">
        <v>464</v>
      </c>
      <c r="Q21" t="s">
        <v>1062</v>
      </c>
      <c r="R21" t="s">
        <v>1072</v>
      </c>
      <c r="S21" t="s">
        <v>1068</v>
      </c>
      <c r="T21" s="3">
        <v>31343</v>
      </c>
      <c r="U21" s="3">
        <v>43371</v>
      </c>
      <c r="V21">
        <f t="shared" si="2"/>
        <v>32</v>
      </c>
      <c r="W21">
        <v>1</v>
      </c>
      <c r="X21" t="s">
        <v>1061</v>
      </c>
      <c r="Y21">
        <v>143</v>
      </c>
      <c r="Z21">
        <v>5</v>
      </c>
      <c r="AB21" t="str">
        <f t="shared" si="1"/>
        <v>TRUE</v>
      </c>
    </row>
    <row r="22" spans="1:28">
      <c r="A22" t="s">
        <v>389</v>
      </c>
      <c r="B22">
        <v>5.8521312940000003</v>
      </c>
      <c r="C22" t="s">
        <v>34</v>
      </c>
      <c r="D22">
        <v>5.4165857449999999</v>
      </c>
      <c r="E22">
        <v>116.0913068</v>
      </c>
      <c r="F22">
        <v>103.2261221</v>
      </c>
      <c r="G22" t="s">
        <v>35</v>
      </c>
      <c r="H22">
        <v>219.0083898</v>
      </c>
      <c r="I22">
        <v>7.1744554000000003</v>
      </c>
      <c r="J22">
        <v>30.708722649999999</v>
      </c>
      <c r="K22">
        <v>1.952079817</v>
      </c>
      <c r="L22">
        <v>520.55033449999996</v>
      </c>
      <c r="M22">
        <v>1.845000242</v>
      </c>
      <c r="N22">
        <v>11877.25063</v>
      </c>
      <c r="O22" s="1" t="s">
        <v>819</v>
      </c>
      <c r="P22" t="s">
        <v>389</v>
      </c>
      <c r="Q22" t="s">
        <v>1062</v>
      </c>
      <c r="R22" t="s">
        <v>1063</v>
      </c>
      <c r="S22" t="s">
        <v>1064</v>
      </c>
      <c r="T22" s="3">
        <v>21589</v>
      </c>
      <c r="U22" s="3">
        <v>43375</v>
      </c>
      <c r="V22">
        <f t="shared" si="2"/>
        <v>59</v>
      </c>
      <c r="W22">
        <v>2</v>
      </c>
      <c r="X22" t="s">
        <v>1061</v>
      </c>
      <c r="Y22">
        <v>17</v>
      </c>
      <c r="Z22">
        <v>4</v>
      </c>
      <c r="AB22" t="str">
        <f t="shared" si="1"/>
        <v>TRUE</v>
      </c>
    </row>
    <row r="23" spans="1:28">
      <c r="A23" t="s">
        <v>344</v>
      </c>
      <c r="B23">
        <v>8.8000071149999997</v>
      </c>
      <c r="C23" t="s">
        <v>34</v>
      </c>
      <c r="D23">
        <v>7.8282766160000001</v>
      </c>
      <c r="E23">
        <v>186.3530557</v>
      </c>
      <c r="F23">
        <v>48.546761519999997</v>
      </c>
      <c r="G23" t="s">
        <v>35</v>
      </c>
      <c r="H23">
        <v>140.32017519999999</v>
      </c>
      <c r="I23">
        <v>8.0542160529999993</v>
      </c>
      <c r="J23">
        <v>10.694047149999999</v>
      </c>
      <c r="K23">
        <v>3.0328868299999998</v>
      </c>
      <c r="L23">
        <v>425.58162609999999</v>
      </c>
      <c r="M23">
        <v>1.784434291</v>
      </c>
      <c r="N23">
        <v>9665.7055679999994</v>
      </c>
      <c r="O23" s="1" t="s">
        <v>820</v>
      </c>
      <c r="P23" t="s">
        <v>344</v>
      </c>
      <c r="Q23" t="s">
        <v>1069</v>
      </c>
      <c r="R23" t="s">
        <v>1070</v>
      </c>
      <c r="S23" t="s">
        <v>1064</v>
      </c>
      <c r="T23" s="3">
        <v>28506</v>
      </c>
      <c r="U23" s="3">
        <v>43356</v>
      </c>
      <c r="V23">
        <f t="shared" si="2"/>
        <v>40</v>
      </c>
      <c r="W23">
        <v>1</v>
      </c>
      <c r="X23" t="s">
        <v>1065</v>
      </c>
      <c r="Y23">
        <v>177</v>
      </c>
      <c r="Z23">
        <v>7</v>
      </c>
      <c r="AB23" t="str">
        <f t="shared" si="1"/>
        <v>TRUE</v>
      </c>
    </row>
    <row r="24" spans="1:28">
      <c r="A24" t="s">
        <v>485</v>
      </c>
      <c r="B24">
        <v>6.0303738750000004</v>
      </c>
      <c r="C24" t="s">
        <v>34</v>
      </c>
      <c r="D24">
        <v>11.28456647</v>
      </c>
      <c r="E24" t="s">
        <v>35</v>
      </c>
      <c r="F24">
        <v>61.495323970000001</v>
      </c>
      <c r="G24" t="s">
        <v>35</v>
      </c>
      <c r="H24">
        <v>194.885389</v>
      </c>
      <c r="I24">
        <v>16.69352696</v>
      </c>
      <c r="J24">
        <v>12.96736576</v>
      </c>
      <c r="K24">
        <v>4.6481050140000004</v>
      </c>
      <c r="L24">
        <v>375.47561100000001</v>
      </c>
      <c r="M24">
        <v>1.2835884719999999</v>
      </c>
      <c r="N24">
        <v>11930.80323</v>
      </c>
      <c r="O24" s="1" t="s">
        <v>821</v>
      </c>
      <c r="P24" t="s">
        <v>485</v>
      </c>
      <c r="Q24" t="s">
        <v>1062</v>
      </c>
      <c r="R24" t="s">
        <v>1063</v>
      </c>
      <c r="S24" t="s">
        <v>1068</v>
      </c>
      <c r="T24" s="3">
        <v>35211</v>
      </c>
      <c r="U24" s="3">
        <v>43377</v>
      </c>
      <c r="V24">
        <f t="shared" si="2"/>
        <v>22</v>
      </c>
      <c r="W24">
        <v>1</v>
      </c>
      <c r="X24" t="s">
        <v>1061</v>
      </c>
      <c r="Y24">
        <v>69</v>
      </c>
      <c r="Z24">
        <v>4</v>
      </c>
      <c r="AB24" t="str">
        <f t="shared" si="1"/>
        <v>TRUE</v>
      </c>
    </row>
    <row r="25" spans="1:28">
      <c r="A25" t="s">
        <v>77</v>
      </c>
      <c r="B25">
        <v>13.90098008</v>
      </c>
      <c r="C25" t="s">
        <v>34</v>
      </c>
      <c r="D25">
        <v>8.8986663499999992</v>
      </c>
      <c r="E25" t="s">
        <v>35</v>
      </c>
      <c r="F25">
        <v>68.37778213</v>
      </c>
      <c r="G25" t="s">
        <v>35</v>
      </c>
      <c r="H25">
        <v>475.24810780000001</v>
      </c>
      <c r="I25">
        <v>10.884914950000001</v>
      </c>
      <c r="J25">
        <v>13.043611670000001</v>
      </c>
      <c r="K25">
        <v>3.4206184529999999</v>
      </c>
      <c r="L25">
        <v>560.09710959999995</v>
      </c>
      <c r="M25">
        <v>1.3337762790000001</v>
      </c>
      <c r="N25">
        <v>10073.861209999999</v>
      </c>
      <c r="O25" s="1" t="s">
        <v>822</v>
      </c>
      <c r="P25" t="s">
        <v>77</v>
      </c>
      <c r="Q25" t="s">
        <v>1062</v>
      </c>
      <c r="R25" t="s">
        <v>1067</v>
      </c>
      <c r="S25" t="s">
        <v>1068</v>
      </c>
      <c r="T25" s="3">
        <v>23573</v>
      </c>
      <c r="U25" s="3">
        <v>43392</v>
      </c>
      <c r="V25">
        <f t="shared" si="2"/>
        <v>54</v>
      </c>
      <c r="W25">
        <v>1</v>
      </c>
      <c r="X25" t="s">
        <v>1061</v>
      </c>
      <c r="Y25">
        <v>6000</v>
      </c>
      <c r="Z25">
        <v>7</v>
      </c>
      <c r="AB25" t="str">
        <f t="shared" si="1"/>
        <v>TRUE</v>
      </c>
    </row>
    <row r="26" spans="1:28">
      <c r="A26" t="s">
        <v>638</v>
      </c>
      <c r="B26">
        <v>8.6089498290000002</v>
      </c>
      <c r="C26" t="s">
        <v>34</v>
      </c>
      <c r="D26">
        <v>7.4364014660000004</v>
      </c>
      <c r="E26">
        <v>132.5620562</v>
      </c>
      <c r="F26">
        <v>60.109006010000002</v>
      </c>
      <c r="G26" t="s">
        <v>35</v>
      </c>
      <c r="H26">
        <v>250.3443705</v>
      </c>
      <c r="I26">
        <v>9.7515104729999997</v>
      </c>
      <c r="J26">
        <v>16.005030269999999</v>
      </c>
      <c r="K26">
        <v>2.3728380370000002</v>
      </c>
      <c r="L26">
        <v>524.52782439999999</v>
      </c>
      <c r="M26">
        <v>1.352478912</v>
      </c>
      <c r="N26">
        <v>13323.24417</v>
      </c>
      <c r="O26" s="1" t="s">
        <v>823</v>
      </c>
      <c r="P26" t="s">
        <v>638</v>
      </c>
      <c r="Q26" t="s">
        <v>1062</v>
      </c>
      <c r="R26" t="s">
        <v>1063</v>
      </c>
      <c r="S26" t="s">
        <v>1068</v>
      </c>
      <c r="T26" s="3">
        <v>29445</v>
      </c>
      <c r="U26" s="3">
        <v>43395</v>
      </c>
      <c r="V26">
        <v>38</v>
      </c>
      <c r="W26" s="4">
        <v>1</v>
      </c>
      <c r="X26" t="s">
        <v>1061</v>
      </c>
      <c r="Y26" t="s">
        <v>1060</v>
      </c>
      <c r="Z26">
        <v>3</v>
      </c>
      <c r="AB26" t="str">
        <f t="shared" si="1"/>
        <v>TRUE</v>
      </c>
    </row>
    <row r="27" spans="1:28">
      <c r="A27" t="s">
        <v>359</v>
      </c>
      <c r="B27">
        <v>4.3920883850000001</v>
      </c>
      <c r="C27" t="s">
        <v>34</v>
      </c>
      <c r="D27">
        <v>6.3734000670000004</v>
      </c>
      <c r="E27" t="s">
        <v>35</v>
      </c>
      <c r="F27">
        <v>82.45237917</v>
      </c>
      <c r="G27" t="s">
        <v>35</v>
      </c>
      <c r="H27">
        <v>138.68815480000001</v>
      </c>
      <c r="I27">
        <v>8.0590955920000003</v>
      </c>
      <c r="J27">
        <v>7.7914493839999999</v>
      </c>
      <c r="K27">
        <v>2.4871477139999998</v>
      </c>
      <c r="L27">
        <v>348.49440129999999</v>
      </c>
      <c r="M27">
        <v>0.98557025899999995</v>
      </c>
      <c r="N27">
        <v>9512.8461380000008</v>
      </c>
      <c r="O27" s="1" t="s">
        <v>824</v>
      </c>
      <c r="P27" t="s">
        <v>359</v>
      </c>
      <c r="Q27" t="s">
        <v>1069</v>
      </c>
      <c r="R27" t="s">
        <v>1070</v>
      </c>
      <c r="S27" t="s">
        <v>1068</v>
      </c>
      <c r="T27" s="3">
        <v>33786</v>
      </c>
      <c r="U27" s="3">
        <v>43399</v>
      </c>
      <c r="V27">
        <v>26</v>
      </c>
      <c r="W27" s="4">
        <v>1</v>
      </c>
      <c r="X27" t="s">
        <v>1065</v>
      </c>
      <c r="Y27">
        <v>239</v>
      </c>
      <c r="Z27">
        <v>7</v>
      </c>
      <c r="AB27" t="str">
        <f t="shared" si="1"/>
        <v>TRUE</v>
      </c>
    </row>
    <row r="28" spans="1:28">
      <c r="A28" t="s">
        <v>665</v>
      </c>
      <c r="B28">
        <v>5.5962584919999996</v>
      </c>
      <c r="C28" t="s">
        <v>34</v>
      </c>
      <c r="D28">
        <v>6.718052052</v>
      </c>
      <c r="E28" t="s">
        <v>35</v>
      </c>
      <c r="F28">
        <v>56.97497225</v>
      </c>
      <c r="G28" t="s">
        <v>35</v>
      </c>
      <c r="H28">
        <v>345.4811368</v>
      </c>
      <c r="I28">
        <v>8.0291271260000006</v>
      </c>
      <c r="J28">
        <v>15.982100969999999</v>
      </c>
      <c r="K28">
        <v>3.3307307449999999</v>
      </c>
      <c r="L28">
        <v>285.1822492</v>
      </c>
      <c r="M28">
        <v>1.1713508749999999</v>
      </c>
      <c r="N28">
        <v>10685.941489999999</v>
      </c>
      <c r="O28" s="1" t="s">
        <v>825</v>
      </c>
      <c r="P28" t="s">
        <v>665</v>
      </c>
      <c r="Q28" t="s">
        <v>1058</v>
      </c>
      <c r="R28" t="s">
        <v>1066</v>
      </c>
      <c r="S28" t="s">
        <v>1060</v>
      </c>
      <c r="T28" s="3">
        <v>26190</v>
      </c>
      <c r="U28" s="3">
        <v>43409</v>
      </c>
      <c r="V28">
        <f>DATEDIF(T28,U28,"Y")</f>
        <v>47</v>
      </c>
      <c r="W28">
        <v>1</v>
      </c>
      <c r="X28" t="s">
        <v>1061</v>
      </c>
      <c r="Y28">
        <v>189</v>
      </c>
      <c r="Z28">
        <v>5</v>
      </c>
      <c r="AB28" t="str">
        <f t="shared" si="1"/>
        <v>TRUE</v>
      </c>
    </row>
    <row r="29" spans="1:28">
      <c r="A29" t="s">
        <v>395</v>
      </c>
      <c r="B29">
        <v>7.9687610390000003</v>
      </c>
      <c r="C29" t="s">
        <v>34</v>
      </c>
      <c r="D29">
        <v>6.8418997490000004</v>
      </c>
      <c r="E29">
        <v>182.0923799</v>
      </c>
      <c r="F29">
        <v>83.690610149999998</v>
      </c>
      <c r="G29" t="s">
        <v>35</v>
      </c>
      <c r="H29">
        <v>101.2771429</v>
      </c>
      <c r="I29">
        <v>9.5363433369999999</v>
      </c>
      <c r="J29">
        <v>14.366669229999999</v>
      </c>
      <c r="K29">
        <v>3.8644045990000002</v>
      </c>
      <c r="L29">
        <v>414.0081758</v>
      </c>
      <c r="M29">
        <v>1.917680805</v>
      </c>
      <c r="N29">
        <v>9223.8367760000001</v>
      </c>
      <c r="O29" s="1" t="s">
        <v>826</v>
      </c>
      <c r="P29" t="s">
        <v>395</v>
      </c>
      <c r="Q29" t="s">
        <v>1062</v>
      </c>
      <c r="R29" t="s">
        <v>1072</v>
      </c>
      <c r="S29" t="s">
        <v>1068</v>
      </c>
      <c r="T29" s="3">
        <v>30482</v>
      </c>
      <c r="U29" s="3">
        <v>43410</v>
      </c>
      <c r="V29">
        <v>35</v>
      </c>
      <c r="W29" s="4">
        <v>1</v>
      </c>
      <c r="X29" t="s">
        <v>1061</v>
      </c>
      <c r="Y29" t="s">
        <v>1060</v>
      </c>
      <c r="Z29">
        <v>7</v>
      </c>
      <c r="AB29" t="str">
        <f t="shared" si="1"/>
        <v>TRUE</v>
      </c>
    </row>
    <row r="30" spans="1:28">
      <c r="A30" t="s">
        <v>599</v>
      </c>
      <c r="B30">
        <v>4.356645264</v>
      </c>
      <c r="C30" t="s">
        <v>34</v>
      </c>
      <c r="D30">
        <v>5.1721292070000002</v>
      </c>
      <c r="E30" t="s">
        <v>35</v>
      </c>
      <c r="F30">
        <v>87.929660220000002</v>
      </c>
      <c r="G30" t="s">
        <v>35</v>
      </c>
      <c r="H30">
        <v>812.8120864</v>
      </c>
      <c r="I30">
        <v>3.4055202910000002</v>
      </c>
      <c r="J30">
        <v>112.1824582</v>
      </c>
      <c r="K30">
        <v>1.0509073579999999</v>
      </c>
      <c r="L30">
        <v>414.38336859999998</v>
      </c>
      <c r="M30">
        <v>2.7587510210000001</v>
      </c>
      <c r="N30">
        <v>9711.2213119999997</v>
      </c>
      <c r="O30" s="1" t="s">
        <v>827</v>
      </c>
      <c r="P30" t="s">
        <v>599</v>
      </c>
      <c r="Q30" t="s">
        <v>1062</v>
      </c>
      <c r="R30" t="s">
        <v>1067</v>
      </c>
      <c r="S30" t="s">
        <v>1068</v>
      </c>
      <c r="T30" s="3">
        <v>24908</v>
      </c>
      <c r="U30" s="3">
        <v>43411</v>
      </c>
      <c r="V30">
        <f>DATEDIF(T30,U30,"Y")</f>
        <v>50</v>
      </c>
      <c r="W30">
        <v>1</v>
      </c>
      <c r="X30" t="s">
        <v>1061</v>
      </c>
      <c r="Y30">
        <v>322</v>
      </c>
      <c r="Z30">
        <v>4</v>
      </c>
      <c r="AB30" t="str">
        <f t="shared" si="1"/>
        <v>TRUE</v>
      </c>
    </row>
    <row r="31" spans="1:28">
      <c r="A31" t="s">
        <v>401</v>
      </c>
      <c r="B31">
        <v>3.9479914109999998</v>
      </c>
      <c r="C31" t="s">
        <v>34</v>
      </c>
      <c r="D31">
        <v>3.5968025469999998</v>
      </c>
      <c r="E31">
        <v>155.34913470000001</v>
      </c>
      <c r="F31">
        <v>42.674737649999997</v>
      </c>
      <c r="G31" t="s">
        <v>35</v>
      </c>
      <c r="H31">
        <v>177.53809519999999</v>
      </c>
      <c r="I31">
        <v>6.4909572000000004</v>
      </c>
      <c r="J31">
        <v>15.40276997</v>
      </c>
      <c r="K31">
        <v>1.9727457289999999</v>
      </c>
      <c r="L31">
        <v>330.01035439999998</v>
      </c>
      <c r="M31">
        <v>0.947912541</v>
      </c>
      <c r="N31">
        <v>14046.10167</v>
      </c>
      <c r="O31" s="1" t="s">
        <v>828</v>
      </c>
      <c r="P31" t="s">
        <v>401</v>
      </c>
      <c r="Q31" t="s">
        <v>1058</v>
      </c>
      <c r="R31" t="s">
        <v>1059</v>
      </c>
      <c r="S31" t="s">
        <v>1060</v>
      </c>
      <c r="T31" s="3">
        <v>32770</v>
      </c>
      <c r="U31" s="3">
        <v>43425</v>
      </c>
      <c r="V31">
        <f>DATEDIF(T31,U31,"Y")</f>
        <v>29</v>
      </c>
      <c r="W31">
        <v>2</v>
      </c>
      <c r="X31" t="s">
        <v>1061</v>
      </c>
      <c r="Y31" t="s">
        <v>1060</v>
      </c>
      <c r="Z31" t="s">
        <v>1060</v>
      </c>
      <c r="AB31" t="str">
        <f t="shared" si="1"/>
        <v>TRUE</v>
      </c>
    </row>
    <row r="32" spans="1:28">
      <c r="A32" t="s">
        <v>683</v>
      </c>
      <c r="B32">
        <v>3.0168896479999998</v>
      </c>
      <c r="C32" t="s">
        <v>34</v>
      </c>
      <c r="D32">
        <v>5.9335172399999996</v>
      </c>
      <c r="E32">
        <v>107.0884569</v>
      </c>
      <c r="F32">
        <v>30.979346710000002</v>
      </c>
      <c r="G32" t="s">
        <v>35</v>
      </c>
      <c r="H32">
        <v>148.81738329999999</v>
      </c>
      <c r="I32">
        <v>3.0674676249999999</v>
      </c>
      <c r="J32">
        <v>11.438081009999999</v>
      </c>
      <c r="K32">
        <v>1.749636988</v>
      </c>
      <c r="L32">
        <v>177.21042420000001</v>
      </c>
      <c r="M32">
        <v>0.81098357499999996</v>
      </c>
      <c r="N32">
        <v>8665.3416870000001</v>
      </c>
      <c r="O32" s="1" t="s">
        <v>829</v>
      </c>
      <c r="P32" t="s">
        <v>683</v>
      </c>
      <c r="Q32" t="s">
        <v>1069</v>
      </c>
      <c r="R32" t="s">
        <v>1070</v>
      </c>
      <c r="S32" t="s">
        <v>1064</v>
      </c>
      <c r="T32" s="3">
        <v>29526</v>
      </c>
      <c r="U32" s="3">
        <v>43430</v>
      </c>
      <c r="V32">
        <f>DATEDIF(T32,U32,"Y")</f>
        <v>38</v>
      </c>
      <c r="W32">
        <v>2</v>
      </c>
      <c r="X32" t="s">
        <v>1065</v>
      </c>
      <c r="Y32">
        <v>99</v>
      </c>
      <c r="Z32">
        <v>7</v>
      </c>
      <c r="AB32" t="str">
        <f t="shared" si="1"/>
        <v>TRUE</v>
      </c>
    </row>
    <row r="33" spans="1:28">
      <c r="A33" t="s">
        <v>404</v>
      </c>
      <c r="B33">
        <v>7.2908663880000004</v>
      </c>
      <c r="C33" t="s">
        <v>34</v>
      </c>
      <c r="D33">
        <v>7.4294833430000002</v>
      </c>
      <c r="E33">
        <v>178.2208249</v>
      </c>
      <c r="F33">
        <v>55.56506692</v>
      </c>
      <c r="G33" t="s">
        <v>35</v>
      </c>
      <c r="H33">
        <v>234.892776</v>
      </c>
      <c r="I33">
        <v>13.622163929999999</v>
      </c>
      <c r="J33">
        <v>10.19498613</v>
      </c>
      <c r="K33">
        <v>6.0682588019999999</v>
      </c>
      <c r="L33">
        <v>436.99343970000001</v>
      </c>
      <c r="M33">
        <v>1.0083599400000001</v>
      </c>
      <c r="N33">
        <v>14367.7431</v>
      </c>
      <c r="O33" s="1" t="s">
        <v>830</v>
      </c>
      <c r="P33" t="s">
        <v>404</v>
      </c>
      <c r="Q33" t="s">
        <v>1058</v>
      </c>
      <c r="R33" t="s">
        <v>1059</v>
      </c>
      <c r="S33" t="s">
        <v>1060</v>
      </c>
      <c r="T33" s="3">
        <v>32770</v>
      </c>
      <c r="U33" s="3">
        <v>43432</v>
      </c>
      <c r="V33">
        <f>DATEDIF(T33,U33,"Y")</f>
        <v>29</v>
      </c>
      <c r="W33">
        <v>2</v>
      </c>
      <c r="X33" t="s">
        <v>1061</v>
      </c>
      <c r="Y33" t="s">
        <v>1060</v>
      </c>
      <c r="Z33" t="s">
        <v>1060</v>
      </c>
      <c r="AB33" t="str">
        <f t="shared" si="1"/>
        <v>TRUE</v>
      </c>
    </row>
    <row r="34" spans="1:28">
      <c r="A34" t="s">
        <v>398</v>
      </c>
      <c r="B34">
        <v>6.932038972</v>
      </c>
      <c r="C34" t="s">
        <v>34</v>
      </c>
      <c r="D34">
        <v>6.2284098969999997</v>
      </c>
      <c r="E34" t="s">
        <v>35</v>
      </c>
      <c r="F34">
        <v>106.0021376</v>
      </c>
      <c r="G34">
        <v>4882.7069289999999</v>
      </c>
      <c r="H34">
        <v>306.46810840000001</v>
      </c>
      <c r="I34">
        <v>8.5682217400000003</v>
      </c>
      <c r="J34">
        <v>19.82538035</v>
      </c>
      <c r="K34">
        <v>4.5145341569999999</v>
      </c>
      <c r="L34">
        <v>424.19998220000002</v>
      </c>
      <c r="M34">
        <v>1.999735104</v>
      </c>
      <c r="N34">
        <v>7554.2955940000002</v>
      </c>
      <c r="O34" s="1" t="s">
        <v>831</v>
      </c>
      <c r="P34" t="s">
        <v>398</v>
      </c>
      <c r="Q34" t="s">
        <v>1062</v>
      </c>
      <c r="R34" t="s">
        <v>1072</v>
      </c>
      <c r="S34" t="s">
        <v>1068</v>
      </c>
      <c r="T34" s="3">
        <v>30482</v>
      </c>
      <c r="U34" s="3">
        <v>43427</v>
      </c>
      <c r="V34">
        <v>35</v>
      </c>
      <c r="W34">
        <v>2</v>
      </c>
      <c r="X34" t="s">
        <v>1061</v>
      </c>
      <c r="Y34" t="s">
        <v>1060</v>
      </c>
      <c r="Z34">
        <v>3</v>
      </c>
      <c r="AB34" t="str">
        <f t="shared" si="1"/>
        <v>TRUE</v>
      </c>
    </row>
    <row r="35" spans="1:28">
      <c r="A35" t="s">
        <v>92</v>
      </c>
      <c r="B35">
        <v>7.3640164050000001</v>
      </c>
      <c r="C35" t="s">
        <v>34</v>
      </c>
      <c r="D35">
        <v>4.7622720330000003</v>
      </c>
      <c r="E35">
        <v>134.72169030000001</v>
      </c>
      <c r="F35">
        <v>36.183950350000003</v>
      </c>
      <c r="G35">
        <v>4491.2214510000003</v>
      </c>
      <c r="H35">
        <v>179.6830818</v>
      </c>
      <c r="I35">
        <v>8.6088332649999995</v>
      </c>
      <c r="J35">
        <v>10.550920250000001</v>
      </c>
      <c r="K35">
        <v>3.5203210170000001</v>
      </c>
      <c r="L35">
        <v>256.74599899999998</v>
      </c>
      <c r="M35">
        <v>1.2972762010000001</v>
      </c>
      <c r="N35">
        <v>8535.4252510000006</v>
      </c>
      <c r="O35" s="1" t="s">
        <v>832</v>
      </c>
      <c r="P35" t="s">
        <v>92</v>
      </c>
      <c r="Q35" t="s">
        <v>1074</v>
      </c>
      <c r="R35" t="s">
        <v>1075</v>
      </c>
      <c r="S35" t="s">
        <v>1060</v>
      </c>
      <c r="T35" s="3">
        <v>32551</v>
      </c>
      <c r="U35" s="3">
        <v>43411</v>
      </c>
      <c r="V35">
        <v>29</v>
      </c>
      <c r="W35" s="4">
        <v>1</v>
      </c>
      <c r="X35" t="s">
        <v>1061</v>
      </c>
      <c r="Y35" t="s">
        <v>1060</v>
      </c>
      <c r="Z35" t="s">
        <v>1060</v>
      </c>
      <c r="AB35" t="str">
        <f t="shared" si="1"/>
        <v>TRUE</v>
      </c>
    </row>
    <row r="36" spans="1:28">
      <c r="A36" t="s">
        <v>74</v>
      </c>
      <c r="B36">
        <v>5.4846849329999996</v>
      </c>
      <c r="C36" t="s">
        <v>34</v>
      </c>
      <c r="D36">
        <v>6.7104410110000003</v>
      </c>
      <c r="E36" t="s">
        <v>35</v>
      </c>
      <c r="F36">
        <v>53.76206689</v>
      </c>
      <c r="G36">
        <v>4113.5460190000003</v>
      </c>
      <c r="H36">
        <v>103.02806990000001</v>
      </c>
      <c r="I36">
        <v>6.1488766220000004</v>
      </c>
      <c r="J36">
        <v>14.78781813</v>
      </c>
      <c r="K36">
        <v>1.077598346</v>
      </c>
      <c r="L36">
        <v>415.30321609999999</v>
      </c>
      <c r="M36">
        <v>1.1239159379999999</v>
      </c>
      <c r="N36">
        <v>11877.29421</v>
      </c>
      <c r="O36" s="1" t="s">
        <v>833</v>
      </c>
      <c r="P36" t="s">
        <v>74</v>
      </c>
      <c r="Q36" t="s">
        <v>1062</v>
      </c>
      <c r="R36" t="s">
        <v>1067</v>
      </c>
      <c r="S36" t="s">
        <v>1068</v>
      </c>
      <c r="T36" s="3">
        <v>23573</v>
      </c>
      <c r="U36" s="3">
        <v>43416</v>
      </c>
      <c r="V36">
        <f>DATEDIF(T36,U36,"Y")</f>
        <v>54</v>
      </c>
      <c r="W36" s="4">
        <v>2</v>
      </c>
      <c r="X36" t="s">
        <v>1061</v>
      </c>
      <c r="Y36" t="s">
        <v>1060</v>
      </c>
      <c r="Z36">
        <v>0</v>
      </c>
      <c r="AB36" t="str">
        <f t="shared" si="1"/>
        <v>TRUE</v>
      </c>
    </row>
    <row r="37" spans="1:28">
      <c r="A37" t="s">
        <v>275</v>
      </c>
      <c r="B37">
        <v>4.8753795440000003</v>
      </c>
      <c r="C37" t="s">
        <v>34</v>
      </c>
      <c r="D37">
        <v>9.0827824499999998</v>
      </c>
      <c r="E37">
        <v>197.39859530000001</v>
      </c>
      <c r="F37">
        <v>101.44845220000001</v>
      </c>
      <c r="G37" t="s">
        <v>35</v>
      </c>
      <c r="H37">
        <v>220.52513949999999</v>
      </c>
      <c r="I37">
        <v>7.8744174429999996</v>
      </c>
      <c r="J37">
        <v>13.763568210000001</v>
      </c>
      <c r="K37">
        <v>4.1600462450000002</v>
      </c>
      <c r="L37">
        <v>580.82231660000002</v>
      </c>
      <c r="M37">
        <v>1.5219930399999999</v>
      </c>
      <c r="N37">
        <v>12473.17246</v>
      </c>
      <c r="O37" s="1" t="s">
        <v>834</v>
      </c>
      <c r="P37" t="s">
        <v>275</v>
      </c>
      <c r="Q37" t="s">
        <v>1062</v>
      </c>
      <c r="R37" t="s">
        <v>1067</v>
      </c>
      <c r="S37" t="s">
        <v>1068</v>
      </c>
      <c r="T37" s="3">
        <v>29437</v>
      </c>
      <c r="U37" s="3">
        <v>43417</v>
      </c>
      <c r="V37">
        <f>DATEDIF(T37,U37,"Y")</f>
        <v>38</v>
      </c>
      <c r="W37">
        <v>1</v>
      </c>
      <c r="X37" t="s">
        <v>1061</v>
      </c>
      <c r="Y37">
        <v>1073</v>
      </c>
      <c r="Z37">
        <v>10</v>
      </c>
      <c r="AB37" t="str">
        <f t="shared" si="1"/>
        <v>TRUE</v>
      </c>
    </row>
    <row r="38" spans="1:28">
      <c r="A38" t="s">
        <v>461</v>
      </c>
      <c r="B38">
        <v>7.9730037810000001</v>
      </c>
      <c r="C38" t="s">
        <v>34</v>
      </c>
      <c r="D38">
        <v>5.5280722750000004</v>
      </c>
      <c r="E38" t="s">
        <v>35</v>
      </c>
      <c r="F38">
        <v>74.203743079999995</v>
      </c>
      <c r="G38">
        <v>4900.202483</v>
      </c>
      <c r="H38">
        <v>132.5378781</v>
      </c>
      <c r="I38">
        <v>6.5215593549999999</v>
      </c>
      <c r="J38">
        <v>19.742541760000002</v>
      </c>
      <c r="K38">
        <v>2.58589212</v>
      </c>
      <c r="L38">
        <v>266.10956329999999</v>
      </c>
      <c r="M38">
        <v>1.164060782</v>
      </c>
      <c r="N38">
        <v>9893.9217680000002</v>
      </c>
      <c r="O38" s="1" t="s">
        <v>835</v>
      </c>
      <c r="P38" t="s">
        <v>461</v>
      </c>
      <c r="Q38" t="s">
        <v>1062</v>
      </c>
      <c r="R38" t="s">
        <v>1072</v>
      </c>
      <c r="S38" t="s">
        <v>1068</v>
      </c>
      <c r="T38" s="3">
        <v>31343</v>
      </c>
      <c r="U38" s="3">
        <v>43418</v>
      </c>
      <c r="V38">
        <f>DATEDIF(T38,U38,"Y")</f>
        <v>33</v>
      </c>
      <c r="W38">
        <v>3</v>
      </c>
      <c r="X38" t="s">
        <v>1061</v>
      </c>
      <c r="Y38" t="s">
        <v>1060</v>
      </c>
      <c r="Z38">
        <v>0</v>
      </c>
      <c r="AB38" t="str">
        <f t="shared" si="1"/>
        <v>TRUE</v>
      </c>
    </row>
    <row r="39" spans="1:28">
      <c r="A39" t="s">
        <v>140</v>
      </c>
      <c r="B39">
        <v>14.521910630000001</v>
      </c>
      <c r="C39" t="s">
        <v>34</v>
      </c>
      <c r="D39">
        <v>4.944125294</v>
      </c>
      <c r="E39" t="s">
        <v>35</v>
      </c>
      <c r="F39">
        <v>68.141888069999993</v>
      </c>
      <c r="G39" t="s">
        <v>35</v>
      </c>
      <c r="H39">
        <v>149.0245074</v>
      </c>
      <c r="I39">
        <v>15.152375230000001</v>
      </c>
      <c r="J39">
        <v>20.489276060000002</v>
      </c>
      <c r="K39">
        <v>4.9423817469999998</v>
      </c>
      <c r="L39">
        <v>447.99467129999999</v>
      </c>
      <c r="M39">
        <v>1.4800138819999999</v>
      </c>
      <c r="N39">
        <v>10166.578949999999</v>
      </c>
      <c r="O39" s="1" t="s">
        <v>836</v>
      </c>
      <c r="P39" t="s">
        <v>140</v>
      </c>
      <c r="Q39" t="s">
        <v>1062</v>
      </c>
      <c r="R39" t="s">
        <v>1063</v>
      </c>
      <c r="S39" t="s">
        <v>1068</v>
      </c>
      <c r="T39" s="3">
        <v>36196</v>
      </c>
      <c r="U39" s="3">
        <v>43419</v>
      </c>
      <c r="V39">
        <v>19</v>
      </c>
      <c r="W39">
        <v>1</v>
      </c>
      <c r="X39" t="s">
        <v>1061</v>
      </c>
      <c r="Y39">
        <v>900</v>
      </c>
      <c r="Z39">
        <v>9</v>
      </c>
      <c r="AB39" t="str">
        <f t="shared" si="1"/>
        <v>TRUE</v>
      </c>
    </row>
    <row r="40" spans="1:28">
      <c r="A40" t="s">
        <v>740</v>
      </c>
      <c r="B40">
        <v>8.1735190739999997</v>
      </c>
      <c r="C40" t="s">
        <v>34</v>
      </c>
      <c r="D40">
        <v>12.036080370000001</v>
      </c>
      <c r="E40">
        <v>114.4296617</v>
      </c>
      <c r="F40">
        <v>69.425609350000002</v>
      </c>
      <c r="G40" t="s">
        <v>35</v>
      </c>
      <c r="H40">
        <v>687.76959899999997</v>
      </c>
      <c r="I40">
        <v>9.6992064160000009</v>
      </c>
      <c r="J40">
        <v>9.0028417879999996</v>
      </c>
      <c r="K40">
        <v>7.2167971550000001</v>
      </c>
      <c r="L40">
        <v>374.24260240000001</v>
      </c>
      <c r="M40">
        <v>1.537294224</v>
      </c>
      <c r="N40">
        <v>10337.984710000001</v>
      </c>
      <c r="O40" s="1" t="s">
        <v>837</v>
      </c>
      <c r="P40" t="s">
        <v>740</v>
      </c>
      <c r="Q40" t="s">
        <v>1062</v>
      </c>
      <c r="R40" t="s">
        <v>1072</v>
      </c>
      <c r="S40" t="s">
        <v>1068</v>
      </c>
      <c r="T40" s="3">
        <v>25575</v>
      </c>
      <c r="U40" s="3">
        <v>43426</v>
      </c>
      <c r="V40">
        <f>DATEDIF(T40,U40,"Y")</f>
        <v>48</v>
      </c>
      <c r="W40">
        <v>1</v>
      </c>
      <c r="X40" t="s">
        <v>1061</v>
      </c>
      <c r="Y40">
        <v>98</v>
      </c>
      <c r="Z40">
        <v>4</v>
      </c>
      <c r="AB40" t="str">
        <f t="shared" si="1"/>
        <v>TRUE</v>
      </c>
    </row>
    <row r="41" spans="1:28">
      <c r="A41" t="s">
        <v>257</v>
      </c>
      <c r="B41">
        <v>14.748264900000001</v>
      </c>
      <c r="C41" t="s">
        <v>34</v>
      </c>
      <c r="D41">
        <v>7.614392337</v>
      </c>
      <c r="E41" t="s">
        <v>35</v>
      </c>
      <c r="F41">
        <v>77.485353040000007</v>
      </c>
      <c r="G41" t="s">
        <v>35</v>
      </c>
      <c r="H41">
        <v>416.89059930000002</v>
      </c>
      <c r="I41">
        <v>11.33122081</v>
      </c>
      <c r="J41">
        <v>19.547399760000001</v>
      </c>
      <c r="K41">
        <v>5.4689928129999998</v>
      </c>
      <c r="L41">
        <v>470.98588059999997</v>
      </c>
      <c r="M41">
        <v>1.3333481789999999</v>
      </c>
      <c r="N41">
        <v>9503.8908769999998</v>
      </c>
      <c r="O41" s="1" t="s">
        <v>838</v>
      </c>
      <c r="P41" t="s">
        <v>257</v>
      </c>
      <c r="Q41" t="s">
        <v>1062</v>
      </c>
      <c r="R41" t="s">
        <v>1063</v>
      </c>
      <c r="S41" t="s">
        <v>1068</v>
      </c>
      <c r="T41" s="3">
        <v>17139</v>
      </c>
      <c r="U41" s="3">
        <v>43427</v>
      </c>
      <c r="V41">
        <f>DATEDIF(T41,U41,"Y")</f>
        <v>71</v>
      </c>
      <c r="W41">
        <v>1</v>
      </c>
      <c r="X41" t="s">
        <v>1061</v>
      </c>
      <c r="Y41">
        <v>164</v>
      </c>
      <c r="Z41">
        <v>4</v>
      </c>
      <c r="AB41" t="str">
        <f t="shared" si="1"/>
        <v>TRUE</v>
      </c>
    </row>
    <row r="42" spans="1:28">
      <c r="A42" t="s">
        <v>353</v>
      </c>
      <c r="B42">
        <v>9.1871588109999998</v>
      </c>
      <c r="C42" t="s">
        <v>34</v>
      </c>
      <c r="D42">
        <v>8.6754806940000009</v>
      </c>
      <c r="E42" t="s">
        <v>35</v>
      </c>
      <c r="F42">
        <v>47.100823730000002</v>
      </c>
      <c r="G42" t="s">
        <v>35</v>
      </c>
      <c r="H42">
        <v>280.88061249999998</v>
      </c>
      <c r="I42">
        <v>8.9367941739999992</v>
      </c>
      <c r="J42">
        <v>10.218853510000001</v>
      </c>
      <c r="K42">
        <v>3.8823392010000002</v>
      </c>
      <c r="L42">
        <v>352.92372610000001</v>
      </c>
      <c r="M42">
        <v>0.714245978</v>
      </c>
      <c r="N42">
        <v>17394.37959</v>
      </c>
      <c r="O42" s="1" t="s">
        <v>839</v>
      </c>
      <c r="P42" t="s">
        <v>353</v>
      </c>
      <c r="Q42" t="s">
        <v>1069</v>
      </c>
      <c r="R42" t="s">
        <v>1070</v>
      </c>
      <c r="S42" t="s">
        <v>1068</v>
      </c>
      <c r="T42" s="3">
        <v>32901</v>
      </c>
      <c r="U42" s="3">
        <v>43431</v>
      </c>
      <c r="V42">
        <f>DATEDIF(T42,U42,"Y")</f>
        <v>28</v>
      </c>
      <c r="W42">
        <v>2</v>
      </c>
      <c r="X42" t="s">
        <v>1061</v>
      </c>
      <c r="Y42">
        <v>23</v>
      </c>
      <c r="Z42">
        <v>2</v>
      </c>
      <c r="AB42" t="str">
        <f t="shared" si="1"/>
        <v>TRUE</v>
      </c>
    </row>
    <row r="43" spans="1:28">
      <c r="A43" t="s">
        <v>263</v>
      </c>
      <c r="B43">
        <v>2.1522524380000001</v>
      </c>
      <c r="C43" t="s">
        <v>34</v>
      </c>
      <c r="D43">
        <v>6.0493244989999999</v>
      </c>
      <c r="E43" t="s">
        <v>35</v>
      </c>
      <c r="F43">
        <v>58.994036899999998</v>
      </c>
      <c r="G43" t="s">
        <v>35</v>
      </c>
      <c r="H43">
        <v>167.8944329</v>
      </c>
      <c r="I43">
        <v>5.230440336</v>
      </c>
      <c r="J43">
        <v>12.10835868</v>
      </c>
      <c r="K43">
        <v>1.739189764</v>
      </c>
      <c r="L43">
        <v>425.72614970000001</v>
      </c>
      <c r="M43">
        <v>1.487054463</v>
      </c>
      <c r="N43">
        <v>7718.3650369999996</v>
      </c>
      <c r="O43" s="1" t="s">
        <v>840</v>
      </c>
      <c r="P43" t="s">
        <v>263</v>
      </c>
      <c r="Q43" t="s">
        <v>1062</v>
      </c>
      <c r="R43" t="s">
        <v>1067</v>
      </c>
      <c r="S43" t="s">
        <v>1068</v>
      </c>
      <c r="T43" s="3">
        <v>29437</v>
      </c>
      <c r="U43" s="3">
        <v>43437</v>
      </c>
      <c r="V43">
        <v>38</v>
      </c>
      <c r="W43" s="4">
        <v>1</v>
      </c>
      <c r="X43" t="s">
        <v>1061</v>
      </c>
      <c r="Y43" t="s">
        <v>1060</v>
      </c>
      <c r="Z43">
        <v>10</v>
      </c>
      <c r="AB43" t="str">
        <f t="shared" si="1"/>
        <v>TRUE</v>
      </c>
    </row>
    <row r="44" spans="1:28">
      <c r="A44" t="s">
        <v>95</v>
      </c>
      <c r="B44">
        <v>7.2063626699999999</v>
      </c>
      <c r="C44" t="s">
        <v>34</v>
      </c>
      <c r="D44">
        <v>9.8596310359999997</v>
      </c>
      <c r="E44">
        <v>175.60637460000001</v>
      </c>
      <c r="F44">
        <v>46.709636490000001</v>
      </c>
      <c r="G44" t="s">
        <v>35</v>
      </c>
      <c r="H44">
        <v>235.02813839999999</v>
      </c>
      <c r="I44">
        <v>11.96288397</v>
      </c>
      <c r="J44">
        <v>8.6364094710000003</v>
      </c>
      <c r="K44">
        <v>4.5685107220000001</v>
      </c>
      <c r="L44">
        <v>382.65983349999999</v>
      </c>
      <c r="M44">
        <v>1.368394243</v>
      </c>
      <c r="N44">
        <v>12471.74958</v>
      </c>
      <c r="O44" s="1" t="s">
        <v>841</v>
      </c>
      <c r="P44" t="s">
        <v>95</v>
      </c>
      <c r="Q44" t="s">
        <v>1074</v>
      </c>
      <c r="R44" t="s">
        <v>1075</v>
      </c>
      <c r="S44" t="s">
        <v>1060</v>
      </c>
      <c r="T44" s="3">
        <v>32551</v>
      </c>
      <c r="U44" s="3">
        <v>43469</v>
      </c>
      <c r="V44">
        <f t="shared" ref="V44:V53" si="3">DATEDIF(T44,U44,"Y")</f>
        <v>29</v>
      </c>
      <c r="W44">
        <v>1</v>
      </c>
      <c r="X44" t="s">
        <v>1061</v>
      </c>
      <c r="Y44">
        <v>510</v>
      </c>
      <c r="Z44" t="s">
        <v>1060</v>
      </c>
      <c r="AB44" t="str">
        <f t="shared" si="1"/>
        <v>TRUE</v>
      </c>
    </row>
    <row r="45" spans="1:28">
      <c r="A45" t="s">
        <v>158</v>
      </c>
      <c r="B45">
        <v>3.96821526</v>
      </c>
      <c r="C45" t="s">
        <v>34</v>
      </c>
      <c r="D45">
        <v>8.9982210909999996</v>
      </c>
      <c r="E45" t="s">
        <v>35</v>
      </c>
      <c r="F45">
        <v>86.394456869999999</v>
      </c>
      <c r="G45" t="s">
        <v>35</v>
      </c>
      <c r="H45">
        <v>262.22217660000001</v>
      </c>
      <c r="I45">
        <v>6.9505034109999997</v>
      </c>
      <c r="J45">
        <v>19.189718060000001</v>
      </c>
      <c r="K45">
        <v>2.6589828409999998</v>
      </c>
      <c r="L45">
        <v>466.14271170000001</v>
      </c>
      <c r="M45">
        <v>1.5864774109999999</v>
      </c>
      <c r="N45">
        <v>12960.21579</v>
      </c>
      <c r="O45" s="1" t="s">
        <v>842</v>
      </c>
      <c r="P45" t="s">
        <v>158</v>
      </c>
      <c r="Q45" t="s">
        <v>1069</v>
      </c>
      <c r="R45" t="s">
        <v>1070</v>
      </c>
      <c r="S45" t="s">
        <v>1068</v>
      </c>
      <c r="T45" s="3">
        <v>33939</v>
      </c>
      <c r="U45" s="3">
        <v>43465</v>
      </c>
      <c r="V45">
        <f t="shared" si="3"/>
        <v>26</v>
      </c>
      <c r="W45">
        <v>1</v>
      </c>
      <c r="X45" t="s">
        <v>1061</v>
      </c>
      <c r="Y45">
        <v>2103</v>
      </c>
      <c r="Z45">
        <v>10</v>
      </c>
      <c r="AB45" t="str">
        <f t="shared" si="1"/>
        <v>TRUE</v>
      </c>
    </row>
    <row r="46" spans="1:28">
      <c r="A46" t="s">
        <v>137</v>
      </c>
      <c r="B46">
        <v>10.645415270000001</v>
      </c>
      <c r="C46" t="s">
        <v>34</v>
      </c>
      <c r="D46">
        <v>10.553437580000001</v>
      </c>
      <c r="E46">
        <v>180.25763069999999</v>
      </c>
      <c r="F46">
        <v>68.358234060000001</v>
      </c>
      <c r="G46" t="s">
        <v>35</v>
      </c>
      <c r="H46">
        <v>279.6283851</v>
      </c>
      <c r="I46">
        <v>16.321337920000001</v>
      </c>
      <c r="J46">
        <v>15.039950709999999</v>
      </c>
      <c r="K46">
        <v>8.1509388919999992</v>
      </c>
      <c r="L46">
        <v>493.59435079999997</v>
      </c>
      <c r="M46">
        <v>1.2293272799999999</v>
      </c>
      <c r="N46">
        <v>12998.88767</v>
      </c>
      <c r="O46" s="1" t="s">
        <v>843</v>
      </c>
      <c r="P46" t="s">
        <v>137</v>
      </c>
      <c r="Q46" t="s">
        <v>1062</v>
      </c>
      <c r="R46" t="s">
        <v>1063</v>
      </c>
      <c r="S46" t="s">
        <v>1068</v>
      </c>
      <c r="T46" s="3">
        <v>36196</v>
      </c>
      <c r="U46" s="3">
        <v>43462</v>
      </c>
      <c r="V46">
        <f t="shared" si="3"/>
        <v>19</v>
      </c>
      <c r="W46">
        <v>2</v>
      </c>
      <c r="X46" t="s">
        <v>1061</v>
      </c>
      <c r="Y46">
        <v>108</v>
      </c>
      <c r="Z46">
        <v>3</v>
      </c>
      <c r="AB46" t="str">
        <f t="shared" si="1"/>
        <v>TRUE</v>
      </c>
    </row>
    <row r="47" spans="1:28">
      <c r="A47" t="s">
        <v>269</v>
      </c>
      <c r="B47">
        <v>6.5548813810000004</v>
      </c>
      <c r="C47" t="s">
        <v>34</v>
      </c>
      <c r="D47">
        <v>12.701025169999999</v>
      </c>
      <c r="E47" t="s">
        <v>35</v>
      </c>
      <c r="F47">
        <v>81.215173649999997</v>
      </c>
      <c r="G47" t="s">
        <v>35</v>
      </c>
      <c r="H47">
        <v>229.29594090000001</v>
      </c>
      <c r="I47">
        <v>7.8870770889999999</v>
      </c>
      <c r="J47">
        <v>15.08099912</v>
      </c>
      <c r="K47">
        <v>4.7789186020000001</v>
      </c>
      <c r="L47">
        <v>441.77220670000003</v>
      </c>
      <c r="M47">
        <v>1.2036493580000001</v>
      </c>
      <c r="N47">
        <v>12416.60476</v>
      </c>
      <c r="O47" s="1" t="s">
        <v>844</v>
      </c>
      <c r="P47" t="s">
        <v>269</v>
      </c>
      <c r="Q47" t="s">
        <v>1062</v>
      </c>
      <c r="R47" t="s">
        <v>1067</v>
      </c>
      <c r="S47" t="s">
        <v>1068</v>
      </c>
      <c r="T47" s="3">
        <v>29437</v>
      </c>
      <c r="U47" s="3">
        <v>43467</v>
      </c>
      <c r="V47">
        <f t="shared" si="3"/>
        <v>38</v>
      </c>
      <c r="W47">
        <v>2</v>
      </c>
      <c r="X47" t="s">
        <v>1061</v>
      </c>
      <c r="Y47">
        <v>1248</v>
      </c>
      <c r="Z47">
        <v>5</v>
      </c>
      <c r="AB47" t="str">
        <f t="shared" si="1"/>
        <v>TRUE</v>
      </c>
    </row>
    <row r="48" spans="1:28">
      <c r="A48" t="s">
        <v>473</v>
      </c>
      <c r="B48">
        <v>5.3024414100000001</v>
      </c>
      <c r="C48" t="s">
        <v>34</v>
      </c>
      <c r="D48">
        <v>7.5763545309999998</v>
      </c>
      <c r="E48">
        <v>197.21342709999999</v>
      </c>
      <c r="F48">
        <v>64.182145879999993</v>
      </c>
      <c r="G48" t="s">
        <v>35</v>
      </c>
      <c r="H48">
        <v>346.6580697</v>
      </c>
      <c r="I48">
        <v>7.093967299</v>
      </c>
      <c r="J48">
        <v>9.7432261990000004</v>
      </c>
      <c r="K48">
        <v>2.760076593</v>
      </c>
      <c r="L48">
        <v>424.76633370000002</v>
      </c>
      <c r="M48">
        <v>1.19651872</v>
      </c>
      <c r="N48">
        <v>16266.954379999999</v>
      </c>
      <c r="O48" s="1" t="s">
        <v>845</v>
      </c>
      <c r="P48" t="s">
        <v>473</v>
      </c>
      <c r="Q48" t="s">
        <v>1062</v>
      </c>
      <c r="R48" t="s">
        <v>1067</v>
      </c>
      <c r="S48" t="s">
        <v>1068</v>
      </c>
      <c r="T48" s="3">
        <v>30401</v>
      </c>
      <c r="U48" s="3">
        <v>43469</v>
      </c>
      <c r="V48">
        <f t="shared" si="3"/>
        <v>35</v>
      </c>
      <c r="W48">
        <v>2</v>
      </c>
      <c r="X48" t="s">
        <v>1061</v>
      </c>
      <c r="Y48">
        <v>35</v>
      </c>
      <c r="Z48">
        <v>3</v>
      </c>
      <c r="AB48" t="str">
        <f t="shared" si="1"/>
        <v>TRUE</v>
      </c>
    </row>
    <row r="49" spans="1:28">
      <c r="A49" t="s">
        <v>653</v>
      </c>
      <c r="B49">
        <v>15.94668321</v>
      </c>
      <c r="C49">
        <v>6.8954535359999998</v>
      </c>
      <c r="D49">
        <v>19.663361009999999</v>
      </c>
      <c r="E49">
        <v>187.07304310000001</v>
      </c>
      <c r="F49" t="s">
        <v>35</v>
      </c>
      <c r="G49" t="s">
        <v>35</v>
      </c>
      <c r="H49">
        <v>440.91393570000002</v>
      </c>
      <c r="I49">
        <v>11.545307279999999</v>
      </c>
      <c r="J49">
        <v>9.7613532910000007</v>
      </c>
      <c r="K49">
        <v>6.33677153</v>
      </c>
      <c r="L49">
        <v>623.27216369999996</v>
      </c>
      <c r="M49">
        <v>3.2731643689999999</v>
      </c>
      <c r="N49">
        <v>14580.49273</v>
      </c>
      <c r="O49" s="1" t="s">
        <v>846</v>
      </c>
      <c r="P49" t="s">
        <v>653</v>
      </c>
      <c r="Q49" t="s">
        <v>1062</v>
      </c>
      <c r="R49" t="s">
        <v>1067</v>
      </c>
      <c r="S49" t="s">
        <v>1068</v>
      </c>
      <c r="T49" s="3">
        <v>32618</v>
      </c>
      <c r="U49" s="3">
        <v>43476</v>
      </c>
      <c r="V49">
        <f t="shared" si="3"/>
        <v>29</v>
      </c>
      <c r="W49">
        <v>2</v>
      </c>
      <c r="X49" t="s">
        <v>1061</v>
      </c>
      <c r="Y49">
        <v>103</v>
      </c>
      <c r="Z49">
        <v>2</v>
      </c>
      <c r="AB49" t="str">
        <f t="shared" si="1"/>
        <v>TRUE</v>
      </c>
    </row>
    <row r="50" spans="1:28">
      <c r="A50" t="s">
        <v>80</v>
      </c>
      <c r="B50">
        <v>13.584303930000001</v>
      </c>
      <c r="C50" t="s">
        <v>34</v>
      </c>
      <c r="D50">
        <v>9.891883086</v>
      </c>
      <c r="E50" t="s">
        <v>35</v>
      </c>
      <c r="F50">
        <v>40.03136473</v>
      </c>
      <c r="G50" t="s">
        <v>35</v>
      </c>
      <c r="H50">
        <v>225.40621340000001</v>
      </c>
      <c r="I50">
        <v>7.7772106619999999</v>
      </c>
      <c r="J50">
        <v>13.83973479</v>
      </c>
      <c r="K50">
        <v>3.6309683879999999</v>
      </c>
      <c r="L50">
        <v>362.1748963</v>
      </c>
      <c r="M50">
        <v>1.0203746819999999</v>
      </c>
      <c r="N50">
        <v>12867.030059999999</v>
      </c>
      <c r="O50" s="1" t="s">
        <v>847</v>
      </c>
      <c r="P50" t="s">
        <v>80</v>
      </c>
      <c r="Q50" t="s">
        <v>1062</v>
      </c>
      <c r="R50" t="s">
        <v>1067</v>
      </c>
      <c r="S50" t="s">
        <v>1068</v>
      </c>
      <c r="T50" s="3">
        <v>23573</v>
      </c>
      <c r="U50" s="3">
        <v>43483</v>
      </c>
      <c r="V50">
        <f t="shared" si="3"/>
        <v>54</v>
      </c>
      <c r="W50">
        <v>2</v>
      </c>
      <c r="X50" t="s">
        <v>1061</v>
      </c>
      <c r="Y50">
        <v>15</v>
      </c>
      <c r="Z50">
        <v>0</v>
      </c>
      <c r="AB50" t="str">
        <f t="shared" si="1"/>
        <v>TRUE</v>
      </c>
    </row>
    <row r="51" spans="1:28">
      <c r="A51" t="s">
        <v>467</v>
      </c>
      <c r="B51">
        <v>5.4223687639999998</v>
      </c>
      <c r="C51" t="s">
        <v>34</v>
      </c>
      <c r="D51">
        <v>6.0859184830000004</v>
      </c>
      <c r="E51">
        <v>61.833216909999997</v>
      </c>
      <c r="F51">
        <v>46.965343189999999</v>
      </c>
      <c r="G51" t="s">
        <v>35</v>
      </c>
      <c r="H51">
        <v>244.5249823</v>
      </c>
      <c r="I51">
        <v>8.1302783739999995</v>
      </c>
      <c r="J51">
        <v>13.47133429</v>
      </c>
      <c r="K51">
        <v>3.3887736980000001</v>
      </c>
      <c r="L51">
        <v>341.9013544</v>
      </c>
      <c r="M51">
        <v>1.176521054</v>
      </c>
      <c r="N51">
        <v>10681.621639999999</v>
      </c>
      <c r="O51" s="1" t="s">
        <v>848</v>
      </c>
      <c r="P51" t="s">
        <v>467</v>
      </c>
      <c r="Q51" t="s">
        <v>1074</v>
      </c>
      <c r="R51" t="s">
        <v>1066</v>
      </c>
      <c r="S51" t="s">
        <v>1060</v>
      </c>
      <c r="T51" s="3">
        <v>26595</v>
      </c>
      <c r="U51" s="3">
        <v>43480</v>
      </c>
      <c r="V51">
        <f t="shared" si="3"/>
        <v>46</v>
      </c>
      <c r="W51">
        <v>1</v>
      </c>
      <c r="X51" t="s">
        <v>1061</v>
      </c>
      <c r="Y51">
        <v>208</v>
      </c>
      <c r="Z51" t="s">
        <v>1060</v>
      </c>
      <c r="AB51" t="str">
        <f t="shared" si="1"/>
        <v>TRUE</v>
      </c>
    </row>
    <row r="52" spans="1:28">
      <c r="A52" t="s">
        <v>41</v>
      </c>
      <c r="B52">
        <v>5.5986554599999998</v>
      </c>
      <c r="C52" t="s">
        <v>34</v>
      </c>
      <c r="D52">
        <v>6.9741317189999998</v>
      </c>
      <c r="E52" t="s">
        <v>35</v>
      </c>
      <c r="F52">
        <v>67.643051209999996</v>
      </c>
      <c r="G52" t="s">
        <v>35</v>
      </c>
      <c r="H52">
        <v>435.43098859999998</v>
      </c>
      <c r="I52">
        <v>8.9876150179999996</v>
      </c>
      <c r="J52">
        <v>8.3212318360000008</v>
      </c>
      <c r="K52">
        <v>3.064036717</v>
      </c>
      <c r="L52">
        <v>405.26343300000002</v>
      </c>
      <c r="M52">
        <v>0.67215107600000001</v>
      </c>
      <c r="N52">
        <v>15302.11476</v>
      </c>
      <c r="O52" s="1" t="s">
        <v>849</v>
      </c>
      <c r="P52" t="s">
        <v>41</v>
      </c>
      <c r="Q52" t="s">
        <v>1069</v>
      </c>
      <c r="R52" t="s">
        <v>1076</v>
      </c>
      <c r="S52" t="s">
        <v>1068</v>
      </c>
      <c r="T52" s="3">
        <v>33519</v>
      </c>
      <c r="U52" s="3">
        <v>43487</v>
      </c>
      <c r="V52">
        <f t="shared" si="3"/>
        <v>27</v>
      </c>
      <c r="W52">
        <v>1</v>
      </c>
      <c r="X52" t="s">
        <v>1061</v>
      </c>
      <c r="Y52">
        <v>448</v>
      </c>
      <c r="Z52">
        <v>2</v>
      </c>
      <c r="AB52" t="str">
        <f t="shared" si="1"/>
        <v>TRUE</v>
      </c>
    </row>
    <row r="53" spans="1:28">
      <c r="A53" t="s">
        <v>383</v>
      </c>
      <c r="B53">
        <v>6.3797175370000003</v>
      </c>
      <c r="C53" t="s">
        <v>34</v>
      </c>
      <c r="D53">
        <v>7.0423643939999998</v>
      </c>
      <c r="E53">
        <v>143.54915700000001</v>
      </c>
      <c r="F53">
        <v>54.545738550000003</v>
      </c>
      <c r="G53" t="s">
        <v>35</v>
      </c>
      <c r="H53">
        <v>216.06692820000001</v>
      </c>
      <c r="I53">
        <v>9.8335807020000008</v>
      </c>
      <c r="J53">
        <v>16.698294409999999</v>
      </c>
      <c r="K53">
        <v>4.2503920930000003</v>
      </c>
      <c r="L53">
        <v>411.8532323</v>
      </c>
      <c r="M53">
        <v>1.57434206</v>
      </c>
      <c r="N53">
        <v>15024.867770000001</v>
      </c>
      <c r="O53" s="1" t="s">
        <v>850</v>
      </c>
      <c r="P53" t="s">
        <v>383</v>
      </c>
      <c r="Q53" t="s">
        <v>1062</v>
      </c>
      <c r="R53" t="s">
        <v>1063</v>
      </c>
      <c r="S53" t="s">
        <v>1064</v>
      </c>
      <c r="T53" s="3">
        <v>21589</v>
      </c>
      <c r="U53" s="3">
        <v>43487</v>
      </c>
      <c r="V53">
        <f t="shared" si="3"/>
        <v>59</v>
      </c>
      <c r="W53">
        <v>3</v>
      </c>
      <c r="X53" t="s">
        <v>1061</v>
      </c>
      <c r="Y53">
        <v>34</v>
      </c>
      <c r="Z53">
        <v>0</v>
      </c>
      <c r="AB53" t="str">
        <f t="shared" si="1"/>
        <v>TRUE</v>
      </c>
    </row>
    <row r="54" spans="1:28">
      <c r="A54" t="s">
        <v>161</v>
      </c>
      <c r="B54">
        <v>3.8416105470000002</v>
      </c>
      <c r="C54" t="s">
        <v>34</v>
      </c>
      <c r="D54">
        <v>6.456874622</v>
      </c>
      <c r="E54" t="s">
        <v>35</v>
      </c>
      <c r="F54">
        <v>69.179506689999997</v>
      </c>
      <c r="G54" t="s">
        <v>35</v>
      </c>
      <c r="H54">
        <v>300.86505210000001</v>
      </c>
      <c r="I54">
        <v>5.8712107959999997</v>
      </c>
      <c r="J54">
        <v>24.974439369999999</v>
      </c>
      <c r="K54">
        <v>2.1176275429999998</v>
      </c>
      <c r="L54">
        <v>342.10172820000003</v>
      </c>
      <c r="M54">
        <v>1.5282233359999999</v>
      </c>
      <c r="N54">
        <v>8618.2757930000007</v>
      </c>
      <c r="O54" s="1" t="s">
        <v>851</v>
      </c>
      <c r="P54" t="s">
        <v>161</v>
      </c>
      <c r="Q54" t="s">
        <v>1069</v>
      </c>
      <c r="R54" t="s">
        <v>1070</v>
      </c>
      <c r="S54" t="s">
        <v>1068</v>
      </c>
      <c r="T54" s="3">
        <v>33939</v>
      </c>
      <c r="U54" s="3">
        <v>43488</v>
      </c>
      <c r="V54">
        <v>26</v>
      </c>
      <c r="W54" s="4">
        <v>1</v>
      </c>
      <c r="X54" t="s">
        <v>1061</v>
      </c>
      <c r="Y54" t="s">
        <v>1060</v>
      </c>
      <c r="Z54">
        <v>6</v>
      </c>
      <c r="AB54" t="str">
        <f t="shared" si="1"/>
        <v>TRUE</v>
      </c>
    </row>
    <row r="55" spans="1:28">
      <c r="A55" t="s">
        <v>698</v>
      </c>
      <c r="B55">
        <v>6.0288775000000001</v>
      </c>
      <c r="C55" t="s">
        <v>34</v>
      </c>
      <c r="D55">
        <v>3.8084949290000001</v>
      </c>
      <c r="E55">
        <v>188.53314929999999</v>
      </c>
      <c r="F55">
        <v>49.418430919999999</v>
      </c>
      <c r="G55" t="s">
        <v>35</v>
      </c>
      <c r="H55">
        <v>93.499792600000006</v>
      </c>
      <c r="I55">
        <v>4.8595046179999999</v>
      </c>
      <c r="J55">
        <v>7.0677833970000004</v>
      </c>
      <c r="K55">
        <v>2.4612571399999998</v>
      </c>
      <c r="L55">
        <v>233.85697099999999</v>
      </c>
      <c r="M55">
        <v>1.325359435</v>
      </c>
      <c r="N55">
        <v>7920.6276129999997</v>
      </c>
      <c r="O55" s="1" t="s">
        <v>852</v>
      </c>
      <c r="P55" t="s">
        <v>698</v>
      </c>
      <c r="Q55" t="s">
        <v>1062</v>
      </c>
      <c r="R55" t="s">
        <v>1067</v>
      </c>
      <c r="S55" t="s">
        <v>1068</v>
      </c>
      <c r="T55" s="3">
        <v>35129</v>
      </c>
      <c r="U55" s="3">
        <v>43489</v>
      </c>
      <c r="V55">
        <v>23</v>
      </c>
      <c r="W55">
        <v>1</v>
      </c>
      <c r="X55" t="s">
        <v>1061</v>
      </c>
      <c r="Y55">
        <v>6000</v>
      </c>
      <c r="Z55">
        <v>7</v>
      </c>
      <c r="AB55" t="str">
        <f t="shared" si="1"/>
        <v>TRUE</v>
      </c>
    </row>
    <row r="56" spans="1:28">
      <c r="A56" t="s">
        <v>362</v>
      </c>
      <c r="B56">
        <v>5.0592109519999999</v>
      </c>
      <c r="C56" t="s">
        <v>34</v>
      </c>
      <c r="D56">
        <v>5.7274848990000002</v>
      </c>
      <c r="E56">
        <v>105.36669500000001</v>
      </c>
      <c r="F56">
        <v>59.419526480000002</v>
      </c>
      <c r="G56">
        <v>4017.0455160000001</v>
      </c>
      <c r="H56">
        <v>140.93446299999999</v>
      </c>
      <c r="I56">
        <v>6.0655577879999996</v>
      </c>
      <c r="J56">
        <v>18.06320646</v>
      </c>
      <c r="K56">
        <v>1.6009309110000001</v>
      </c>
      <c r="L56">
        <v>336.2784249</v>
      </c>
      <c r="M56">
        <v>1.9388159460000001</v>
      </c>
      <c r="N56">
        <v>7323.5476870000002</v>
      </c>
      <c r="O56" s="1" t="s">
        <v>853</v>
      </c>
      <c r="P56" t="s">
        <v>362</v>
      </c>
      <c r="Q56" t="s">
        <v>1069</v>
      </c>
      <c r="R56" t="s">
        <v>1070</v>
      </c>
      <c r="S56" t="s">
        <v>1068</v>
      </c>
      <c r="T56" s="3">
        <v>33786</v>
      </c>
      <c r="U56" s="3">
        <v>43491</v>
      </c>
      <c r="V56">
        <f>DATEDIF(T56,U56,"Y")</f>
        <v>26</v>
      </c>
      <c r="W56">
        <v>2</v>
      </c>
      <c r="X56" t="s">
        <v>1065</v>
      </c>
      <c r="Y56">
        <v>15</v>
      </c>
      <c r="Z56">
        <v>1</v>
      </c>
      <c r="AB56" t="str">
        <f t="shared" si="1"/>
        <v>TRUE</v>
      </c>
    </row>
    <row r="57" spans="1:28">
      <c r="A57" t="s">
        <v>662</v>
      </c>
      <c r="B57">
        <v>11.073956799999999</v>
      </c>
      <c r="C57" t="s">
        <v>34</v>
      </c>
      <c r="D57">
        <v>8.2627060050000001</v>
      </c>
      <c r="E57">
        <v>145.5811071</v>
      </c>
      <c r="F57">
        <v>58.245302850000002</v>
      </c>
      <c r="G57" t="s">
        <v>35</v>
      </c>
      <c r="H57">
        <v>176.10294450000001</v>
      </c>
      <c r="I57">
        <v>9.8656645659999995</v>
      </c>
      <c r="J57">
        <v>21.20335378</v>
      </c>
      <c r="K57">
        <v>4.394734648</v>
      </c>
      <c r="L57">
        <v>338.23805479999999</v>
      </c>
      <c r="M57">
        <v>1.1851885579999999</v>
      </c>
      <c r="N57">
        <v>11524.17035</v>
      </c>
      <c r="O57" s="1" t="s">
        <v>854</v>
      </c>
      <c r="P57" t="s">
        <v>662</v>
      </c>
      <c r="Q57" t="s">
        <v>1058</v>
      </c>
      <c r="R57" t="s">
        <v>1066</v>
      </c>
      <c r="S57" t="s">
        <v>1060</v>
      </c>
      <c r="T57" s="3">
        <v>26190</v>
      </c>
      <c r="U57" s="3">
        <v>43504</v>
      </c>
      <c r="V57">
        <f>DATEDIF(T57,U57,"Y")</f>
        <v>47</v>
      </c>
      <c r="W57">
        <v>2</v>
      </c>
      <c r="X57" t="s">
        <v>1061</v>
      </c>
      <c r="Y57">
        <v>15</v>
      </c>
      <c r="Z57" t="s">
        <v>1060</v>
      </c>
      <c r="AB57" t="str">
        <f t="shared" si="1"/>
        <v>TRUE</v>
      </c>
    </row>
    <row r="58" spans="1:28">
      <c r="A58" t="s">
        <v>392</v>
      </c>
      <c r="B58">
        <v>8.172217775</v>
      </c>
      <c r="C58" t="s">
        <v>34</v>
      </c>
      <c r="D58">
        <v>9.5961409569999994</v>
      </c>
      <c r="E58">
        <v>187.19036740000001</v>
      </c>
      <c r="F58">
        <v>111.1924609</v>
      </c>
      <c r="G58" t="s">
        <v>35</v>
      </c>
      <c r="H58">
        <v>301.8412841</v>
      </c>
      <c r="I58">
        <v>8.6821076440000002</v>
      </c>
      <c r="J58">
        <v>33.04762607</v>
      </c>
      <c r="K58">
        <v>5.1484135750000002</v>
      </c>
      <c r="L58">
        <v>367.52601870000001</v>
      </c>
      <c r="M58">
        <v>1.651655638</v>
      </c>
      <c r="N58">
        <v>10331.34498</v>
      </c>
      <c r="O58" s="1" t="s">
        <v>855</v>
      </c>
      <c r="P58" t="s">
        <v>392</v>
      </c>
      <c r="Q58" t="s">
        <v>1062</v>
      </c>
      <c r="R58" t="s">
        <v>1072</v>
      </c>
      <c r="S58" t="s">
        <v>1068</v>
      </c>
      <c r="T58" s="3">
        <v>30482</v>
      </c>
      <c r="U58" s="3">
        <v>43518</v>
      </c>
      <c r="V58">
        <v>35</v>
      </c>
      <c r="W58">
        <v>3</v>
      </c>
      <c r="X58" t="s">
        <v>1061</v>
      </c>
      <c r="Y58">
        <v>42</v>
      </c>
      <c r="Z58">
        <v>3</v>
      </c>
      <c r="AB58" t="str">
        <f t="shared" si="1"/>
        <v>TRUE</v>
      </c>
    </row>
    <row r="59" spans="1:28">
      <c r="A59" t="s">
        <v>602</v>
      </c>
      <c r="B59">
        <v>8.5078965679999996</v>
      </c>
      <c r="C59" t="s">
        <v>34</v>
      </c>
      <c r="D59">
        <v>6.069815009</v>
      </c>
      <c r="E59">
        <v>186.03805550000001</v>
      </c>
      <c r="F59">
        <v>71.737063620000001</v>
      </c>
      <c r="G59">
        <v>4899.2850879999996</v>
      </c>
      <c r="H59">
        <v>753.57937019999997</v>
      </c>
      <c r="I59">
        <v>5.7502580879999998</v>
      </c>
      <c r="J59">
        <v>30.432261409999999</v>
      </c>
      <c r="K59">
        <v>2.1262207659999999</v>
      </c>
      <c r="L59">
        <v>437.8826689</v>
      </c>
      <c r="M59">
        <v>2.1532879789999999</v>
      </c>
      <c r="N59">
        <v>12061.12328</v>
      </c>
      <c r="O59" s="1" t="s">
        <v>856</v>
      </c>
      <c r="P59" t="s">
        <v>602</v>
      </c>
      <c r="Q59" t="s">
        <v>1062</v>
      </c>
      <c r="R59" t="s">
        <v>1067</v>
      </c>
      <c r="S59" t="s">
        <v>1068</v>
      </c>
      <c r="T59" s="3">
        <v>24908</v>
      </c>
      <c r="U59" s="3">
        <v>43509</v>
      </c>
      <c r="V59">
        <f t="shared" ref="V59:V64" si="4">DATEDIF(T59,U59,"Y")</f>
        <v>50</v>
      </c>
      <c r="W59">
        <v>2</v>
      </c>
      <c r="X59" t="s">
        <v>1061</v>
      </c>
      <c r="Y59">
        <v>15</v>
      </c>
      <c r="Z59">
        <v>2</v>
      </c>
      <c r="AB59" t="str">
        <f t="shared" si="1"/>
        <v>TRUE</v>
      </c>
    </row>
    <row r="60" spans="1:28">
      <c r="A60" t="s">
        <v>554</v>
      </c>
      <c r="B60">
        <v>11.92184144</v>
      </c>
      <c r="C60" t="s">
        <v>34</v>
      </c>
      <c r="D60">
        <v>9.5301141420000004</v>
      </c>
      <c r="E60" t="s">
        <v>35</v>
      </c>
      <c r="F60">
        <v>100.0811908</v>
      </c>
      <c r="G60" t="s">
        <v>35</v>
      </c>
      <c r="H60">
        <v>675.72694139999999</v>
      </c>
      <c r="I60">
        <v>8.0772210330000007</v>
      </c>
      <c r="J60">
        <v>18.311309659999999</v>
      </c>
      <c r="K60">
        <v>3.2709127609999999</v>
      </c>
      <c r="L60">
        <v>423.6371762</v>
      </c>
      <c r="M60">
        <v>2.137539479</v>
      </c>
      <c r="N60">
        <v>7617.0195480000002</v>
      </c>
      <c r="O60" s="1" t="s">
        <v>857</v>
      </c>
      <c r="P60" t="s">
        <v>554</v>
      </c>
      <c r="Q60" t="s">
        <v>1062</v>
      </c>
      <c r="R60" t="s">
        <v>1063</v>
      </c>
      <c r="S60" t="s">
        <v>1068</v>
      </c>
      <c r="T60" s="3">
        <v>25311</v>
      </c>
      <c r="U60" s="3">
        <v>43511</v>
      </c>
      <c r="V60">
        <f t="shared" si="4"/>
        <v>49</v>
      </c>
      <c r="W60">
        <v>1</v>
      </c>
      <c r="X60" t="s">
        <v>1061</v>
      </c>
      <c r="Y60">
        <v>2216</v>
      </c>
      <c r="Z60">
        <v>7</v>
      </c>
      <c r="AB60" t="str">
        <f t="shared" si="1"/>
        <v>TRUE</v>
      </c>
    </row>
    <row r="61" spans="1:28">
      <c r="A61" t="s">
        <v>533</v>
      </c>
      <c r="B61">
        <v>4.1799160190000002</v>
      </c>
      <c r="C61" t="s">
        <v>34</v>
      </c>
      <c r="D61">
        <v>6.1921874609999996</v>
      </c>
      <c r="E61">
        <v>114.97724940000001</v>
      </c>
      <c r="F61">
        <v>58.453195260000001</v>
      </c>
      <c r="G61" t="s">
        <v>35</v>
      </c>
      <c r="H61">
        <v>230.11962729999999</v>
      </c>
      <c r="I61">
        <v>7.6990510739999998</v>
      </c>
      <c r="J61">
        <v>11.11008492</v>
      </c>
      <c r="K61">
        <v>3.0412358589999999</v>
      </c>
      <c r="L61">
        <v>414.78132399999998</v>
      </c>
      <c r="M61">
        <v>0.83152047600000001</v>
      </c>
      <c r="N61">
        <v>9540.3707680000007</v>
      </c>
      <c r="O61" s="1" t="s">
        <v>858</v>
      </c>
      <c r="P61" t="s">
        <v>533</v>
      </c>
      <c r="Q61" t="s">
        <v>1062</v>
      </c>
      <c r="R61" t="s">
        <v>1063</v>
      </c>
      <c r="S61" t="s">
        <v>1064</v>
      </c>
      <c r="T61" s="3">
        <v>36595</v>
      </c>
      <c r="U61" s="3">
        <v>43490</v>
      </c>
      <c r="V61">
        <f t="shared" si="4"/>
        <v>18</v>
      </c>
      <c r="W61">
        <v>1</v>
      </c>
      <c r="X61" t="s">
        <v>1065</v>
      </c>
      <c r="Y61">
        <v>1276</v>
      </c>
      <c r="Z61">
        <v>11</v>
      </c>
      <c r="AB61" t="str">
        <f t="shared" si="1"/>
        <v>TRUE</v>
      </c>
    </row>
    <row r="62" spans="1:28">
      <c r="A62" t="s">
        <v>632</v>
      </c>
      <c r="B62">
        <v>13.46722772</v>
      </c>
      <c r="C62" t="s">
        <v>34</v>
      </c>
      <c r="D62">
        <v>4.8604305549999998</v>
      </c>
      <c r="E62">
        <v>163.91031659999999</v>
      </c>
      <c r="F62">
        <v>82.626726300000001</v>
      </c>
      <c r="G62" t="s">
        <v>35</v>
      </c>
      <c r="H62">
        <v>216.9963511</v>
      </c>
      <c r="I62">
        <v>9.7529016360000007</v>
      </c>
      <c r="J62">
        <v>15.57948107</v>
      </c>
      <c r="K62">
        <v>2.4604093900000001</v>
      </c>
      <c r="L62">
        <v>500.55035220000002</v>
      </c>
      <c r="M62">
        <v>2.0022617170000001</v>
      </c>
      <c r="N62">
        <v>9749.6927130000004</v>
      </c>
      <c r="O62" s="1" t="s">
        <v>859</v>
      </c>
      <c r="P62" t="s">
        <v>632</v>
      </c>
      <c r="Q62" t="s">
        <v>1069</v>
      </c>
      <c r="R62" t="s">
        <v>1077</v>
      </c>
      <c r="S62" t="s">
        <v>1068</v>
      </c>
      <c r="T62" s="3">
        <v>35185</v>
      </c>
      <c r="U62" s="3">
        <v>43501</v>
      </c>
      <c r="V62">
        <f t="shared" si="4"/>
        <v>22</v>
      </c>
      <c r="W62">
        <v>1</v>
      </c>
      <c r="X62" t="s">
        <v>1065</v>
      </c>
      <c r="Y62">
        <v>307</v>
      </c>
      <c r="Z62">
        <v>4</v>
      </c>
      <c r="AB62" t="str">
        <f t="shared" si="1"/>
        <v>TRUE</v>
      </c>
    </row>
    <row r="63" spans="1:28">
      <c r="A63" t="s">
        <v>737</v>
      </c>
      <c r="B63">
        <v>7.7167899200000001</v>
      </c>
      <c r="C63" t="s">
        <v>34</v>
      </c>
      <c r="D63">
        <v>11.61702083</v>
      </c>
      <c r="E63">
        <v>101.9346542</v>
      </c>
      <c r="F63">
        <v>67.57128179</v>
      </c>
      <c r="G63">
        <v>4983.6096219999999</v>
      </c>
      <c r="H63">
        <v>267.16696710000002</v>
      </c>
      <c r="I63">
        <v>8.6982043240000007</v>
      </c>
      <c r="J63">
        <v>10.91641751</v>
      </c>
      <c r="K63">
        <v>6.5330125319999999</v>
      </c>
      <c r="L63">
        <v>381.257158</v>
      </c>
      <c r="M63">
        <v>1.3703849189999999</v>
      </c>
      <c r="N63">
        <v>9958.0245309999991</v>
      </c>
      <c r="O63" s="1" t="s">
        <v>860</v>
      </c>
      <c r="P63" t="s">
        <v>737</v>
      </c>
      <c r="Q63" t="s">
        <v>1062</v>
      </c>
      <c r="R63" t="s">
        <v>1072</v>
      </c>
      <c r="S63" t="s">
        <v>1068</v>
      </c>
      <c r="T63" s="3">
        <v>25575</v>
      </c>
      <c r="U63" s="3">
        <v>43518</v>
      </c>
      <c r="V63">
        <f t="shared" si="4"/>
        <v>49</v>
      </c>
      <c r="W63">
        <v>2</v>
      </c>
      <c r="X63" t="s">
        <v>1061</v>
      </c>
      <c r="Y63">
        <v>19</v>
      </c>
      <c r="Z63">
        <v>2</v>
      </c>
      <c r="AB63" t="str">
        <f t="shared" si="1"/>
        <v>TRUE</v>
      </c>
    </row>
    <row r="64" spans="1:28">
      <c r="A64" t="s">
        <v>254</v>
      </c>
      <c r="B64">
        <v>12.449931060000001</v>
      </c>
      <c r="C64" t="s">
        <v>34</v>
      </c>
      <c r="D64">
        <v>7.3420819269999997</v>
      </c>
      <c r="E64">
        <v>136.30866689999999</v>
      </c>
      <c r="F64">
        <v>71.59995361</v>
      </c>
      <c r="G64" t="s">
        <v>35</v>
      </c>
      <c r="H64">
        <v>510.50118739999999</v>
      </c>
      <c r="I64">
        <v>11.99288233</v>
      </c>
      <c r="J64">
        <v>19.70690943</v>
      </c>
      <c r="K64">
        <v>4.5716904899999999</v>
      </c>
      <c r="L64">
        <v>405.22767040000002</v>
      </c>
      <c r="M64">
        <v>1.2921532920000001</v>
      </c>
      <c r="N64">
        <v>7598.8264310000004</v>
      </c>
      <c r="O64" s="1" t="s">
        <v>861</v>
      </c>
      <c r="P64" t="s">
        <v>254</v>
      </c>
      <c r="Q64" t="s">
        <v>1062</v>
      </c>
      <c r="R64" t="s">
        <v>1063</v>
      </c>
      <c r="S64" t="s">
        <v>1068</v>
      </c>
      <c r="T64" s="3">
        <v>17139</v>
      </c>
      <c r="U64" s="3">
        <v>43518</v>
      </c>
      <c r="V64">
        <f t="shared" si="4"/>
        <v>72</v>
      </c>
      <c r="W64">
        <v>2</v>
      </c>
      <c r="X64" t="s">
        <v>1061</v>
      </c>
      <c r="Y64">
        <v>15</v>
      </c>
      <c r="Z64">
        <v>1</v>
      </c>
      <c r="AB64" t="str">
        <f t="shared" si="1"/>
        <v>TRUE</v>
      </c>
    </row>
    <row r="65" spans="1:28">
      <c r="A65" t="s">
        <v>176</v>
      </c>
      <c r="B65">
        <v>2.648518412</v>
      </c>
      <c r="C65" t="s">
        <v>34</v>
      </c>
      <c r="D65">
        <v>5.761712964</v>
      </c>
      <c r="E65" t="s">
        <v>35</v>
      </c>
      <c r="F65">
        <v>55.037263619999997</v>
      </c>
      <c r="G65">
        <v>4233.0302229999998</v>
      </c>
      <c r="H65">
        <v>122.5620444</v>
      </c>
      <c r="I65">
        <v>8.8563772679999992</v>
      </c>
      <c r="J65">
        <v>26.203176930000001</v>
      </c>
      <c r="K65">
        <v>1.411222207</v>
      </c>
      <c r="L65">
        <v>416.50039409999999</v>
      </c>
      <c r="M65">
        <v>1.6736237979999999</v>
      </c>
      <c r="N65">
        <v>7893.9385599999996</v>
      </c>
      <c r="O65" s="1" t="s">
        <v>862</v>
      </c>
      <c r="P65" t="s">
        <v>176</v>
      </c>
      <c r="Q65" t="s">
        <v>1062</v>
      </c>
      <c r="R65" t="s">
        <v>1063</v>
      </c>
      <c r="S65" t="s">
        <v>1064</v>
      </c>
      <c r="T65" s="3">
        <v>34403</v>
      </c>
      <c r="U65" s="3">
        <v>43516</v>
      </c>
      <c r="V65">
        <v>24</v>
      </c>
      <c r="W65">
        <v>1</v>
      </c>
      <c r="X65" t="s">
        <v>1065</v>
      </c>
      <c r="Y65">
        <v>2021</v>
      </c>
      <c r="Z65">
        <v>5</v>
      </c>
      <c r="AB65" t="str">
        <f t="shared" si="1"/>
        <v>TRUE</v>
      </c>
    </row>
    <row r="66" spans="1:28">
      <c r="A66" t="s">
        <v>635</v>
      </c>
      <c r="B66">
        <v>8.7957654180000002</v>
      </c>
      <c r="C66" t="s">
        <v>34</v>
      </c>
      <c r="D66">
        <v>13.765039939999999</v>
      </c>
      <c r="E66">
        <v>149.14460270000001</v>
      </c>
      <c r="F66">
        <v>69.021559960000005</v>
      </c>
      <c r="G66" t="s">
        <v>35</v>
      </c>
      <c r="H66">
        <v>401.95157060000003</v>
      </c>
      <c r="I66">
        <v>14.25314663</v>
      </c>
      <c r="J66">
        <v>16.3529719</v>
      </c>
      <c r="K66">
        <v>5.8692844959999997</v>
      </c>
      <c r="L66">
        <v>550.98922649999997</v>
      </c>
      <c r="M66">
        <v>0.97382943899999996</v>
      </c>
      <c r="N66">
        <v>14519.849050000001</v>
      </c>
      <c r="O66" s="1" t="s">
        <v>863</v>
      </c>
      <c r="P66" t="s">
        <v>635</v>
      </c>
      <c r="Q66" t="s">
        <v>1062</v>
      </c>
      <c r="R66" t="s">
        <v>1063</v>
      </c>
      <c r="S66" t="s">
        <v>1068</v>
      </c>
      <c r="T66" s="3">
        <v>29445</v>
      </c>
      <c r="U66" s="3">
        <v>43497</v>
      </c>
      <c r="V66">
        <f t="shared" ref="V66:V71" si="5">DATEDIF(T66,U66,"Y")</f>
        <v>38</v>
      </c>
      <c r="W66">
        <v>2</v>
      </c>
      <c r="X66" t="s">
        <v>1061</v>
      </c>
      <c r="Y66">
        <v>803</v>
      </c>
      <c r="Z66">
        <v>1</v>
      </c>
      <c r="AB66" t="str">
        <f t="shared" si="1"/>
        <v>TRUE</v>
      </c>
    </row>
    <row r="67" spans="1:28">
      <c r="A67" t="s">
        <v>680</v>
      </c>
      <c r="B67">
        <v>3.8126776069999999</v>
      </c>
      <c r="C67" t="s">
        <v>34</v>
      </c>
      <c r="D67">
        <v>9.5106427930000006</v>
      </c>
      <c r="E67">
        <v>158.6372748</v>
      </c>
      <c r="F67">
        <v>31.49344387</v>
      </c>
      <c r="G67" t="s">
        <v>35</v>
      </c>
      <c r="H67">
        <v>223.06926569999999</v>
      </c>
      <c r="I67">
        <v>4.5172762080000002</v>
      </c>
      <c r="J67">
        <v>16.081421349999999</v>
      </c>
      <c r="K67">
        <v>3.20809203</v>
      </c>
      <c r="L67">
        <v>269.07243140000003</v>
      </c>
      <c r="M67">
        <v>0.81292520199999996</v>
      </c>
      <c r="N67">
        <v>10713.348400000001</v>
      </c>
      <c r="O67" s="1" t="s">
        <v>864</v>
      </c>
      <c r="P67" t="s">
        <v>680</v>
      </c>
      <c r="Q67" t="s">
        <v>1069</v>
      </c>
      <c r="R67" t="s">
        <v>1070</v>
      </c>
      <c r="S67" t="s">
        <v>1064</v>
      </c>
      <c r="T67" s="3">
        <v>29526</v>
      </c>
      <c r="U67" s="3">
        <v>43518</v>
      </c>
      <c r="V67">
        <f t="shared" si="5"/>
        <v>38</v>
      </c>
      <c r="W67">
        <v>3</v>
      </c>
      <c r="X67" t="s">
        <v>1065</v>
      </c>
      <c r="Y67">
        <v>27</v>
      </c>
      <c r="Z67">
        <v>3</v>
      </c>
      <c r="AB67" t="str">
        <f t="shared" si="1"/>
        <v>TRUE</v>
      </c>
    </row>
    <row r="68" spans="1:28">
      <c r="A68" t="s">
        <v>179</v>
      </c>
      <c r="B68">
        <v>3.6500806899999998</v>
      </c>
      <c r="C68" t="s">
        <v>34</v>
      </c>
      <c r="D68">
        <v>5.5144173299999997</v>
      </c>
      <c r="E68" t="s">
        <v>35</v>
      </c>
      <c r="F68">
        <v>62.659016479999998</v>
      </c>
      <c r="G68" t="s">
        <v>35</v>
      </c>
      <c r="H68">
        <v>243.56147619999999</v>
      </c>
      <c r="I68">
        <v>8.990953245</v>
      </c>
      <c r="J68">
        <v>22.24318835</v>
      </c>
      <c r="K68">
        <v>1.306528583</v>
      </c>
      <c r="L68">
        <v>458.1405709</v>
      </c>
      <c r="M68">
        <v>1.7565826499999999</v>
      </c>
      <c r="N68">
        <v>9436.3491190000004</v>
      </c>
      <c r="O68" s="1" t="s">
        <v>865</v>
      </c>
      <c r="P68" t="s">
        <v>179</v>
      </c>
      <c r="Q68" t="s">
        <v>1062</v>
      </c>
      <c r="R68" t="s">
        <v>1063</v>
      </c>
      <c r="S68" t="s">
        <v>1064</v>
      </c>
      <c r="T68" s="3">
        <v>34403</v>
      </c>
      <c r="U68" s="3">
        <v>43529</v>
      </c>
      <c r="V68">
        <f t="shared" si="5"/>
        <v>24</v>
      </c>
      <c r="W68" s="4">
        <v>1</v>
      </c>
      <c r="X68" t="s">
        <v>1065</v>
      </c>
      <c r="Y68">
        <v>2021</v>
      </c>
      <c r="Z68">
        <v>5</v>
      </c>
      <c r="AB68" t="str">
        <f t="shared" ref="AB68:AB131" si="6">IF(P68=A68, "TRUE", "FALSE")</f>
        <v>TRUE</v>
      </c>
    </row>
    <row r="69" spans="1:28">
      <c r="A69" t="s">
        <v>446</v>
      </c>
      <c r="B69">
        <v>5.1632290789999997</v>
      </c>
      <c r="C69" t="s">
        <v>34</v>
      </c>
      <c r="D69">
        <v>6.6968101080000002</v>
      </c>
      <c r="E69" t="s">
        <v>35</v>
      </c>
      <c r="F69">
        <v>56.040712120000002</v>
      </c>
      <c r="G69" t="s">
        <v>35</v>
      </c>
      <c r="H69">
        <v>229.3287641</v>
      </c>
      <c r="I69">
        <v>5.6620237250000001</v>
      </c>
      <c r="J69">
        <v>22.416742540000001</v>
      </c>
      <c r="K69">
        <v>1.800654518</v>
      </c>
      <c r="L69">
        <v>339.7403521</v>
      </c>
      <c r="M69">
        <v>1.00992372</v>
      </c>
      <c r="N69">
        <v>9880.5502450000004</v>
      </c>
      <c r="O69" s="1" t="s">
        <v>866</v>
      </c>
      <c r="P69" t="s">
        <v>446</v>
      </c>
      <c r="Q69" t="s">
        <v>1074</v>
      </c>
      <c r="R69" t="s">
        <v>1075</v>
      </c>
      <c r="S69" t="s">
        <v>1060</v>
      </c>
      <c r="T69" s="3">
        <v>29872</v>
      </c>
      <c r="U69" s="3">
        <v>43521</v>
      </c>
      <c r="V69">
        <f t="shared" si="5"/>
        <v>37</v>
      </c>
      <c r="W69">
        <v>1</v>
      </c>
      <c r="X69" t="s">
        <v>1061</v>
      </c>
      <c r="Y69">
        <v>370</v>
      </c>
      <c r="Z69" t="s">
        <v>1060</v>
      </c>
      <c r="AB69" t="str">
        <f t="shared" si="6"/>
        <v>TRUE</v>
      </c>
    </row>
    <row r="70" spans="1:28">
      <c r="A70" t="s">
        <v>347</v>
      </c>
      <c r="B70">
        <v>8.0549487519999996</v>
      </c>
      <c r="C70" t="s">
        <v>34</v>
      </c>
      <c r="D70">
        <v>3.246313212</v>
      </c>
      <c r="E70" t="s">
        <v>35</v>
      </c>
      <c r="F70">
        <v>52.661265569999998</v>
      </c>
      <c r="G70">
        <v>3202.840173</v>
      </c>
      <c r="H70">
        <v>406.04995050000002</v>
      </c>
      <c r="I70">
        <v>5.9744270459999997</v>
      </c>
      <c r="J70">
        <v>8.0358932250000006</v>
      </c>
      <c r="K70">
        <v>1.8797172559999999</v>
      </c>
      <c r="L70">
        <v>301.82164260000002</v>
      </c>
      <c r="M70">
        <v>0.77186173700000005</v>
      </c>
      <c r="N70">
        <v>8336.5948970000009</v>
      </c>
      <c r="O70" s="1" t="s">
        <v>867</v>
      </c>
      <c r="P70" t="s">
        <v>347</v>
      </c>
      <c r="Q70" t="s">
        <v>1069</v>
      </c>
      <c r="R70" t="s">
        <v>1070</v>
      </c>
      <c r="S70" t="s">
        <v>1068</v>
      </c>
      <c r="T70" s="3">
        <v>32901</v>
      </c>
      <c r="U70" s="3">
        <v>43522</v>
      </c>
      <c r="V70">
        <f t="shared" si="5"/>
        <v>29</v>
      </c>
      <c r="W70">
        <v>3</v>
      </c>
      <c r="X70" t="s">
        <v>1061</v>
      </c>
      <c r="Y70">
        <v>47</v>
      </c>
      <c r="Z70">
        <v>2</v>
      </c>
      <c r="AB70" t="str">
        <f t="shared" si="6"/>
        <v>TRUE</v>
      </c>
    </row>
    <row r="71" spans="1:28">
      <c r="A71" t="s">
        <v>287</v>
      </c>
      <c r="B71">
        <v>6.0532374750000004</v>
      </c>
      <c r="C71" t="s">
        <v>34</v>
      </c>
      <c r="D71">
        <v>8.5265529890000007</v>
      </c>
      <c r="E71">
        <v>157.81936769999999</v>
      </c>
      <c r="F71">
        <v>69.425126680000005</v>
      </c>
      <c r="G71" t="s">
        <v>35</v>
      </c>
      <c r="H71">
        <v>211.49313760000001</v>
      </c>
      <c r="I71">
        <v>14.6503367</v>
      </c>
      <c r="J71">
        <v>11.845672220000001</v>
      </c>
      <c r="K71">
        <v>5.3123567789999999</v>
      </c>
      <c r="L71">
        <v>362.6285939</v>
      </c>
      <c r="M71">
        <v>1.487702756</v>
      </c>
      <c r="N71">
        <v>14137.712890000001</v>
      </c>
      <c r="O71" s="1" t="s">
        <v>868</v>
      </c>
      <c r="P71" t="s">
        <v>287</v>
      </c>
      <c r="Q71" t="s">
        <v>1062</v>
      </c>
      <c r="R71" t="s">
        <v>1067</v>
      </c>
      <c r="S71" t="s">
        <v>1064</v>
      </c>
      <c r="T71" s="3">
        <v>29943</v>
      </c>
      <c r="U71" s="3">
        <v>43525</v>
      </c>
      <c r="V71">
        <f t="shared" si="5"/>
        <v>37</v>
      </c>
      <c r="W71">
        <v>1</v>
      </c>
      <c r="X71" t="s">
        <v>1061</v>
      </c>
      <c r="Y71">
        <v>922</v>
      </c>
      <c r="Z71">
        <v>8</v>
      </c>
      <c r="AB71" t="str">
        <f t="shared" si="6"/>
        <v>TRUE</v>
      </c>
    </row>
    <row r="72" spans="1:28">
      <c r="A72" t="s">
        <v>44</v>
      </c>
      <c r="B72">
        <v>9.1183583200000005</v>
      </c>
      <c r="C72" t="s">
        <v>34</v>
      </c>
      <c r="D72">
        <v>7.8103616010000003</v>
      </c>
      <c r="E72" t="s">
        <v>35</v>
      </c>
      <c r="F72">
        <v>58.797513530000003</v>
      </c>
      <c r="G72">
        <v>4096.6758179999997</v>
      </c>
      <c r="H72">
        <v>337.53869509999998</v>
      </c>
      <c r="I72">
        <v>9.1737583259999997</v>
      </c>
      <c r="J72">
        <v>12.93837824</v>
      </c>
      <c r="K72">
        <v>3.9817749999999998</v>
      </c>
      <c r="L72">
        <v>354.42651460000002</v>
      </c>
      <c r="M72">
        <v>0.63680935100000002</v>
      </c>
      <c r="N72">
        <v>13532.799510000001</v>
      </c>
      <c r="O72" s="1" t="s">
        <v>869</v>
      </c>
      <c r="P72" t="s">
        <v>44</v>
      </c>
      <c r="Q72" s="5" t="s">
        <v>1069</v>
      </c>
      <c r="R72" s="5" t="s">
        <v>1076</v>
      </c>
      <c r="S72" s="5" t="s">
        <v>1068</v>
      </c>
      <c r="T72" s="6">
        <v>33519</v>
      </c>
      <c r="U72" s="6">
        <v>43525</v>
      </c>
      <c r="V72" s="5">
        <v>27</v>
      </c>
      <c r="W72" s="5">
        <v>2</v>
      </c>
      <c r="X72" s="5" t="s">
        <v>1061</v>
      </c>
      <c r="Y72" s="5">
        <v>110</v>
      </c>
      <c r="Z72" s="5">
        <v>0</v>
      </c>
      <c r="AB72" t="str">
        <f t="shared" si="6"/>
        <v>TRUE</v>
      </c>
    </row>
    <row r="73" spans="1:28">
      <c r="A73" t="s">
        <v>695</v>
      </c>
      <c r="B73">
        <v>9.8090088350000002</v>
      </c>
      <c r="C73" t="s">
        <v>34</v>
      </c>
      <c r="D73">
        <v>11.920733520000001</v>
      </c>
      <c r="E73" t="s">
        <v>35</v>
      </c>
      <c r="F73">
        <v>72.266905309999999</v>
      </c>
      <c r="G73">
        <v>4719.9475359999997</v>
      </c>
      <c r="H73">
        <v>197.1869562</v>
      </c>
      <c r="I73">
        <v>8.1288448110000004</v>
      </c>
      <c r="J73">
        <v>16.07770404</v>
      </c>
      <c r="K73">
        <v>6.7295336250000002</v>
      </c>
      <c r="L73">
        <v>390.22062620000003</v>
      </c>
      <c r="M73">
        <v>1.3347298409999999</v>
      </c>
      <c r="N73">
        <v>11672.363670000001</v>
      </c>
      <c r="O73" s="1" t="s">
        <v>870</v>
      </c>
      <c r="P73" t="s">
        <v>695</v>
      </c>
      <c r="Q73" t="s">
        <v>1062</v>
      </c>
      <c r="R73" t="s">
        <v>1067</v>
      </c>
      <c r="S73" t="s">
        <v>1068</v>
      </c>
      <c r="T73" s="3">
        <v>35129</v>
      </c>
      <c r="U73" s="3">
        <v>43532</v>
      </c>
      <c r="V73">
        <f t="shared" ref="V73:V79" si="7">DATEDIF(T73,U73,"Y")</f>
        <v>23</v>
      </c>
      <c r="W73">
        <v>2</v>
      </c>
      <c r="X73" t="s">
        <v>1061</v>
      </c>
      <c r="Y73">
        <v>80</v>
      </c>
      <c r="Z73">
        <v>2</v>
      </c>
      <c r="AB73" t="str">
        <f t="shared" si="6"/>
        <v>TRUE</v>
      </c>
    </row>
    <row r="74" spans="1:28">
      <c r="A74" t="s">
        <v>155</v>
      </c>
      <c r="B74">
        <v>3.2589850459999998</v>
      </c>
      <c r="C74" t="s">
        <v>34</v>
      </c>
      <c r="D74">
        <v>6.6927298139999998</v>
      </c>
      <c r="E74" t="s">
        <v>35</v>
      </c>
      <c r="F74">
        <v>66.53701805</v>
      </c>
      <c r="G74" t="s">
        <v>35</v>
      </c>
      <c r="H74">
        <v>294.13343589999999</v>
      </c>
      <c r="I74">
        <v>5.7585233440000003</v>
      </c>
      <c r="J74">
        <v>18.127113430000001</v>
      </c>
      <c r="K74">
        <v>2.5492171209999999</v>
      </c>
      <c r="L74">
        <v>396.73522359999998</v>
      </c>
      <c r="M74">
        <v>1.0830555319999999</v>
      </c>
      <c r="N74">
        <v>10608.6111</v>
      </c>
      <c r="O74" s="1" t="s">
        <v>871</v>
      </c>
      <c r="P74" t="s">
        <v>155</v>
      </c>
      <c r="Q74" t="s">
        <v>1069</v>
      </c>
      <c r="R74" t="s">
        <v>1070</v>
      </c>
      <c r="S74" t="s">
        <v>1068</v>
      </c>
      <c r="T74" s="3">
        <v>33939</v>
      </c>
      <c r="U74" s="3">
        <v>43539</v>
      </c>
      <c r="V74">
        <f t="shared" si="7"/>
        <v>26</v>
      </c>
      <c r="W74">
        <v>2</v>
      </c>
      <c r="X74" t="s">
        <v>1061</v>
      </c>
      <c r="Y74">
        <v>15</v>
      </c>
      <c r="Z74">
        <v>0</v>
      </c>
      <c r="AB74" t="str">
        <f t="shared" si="6"/>
        <v>TRUE</v>
      </c>
    </row>
    <row r="75" spans="1:28">
      <c r="A75" t="s">
        <v>416</v>
      </c>
      <c r="B75">
        <v>8.2725228729999998</v>
      </c>
      <c r="C75">
        <v>4.8312312669999997</v>
      </c>
      <c r="D75">
        <v>6.4551304380000003</v>
      </c>
      <c r="E75" t="s">
        <v>35</v>
      </c>
      <c r="F75">
        <v>164.0343867</v>
      </c>
      <c r="G75" t="s">
        <v>35</v>
      </c>
      <c r="H75">
        <v>207.19924370000001</v>
      </c>
      <c r="I75">
        <v>8.8623096090000004</v>
      </c>
      <c r="J75">
        <v>12.74206025</v>
      </c>
      <c r="K75">
        <v>2.9933622529999999</v>
      </c>
      <c r="L75">
        <v>353.00885440000002</v>
      </c>
      <c r="M75">
        <v>2.1172407660000001</v>
      </c>
      <c r="N75">
        <v>9534.0116990000006</v>
      </c>
      <c r="O75" s="1" t="s">
        <v>872</v>
      </c>
      <c r="P75" t="s">
        <v>416</v>
      </c>
      <c r="Q75" t="s">
        <v>1062</v>
      </c>
      <c r="R75" t="s">
        <v>1063</v>
      </c>
      <c r="S75" t="s">
        <v>1068</v>
      </c>
      <c r="T75" s="3">
        <v>31823</v>
      </c>
      <c r="U75" s="3">
        <v>43546</v>
      </c>
      <c r="V75">
        <f t="shared" si="7"/>
        <v>32</v>
      </c>
      <c r="W75">
        <v>1</v>
      </c>
      <c r="X75" t="s">
        <v>1065</v>
      </c>
      <c r="Y75">
        <v>306</v>
      </c>
      <c r="Z75">
        <v>4</v>
      </c>
      <c r="AB75" t="str">
        <f t="shared" si="6"/>
        <v>TRUE</v>
      </c>
    </row>
    <row r="76" spans="1:28">
      <c r="A76" t="s">
        <v>266</v>
      </c>
      <c r="B76">
        <v>6.6012557919999999</v>
      </c>
      <c r="C76" t="s">
        <v>34</v>
      </c>
      <c r="D76">
        <v>11.67965931</v>
      </c>
      <c r="E76">
        <v>119.49745710000001</v>
      </c>
      <c r="F76">
        <v>98.723111489999994</v>
      </c>
      <c r="G76" t="s">
        <v>35</v>
      </c>
      <c r="H76">
        <v>384.84033440000002</v>
      </c>
      <c r="I76">
        <v>10.85542326</v>
      </c>
      <c r="J76">
        <v>12.654175390000001</v>
      </c>
      <c r="K76">
        <v>8.0003861910000005</v>
      </c>
      <c r="L76">
        <v>516.02738599999998</v>
      </c>
      <c r="M76">
        <v>1.293086465</v>
      </c>
      <c r="N76">
        <v>12444.946250000001</v>
      </c>
      <c r="O76" s="1" t="s">
        <v>873</v>
      </c>
      <c r="P76" t="s">
        <v>266</v>
      </c>
      <c r="Q76" t="s">
        <v>1062</v>
      </c>
      <c r="R76" t="s">
        <v>1067</v>
      </c>
      <c r="S76" t="s">
        <v>1068</v>
      </c>
      <c r="T76" s="3">
        <v>29437</v>
      </c>
      <c r="U76" s="3">
        <v>43558</v>
      </c>
      <c r="V76">
        <f t="shared" si="7"/>
        <v>38</v>
      </c>
      <c r="W76">
        <v>3</v>
      </c>
      <c r="X76" t="s">
        <v>1061</v>
      </c>
      <c r="Y76">
        <v>56</v>
      </c>
      <c r="Z76">
        <v>0</v>
      </c>
      <c r="AB76" t="str">
        <f t="shared" si="6"/>
        <v>TRUE</v>
      </c>
    </row>
    <row r="77" spans="1:28">
      <c r="A77" t="s">
        <v>470</v>
      </c>
      <c r="B77">
        <v>16.8526813</v>
      </c>
      <c r="C77" t="s">
        <v>34</v>
      </c>
      <c r="D77">
        <v>15.54472062</v>
      </c>
      <c r="E77">
        <v>188.1308306</v>
      </c>
      <c r="F77">
        <v>68.153800820000001</v>
      </c>
      <c r="G77" t="s">
        <v>35</v>
      </c>
      <c r="H77">
        <v>331.84043730000002</v>
      </c>
      <c r="I77">
        <v>10.760643780000001</v>
      </c>
      <c r="J77">
        <v>26.491142289999999</v>
      </c>
      <c r="K77">
        <v>9.3542399249999999</v>
      </c>
      <c r="L77">
        <v>484.23189409999998</v>
      </c>
      <c r="M77">
        <v>1.224449192</v>
      </c>
      <c r="N77">
        <v>16054.59568</v>
      </c>
      <c r="O77" s="1" t="s">
        <v>874</v>
      </c>
      <c r="P77" t="s">
        <v>470</v>
      </c>
      <c r="Q77" t="s">
        <v>1062</v>
      </c>
      <c r="R77" t="s">
        <v>1067</v>
      </c>
      <c r="S77" t="s">
        <v>1068</v>
      </c>
      <c r="T77" s="3">
        <v>30401</v>
      </c>
      <c r="U77" s="3">
        <v>43560</v>
      </c>
      <c r="V77">
        <f t="shared" si="7"/>
        <v>36</v>
      </c>
      <c r="W77">
        <v>3</v>
      </c>
      <c r="X77" t="s">
        <v>1061</v>
      </c>
      <c r="Y77">
        <v>28</v>
      </c>
      <c r="Z77">
        <v>0</v>
      </c>
      <c r="AB77" t="str">
        <f t="shared" si="6"/>
        <v>TRUE</v>
      </c>
    </row>
    <row r="78" spans="1:28">
      <c r="A78" t="s">
        <v>146</v>
      </c>
      <c r="B78">
        <v>7.3917391490000002</v>
      </c>
      <c r="C78" t="s">
        <v>34</v>
      </c>
      <c r="D78">
        <v>6.2341341830000001</v>
      </c>
      <c r="E78">
        <v>137.88497380000001</v>
      </c>
      <c r="F78">
        <v>71.257168789999994</v>
      </c>
      <c r="G78" t="s">
        <v>35</v>
      </c>
      <c r="H78">
        <v>207.4487867</v>
      </c>
      <c r="I78">
        <v>12.47191932</v>
      </c>
      <c r="J78">
        <v>24.204892449999999</v>
      </c>
      <c r="K78">
        <v>3.8464308150000002</v>
      </c>
      <c r="L78">
        <v>484.67401489999997</v>
      </c>
      <c r="M78">
        <v>1.5365927589999999</v>
      </c>
      <c r="N78">
        <v>11099.361580000001</v>
      </c>
      <c r="O78" s="1" t="s">
        <v>875</v>
      </c>
      <c r="P78" t="s">
        <v>146</v>
      </c>
      <c r="Q78" t="s">
        <v>1062</v>
      </c>
      <c r="R78" t="s">
        <v>1063</v>
      </c>
      <c r="S78" t="s">
        <v>1068</v>
      </c>
      <c r="T78" s="3">
        <v>36196</v>
      </c>
      <c r="U78" s="3">
        <v>43560</v>
      </c>
      <c r="V78">
        <f t="shared" si="7"/>
        <v>20</v>
      </c>
      <c r="W78">
        <v>3</v>
      </c>
      <c r="X78" t="s">
        <v>1061</v>
      </c>
      <c r="Y78">
        <v>68</v>
      </c>
      <c r="Z78">
        <v>1</v>
      </c>
      <c r="AB78" t="str">
        <f t="shared" si="6"/>
        <v>TRUE</v>
      </c>
    </row>
    <row r="79" spans="1:28">
      <c r="A79" t="s">
        <v>191</v>
      </c>
      <c r="B79">
        <v>2.3039864209999998</v>
      </c>
      <c r="C79" t="s">
        <v>34</v>
      </c>
      <c r="D79">
        <v>4.2041521570000002</v>
      </c>
      <c r="E79" t="s">
        <v>35</v>
      </c>
      <c r="F79">
        <v>51.117094649999999</v>
      </c>
      <c r="G79">
        <v>4847.682933</v>
      </c>
      <c r="H79">
        <v>174.35768110000001</v>
      </c>
      <c r="I79">
        <v>5.4448299889999996</v>
      </c>
      <c r="J79">
        <v>37.356897400000001</v>
      </c>
      <c r="K79">
        <v>0.51297733099999998</v>
      </c>
      <c r="L79">
        <v>371.39224359999997</v>
      </c>
      <c r="M79">
        <v>1.60870332</v>
      </c>
      <c r="N79">
        <v>6860.9702960000004</v>
      </c>
      <c r="O79" s="1" t="s">
        <v>876</v>
      </c>
      <c r="P79" t="s">
        <v>191</v>
      </c>
      <c r="Q79" t="s">
        <v>1062</v>
      </c>
      <c r="R79" t="s">
        <v>1063</v>
      </c>
      <c r="S79" t="s">
        <v>1064</v>
      </c>
      <c r="T79" s="3">
        <v>34403</v>
      </c>
      <c r="U79" s="3">
        <v>43546</v>
      </c>
      <c r="V79">
        <f t="shared" si="7"/>
        <v>25</v>
      </c>
      <c r="W79">
        <v>2</v>
      </c>
      <c r="X79" t="s">
        <v>1065</v>
      </c>
      <c r="Y79">
        <v>2155</v>
      </c>
      <c r="Z79">
        <v>15</v>
      </c>
      <c r="AB79" t="str">
        <f t="shared" si="6"/>
        <v>TRUE</v>
      </c>
    </row>
    <row r="80" spans="1:28">
      <c r="A80" t="s">
        <v>659</v>
      </c>
      <c r="B80">
        <v>11.892411620000001</v>
      </c>
      <c r="C80" t="s">
        <v>34</v>
      </c>
      <c r="D80">
        <v>6.3434059310000004</v>
      </c>
      <c r="E80">
        <v>91.248247300000003</v>
      </c>
      <c r="F80">
        <v>67.048496290000003</v>
      </c>
      <c r="G80" t="s">
        <v>35</v>
      </c>
      <c r="H80">
        <v>224.81525970000001</v>
      </c>
      <c r="I80">
        <v>11.292510070000001</v>
      </c>
      <c r="J80">
        <v>14.35309638</v>
      </c>
      <c r="K80">
        <v>4.976923223</v>
      </c>
      <c r="L80">
        <v>450.79314620000002</v>
      </c>
      <c r="M80">
        <v>1.989102559</v>
      </c>
      <c r="N80">
        <v>11860.13859</v>
      </c>
      <c r="O80" s="1" t="s">
        <v>877</v>
      </c>
      <c r="P80" t="s">
        <v>659</v>
      </c>
      <c r="Q80" t="s">
        <v>1062</v>
      </c>
      <c r="R80" t="s">
        <v>1067</v>
      </c>
      <c r="S80" t="s">
        <v>1068</v>
      </c>
      <c r="T80" s="3">
        <v>32618</v>
      </c>
      <c r="U80" s="3">
        <v>43559</v>
      </c>
      <c r="V80">
        <v>29</v>
      </c>
      <c r="W80" s="4">
        <v>2</v>
      </c>
      <c r="X80" t="s">
        <v>1061</v>
      </c>
      <c r="Y80" t="s">
        <v>1060</v>
      </c>
      <c r="Z80">
        <v>6</v>
      </c>
      <c r="AB80" t="str">
        <f t="shared" si="6"/>
        <v>TRUE</v>
      </c>
    </row>
    <row r="81" spans="1:28">
      <c r="A81" t="s">
        <v>410</v>
      </c>
      <c r="B81">
        <v>5.7944988750000004</v>
      </c>
      <c r="C81" t="s">
        <v>34</v>
      </c>
      <c r="D81">
        <v>4.6210968030000004</v>
      </c>
      <c r="E81" t="s">
        <v>35</v>
      </c>
      <c r="F81">
        <v>74.093612120000003</v>
      </c>
      <c r="G81" t="s">
        <v>35</v>
      </c>
      <c r="H81">
        <v>174.41170579999999</v>
      </c>
      <c r="I81">
        <v>6.229914913</v>
      </c>
      <c r="J81">
        <v>13.086862999999999</v>
      </c>
      <c r="K81">
        <v>2.1161920790000002</v>
      </c>
      <c r="L81">
        <v>373.08949280000002</v>
      </c>
      <c r="M81">
        <v>1.378205736</v>
      </c>
      <c r="N81">
        <v>10949.60686</v>
      </c>
      <c r="O81" s="1" t="s">
        <v>878</v>
      </c>
      <c r="P81" t="s">
        <v>410</v>
      </c>
      <c r="Q81" t="s">
        <v>1062</v>
      </c>
      <c r="R81" t="s">
        <v>1063</v>
      </c>
      <c r="S81" t="s">
        <v>1068</v>
      </c>
      <c r="T81" s="3">
        <v>31823</v>
      </c>
      <c r="U81" s="3">
        <v>43579</v>
      </c>
      <c r="V81">
        <f>DATEDIF(T81,U81,"Y")</f>
        <v>32</v>
      </c>
      <c r="W81">
        <v>2</v>
      </c>
      <c r="X81" t="s">
        <v>1065</v>
      </c>
      <c r="Y81">
        <v>15</v>
      </c>
      <c r="Z81">
        <v>0</v>
      </c>
      <c r="AB81" t="str">
        <f t="shared" si="6"/>
        <v>TRUE</v>
      </c>
    </row>
    <row r="82" spans="1:28">
      <c r="A82" t="s">
        <v>530</v>
      </c>
      <c r="B82">
        <v>4.695308786</v>
      </c>
      <c r="C82" t="s">
        <v>34</v>
      </c>
      <c r="D82">
        <v>5.8541709270000002</v>
      </c>
      <c r="E82">
        <v>91.609492419999995</v>
      </c>
      <c r="F82">
        <v>57.594731179999997</v>
      </c>
      <c r="G82" t="s">
        <v>35</v>
      </c>
      <c r="H82">
        <v>195.78512280000001</v>
      </c>
      <c r="I82">
        <v>6.4366989869999998</v>
      </c>
      <c r="J82">
        <v>11.349264</v>
      </c>
      <c r="K82">
        <v>3.135771718</v>
      </c>
      <c r="L82">
        <v>421.81839000000002</v>
      </c>
      <c r="M82">
        <v>0.92532599699999996</v>
      </c>
      <c r="N82">
        <v>11637.969940000001</v>
      </c>
      <c r="O82" s="1" t="s">
        <v>879</v>
      </c>
      <c r="P82" t="s">
        <v>530</v>
      </c>
      <c r="Q82" t="s">
        <v>1062</v>
      </c>
      <c r="R82" t="s">
        <v>1063</v>
      </c>
      <c r="S82" t="s">
        <v>1064</v>
      </c>
      <c r="T82" s="3">
        <v>36595</v>
      </c>
      <c r="U82" s="3">
        <v>43567</v>
      </c>
      <c r="V82">
        <v>19</v>
      </c>
      <c r="W82">
        <v>2</v>
      </c>
      <c r="X82" t="s">
        <v>1065</v>
      </c>
      <c r="Y82" t="s">
        <v>1060</v>
      </c>
      <c r="Z82">
        <v>7</v>
      </c>
      <c r="AB82" t="str">
        <f t="shared" si="6"/>
        <v>TRUE</v>
      </c>
    </row>
    <row r="83" spans="1:28">
      <c r="A83" t="s">
        <v>629</v>
      </c>
      <c r="B83">
        <v>19.16608733</v>
      </c>
      <c r="C83" t="s">
        <v>34</v>
      </c>
      <c r="D83">
        <v>10.058592559999999</v>
      </c>
      <c r="E83">
        <v>115.4842767</v>
      </c>
      <c r="F83">
        <v>86.10456843</v>
      </c>
      <c r="G83" t="s">
        <v>35</v>
      </c>
      <c r="H83">
        <v>247.082684</v>
      </c>
      <c r="I83">
        <v>24.30422111</v>
      </c>
      <c r="J83">
        <v>18.09238182</v>
      </c>
      <c r="K83">
        <v>11.828669789999999</v>
      </c>
      <c r="L83">
        <v>704.31754239999998</v>
      </c>
      <c r="M83">
        <v>2.1189767740000001</v>
      </c>
      <c r="N83">
        <v>14555.70558</v>
      </c>
      <c r="O83" s="1" t="s">
        <v>880</v>
      </c>
      <c r="P83" t="s">
        <v>629</v>
      </c>
      <c r="Q83" t="s">
        <v>1069</v>
      </c>
      <c r="R83" t="s">
        <v>1077</v>
      </c>
      <c r="S83" t="s">
        <v>1068</v>
      </c>
      <c r="T83" s="3">
        <v>35185</v>
      </c>
      <c r="U83" s="3">
        <v>43580</v>
      </c>
      <c r="V83">
        <f>DATEDIF(T83,U83,"Y")</f>
        <v>22</v>
      </c>
      <c r="W83">
        <v>2</v>
      </c>
      <c r="X83" t="s">
        <v>1065</v>
      </c>
      <c r="Y83">
        <v>26</v>
      </c>
      <c r="Z83">
        <v>3</v>
      </c>
      <c r="AB83" t="str">
        <f t="shared" si="6"/>
        <v>TRUE</v>
      </c>
    </row>
    <row r="84" spans="1:28">
      <c r="A84" t="s">
        <v>356</v>
      </c>
      <c r="B84">
        <v>5.7883109340000001</v>
      </c>
      <c r="C84" t="s">
        <v>34</v>
      </c>
      <c r="D84">
        <v>7.6367258939999996</v>
      </c>
      <c r="E84">
        <v>172.92718869999999</v>
      </c>
      <c r="F84">
        <v>70.034024799999997</v>
      </c>
      <c r="G84" t="s">
        <v>35</v>
      </c>
      <c r="H84">
        <v>198.26005169999999</v>
      </c>
      <c r="I84">
        <v>10.18632502</v>
      </c>
      <c r="J84">
        <v>12.94752259</v>
      </c>
      <c r="K84">
        <v>3.5483668709999998</v>
      </c>
      <c r="L84">
        <v>408.28642050000002</v>
      </c>
      <c r="M84">
        <v>1.317601054</v>
      </c>
      <c r="N84">
        <v>9979.3980929999998</v>
      </c>
      <c r="O84" s="1" t="s">
        <v>881</v>
      </c>
      <c r="P84" t="s">
        <v>356</v>
      </c>
      <c r="Q84" t="s">
        <v>1069</v>
      </c>
      <c r="R84" t="s">
        <v>1070</v>
      </c>
      <c r="S84" t="s">
        <v>1068</v>
      </c>
      <c r="T84" s="3">
        <v>33786</v>
      </c>
      <c r="U84" s="3">
        <v>43581</v>
      </c>
      <c r="V84">
        <v>26</v>
      </c>
      <c r="W84">
        <v>2</v>
      </c>
      <c r="X84" t="s">
        <v>1065</v>
      </c>
      <c r="Y84" t="s">
        <v>1060</v>
      </c>
      <c r="Z84">
        <v>2</v>
      </c>
      <c r="AB84" t="str">
        <f t="shared" si="6"/>
        <v>TRUE</v>
      </c>
    </row>
    <row r="85" spans="1:28">
      <c r="A85" t="s">
        <v>296</v>
      </c>
      <c r="B85">
        <v>5.0549511249999997</v>
      </c>
      <c r="C85" t="s">
        <v>34</v>
      </c>
      <c r="D85">
        <v>7.6931656799999999</v>
      </c>
      <c r="E85">
        <v>135.15557000000001</v>
      </c>
      <c r="F85">
        <v>54.551197989999999</v>
      </c>
      <c r="G85" t="s">
        <v>35</v>
      </c>
      <c r="H85">
        <v>171.919442</v>
      </c>
      <c r="I85">
        <v>9.4497071780000006</v>
      </c>
      <c r="J85">
        <v>10.935580180000001</v>
      </c>
      <c r="K85">
        <v>4.2272864459999999</v>
      </c>
      <c r="L85">
        <v>300.38924789999999</v>
      </c>
      <c r="M85">
        <v>1.2034159529999999</v>
      </c>
      <c r="N85">
        <v>11631.855299999999</v>
      </c>
      <c r="O85" s="1" t="s">
        <v>882</v>
      </c>
      <c r="P85" t="s">
        <v>296</v>
      </c>
      <c r="Q85" t="s">
        <v>1062</v>
      </c>
      <c r="R85" t="s">
        <v>1067</v>
      </c>
      <c r="S85" t="s">
        <v>1064</v>
      </c>
      <c r="T85" s="3">
        <v>29943</v>
      </c>
      <c r="U85" s="3">
        <v>43567</v>
      </c>
      <c r="V85">
        <f>DATEDIF(T85,U85,"Y")</f>
        <v>37</v>
      </c>
      <c r="W85">
        <v>2</v>
      </c>
      <c r="X85" t="s">
        <v>1061</v>
      </c>
      <c r="Y85">
        <v>31</v>
      </c>
      <c r="Z85">
        <v>0</v>
      </c>
      <c r="AB85" t="str">
        <f t="shared" si="6"/>
        <v>TRUE</v>
      </c>
    </row>
    <row r="86" spans="1:28">
      <c r="A86" t="s">
        <v>557</v>
      </c>
      <c r="B86">
        <v>5.7098771570000002</v>
      </c>
      <c r="C86" t="s">
        <v>34</v>
      </c>
      <c r="D86">
        <v>10.13304411</v>
      </c>
      <c r="E86" t="s">
        <v>35</v>
      </c>
      <c r="F86">
        <v>64.903722569999999</v>
      </c>
      <c r="G86" t="s">
        <v>35</v>
      </c>
      <c r="H86">
        <v>291.6008415</v>
      </c>
      <c r="I86">
        <v>10.16634503</v>
      </c>
      <c r="J86">
        <v>37.21736301</v>
      </c>
      <c r="K86">
        <v>4.7055374179999996</v>
      </c>
      <c r="L86">
        <v>323.19418739999998</v>
      </c>
      <c r="M86">
        <v>1.255107926</v>
      </c>
      <c r="N86">
        <v>11095.775439999999</v>
      </c>
      <c r="O86" s="1" t="s">
        <v>883</v>
      </c>
      <c r="P86" t="s">
        <v>557</v>
      </c>
      <c r="Q86" t="s">
        <v>1062</v>
      </c>
      <c r="R86" t="s">
        <v>1063</v>
      </c>
      <c r="S86" t="s">
        <v>1068</v>
      </c>
      <c r="T86" s="3">
        <v>25311</v>
      </c>
      <c r="U86" s="3">
        <v>43581</v>
      </c>
      <c r="V86">
        <f>DATEDIF(T86,U86,"Y")</f>
        <v>50</v>
      </c>
      <c r="W86">
        <v>2</v>
      </c>
      <c r="X86" t="s">
        <v>1061</v>
      </c>
      <c r="Y86">
        <v>67</v>
      </c>
      <c r="Z86">
        <v>2</v>
      </c>
      <c r="AB86" t="str">
        <f t="shared" si="6"/>
        <v>TRUE</v>
      </c>
    </row>
    <row r="87" spans="1:28">
      <c r="A87" t="s">
        <v>755</v>
      </c>
      <c r="B87">
        <v>10.114505380000001</v>
      </c>
      <c r="C87" t="s">
        <v>34</v>
      </c>
      <c r="D87">
        <v>7.05026113</v>
      </c>
      <c r="E87">
        <v>156.0357607</v>
      </c>
      <c r="F87">
        <v>63.443738760000002</v>
      </c>
      <c r="G87" t="s">
        <v>35</v>
      </c>
      <c r="H87">
        <v>171.06529040000001</v>
      </c>
      <c r="I87">
        <v>13.19130481</v>
      </c>
      <c r="J87">
        <v>14.314682619999999</v>
      </c>
      <c r="K87">
        <v>4.6320074389999997</v>
      </c>
      <c r="L87">
        <v>389.17746449999999</v>
      </c>
      <c r="M87">
        <v>1.1394029779999999</v>
      </c>
      <c r="N87">
        <v>13318.92236</v>
      </c>
      <c r="O87" s="1" t="s">
        <v>884</v>
      </c>
      <c r="P87" t="s">
        <v>755</v>
      </c>
      <c r="Q87" t="s">
        <v>1074</v>
      </c>
      <c r="R87" t="s">
        <v>1075</v>
      </c>
      <c r="S87" t="s">
        <v>1060</v>
      </c>
      <c r="T87" s="3">
        <v>33951</v>
      </c>
      <c r="U87" s="3">
        <v>43610</v>
      </c>
      <c r="V87">
        <f>DATEDIF(T87,U87,"Y")</f>
        <v>26</v>
      </c>
      <c r="W87">
        <v>1</v>
      </c>
      <c r="X87" t="s">
        <v>1065</v>
      </c>
      <c r="Y87">
        <v>305</v>
      </c>
      <c r="Z87" t="s">
        <v>1060</v>
      </c>
      <c r="AB87" t="str">
        <f t="shared" si="6"/>
        <v>TRUE</v>
      </c>
    </row>
    <row r="88" spans="1:28">
      <c r="A88" t="s">
        <v>251</v>
      </c>
      <c r="B88">
        <v>19.877599</v>
      </c>
      <c r="C88" t="s">
        <v>34</v>
      </c>
      <c r="D88">
        <v>11.29619952</v>
      </c>
      <c r="E88">
        <v>133.74648350000001</v>
      </c>
      <c r="F88">
        <v>91.877728959999999</v>
      </c>
      <c r="G88" t="s">
        <v>35</v>
      </c>
      <c r="H88">
        <v>569.87504799999999</v>
      </c>
      <c r="I88">
        <v>15.532589010000001</v>
      </c>
      <c r="J88">
        <v>35.901992139999997</v>
      </c>
      <c r="K88">
        <v>7.731473609</v>
      </c>
      <c r="L88">
        <v>581.59619540000006</v>
      </c>
      <c r="M88">
        <v>1.226587595</v>
      </c>
      <c r="N88">
        <v>10595.40971</v>
      </c>
      <c r="O88" s="1" t="s">
        <v>885</v>
      </c>
      <c r="P88" t="s">
        <v>251</v>
      </c>
      <c r="Q88" t="s">
        <v>1062</v>
      </c>
      <c r="R88" t="s">
        <v>1063</v>
      </c>
      <c r="S88" t="s">
        <v>1068</v>
      </c>
      <c r="T88" s="3">
        <v>17139</v>
      </c>
      <c r="U88" s="3">
        <v>43609</v>
      </c>
      <c r="V88">
        <f>DATEDIF(T88,U88,"Y")</f>
        <v>72</v>
      </c>
      <c r="W88">
        <v>3</v>
      </c>
      <c r="X88" t="s">
        <v>1061</v>
      </c>
      <c r="Y88">
        <v>15</v>
      </c>
      <c r="Z88">
        <v>2</v>
      </c>
      <c r="AB88" t="str">
        <f t="shared" si="6"/>
        <v>TRUE</v>
      </c>
    </row>
    <row r="89" spans="1:28">
      <c r="A89" t="s">
        <v>185</v>
      </c>
      <c r="B89">
        <v>2.3851319320000002</v>
      </c>
      <c r="C89" t="s">
        <v>34</v>
      </c>
      <c r="D89">
        <v>3.1060399780000001</v>
      </c>
      <c r="E89">
        <v>193.9990081</v>
      </c>
      <c r="F89">
        <v>27.50931018</v>
      </c>
      <c r="G89">
        <v>3538.5022859999999</v>
      </c>
      <c r="H89">
        <v>125.7129848</v>
      </c>
      <c r="I89">
        <v>2.4302649660000002</v>
      </c>
      <c r="J89">
        <v>23.33522262</v>
      </c>
      <c r="K89" t="s">
        <v>34</v>
      </c>
      <c r="L89">
        <v>205.26677770000001</v>
      </c>
      <c r="M89">
        <v>2.2303804540000001</v>
      </c>
      <c r="N89">
        <v>4244.6305540000003</v>
      </c>
      <c r="O89" s="1" t="s">
        <v>886</v>
      </c>
      <c r="P89" t="s">
        <v>185</v>
      </c>
      <c r="Q89" t="s">
        <v>1062</v>
      </c>
      <c r="R89" t="s">
        <v>1063</v>
      </c>
      <c r="S89" t="s">
        <v>1064</v>
      </c>
      <c r="T89" s="3">
        <v>34403</v>
      </c>
      <c r="U89" s="3">
        <v>43627</v>
      </c>
      <c r="V89">
        <f>DATEDIF(T89,U89,"Y")</f>
        <v>25</v>
      </c>
      <c r="W89">
        <v>3</v>
      </c>
      <c r="X89" t="s">
        <v>1065</v>
      </c>
      <c r="Y89">
        <v>667</v>
      </c>
      <c r="Z89">
        <v>6</v>
      </c>
      <c r="AB89" t="str">
        <f t="shared" si="6"/>
        <v>TRUE</v>
      </c>
    </row>
    <row r="90" spans="1:28">
      <c r="A90" t="s">
        <v>173</v>
      </c>
      <c r="B90" t="s">
        <v>34</v>
      </c>
      <c r="C90" t="s">
        <v>34</v>
      </c>
      <c r="D90">
        <v>4.1531719320000002</v>
      </c>
      <c r="E90" t="s">
        <v>35</v>
      </c>
      <c r="F90">
        <v>21.42699979</v>
      </c>
      <c r="G90">
        <v>3884.6801409999998</v>
      </c>
      <c r="H90">
        <v>150.17395550000001</v>
      </c>
      <c r="I90">
        <v>4.8796547419999996</v>
      </c>
      <c r="J90">
        <v>27.208377760000001</v>
      </c>
      <c r="K90">
        <v>0.66118464700000001</v>
      </c>
      <c r="L90">
        <v>260.52168719999997</v>
      </c>
      <c r="M90">
        <v>1.4580179129999999</v>
      </c>
      <c r="N90">
        <v>9096.4791920000007</v>
      </c>
      <c r="O90" s="1" t="s">
        <v>887</v>
      </c>
      <c r="P90" t="s">
        <v>173</v>
      </c>
      <c r="Q90" t="s">
        <v>1062</v>
      </c>
      <c r="R90" t="s">
        <v>1063</v>
      </c>
      <c r="S90" t="s">
        <v>1064</v>
      </c>
      <c r="T90" s="3">
        <v>34403</v>
      </c>
      <c r="U90" s="3">
        <v>43637</v>
      </c>
      <c r="V90">
        <v>25</v>
      </c>
      <c r="W90">
        <v>2</v>
      </c>
      <c r="X90" t="s">
        <v>1065</v>
      </c>
      <c r="Y90" t="s">
        <v>1060</v>
      </c>
      <c r="Z90">
        <v>5</v>
      </c>
      <c r="AB90" t="str">
        <f t="shared" si="6"/>
        <v>TRUE</v>
      </c>
    </row>
    <row r="91" spans="1:28">
      <c r="A91" t="s">
        <v>188</v>
      </c>
      <c r="B91" t="s">
        <v>34</v>
      </c>
      <c r="C91" t="s">
        <v>34</v>
      </c>
      <c r="D91" t="s">
        <v>34</v>
      </c>
      <c r="E91" t="s">
        <v>35</v>
      </c>
      <c r="F91">
        <v>22.554523459999999</v>
      </c>
      <c r="G91">
        <v>4212.2602880000004</v>
      </c>
      <c r="H91">
        <v>154.0656936</v>
      </c>
      <c r="I91">
        <v>1.4104709740000001</v>
      </c>
      <c r="J91">
        <v>35.202416149999998</v>
      </c>
      <c r="K91" t="s">
        <v>34</v>
      </c>
      <c r="L91">
        <v>125.11640250000001</v>
      </c>
      <c r="M91">
        <v>1.497820581</v>
      </c>
      <c r="N91">
        <v>3542.9325739999999</v>
      </c>
      <c r="O91" s="1" t="s">
        <v>888</v>
      </c>
      <c r="P91" t="s">
        <v>188</v>
      </c>
      <c r="Q91" t="s">
        <v>1062</v>
      </c>
      <c r="R91" t="s">
        <v>1063</v>
      </c>
      <c r="S91" t="s">
        <v>1064</v>
      </c>
      <c r="T91" s="3">
        <v>34403</v>
      </c>
      <c r="U91" s="3">
        <v>43647</v>
      </c>
      <c r="V91">
        <f>DATEDIF(T91,U91,"Y")</f>
        <v>25</v>
      </c>
      <c r="W91">
        <v>3</v>
      </c>
      <c r="X91" t="s">
        <v>1065</v>
      </c>
      <c r="Y91" t="s">
        <v>1060</v>
      </c>
      <c r="Z91">
        <v>5</v>
      </c>
      <c r="AB91" t="str">
        <f t="shared" si="6"/>
        <v>TRUE</v>
      </c>
    </row>
    <row r="92" spans="1:28">
      <c r="A92" t="s">
        <v>524</v>
      </c>
      <c r="B92">
        <v>4.184326854</v>
      </c>
      <c r="C92" t="s">
        <v>34</v>
      </c>
      <c r="D92">
        <v>4.5189291880000004</v>
      </c>
      <c r="E92" t="s">
        <v>35</v>
      </c>
      <c r="F92">
        <v>44.196404149999999</v>
      </c>
      <c r="G92" t="s">
        <v>35</v>
      </c>
      <c r="H92">
        <v>164.9276639</v>
      </c>
      <c r="I92">
        <v>6.111785008</v>
      </c>
      <c r="J92">
        <v>11.977726880000001</v>
      </c>
      <c r="K92">
        <v>2.109393485</v>
      </c>
      <c r="L92">
        <v>304.4387625</v>
      </c>
      <c r="M92">
        <v>0.90922938799999997</v>
      </c>
      <c r="N92">
        <v>11142.826929999999</v>
      </c>
      <c r="O92" s="1" t="s">
        <v>889</v>
      </c>
      <c r="P92" t="s">
        <v>524</v>
      </c>
      <c r="Q92" t="s">
        <v>1058</v>
      </c>
      <c r="R92" t="s">
        <v>1066</v>
      </c>
      <c r="S92" t="s">
        <v>1060</v>
      </c>
      <c r="T92" s="3">
        <v>34502</v>
      </c>
      <c r="U92" s="3">
        <v>43677</v>
      </c>
      <c r="V92">
        <f>DATEDIF(T92,U92,"Y")</f>
        <v>25</v>
      </c>
      <c r="W92">
        <v>1</v>
      </c>
      <c r="X92" t="s">
        <v>1065</v>
      </c>
      <c r="Y92">
        <v>769</v>
      </c>
      <c r="Z92" t="s">
        <v>1060</v>
      </c>
      <c r="AB92" t="str">
        <f t="shared" si="6"/>
        <v>TRUE</v>
      </c>
    </row>
    <row r="93" spans="1:28">
      <c r="A93" t="s">
        <v>560</v>
      </c>
      <c r="B93">
        <v>10.229740850000001</v>
      </c>
      <c r="C93" t="s">
        <v>34</v>
      </c>
      <c r="D93">
        <v>16.172258249999999</v>
      </c>
      <c r="E93">
        <v>101.5402484</v>
      </c>
      <c r="F93">
        <v>104.4822635</v>
      </c>
      <c r="G93" t="s">
        <v>35</v>
      </c>
      <c r="H93">
        <v>220.39607799999999</v>
      </c>
      <c r="I93">
        <v>18.663131960000001</v>
      </c>
      <c r="J93">
        <v>34.422953100000001</v>
      </c>
      <c r="K93">
        <v>8.9167092490000002</v>
      </c>
      <c r="L93">
        <v>572.9455481</v>
      </c>
      <c r="M93">
        <v>1.4775280559999999</v>
      </c>
      <c r="N93">
        <v>13153.932500000001</v>
      </c>
      <c r="O93" s="1" t="s">
        <v>890</v>
      </c>
      <c r="P93" t="s">
        <v>560</v>
      </c>
      <c r="Q93" t="s">
        <v>1062</v>
      </c>
      <c r="R93" t="s">
        <v>1063</v>
      </c>
      <c r="S93" t="s">
        <v>1068</v>
      </c>
      <c r="T93" s="3">
        <v>25311</v>
      </c>
      <c r="U93" s="3">
        <v>43672</v>
      </c>
      <c r="V93">
        <f>DATEDIF(T93,U93,"Y")</f>
        <v>50</v>
      </c>
      <c r="W93">
        <v>3</v>
      </c>
      <c r="X93" t="s">
        <v>1061</v>
      </c>
      <c r="Y93">
        <v>786</v>
      </c>
      <c r="Z93">
        <v>3</v>
      </c>
      <c r="AB93" t="str">
        <f t="shared" si="6"/>
        <v>TRUE</v>
      </c>
    </row>
    <row r="94" spans="1:28">
      <c r="A94" t="s">
        <v>521</v>
      </c>
      <c r="B94">
        <v>16.49456374</v>
      </c>
      <c r="C94" t="s">
        <v>34</v>
      </c>
      <c r="D94">
        <v>5.6770370740000002</v>
      </c>
      <c r="E94" t="s">
        <v>35</v>
      </c>
      <c r="F94">
        <v>51.677211300000003</v>
      </c>
      <c r="G94">
        <v>2846.147297</v>
      </c>
      <c r="H94">
        <v>107.17757880000001</v>
      </c>
      <c r="I94">
        <v>20.1467597</v>
      </c>
      <c r="J94">
        <v>18.556527920000001</v>
      </c>
      <c r="K94">
        <v>8.3897984280000006</v>
      </c>
      <c r="L94">
        <v>331.8543717</v>
      </c>
      <c r="M94">
        <v>1.2134512550000001</v>
      </c>
      <c r="N94">
        <v>6175.199329</v>
      </c>
      <c r="O94" s="1" t="s">
        <v>891</v>
      </c>
      <c r="P94" t="s">
        <v>521</v>
      </c>
      <c r="Q94" t="s">
        <v>1058</v>
      </c>
      <c r="R94" t="s">
        <v>1066</v>
      </c>
      <c r="S94" t="s">
        <v>1060</v>
      </c>
      <c r="T94" s="3">
        <v>34502</v>
      </c>
      <c r="U94" s="3">
        <v>43726</v>
      </c>
      <c r="V94">
        <f>DATEDIF(T94,U94,"Y")</f>
        <v>25</v>
      </c>
      <c r="W94">
        <v>2</v>
      </c>
      <c r="X94" t="s">
        <v>1065</v>
      </c>
      <c r="Y94" t="s">
        <v>1060</v>
      </c>
      <c r="Z94" t="s">
        <v>1060</v>
      </c>
      <c r="AB94" t="str">
        <f t="shared" si="6"/>
        <v>TRUE</v>
      </c>
    </row>
    <row r="95" spans="1:28">
      <c r="A95" t="s">
        <v>641</v>
      </c>
      <c r="B95">
        <v>11.198941059999999</v>
      </c>
      <c r="C95" t="s">
        <v>34</v>
      </c>
      <c r="D95">
        <v>12.614824369999999</v>
      </c>
      <c r="E95">
        <v>126.59174520000001</v>
      </c>
      <c r="F95">
        <v>67.130066319999997</v>
      </c>
      <c r="G95" t="s">
        <v>35</v>
      </c>
      <c r="H95">
        <v>313.2878604</v>
      </c>
      <c r="I95">
        <v>13.77019739</v>
      </c>
      <c r="J95">
        <v>14.41245468</v>
      </c>
      <c r="K95">
        <v>5.6951677199999997</v>
      </c>
      <c r="L95">
        <v>566.54328759999999</v>
      </c>
      <c r="M95">
        <v>0.90423421599999998</v>
      </c>
      <c r="N95">
        <v>16281.623009999999</v>
      </c>
      <c r="O95" s="1" t="s">
        <v>892</v>
      </c>
      <c r="P95" t="s">
        <v>641</v>
      </c>
      <c r="Q95" t="s">
        <v>1062</v>
      </c>
      <c r="R95" t="s">
        <v>1063</v>
      </c>
      <c r="S95" t="s">
        <v>1068</v>
      </c>
      <c r="T95" s="3">
        <v>29445</v>
      </c>
      <c r="U95" s="3">
        <v>43679</v>
      </c>
      <c r="V95">
        <f>DATEDIF(T95,U95,"Y")</f>
        <v>38</v>
      </c>
      <c r="W95">
        <v>3</v>
      </c>
      <c r="X95" t="s">
        <v>1061</v>
      </c>
      <c r="Y95">
        <v>155</v>
      </c>
      <c r="Z95">
        <v>1</v>
      </c>
      <c r="AB95" t="str">
        <f t="shared" si="6"/>
        <v>TRUE</v>
      </c>
    </row>
    <row r="96" spans="1:28">
      <c r="A96" t="s">
        <v>479</v>
      </c>
      <c r="B96">
        <v>7.8034542240000002</v>
      </c>
      <c r="C96" t="s">
        <v>34</v>
      </c>
      <c r="D96">
        <v>7.6205878059999996</v>
      </c>
      <c r="E96">
        <v>121.1473034</v>
      </c>
      <c r="F96">
        <v>54.49352811</v>
      </c>
      <c r="G96">
        <v>4949.3884900000003</v>
      </c>
      <c r="H96">
        <v>110.9281584</v>
      </c>
      <c r="I96">
        <v>14.463654030000001</v>
      </c>
      <c r="J96">
        <v>16.688031120000002</v>
      </c>
      <c r="K96">
        <v>4.0278639170000003</v>
      </c>
      <c r="L96">
        <v>339.85583589999999</v>
      </c>
      <c r="M96">
        <v>1.1175890449999999</v>
      </c>
      <c r="N96">
        <v>6713.8793310000001</v>
      </c>
      <c r="O96" s="1" t="s">
        <v>893</v>
      </c>
      <c r="P96" t="s">
        <v>479</v>
      </c>
      <c r="Q96" t="s">
        <v>1062</v>
      </c>
      <c r="R96" t="s">
        <v>1063</v>
      </c>
      <c r="S96" t="s">
        <v>1068</v>
      </c>
      <c r="T96" s="3">
        <v>35211</v>
      </c>
      <c r="U96" s="3">
        <v>43683</v>
      </c>
      <c r="V96">
        <v>23</v>
      </c>
      <c r="W96">
        <v>2</v>
      </c>
      <c r="X96" t="s">
        <v>1061</v>
      </c>
      <c r="Y96" t="s">
        <v>1060</v>
      </c>
      <c r="Z96">
        <v>3</v>
      </c>
      <c r="AB96" t="str">
        <f t="shared" si="6"/>
        <v>TRUE</v>
      </c>
    </row>
    <row r="97" spans="1:28">
      <c r="A97" t="s">
        <v>743</v>
      </c>
      <c r="B97">
        <v>6.01840829</v>
      </c>
      <c r="C97" t="s">
        <v>34</v>
      </c>
      <c r="D97">
        <v>7.7233036229999996</v>
      </c>
      <c r="E97">
        <v>65.905197529999995</v>
      </c>
      <c r="F97">
        <v>68.20737029</v>
      </c>
      <c r="G97" t="s">
        <v>35</v>
      </c>
      <c r="H97">
        <v>533.67263949999995</v>
      </c>
      <c r="I97">
        <v>8.6052996000000004</v>
      </c>
      <c r="J97">
        <v>10.32312625</v>
      </c>
      <c r="K97">
        <v>4.0985164430000003</v>
      </c>
      <c r="L97">
        <v>392.42039410000001</v>
      </c>
      <c r="M97">
        <v>1.663851513</v>
      </c>
      <c r="N97">
        <v>11896.218800000001</v>
      </c>
      <c r="O97" s="1" t="s">
        <v>894</v>
      </c>
      <c r="P97" t="s">
        <v>743</v>
      </c>
      <c r="Q97" t="s">
        <v>1062</v>
      </c>
      <c r="R97" t="s">
        <v>1072</v>
      </c>
      <c r="S97" t="s">
        <v>1068</v>
      </c>
      <c r="T97" s="3">
        <v>25575</v>
      </c>
      <c r="U97" s="3">
        <v>43700</v>
      </c>
      <c r="V97">
        <f>DATEDIF(T97,U97,"Y")</f>
        <v>49</v>
      </c>
      <c r="W97">
        <v>3</v>
      </c>
      <c r="X97" t="s">
        <v>1061</v>
      </c>
      <c r="Y97">
        <v>15</v>
      </c>
      <c r="Z97">
        <v>2</v>
      </c>
      <c r="AB97" t="str">
        <f t="shared" si="6"/>
        <v>TRUE</v>
      </c>
    </row>
    <row r="98" spans="1:28">
      <c r="A98" t="s">
        <v>47</v>
      </c>
      <c r="B98">
        <v>6.3809212129999997</v>
      </c>
      <c r="C98" t="s">
        <v>34</v>
      </c>
      <c r="D98">
        <v>10.925137319999999</v>
      </c>
      <c r="E98">
        <v>145.33430989999999</v>
      </c>
      <c r="F98">
        <v>88.366982239999999</v>
      </c>
      <c r="G98" t="s">
        <v>35</v>
      </c>
      <c r="H98">
        <v>351.71305189999998</v>
      </c>
      <c r="I98">
        <v>14.512168859999999</v>
      </c>
      <c r="J98">
        <v>8.9128415160000003</v>
      </c>
      <c r="K98">
        <v>5.6645821129999998</v>
      </c>
      <c r="L98">
        <v>529.19730549999997</v>
      </c>
      <c r="M98">
        <v>0.90812328200000003</v>
      </c>
      <c r="N98">
        <v>16598.601910000001</v>
      </c>
      <c r="O98" s="1" t="s">
        <v>895</v>
      </c>
      <c r="P98" t="s">
        <v>47</v>
      </c>
      <c r="Q98" t="s">
        <v>1069</v>
      </c>
      <c r="R98" t="s">
        <v>1076</v>
      </c>
      <c r="S98" t="s">
        <v>1068</v>
      </c>
      <c r="T98" s="3">
        <v>33519</v>
      </c>
      <c r="U98" s="3">
        <v>43718</v>
      </c>
      <c r="V98">
        <f>DATEDIF(T98,U98,"Y")</f>
        <v>27</v>
      </c>
      <c r="W98">
        <v>3</v>
      </c>
      <c r="X98" t="s">
        <v>1061</v>
      </c>
      <c r="Y98">
        <v>335</v>
      </c>
      <c r="Z98">
        <v>1</v>
      </c>
      <c r="AB98" t="str">
        <f t="shared" si="6"/>
        <v>TRUE</v>
      </c>
    </row>
    <row r="99" spans="1:28">
      <c r="A99" t="s">
        <v>197</v>
      </c>
      <c r="B99" t="s">
        <v>34</v>
      </c>
      <c r="C99" t="s">
        <v>34</v>
      </c>
      <c r="D99">
        <v>5.6805820310000001</v>
      </c>
      <c r="E99" t="s">
        <v>35</v>
      </c>
      <c r="F99">
        <v>44.549775760000003</v>
      </c>
      <c r="G99">
        <v>3402.5319920000002</v>
      </c>
      <c r="H99">
        <v>141.8454644</v>
      </c>
      <c r="I99">
        <v>4.2331054750000003</v>
      </c>
      <c r="J99">
        <v>31.177785239999999</v>
      </c>
      <c r="K99">
        <v>0.432323925</v>
      </c>
      <c r="L99">
        <v>316.02022849999997</v>
      </c>
      <c r="M99">
        <v>2.023814191</v>
      </c>
      <c r="N99">
        <v>9909.2963990000007</v>
      </c>
      <c r="O99" s="1" t="s">
        <v>896</v>
      </c>
      <c r="P99" t="s">
        <v>197</v>
      </c>
      <c r="Q99" t="s">
        <v>1062</v>
      </c>
      <c r="R99" t="s">
        <v>1063</v>
      </c>
      <c r="S99" t="s">
        <v>1064</v>
      </c>
      <c r="T99" s="3">
        <v>34403</v>
      </c>
      <c r="U99" s="3">
        <v>43655</v>
      </c>
      <c r="V99">
        <v>25</v>
      </c>
      <c r="W99">
        <v>4</v>
      </c>
      <c r="X99" t="s">
        <v>1065</v>
      </c>
      <c r="Y99" t="s">
        <v>1060</v>
      </c>
      <c r="Z99">
        <v>5</v>
      </c>
      <c r="AB99" t="str">
        <f t="shared" si="6"/>
        <v>TRUE</v>
      </c>
    </row>
    <row r="100" spans="1:28">
      <c r="A100" t="s">
        <v>335</v>
      </c>
      <c r="B100">
        <v>10.74600541</v>
      </c>
      <c r="C100" t="s">
        <v>34</v>
      </c>
      <c r="D100">
        <v>13.85928322</v>
      </c>
      <c r="E100">
        <v>50.082199840000001</v>
      </c>
      <c r="F100">
        <v>50.852330760000001</v>
      </c>
      <c r="G100" t="s">
        <v>35</v>
      </c>
      <c r="H100">
        <v>170.26826819999999</v>
      </c>
      <c r="I100">
        <v>7.8270801160000003</v>
      </c>
      <c r="J100">
        <v>11.70262733</v>
      </c>
      <c r="K100">
        <v>4.1386019709999999</v>
      </c>
      <c r="L100">
        <v>246.446957</v>
      </c>
      <c r="M100">
        <v>0.79471583999999995</v>
      </c>
      <c r="N100">
        <v>8615.4960279999996</v>
      </c>
      <c r="O100" s="1" t="s">
        <v>897</v>
      </c>
      <c r="P100" t="s">
        <v>335</v>
      </c>
      <c r="Q100" t="s">
        <v>1062</v>
      </c>
      <c r="R100" t="s">
        <v>1063</v>
      </c>
      <c r="S100" t="s">
        <v>1068</v>
      </c>
      <c r="T100" s="3">
        <v>23568</v>
      </c>
      <c r="U100" s="3">
        <v>43658</v>
      </c>
      <c r="V100">
        <f>DATEDIF(T100,U100,"Y")</f>
        <v>55</v>
      </c>
      <c r="W100">
        <v>1</v>
      </c>
      <c r="X100" t="s">
        <v>1061</v>
      </c>
      <c r="Y100">
        <v>4750</v>
      </c>
      <c r="Z100">
        <v>10</v>
      </c>
      <c r="AB100" t="str">
        <f t="shared" si="6"/>
        <v>TRUE</v>
      </c>
    </row>
    <row r="101" spans="1:28">
      <c r="A101" t="s">
        <v>194</v>
      </c>
      <c r="B101">
        <v>2.9807101980000001</v>
      </c>
      <c r="C101" t="s">
        <v>34</v>
      </c>
      <c r="D101">
        <v>4.1781791139999997</v>
      </c>
      <c r="E101" t="s">
        <v>35</v>
      </c>
      <c r="F101">
        <v>37.601129589999999</v>
      </c>
      <c r="G101">
        <v>2911.4383800000001</v>
      </c>
      <c r="H101">
        <v>512.08878279999999</v>
      </c>
      <c r="I101">
        <v>4.7382931519999998</v>
      </c>
      <c r="J101">
        <v>35.723464219999997</v>
      </c>
      <c r="K101">
        <v>0.60025695099999998</v>
      </c>
      <c r="L101">
        <v>290.07758239999998</v>
      </c>
      <c r="M101">
        <v>2.7927146060000001</v>
      </c>
      <c r="N101">
        <v>9264.9227989999999</v>
      </c>
      <c r="O101" s="1" t="s">
        <v>898</v>
      </c>
      <c r="P101" t="s">
        <v>194</v>
      </c>
      <c r="Q101" t="s">
        <v>1062</v>
      </c>
      <c r="R101" t="s">
        <v>1063</v>
      </c>
      <c r="S101" t="s">
        <v>1064</v>
      </c>
      <c r="T101" s="3">
        <v>34403</v>
      </c>
      <c r="U101" s="3">
        <v>43664</v>
      </c>
      <c r="V101">
        <v>25</v>
      </c>
      <c r="W101">
        <v>5</v>
      </c>
      <c r="X101" t="s">
        <v>1065</v>
      </c>
      <c r="Y101">
        <v>312</v>
      </c>
      <c r="Z101">
        <v>3</v>
      </c>
      <c r="AB101" t="str">
        <f t="shared" si="6"/>
        <v>TRUE</v>
      </c>
    </row>
    <row r="102" spans="1:28">
      <c r="A102" t="s">
        <v>776</v>
      </c>
      <c r="B102">
        <v>6.0334510259999998</v>
      </c>
      <c r="C102" t="s">
        <v>34</v>
      </c>
      <c r="D102">
        <v>5.2233500770000001</v>
      </c>
      <c r="E102">
        <v>91.739495969999993</v>
      </c>
      <c r="F102">
        <v>61.730145239999999</v>
      </c>
      <c r="G102" t="s">
        <v>35</v>
      </c>
      <c r="H102">
        <v>156.78041820000001</v>
      </c>
      <c r="I102">
        <v>8.6619386919999997</v>
      </c>
      <c r="J102">
        <v>15.49389309</v>
      </c>
      <c r="K102">
        <v>2.0930060269999999</v>
      </c>
      <c r="L102">
        <v>534.62962400000004</v>
      </c>
      <c r="M102">
        <v>1.5976852770000001</v>
      </c>
      <c r="N102">
        <v>11249.742</v>
      </c>
      <c r="O102" s="1" t="s">
        <v>899</v>
      </c>
      <c r="P102" t="s">
        <v>776</v>
      </c>
      <c r="Q102" t="s">
        <v>1069</v>
      </c>
      <c r="R102" t="s">
        <v>1070</v>
      </c>
      <c r="S102" t="s">
        <v>1068</v>
      </c>
      <c r="T102" s="3">
        <v>22293</v>
      </c>
      <c r="U102" s="3">
        <v>43657</v>
      </c>
      <c r="V102">
        <f>DATEDIF(T102,U102,"Y")</f>
        <v>58</v>
      </c>
      <c r="W102">
        <v>1</v>
      </c>
      <c r="X102" t="s">
        <v>1065</v>
      </c>
      <c r="Y102">
        <v>1013</v>
      </c>
      <c r="Z102">
        <v>8</v>
      </c>
      <c r="AB102" t="str">
        <f t="shared" si="6"/>
        <v>TRUE</v>
      </c>
    </row>
    <row r="103" spans="1:28">
      <c r="A103" t="s">
        <v>713</v>
      </c>
      <c r="B103">
        <v>5.5065791600000003</v>
      </c>
      <c r="C103" t="s">
        <v>34</v>
      </c>
      <c r="D103">
        <v>8.3608804899999996</v>
      </c>
      <c r="E103">
        <v>122.35365760000001</v>
      </c>
      <c r="F103">
        <v>46.484935950000001</v>
      </c>
      <c r="G103" t="s">
        <v>35</v>
      </c>
      <c r="H103">
        <v>174.99245759999999</v>
      </c>
      <c r="I103">
        <v>8.2461742489999992</v>
      </c>
      <c r="J103">
        <v>14.22275424</v>
      </c>
      <c r="K103">
        <v>3.8031339200000001</v>
      </c>
      <c r="L103">
        <v>335.08028680000001</v>
      </c>
      <c r="M103">
        <v>1.0278810300000001</v>
      </c>
      <c r="N103">
        <v>13080.952219999999</v>
      </c>
      <c r="O103" s="1" t="s">
        <v>900</v>
      </c>
      <c r="P103" t="s">
        <v>713</v>
      </c>
      <c r="Q103" t="s">
        <v>1058</v>
      </c>
      <c r="R103" t="s">
        <v>1075</v>
      </c>
      <c r="S103" t="s">
        <v>1060</v>
      </c>
      <c r="T103" s="3">
        <v>34656</v>
      </c>
      <c r="U103" s="3">
        <v>43695</v>
      </c>
      <c r="V103">
        <v>24</v>
      </c>
      <c r="W103">
        <v>1</v>
      </c>
      <c r="X103" t="s">
        <v>1061</v>
      </c>
      <c r="Y103" t="s">
        <v>1060</v>
      </c>
      <c r="Z103" t="s">
        <v>1060</v>
      </c>
      <c r="AB103" t="str">
        <f t="shared" si="6"/>
        <v>TRUE</v>
      </c>
    </row>
    <row r="104" spans="1:28">
      <c r="A104" t="s">
        <v>527</v>
      </c>
      <c r="B104">
        <v>5.27010326</v>
      </c>
      <c r="C104" t="s">
        <v>34</v>
      </c>
      <c r="D104">
        <v>4.4916707999999996</v>
      </c>
      <c r="E104" t="s">
        <v>35</v>
      </c>
      <c r="F104">
        <v>48.944991280000004</v>
      </c>
      <c r="G104" t="s">
        <v>35</v>
      </c>
      <c r="H104">
        <v>257.26715259999997</v>
      </c>
      <c r="I104">
        <v>8.1570879470000008</v>
      </c>
      <c r="J104">
        <v>16.106865890000002</v>
      </c>
      <c r="K104">
        <v>2.6259516380000001</v>
      </c>
      <c r="L104">
        <v>372.77205900000001</v>
      </c>
      <c r="M104">
        <v>1.080665918</v>
      </c>
      <c r="N104">
        <v>12007.96092</v>
      </c>
      <c r="O104" s="1" t="s">
        <v>901</v>
      </c>
      <c r="P104" t="s">
        <v>527</v>
      </c>
      <c r="Q104" t="s">
        <v>1058</v>
      </c>
      <c r="R104" t="s">
        <v>1066</v>
      </c>
      <c r="S104" t="s">
        <v>1060</v>
      </c>
      <c r="T104" s="3">
        <v>34502</v>
      </c>
      <c r="U104" s="3">
        <v>43763</v>
      </c>
      <c r="V104">
        <f t="shared" ref="V104:V116" si="8">DATEDIF(T104,U104,"Y")</f>
        <v>25</v>
      </c>
      <c r="W104">
        <v>2</v>
      </c>
      <c r="X104" t="s">
        <v>1065</v>
      </c>
      <c r="Y104">
        <v>106</v>
      </c>
      <c r="Z104" t="s">
        <v>1060</v>
      </c>
      <c r="AB104" t="str">
        <f t="shared" si="6"/>
        <v>TRUE</v>
      </c>
    </row>
    <row r="105" spans="1:28">
      <c r="A105" t="s">
        <v>413</v>
      </c>
      <c r="B105">
        <v>6.0567065099999997</v>
      </c>
      <c r="C105" t="s">
        <v>34</v>
      </c>
      <c r="D105">
        <v>5.9678229270000003</v>
      </c>
      <c r="E105" t="s">
        <v>35</v>
      </c>
      <c r="F105">
        <v>67.954664370000003</v>
      </c>
      <c r="G105" t="s">
        <v>35</v>
      </c>
      <c r="H105">
        <v>175.64839520000001</v>
      </c>
      <c r="I105">
        <v>6.8844506919999997</v>
      </c>
      <c r="J105">
        <v>12.863872089999999</v>
      </c>
      <c r="K105">
        <v>3.0485240230000001</v>
      </c>
      <c r="L105">
        <v>322.12736189999998</v>
      </c>
      <c r="M105">
        <v>1.6171308929999999</v>
      </c>
      <c r="N105">
        <v>9159.0749049999995</v>
      </c>
      <c r="O105" s="1" t="s">
        <v>902</v>
      </c>
      <c r="P105" t="s">
        <v>413</v>
      </c>
      <c r="Q105" t="s">
        <v>1062</v>
      </c>
      <c r="R105" t="s">
        <v>1063</v>
      </c>
      <c r="S105" t="s">
        <v>1068</v>
      </c>
      <c r="T105" s="3">
        <v>31823</v>
      </c>
      <c r="U105" s="3">
        <v>43726</v>
      </c>
      <c r="V105">
        <f t="shared" si="8"/>
        <v>32</v>
      </c>
      <c r="W105">
        <v>3</v>
      </c>
      <c r="X105" t="s">
        <v>1065</v>
      </c>
      <c r="Y105">
        <v>15</v>
      </c>
      <c r="Z105">
        <v>0</v>
      </c>
      <c r="AB105" t="str">
        <f t="shared" si="6"/>
        <v>TRUE</v>
      </c>
    </row>
    <row r="106" spans="1:28">
      <c r="A106" t="s">
        <v>482</v>
      </c>
      <c r="B106">
        <v>3.299249407</v>
      </c>
      <c r="C106" t="s">
        <v>34</v>
      </c>
      <c r="D106">
        <v>4.2220050149999997</v>
      </c>
      <c r="E106">
        <v>199.15563969999999</v>
      </c>
      <c r="F106">
        <v>42.59403227</v>
      </c>
      <c r="G106" t="s">
        <v>35</v>
      </c>
      <c r="H106">
        <v>140.02873640000001</v>
      </c>
      <c r="I106">
        <v>7.4320604269999997</v>
      </c>
      <c r="J106">
        <v>19.143708910000001</v>
      </c>
      <c r="K106">
        <v>1.716607413</v>
      </c>
      <c r="L106">
        <v>255.58903129999999</v>
      </c>
      <c r="M106">
        <v>0.91564451499999999</v>
      </c>
      <c r="N106">
        <v>9309.8198069999999</v>
      </c>
      <c r="O106" s="1" t="s">
        <v>903</v>
      </c>
      <c r="P106" t="s">
        <v>482</v>
      </c>
      <c r="Q106" t="s">
        <v>1062</v>
      </c>
      <c r="R106" t="s">
        <v>1063</v>
      </c>
      <c r="S106" t="s">
        <v>1068</v>
      </c>
      <c r="T106" s="3">
        <v>35211</v>
      </c>
      <c r="U106" s="3">
        <v>43728</v>
      </c>
      <c r="V106">
        <f t="shared" si="8"/>
        <v>23</v>
      </c>
      <c r="W106">
        <v>2</v>
      </c>
      <c r="X106" t="s">
        <v>1061</v>
      </c>
      <c r="Y106">
        <v>64</v>
      </c>
      <c r="Z106">
        <v>2</v>
      </c>
      <c r="AB106" t="str">
        <f t="shared" si="6"/>
        <v>TRUE</v>
      </c>
    </row>
    <row r="107" spans="1:28">
      <c r="A107" t="s">
        <v>692</v>
      </c>
      <c r="B107">
        <v>3.5751751669999998</v>
      </c>
      <c r="C107" t="s">
        <v>34</v>
      </c>
      <c r="D107">
        <v>4.1129695369999997</v>
      </c>
      <c r="E107">
        <v>167.68579729999999</v>
      </c>
      <c r="F107">
        <v>50.571409760000002</v>
      </c>
      <c r="G107" t="s">
        <v>35</v>
      </c>
      <c r="H107">
        <v>168.67316270000001</v>
      </c>
      <c r="I107">
        <v>4.5185483849999999</v>
      </c>
      <c r="J107">
        <v>10.47839462</v>
      </c>
      <c r="K107">
        <v>1.2124902040000001</v>
      </c>
      <c r="L107">
        <v>267.52071769999998</v>
      </c>
      <c r="M107">
        <v>0.75865442999999999</v>
      </c>
      <c r="N107">
        <v>9781.9061590000001</v>
      </c>
      <c r="O107" s="1" t="s">
        <v>904</v>
      </c>
      <c r="P107" t="s">
        <v>692</v>
      </c>
      <c r="Q107" t="s">
        <v>1069</v>
      </c>
      <c r="R107" t="s">
        <v>1077</v>
      </c>
      <c r="S107" t="s">
        <v>1068</v>
      </c>
      <c r="T107" s="3">
        <v>25311</v>
      </c>
      <c r="U107" s="3">
        <v>43731</v>
      </c>
      <c r="V107">
        <f t="shared" si="8"/>
        <v>50</v>
      </c>
      <c r="W107">
        <v>1</v>
      </c>
      <c r="X107" t="s">
        <v>1061</v>
      </c>
      <c r="Y107">
        <v>1112</v>
      </c>
      <c r="Z107">
        <v>8</v>
      </c>
      <c r="AB107" t="str">
        <f t="shared" si="6"/>
        <v>TRUE</v>
      </c>
    </row>
    <row r="108" spans="1:28">
      <c r="A108" t="s">
        <v>143</v>
      </c>
      <c r="B108">
        <v>8.7182423960000008</v>
      </c>
      <c r="C108" t="s">
        <v>34</v>
      </c>
      <c r="D108">
        <v>6.1701237830000002</v>
      </c>
      <c r="E108">
        <v>153.24803499999999</v>
      </c>
      <c r="F108">
        <v>89.929921710000002</v>
      </c>
      <c r="G108" t="s">
        <v>35</v>
      </c>
      <c r="H108">
        <v>324.64407779999999</v>
      </c>
      <c r="I108">
        <v>13.4264762</v>
      </c>
      <c r="J108">
        <v>21.824715730000001</v>
      </c>
      <c r="K108">
        <v>3.9618690399999998</v>
      </c>
      <c r="L108">
        <v>604.79675680000003</v>
      </c>
      <c r="M108">
        <v>2.0099812269999999</v>
      </c>
      <c r="N108">
        <v>13158.774950000001</v>
      </c>
      <c r="O108" s="1" t="s">
        <v>905</v>
      </c>
      <c r="P108" t="s">
        <v>143</v>
      </c>
      <c r="Q108" t="s">
        <v>1062</v>
      </c>
      <c r="R108" t="s">
        <v>1063</v>
      </c>
      <c r="S108" t="s">
        <v>1068</v>
      </c>
      <c r="T108" s="3">
        <v>36196</v>
      </c>
      <c r="U108" s="3">
        <v>43748</v>
      </c>
      <c r="V108">
        <f t="shared" si="8"/>
        <v>20</v>
      </c>
      <c r="W108">
        <v>4</v>
      </c>
      <c r="X108" t="s">
        <v>1061</v>
      </c>
      <c r="Y108">
        <v>60</v>
      </c>
      <c r="Z108">
        <v>1</v>
      </c>
      <c r="AB108" t="str">
        <f t="shared" si="6"/>
        <v>TRUE</v>
      </c>
    </row>
    <row r="109" spans="1:28">
      <c r="A109" t="s">
        <v>71</v>
      </c>
      <c r="B109">
        <v>12.61249318</v>
      </c>
      <c r="C109" t="s">
        <v>34</v>
      </c>
      <c r="D109">
        <v>8.3539557450000004</v>
      </c>
      <c r="E109" t="s">
        <v>35</v>
      </c>
      <c r="F109">
        <v>50.027906479999999</v>
      </c>
      <c r="G109" t="s">
        <v>35</v>
      </c>
      <c r="H109">
        <v>221.24502910000001</v>
      </c>
      <c r="I109">
        <v>7.5662615110000004</v>
      </c>
      <c r="J109">
        <v>12.56705782</v>
      </c>
      <c r="K109">
        <v>2.2647783800000001</v>
      </c>
      <c r="L109">
        <v>403.7149771</v>
      </c>
      <c r="M109">
        <v>1.133741144</v>
      </c>
      <c r="N109">
        <v>13864.547640000001</v>
      </c>
      <c r="O109" s="1" t="s">
        <v>906</v>
      </c>
      <c r="P109" t="s">
        <v>71</v>
      </c>
      <c r="Q109" t="s">
        <v>1062</v>
      </c>
      <c r="R109" t="s">
        <v>1067</v>
      </c>
      <c r="S109" t="s">
        <v>1068</v>
      </c>
      <c r="T109" s="3">
        <v>23573</v>
      </c>
      <c r="U109" s="3">
        <v>43742</v>
      </c>
      <c r="V109">
        <f t="shared" si="8"/>
        <v>55</v>
      </c>
      <c r="W109">
        <v>4</v>
      </c>
      <c r="X109" t="s">
        <v>1061</v>
      </c>
      <c r="Y109">
        <v>4476</v>
      </c>
      <c r="Z109">
        <v>1</v>
      </c>
      <c r="AB109" t="str">
        <f t="shared" si="6"/>
        <v>TRUE</v>
      </c>
    </row>
    <row r="110" spans="1:28">
      <c r="A110" t="s">
        <v>272</v>
      </c>
      <c r="B110">
        <v>6.5524374390000002</v>
      </c>
      <c r="C110" t="s">
        <v>34</v>
      </c>
      <c r="D110">
        <v>7.9593239569999996</v>
      </c>
      <c r="E110">
        <v>130.56403800000001</v>
      </c>
      <c r="F110">
        <v>91.943208970000001</v>
      </c>
      <c r="G110" t="s">
        <v>35</v>
      </c>
      <c r="H110">
        <v>210.3601664</v>
      </c>
      <c r="I110">
        <v>9.4219595609999995</v>
      </c>
      <c r="J110">
        <v>16.590171779999999</v>
      </c>
      <c r="K110">
        <v>4.769904071</v>
      </c>
      <c r="L110">
        <v>457.36000339999998</v>
      </c>
      <c r="M110">
        <v>1.344781306</v>
      </c>
      <c r="N110">
        <v>11041.92517</v>
      </c>
      <c r="O110" s="1" t="s">
        <v>907</v>
      </c>
      <c r="P110" t="s">
        <v>272</v>
      </c>
      <c r="Q110" t="s">
        <v>1062</v>
      </c>
      <c r="R110" t="s">
        <v>1067</v>
      </c>
      <c r="S110" t="s">
        <v>1068</v>
      </c>
      <c r="T110" s="3">
        <v>29437</v>
      </c>
      <c r="U110" s="3">
        <v>43796</v>
      </c>
      <c r="V110">
        <f t="shared" si="8"/>
        <v>39</v>
      </c>
      <c r="W110">
        <v>4</v>
      </c>
      <c r="X110" t="s">
        <v>1061</v>
      </c>
      <c r="Y110">
        <v>98</v>
      </c>
      <c r="Z110">
        <v>0</v>
      </c>
      <c r="AB110" t="str">
        <f t="shared" si="6"/>
        <v>TRUE</v>
      </c>
    </row>
    <row r="111" spans="1:28">
      <c r="A111" t="s">
        <v>86</v>
      </c>
      <c r="B111">
        <v>8.1678988369999992</v>
      </c>
      <c r="C111" t="s">
        <v>34</v>
      </c>
      <c r="D111">
        <v>10.2862136</v>
      </c>
      <c r="E111" t="s">
        <v>35</v>
      </c>
      <c r="F111">
        <v>73.394944559999999</v>
      </c>
      <c r="G111" t="s">
        <v>35</v>
      </c>
      <c r="H111">
        <v>199.34857890000001</v>
      </c>
      <c r="I111">
        <v>5.4771290620000004</v>
      </c>
      <c r="J111">
        <v>14.960715649999999</v>
      </c>
      <c r="K111">
        <v>3.2082090540000001</v>
      </c>
      <c r="L111">
        <v>370.68023399999998</v>
      </c>
      <c r="M111">
        <v>2.608964807</v>
      </c>
      <c r="N111">
        <v>13187.659240000001</v>
      </c>
      <c r="O111" s="1" t="s">
        <v>908</v>
      </c>
      <c r="P111" t="s">
        <v>86</v>
      </c>
      <c r="Q111" t="s">
        <v>1062</v>
      </c>
      <c r="R111" t="s">
        <v>1072</v>
      </c>
      <c r="S111" t="s">
        <v>1068</v>
      </c>
      <c r="T111" s="3">
        <v>34720</v>
      </c>
      <c r="U111" s="3">
        <v>43812</v>
      </c>
      <c r="V111">
        <f t="shared" si="8"/>
        <v>24</v>
      </c>
      <c r="W111">
        <v>1</v>
      </c>
      <c r="X111" t="s">
        <v>1061</v>
      </c>
      <c r="Y111">
        <v>375</v>
      </c>
      <c r="Z111">
        <v>9</v>
      </c>
      <c r="AB111" t="str">
        <f t="shared" si="6"/>
        <v>TRUE</v>
      </c>
    </row>
    <row r="112" spans="1:28">
      <c r="A112" t="s">
        <v>422</v>
      </c>
      <c r="B112">
        <v>10.04921229</v>
      </c>
      <c r="C112" t="s">
        <v>34</v>
      </c>
      <c r="D112">
        <v>6.8459698959999997</v>
      </c>
      <c r="E112">
        <v>167.12955669999999</v>
      </c>
      <c r="F112">
        <v>77.692464689999994</v>
      </c>
      <c r="G112" t="s">
        <v>35</v>
      </c>
      <c r="H112">
        <v>306.32674680000002</v>
      </c>
      <c r="I112">
        <v>13.31834866</v>
      </c>
      <c r="J112">
        <v>13.69729472</v>
      </c>
      <c r="K112">
        <v>5.3338257579999997</v>
      </c>
      <c r="L112">
        <v>451.51709699999998</v>
      </c>
      <c r="M112">
        <v>1.160353982</v>
      </c>
      <c r="N112">
        <v>12860.5766</v>
      </c>
      <c r="O112" s="1" t="s">
        <v>909</v>
      </c>
      <c r="P112" t="s">
        <v>422</v>
      </c>
      <c r="Q112" t="s">
        <v>1058</v>
      </c>
      <c r="R112" t="s">
        <v>1066</v>
      </c>
      <c r="S112" t="s">
        <v>1060</v>
      </c>
      <c r="T112" s="3">
        <v>29236</v>
      </c>
      <c r="U112" s="3">
        <v>43763</v>
      </c>
      <c r="V112">
        <f t="shared" si="8"/>
        <v>39</v>
      </c>
      <c r="W112">
        <v>1</v>
      </c>
      <c r="X112" t="s">
        <v>1061</v>
      </c>
      <c r="Y112">
        <v>2317</v>
      </c>
      <c r="Z112" t="s">
        <v>1060</v>
      </c>
      <c r="AB112" t="str">
        <f t="shared" si="6"/>
        <v>TRUE</v>
      </c>
    </row>
    <row r="113" spans="1:28">
      <c r="A113" t="s">
        <v>566</v>
      </c>
      <c r="B113">
        <v>4.581328343</v>
      </c>
      <c r="C113" t="s">
        <v>34</v>
      </c>
      <c r="D113">
        <v>6.816257566</v>
      </c>
      <c r="E113" t="s">
        <v>35</v>
      </c>
      <c r="F113">
        <v>88.331263210000003</v>
      </c>
      <c r="G113" t="s">
        <v>35</v>
      </c>
      <c r="H113">
        <v>217.67444140000001</v>
      </c>
      <c r="I113">
        <v>7.1362069789999998</v>
      </c>
      <c r="J113">
        <v>8.9731065369999996</v>
      </c>
      <c r="K113">
        <v>2.0058326050000002</v>
      </c>
      <c r="L113">
        <v>368.87652800000001</v>
      </c>
      <c r="M113">
        <v>2.2972882929999998</v>
      </c>
      <c r="N113">
        <v>7263.6232129999999</v>
      </c>
      <c r="O113" s="1" t="s">
        <v>910</v>
      </c>
      <c r="P113" t="s">
        <v>566</v>
      </c>
      <c r="Q113" t="s">
        <v>1058</v>
      </c>
      <c r="R113" t="s">
        <v>1066</v>
      </c>
      <c r="S113" t="s">
        <v>1060</v>
      </c>
      <c r="T113" s="3">
        <v>33514</v>
      </c>
      <c r="U113" s="3">
        <v>43805</v>
      </c>
      <c r="V113">
        <f t="shared" si="8"/>
        <v>28</v>
      </c>
      <c r="W113">
        <v>1</v>
      </c>
      <c r="X113" t="s">
        <v>1061</v>
      </c>
      <c r="Y113">
        <v>874</v>
      </c>
      <c r="Z113" t="s">
        <v>1060</v>
      </c>
      <c r="AB113" t="str">
        <f t="shared" si="6"/>
        <v>TRUE</v>
      </c>
    </row>
    <row r="114" spans="1:28">
      <c r="A114" t="s">
        <v>299</v>
      </c>
      <c r="B114">
        <v>3.967712466</v>
      </c>
      <c r="C114" t="s">
        <v>34</v>
      </c>
      <c r="D114">
        <v>10.625454879999999</v>
      </c>
      <c r="E114">
        <v>178.3700422</v>
      </c>
      <c r="F114">
        <v>65.023873179999995</v>
      </c>
      <c r="G114">
        <v>3729.0262710000002</v>
      </c>
      <c r="H114">
        <v>100.9722154</v>
      </c>
      <c r="I114">
        <v>3.0076013540000002</v>
      </c>
      <c r="J114">
        <v>8.5466769819999993</v>
      </c>
      <c r="K114">
        <v>1.921948588</v>
      </c>
      <c r="L114">
        <v>257.6021811</v>
      </c>
      <c r="M114">
        <v>2.6176232060000002</v>
      </c>
      <c r="N114">
        <v>9583.9180620000006</v>
      </c>
      <c r="O114" s="1" t="s">
        <v>911</v>
      </c>
      <c r="P114" t="s">
        <v>299</v>
      </c>
      <c r="Q114" t="s">
        <v>1062</v>
      </c>
      <c r="R114" t="s">
        <v>1067</v>
      </c>
      <c r="S114" t="s">
        <v>1064</v>
      </c>
      <c r="T114" s="3">
        <v>29943</v>
      </c>
      <c r="U114" s="3">
        <v>43733</v>
      </c>
      <c r="V114">
        <f t="shared" si="8"/>
        <v>37</v>
      </c>
      <c r="W114">
        <v>3</v>
      </c>
      <c r="X114" t="s">
        <v>1061</v>
      </c>
      <c r="Y114">
        <v>11409</v>
      </c>
      <c r="Z114">
        <v>10</v>
      </c>
      <c r="AB114" t="str">
        <f t="shared" si="6"/>
        <v>TRUE</v>
      </c>
    </row>
    <row r="115" spans="1:28">
      <c r="A115" t="s">
        <v>221</v>
      </c>
      <c r="B115" t="s">
        <v>34</v>
      </c>
      <c r="C115" t="s">
        <v>34</v>
      </c>
      <c r="D115">
        <v>2.3711511440000002</v>
      </c>
      <c r="E115" t="s">
        <v>35</v>
      </c>
      <c r="F115">
        <v>35.629410810000003</v>
      </c>
      <c r="G115" t="s">
        <v>35</v>
      </c>
      <c r="H115">
        <v>114.45651169999999</v>
      </c>
      <c r="I115">
        <v>1.462456814</v>
      </c>
      <c r="J115">
        <v>23.04016987</v>
      </c>
      <c r="K115" t="s">
        <v>34</v>
      </c>
      <c r="L115">
        <v>185.02275230000001</v>
      </c>
      <c r="M115">
        <v>3.1957901660000001</v>
      </c>
      <c r="N115">
        <v>3012.421789</v>
      </c>
      <c r="O115" s="1" t="s">
        <v>912</v>
      </c>
      <c r="P115" t="s">
        <v>221</v>
      </c>
      <c r="Q115" t="s">
        <v>1069</v>
      </c>
      <c r="R115" t="s">
        <v>1078</v>
      </c>
      <c r="S115" t="s">
        <v>1064</v>
      </c>
      <c r="T115" s="3">
        <v>21300</v>
      </c>
      <c r="U115" s="3">
        <v>43741</v>
      </c>
      <c r="V115">
        <f t="shared" si="8"/>
        <v>61</v>
      </c>
      <c r="W115">
        <v>1</v>
      </c>
      <c r="X115" t="s">
        <v>1065</v>
      </c>
      <c r="Y115">
        <v>1217</v>
      </c>
      <c r="Z115">
        <v>8</v>
      </c>
      <c r="AB115" t="str">
        <f t="shared" si="6"/>
        <v>TRUE</v>
      </c>
    </row>
    <row r="116" spans="1:28">
      <c r="A116" t="s">
        <v>578</v>
      </c>
      <c r="B116">
        <v>3.6321672239999998</v>
      </c>
      <c r="C116" t="s">
        <v>34</v>
      </c>
      <c r="D116">
        <v>2.7637311480000002</v>
      </c>
      <c r="E116">
        <v>115.629119</v>
      </c>
      <c r="F116">
        <v>61.354372210000001</v>
      </c>
      <c r="G116" t="s">
        <v>35</v>
      </c>
      <c r="H116">
        <v>366.31301339999999</v>
      </c>
      <c r="I116">
        <v>4.2879239949999999</v>
      </c>
      <c r="J116">
        <v>9.7690133160000006</v>
      </c>
      <c r="K116">
        <v>1.599844984</v>
      </c>
      <c r="L116">
        <v>365.35673910000003</v>
      </c>
      <c r="M116">
        <v>0.96163869099999999</v>
      </c>
      <c r="N116">
        <v>8329.1165779999992</v>
      </c>
      <c r="O116" s="1" t="s">
        <v>913</v>
      </c>
      <c r="P116" t="s">
        <v>578</v>
      </c>
      <c r="Q116" t="s">
        <v>1062</v>
      </c>
      <c r="R116" t="s">
        <v>1067</v>
      </c>
      <c r="S116" t="s">
        <v>1068</v>
      </c>
      <c r="T116" s="3">
        <v>33760</v>
      </c>
      <c r="U116" s="3">
        <v>43815</v>
      </c>
      <c r="V116">
        <f t="shared" si="8"/>
        <v>27</v>
      </c>
      <c r="W116">
        <v>1</v>
      </c>
      <c r="X116" t="s">
        <v>1061</v>
      </c>
      <c r="Y116">
        <v>704</v>
      </c>
      <c r="Z116">
        <v>10</v>
      </c>
      <c r="AB116" t="str">
        <f t="shared" si="6"/>
        <v>TRUE</v>
      </c>
    </row>
    <row r="117" spans="1:28">
      <c r="A117" t="s">
        <v>89</v>
      </c>
      <c r="B117">
        <v>10.34369613</v>
      </c>
      <c r="C117" t="s">
        <v>34</v>
      </c>
      <c r="D117">
        <v>7.265061437</v>
      </c>
      <c r="E117" t="s">
        <v>35</v>
      </c>
      <c r="F117">
        <v>39.923532489999999</v>
      </c>
      <c r="G117" t="s">
        <v>35</v>
      </c>
      <c r="H117">
        <v>98.851710159999996</v>
      </c>
      <c r="I117">
        <v>8.1196498219999995</v>
      </c>
      <c r="J117">
        <v>23.38401636</v>
      </c>
      <c r="K117">
        <v>6.6280589320000001</v>
      </c>
      <c r="L117">
        <v>233.26960879999999</v>
      </c>
      <c r="M117">
        <v>0.87537604700000005</v>
      </c>
      <c r="N117">
        <v>11863.82123</v>
      </c>
      <c r="O117" s="1" t="s">
        <v>914</v>
      </c>
      <c r="P117" t="s">
        <v>89</v>
      </c>
      <c r="Q117" t="s">
        <v>1062</v>
      </c>
      <c r="R117" t="s">
        <v>1072</v>
      </c>
      <c r="S117" t="s">
        <v>1068</v>
      </c>
      <c r="T117" s="3">
        <v>34720</v>
      </c>
      <c r="U117" s="3">
        <v>43832</v>
      </c>
      <c r="V117">
        <v>24</v>
      </c>
      <c r="W117" s="4">
        <v>1</v>
      </c>
      <c r="X117" t="s">
        <v>1061</v>
      </c>
      <c r="Y117" t="s">
        <v>1060</v>
      </c>
      <c r="Z117">
        <v>5</v>
      </c>
      <c r="AB117" t="str">
        <f t="shared" si="6"/>
        <v>TRUE</v>
      </c>
    </row>
    <row r="118" spans="1:28">
      <c r="A118" t="s">
        <v>575</v>
      </c>
      <c r="B118">
        <v>4.8126752389999998</v>
      </c>
      <c r="C118" t="s">
        <v>34</v>
      </c>
      <c r="D118">
        <v>12.01609889</v>
      </c>
      <c r="E118">
        <v>98.654529870000005</v>
      </c>
      <c r="F118">
        <v>70.810456990000006</v>
      </c>
      <c r="G118">
        <v>4922.718108</v>
      </c>
      <c r="H118">
        <v>306.02505689999998</v>
      </c>
      <c r="I118">
        <v>7.60172559</v>
      </c>
      <c r="J118">
        <v>27.407950830000001</v>
      </c>
      <c r="K118">
        <v>4.3921099420000003</v>
      </c>
      <c r="L118">
        <v>442.61094910000003</v>
      </c>
      <c r="M118">
        <v>0.89319639200000001</v>
      </c>
      <c r="N118">
        <v>12974.044099999999</v>
      </c>
      <c r="O118" s="1" t="s">
        <v>915</v>
      </c>
      <c r="P118" t="s">
        <v>575</v>
      </c>
      <c r="Q118" t="s">
        <v>1062</v>
      </c>
      <c r="R118" t="s">
        <v>1067</v>
      </c>
      <c r="S118" t="s">
        <v>1068</v>
      </c>
      <c r="T118" s="3">
        <v>33760</v>
      </c>
      <c r="U118" s="3">
        <v>43830</v>
      </c>
      <c r="V118">
        <f t="shared" ref="V118:V125" si="9">DATEDIF(T118,U118,"Y")</f>
        <v>27</v>
      </c>
      <c r="W118">
        <v>2</v>
      </c>
      <c r="X118" t="s">
        <v>1061</v>
      </c>
      <c r="Y118">
        <v>129</v>
      </c>
      <c r="Z118">
        <v>0</v>
      </c>
      <c r="AB118" t="str">
        <f t="shared" si="6"/>
        <v>TRUE</v>
      </c>
    </row>
    <row r="119" spans="1:28">
      <c r="A119" t="s">
        <v>308</v>
      </c>
      <c r="B119">
        <v>2.5376499269999999</v>
      </c>
      <c r="C119" t="s">
        <v>34</v>
      </c>
      <c r="D119">
        <v>4.8456521820000003</v>
      </c>
      <c r="E119" t="s">
        <v>35</v>
      </c>
      <c r="F119">
        <v>75.612575320000005</v>
      </c>
      <c r="G119" t="s">
        <v>35</v>
      </c>
      <c r="H119">
        <v>141.69338759999999</v>
      </c>
      <c r="I119">
        <v>4.1529103559999996</v>
      </c>
      <c r="J119">
        <v>16.73520748</v>
      </c>
      <c r="K119">
        <v>0.45454037800000002</v>
      </c>
      <c r="L119">
        <v>479.89391970000003</v>
      </c>
      <c r="M119">
        <v>2.1406946520000001</v>
      </c>
      <c r="N119">
        <v>7620.1097380000001</v>
      </c>
      <c r="O119" s="1" t="s">
        <v>916</v>
      </c>
      <c r="P119" t="s">
        <v>308</v>
      </c>
      <c r="Q119" t="s">
        <v>1062</v>
      </c>
      <c r="R119" t="s">
        <v>1063</v>
      </c>
      <c r="S119" t="s">
        <v>1064</v>
      </c>
      <c r="T119" s="3">
        <v>23236</v>
      </c>
      <c r="U119" s="3">
        <v>43866</v>
      </c>
      <c r="V119">
        <f t="shared" si="9"/>
        <v>56</v>
      </c>
      <c r="W119">
        <v>1</v>
      </c>
      <c r="X119" t="s">
        <v>1061</v>
      </c>
      <c r="Y119">
        <v>1854</v>
      </c>
      <c r="Z119">
        <v>14</v>
      </c>
      <c r="AB119" t="str">
        <f t="shared" si="6"/>
        <v>TRUE</v>
      </c>
    </row>
    <row r="120" spans="1:28">
      <c r="A120" t="s">
        <v>728</v>
      </c>
      <c r="B120">
        <v>3.6282268150000001</v>
      </c>
      <c r="C120" t="s">
        <v>34</v>
      </c>
      <c r="D120">
        <v>5.8835621079999996</v>
      </c>
      <c r="E120">
        <v>111.2121446</v>
      </c>
      <c r="F120">
        <v>47.634423130000002</v>
      </c>
      <c r="G120" t="s">
        <v>35</v>
      </c>
      <c r="H120">
        <v>281.16089490000002</v>
      </c>
      <c r="I120">
        <v>5.5812027239999997</v>
      </c>
      <c r="J120">
        <v>11.83672258</v>
      </c>
      <c r="K120">
        <v>1.608218353</v>
      </c>
      <c r="L120">
        <v>329.32369549999999</v>
      </c>
      <c r="M120">
        <v>0.82179375899999996</v>
      </c>
      <c r="N120">
        <v>11208.500700000001</v>
      </c>
      <c r="O120" s="1" t="s">
        <v>917</v>
      </c>
      <c r="P120" t="s">
        <v>728</v>
      </c>
      <c r="Q120" t="s">
        <v>1069</v>
      </c>
      <c r="R120" t="s">
        <v>1070</v>
      </c>
      <c r="S120" t="s">
        <v>1068</v>
      </c>
      <c r="T120" s="3">
        <v>33242</v>
      </c>
      <c r="U120" s="3">
        <v>43878</v>
      </c>
      <c r="V120">
        <f t="shared" si="9"/>
        <v>29</v>
      </c>
      <c r="W120">
        <v>1</v>
      </c>
      <c r="X120" t="s">
        <v>1061</v>
      </c>
      <c r="Y120">
        <v>148</v>
      </c>
      <c r="Z120">
        <v>9</v>
      </c>
      <c r="AB120" t="str">
        <f t="shared" si="6"/>
        <v>TRUE</v>
      </c>
    </row>
    <row r="121" spans="1:28">
      <c r="A121" t="s">
        <v>311</v>
      </c>
      <c r="B121">
        <v>9.061825207</v>
      </c>
      <c r="C121" t="s">
        <v>34</v>
      </c>
      <c r="D121">
        <v>13.57067105</v>
      </c>
      <c r="E121">
        <v>86.705597549999993</v>
      </c>
      <c r="F121">
        <v>67.273552719999998</v>
      </c>
      <c r="G121" t="s">
        <v>35</v>
      </c>
      <c r="H121">
        <v>283.10859729999999</v>
      </c>
      <c r="I121">
        <v>6.944564261</v>
      </c>
      <c r="J121">
        <v>21.39460115</v>
      </c>
      <c r="K121">
        <v>3.609184087</v>
      </c>
      <c r="L121">
        <v>477.47471539999998</v>
      </c>
      <c r="M121">
        <v>1.2007259539999999</v>
      </c>
      <c r="N121">
        <v>12460.21019</v>
      </c>
      <c r="O121" s="1" t="s">
        <v>918</v>
      </c>
      <c r="P121" t="s">
        <v>311</v>
      </c>
      <c r="Q121" t="s">
        <v>1062</v>
      </c>
      <c r="R121" t="s">
        <v>1063</v>
      </c>
      <c r="S121" t="s">
        <v>1064</v>
      </c>
      <c r="T121" s="3">
        <v>23236</v>
      </c>
      <c r="U121" s="3">
        <v>43905</v>
      </c>
      <c r="V121">
        <f t="shared" si="9"/>
        <v>56</v>
      </c>
      <c r="W121">
        <v>2</v>
      </c>
      <c r="X121" t="s">
        <v>1061</v>
      </c>
      <c r="Y121">
        <v>373</v>
      </c>
      <c r="Z121">
        <v>4</v>
      </c>
      <c r="AB121" t="str">
        <f t="shared" si="6"/>
        <v>TRUE</v>
      </c>
    </row>
    <row r="122" spans="1:28">
      <c r="A122" t="s">
        <v>83</v>
      </c>
      <c r="B122">
        <v>11.7557814</v>
      </c>
      <c r="C122" t="s">
        <v>34</v>
      </c>
      <c r="D122">
        <v>13.0496187</v>
      </c>
      <c r="E122" t="s">
        <v>35</v>
      </c>
      <c r="F122">
        <v>59.70289416</v>
      </c>
      <c r="G122" t="s">
        <v>35</v>
      </c>
      <c r="H122">
        <v>186.6097173</v>
      </c>
      <c r="I122">
        <v>6.9722239149999998</v>
      </c>
      <c r="J122">
        <v>16.289696750000001</v>
      </c>
      <c r="K122">
        <v>5.7916412639999999</v>
      </c>
      <c r="L122">
        <v>371.77504709999999</v>
      </c>
      <c r="M122">
        <v>1.3394880499999999</v>
      </c>
      <c r="N122">
        <v>13983.06358</v>
      </c>
      <c r="O122" s="1" t="s">
        <v>919</v>
      </c>
      <c r="P122" t="s">
        <v>83</v>
      </c>
      <c r="Q122" t="s">
        <v>1062</v>
      </c>
      <c r="R122" t="s">
        <v>1072</v>
      </c>
      <c r="S122" t="s">
        <v>1068</v>
      </c>
      <c r="T122" s="3">
        <v>34720</v>
      </c>
      <c r="U122" s="3">
        <v>43903</v>
      </c>
      <c r="V122">
        <f t="shared" si="9"/>
        <v>25</v>
      </c>
      <c r="W122">
        <v>2</v>
      </c>
      <c r="X122" t="s">
        <v>1061</v>
      </c>
      <c r="Y122">
        <v>172</v>
      </c>
      <c r="Z122">
        <v>0</v>
      </c>
      <c r="AB122" t="str">
        <f t="shared" si="6"/>
        <v>TRUE</v>
      </c>
    </row>
    <row r="123" spans="1:28">
      <c r="A123" t="s">
        <v>302</v>
      </c>
      <c r="B123">
        <v>3.1060632830000001</v>
      </c>
      <c r="C123" t="s">
        <v>34</v>
      </c>
      <c r="D123">
        <v>5.1743322950000001</v>
      </c>
      <c r="E123" t="s">
        <v>35</v>
      </c>
      <c r="F123">
        <v>71.701552530000001</v>
      </c>
      <c r="G123" t="s">
        <v>35</v>
      </c>
      <c r="H123">
        <v>70.76357668</v>
      </c>
      <c r="I123">
        <v>5.6841255210000003</v>
      </c>
      <c r="J123">
        <v>13.05054041</v>
      </c>
      <c r="K123">
        <v>0.71136655599999998</v>
      </c>
      <c r="L123">
        <v>400.15812920000002</v>
      </c>
      <c r="M123">
        <v>2.4123099570000002</v>
      </c>
      <c r="N123">
        <v>5673.8427259999999</v>
      </c>
      <c r="O123" s="1" t="s">
        <v>920</v>
      </c>
      <c r="P123" t="s">
        <v>302</v>
      </c>
      <c r="Q123" t="s">
        <v>1062</v>
      </c>
      <c r="R123" t="s">
        <v>1063</v>
      </c>
      <c r="S123" t="s">
        <v>1064</v>
      </c>
      <c r="T123" s="3">
        <v>30355</v>
      </c>
      <c r="U123" s="3">
        <v>43854</v>
      </c>
      <c r="V123">
        <f t="shared" si="9"/>
        <v>36</v>
      </c>
      <c r="W123">
        <v>1</v>
      </c>
      <c r="X123" t="s">
        <v>1065</v>
      </c>
      <c r="Y123">
        <v>2375</v>
      </c>
      <c r="Z123">
        <v>14</v>
      </c>
      <c r="AB123" t="str">
        <f t="shared" si="6"/>
        <v>TRUE</v>
      </c>
    </row>
    <row r="124" spans="1:28">
      <c r="A124" t="s">
        <v>167</v>
      </c>
      <c r="B124">
        <v>5.0798412900000001</v>
      </c>
      <c r="C124" t="s">
        <v>34</v>
      </c>
      <c r="D124">
        <v>6.1940228959999999</v>
      </c>
      <c r="E124" t="s">
        <v>35</v>
      </c>
      <c r="F124">
        <v>46.604346219999996</v>
      </c>
      <c r="G124">
        <v>3416.4522889999998</v>
      </c>
      <c r="H124">
        <v>185.91256609999999</v>
      </c>
      <c r="I124">
        <v>6.7040769969999996</v>
      </c>
      <c r="J124">
        <v>41.357934200000003</v>
      </c>
      <c r="K124">
        <v>2.1998284460000002</v>
      </c>
      <c r="L124">
        <v>319.75176010000001</v>
      </c>
      <c r="M124">
        <v>1.1132135400000001</v>
      </c>
      <c r="N124">
        <v>10064.505569999999</v>
      </c>
      <c r="O124" s="1" t="s">
        <v>921</v>
      </c>
      <c r="P124" t="s">
        <v>167</v>
      </c>
      <c r="Q124" t="s">
        <v>1069</v>
      </c>
      <c r="R124" t="s">
        <v>1077</v>
      </c>
      <c r="S124" t="s">
        <v>1068</v>
      </c>
      <c r="T124" s="3">
        <v>34130</v>
      </c>
      <c r="U124" s="3">
        <v>43854</v>
      </c>
      <c r="V124">
        <f t="shared" si="9"/>
        <v>26</v>
      </c>
      <c r="W124">
        <v>1</v>
      </c>
      <c r="X124" t="s">
        <v>1065</v>
      </c>
      <c r="Y124">
        <v>647</v>
      </c>
      <c r="Z124">
        <v>4</v>
      </c>
      <c r="AB124" t="str">
        <f t="shared" si="6"/>
        <v>TRUE</v>
      </c>
    </row>
    <row r="125" spans="1:28">
      <c r="A125" t="s">
        <v>209</v>
      </c>
      <c r="B125">
        <v>4.5079948989999998</v>
      </c>
      <c r="C125" t="s">
        <v>34</v>
      </c>
      <c r="D125">
        <v>6.0148937739999999</v>
      </c>
      <c r="E125" t="s">
        <v>35</v>
      </c>
      <c r="F125">
        <v>74.676024060000003</v>
      </c>
      <c r="G125" t="s">
        <v>35</v>
      </c>
      <c r="H125">
        <v>530.6888798</v>
      </c>
      <c r="I125">
        <v>8.0448144339999992</v>
      </c>
      <c r="J125">
        <v>15.77501859</v>
      </c>
      <c r="K125">
        <v>2.8349894959999999</v>
      </c>
      <c r="L125">
        <v>388.1016975</v>
      </c>
      <c r="M125">
        <v>1.6551603210000001</v>
      </c>
      <c r="N125">
        <v>9511.9629349999996</v>
      </c>
      <c r="O125" s="1" t="s">
        <v>922</v>
      </c>
      <c r="P125" t="s">
        <v>209</v>
      </c>
      <c r="Q125" t="s">
        <v>1062</v>
      </c>
      <c r="R125" t="s">
        <v>1067</v>
      </c>
      <c r="S125" t="s">
        <v>1068</v>
      </c>
      <c r="T125" s="3">
        <v>25518</v>
      </c>
      <c r="U125" s="3">
        <v>43864</v>
      </c>
      <c r="V125">
        <f t="shared" si="9"/>
        <v>50</v>
      </c>
      <c r="W125">
        <v>1</v>
      </c>
      <c r="X125" t="s">
        <v>1065</v>
      </c>
      <c r="Y125">
        <v>1982</v>
      </c>
      <c r="Z125">
        <v>10</v>
      </c>
      <c r="AB125" t="str">
        <f t="shared" si="6"/>
        <v>TRUE</v>
      </c>
    </row>
    <row r="126" spans="1:28">
      <c r="A126" t="s">
        <v>440</v>
      </c>
      <c r="B126">
        <v>4.8266032719999998</v>
      </c>
      <c r="C126" t="s">
        <v>34</v>
      </c>
      <c r="D126">
        <v>4.9143968950000003</v>
      </c>
      <c r="E126" t="s">
        <v>35</v>
      </c>
      <c r="F126">
        <v>88.02809456</v>
      </c>
      <c r="G126" t="s">
        <v>35</v>
      </c>
      <c r="H126">
        <v>344.17620470000003</v>
      </c>
      <c r="I126">
        <v>6.4246062049999999</v>
      </c>
      <c r="J126">
        <v>16.640462509999999</v>
      </c>
      <c r="K126">
        <v>1.113383561</v>
      </c>
      <c r="L126">
        <v>537.82952920000002</v>
      </c>
      <c r="M126">
        <v>1.2178912079999999</v>
      </c>
      <c r="N126">
        <v>10345.795040000001</v>
      </c>
      <c r="O126" s="1" t="s">
        <v>923</v>
      </c>
      <c r="P126" t="s">
        <v>440</v>
      </c>
      <c r="Q126" t="s">
        <v>1069</v>
      </c>
      <c r="R126" t="s">
        <v>1076</v>
      </c>
      <c r="S126" t="s">
        <v>1064</v>
      </c>
      <c r="T126" s="3">
        <v>34219</v>
      </c>
      <c r="U126" s="3">
        <v>43890</v>
      </c>
      <c r="V126">
        <v>26</v>
      </c>
      <c r="W126" s="4">
        <v>1</v>
      </c>
      <c r="X126" t="s">
        <v>1065</v>
      </c>
      <c r="Y126" t="s">
        <v>1060</v>
      </c>
      <c r="Z126">
        <v>11</v>
      </c>
      <c r="AB126" t="str">
        <f t="shared" si="6"/>
        <v>TRUE</v>
      </c>
    </row>
    <row r="127" spans="1:28">
      <c r="A127" t="s">
        <v>206</v>
      </c>
      <c r="B127">
        <v>4.0232422720000001</v>
      </c>
      <c r="C127" t="s">
        <v>34</v>
      </c>
      <c r="D127">
        <v>4.2032156580000004</v>
      </c>
      <c r="E127" t="s">
        <v>35</v>
      </c>
      <c r="F127">
        <v>70.906929300000002</v>
      </c>
      <c r="G127" t="s">
        <v>35</v>
      </c>
      <c r="H127">
        <v>153.94163219999999</v>
      </c>
      <c r="I127">
        <v>6.1676982479999998</v>
      </c>
      <c r="J127">
        <v>20.14671967</v>
      </c>
      <c r="K127">
        <v>2.1735894980000001</v>
      </c>
      <c r="L127">
        <v>365.2852934</v>
      </c>
      <c r="M127">
        <v>1.4398923379999999</v>
      </c>
      <c r="N127">
        <v>11916.97322</v>
      </c>
      <c r="O127" s="1" t="s">
        <v>924</v>
      </c>
      <c r="P127" t="s">
        <v>206</v>
      </c>
      <c r="Q127" t="s">
        <v>1062</v>
      </c>
      <c r="R127" t="s">
        <v>1067</v>
      </c>
      <c r="S127" t="s">
        <v>1068</v>
      </c>
      <c r="T127" s="3">
        <v>25518</v>
      </c>
      <c r="U127" s="3">
        <v>43916</v>
      </c>
      <c r="V127">
        <f t="shared" ref="V127:V168" si="10">DATEDIF(T127,U127,"Y")</f>
        <v>50</v>
      </c>
      <c r="W127">
        <v>2</v>
      </c>
      <c r="X127" t="s">
        <v>1065</v>
      </c>
      <c r="Y127">
        <v>178</v>
      </c>
      <c r="Z127">
        <v>0</v>
      </c>
      <c r="AB127" t="str">
        <f t="shared" si="6"/>
        <v>TRUE</v>
      </c>
    </row>
    <row r="128" spans="1:28">
      <c r="A128" t="s">
        <v>419</v>
      </c>
      <c r="B128">
        <v>17.358399689999999</v>
      </c>
      <c r="C128" t="s">
        <v>34</v>
      </c>
      <c r="D128">
        <v>9.0286746269999991</v>
      </c>
      <c r="E128">
        <v>152.91307019999999</v>
      </c>
      <c r="F128">
        <v>46.943940660000003</v>
      </c>
      <c r="G128" t="s">
        <v>35</v>
      </c>
      <c r="H128">
        <v>215.43554610000001</v>
      </c>
      <c r="I128">
        <v>10.58252925</v>
      </c>
      <c r="J128">
        <v>11.785159800000001</v>
      </c>
      <c r="K128">
        <v>5.2757676460000003</v>
      </c>
      <c r="L128">
        <v>285.0687997</v>
      </c>
      <c r="M128">
        <v>0.86435703399999997</v>
      </c>
      <c r="N128">
        <v>14597.6548</v>
      </c>
      <c r="O128" s="1" t="s">
        <v>925</v>
      </c>
      <c r="P128" t="s">
        <v>419</v>
      </c>
      <c r="Q128" t="s">
        <v>1058</v>
      </c>
      <c r="R128" t="s">
        <v>1066</v>
      </c>
      <c r="S128" t="s">
        <v>1060</v>
      </c>
      <c r="T128" s="3">
        <v>29236</v>
      </c>
      <c r="U128" s="3">
        <v>43868</v>
      </c>
      <c r="V128">
        <f t="shared" si="10"/>
        <v>40</v>
      </c>
      <c r="W128">
        <v>2</v>
      </c>
      <c r="X128" t="s">
        <v>1061</v>
      </c>
      <c r="Y128">
        <v>37</v>
      </c>
      <c r="Z128" t="s">
        <v>1060</v>
      </c>
      <c r="AB128" t="str">
        <f t="shared" si="6"/>
        <v>TRUE</v>
      </c>
    </row>
    <row r="129" spans="1:28">
      <c r="A129" t="s">
        <v>377</v>
      </c>
      <c r="B129">
        <v>7.5655957860000003</v>
      </c>
      <c r="C129" t="s">
        <v>34</v>
      </c>
      <c r="D129">
        <v>8.9238363920000001</v>
      </c>
      <c r="E129" t="s">
        <v>35</v>
      </c>
      <c r="F129">
        <v>76.129301380000001</v>
      </c>
      <c r="G129" t="s">
        <v>35</v>
      </c>
      <c r="H129">
        <v>336.38857209999998</v>
      </c>
      <c r="I129">
        <v>7.1089071099999996</v>
      </c>
      <c r="J129">
        <v>11.292208540000001</v>
      </c>
      <c r="K129">
        <v>4.1474253489999997</v>
      </c>
      <c r="L129">
        <v>504.439347</v>
      </c>
      <c r="M129">
        <v>1.1461782819999999</v>
      </c>
      <c r="N129">
        <v>9791.5241850000002</v>
      </c>
      <c r="O129" s="1" t="s">
        <v>926</v>
      </c>
      <c r="P129" t="s">
        <v>377</v>
      </c>
      <c r="Q129" t="s">
        <v>1062</v>
      </c>
      <c r="R129" t="s">
        <v>1072</v>
      </c>
      <c r="S129" t="s">
        <v>1068</v>
      </c>
      <c r="T129" s="3">
        <v>21477</v>
      </c>
      <c r="U129" s="3">
        <v>44042</v>
      </c>
      <c r="V129">
        <f t="shared" si="10"/>
        <v>61</v>
      </c>
      <c r="W129">
        <v>1</v>
      </c>
      <c r="X129" t="s">
        <v>1061</v>
      </c>
      <c r="Y129">
        <v>394</v>
      </c>
      <c r="Z129">
        <v>6</v>
      </c>
      <c r="AB129" t="str">
        <f t="shared" si="6"/>
        <v>TRUE</v>
      </c>
    </row>
    <row r="130" spans="1:28">
      <c r="A130" t="s">
        <v>671</v>
      </c>
      <c r="B130">
        <v>7.2989009569999999</v>
      </c>
      <c r="C130" t="s">
        <v>34</v>
      </c>
      <c r="D130">
        <v>6.9665412</v>
      </c>
      <c r="E130" t="s">
        <v>35</v>
      </c>
      <c r="F130">
        <v>87.374632120000001</v>
      </c>
      <c r="G130" t="s">
        <v>35</v>
      </c>
      <c r="H130">
        <v>228.9332173</v>
      </c>
      <c r="I130">
        <v>6.3477424019999997</v>
      </c>
      <c r="J130">
        <v>15.48308712</v>
      </c>
      <c r="K130">
        <v>1.515285558</v>
      </c>
      <c r="L130">
        <v>498.01884050000001</v>
      </c>
      <c r="M130">
        <v>2.6961709190000001</v>
      </c>
      <c r="N130">
        <v>11992.906999999999</v>
      </c>
      <c r="O130" s="1" t="s">
        <v>927</v>
      </c>
      <c r="P130" t="s">
        <v>671</v>
      </c>
      <c r="Q130" t="s">
        <v>1062</v>
      </c>
      <c r="R130" t="s">
        <v>1067</v>
      </c>
      <c r="S130" t="s">
        <v>1068</v>
      </c>
      <c r="T130" s="3">
        <v>36030</v>
      </c>
      <c r="U130" s="3">
        <v>44054</v>
      </c>
      <c r="V130">
        <f t="shared" si="10"/>
        <v>21</v>
      </c>
      <c r="W130">
        <v>1</v>
      </c>
      <c r="X130" t="s">
        <v>1061</v>
      </c>
      <c r="Y130">
        <v>2208</v>
      </c>
      <c r="Z130">
        <v>5</v>
      </c>
      <c r="AB130" t="str">
        <f t="shared" si="6"/>
        <v>TRUE</v>
      </c>
    </row>
    <row r="131" spans="1:28">
      <c r="A131" t="s">
        <v>305</v>
      </c>
      <c r="B131">
        <v>6.3481855969999996</v>
      </c>
      <c r="C131" t="s">
        <v>34</v>
      </c>
      <c r="D131">
        <v>8.6182027730000001</v>
      </c>
      <c r="E131">
        <v>167.73988320000001</v>
      </c>
      <c r="F131">
        <v>156.63878199999999</v>
      </c>
      <c r="G131">
        <v>4987.172646</v>
      </c>
      <c r="H131">
        <v>196.509942</v>
      </c>
      <c r="I131">
        <v>13.40278451</v>
      </c>
      <c r="J131">
        <v>12.832073380000001</v>
      </c>
      <c r="K131">
        <v>1.5104653299999999</v>
      </c>
      <c r="L131" t="s">
        <v>35</v>
      </c>
      <c r="M131">
        <v>3.581689414</v>
      </c>
      <c r="N131">
        <v>6538.754207</v>
      </c>
      <c r="O131" s="1" t="s">
        <v>928</v>
      </c>
      <c r="P131" t="s">
        <v>305</v>
      </c>
      <c r="Q131" t="s">
        <v>1062</v>
      </c>
      <c r="R131" t="s">
        <v>1063</v>
      </c>
      <c r="S131" t="s">
        <v>1064</v>
      </c>
      <c r="T131" s="3">
        <v>30355</v>
      </c>
      <c r="U131" s="3">
        <v>43978</v>
      </c>
      <c r="V131">
        <f t="shared" si="10"/>
        <v>37</v>
      </c>
      <c r="W131">
        <v>2</v>
      </c>
      <c r="X131" t="s">
        <v>1065</v>
      </c>
      <c r="Y131">
        <v>3372</v>
      </c>
      <c r="Z131">
        <v>13</v>
      </c>
      <c r="AB131" t="str">
        <f t="shared" si="6"/>
        <v>TRUE</v>
      </c>
    </row>
    <row r="132" spans="1:28">
      <c r="A132" t="s">
        <v>104</v>
      </c>
      <c r="B132">
        <v>3.9111218390000002</v>
      </c>
      <c r="C132" t="s">
        <v>34</v>
      </c>
      <c r="D132">
        <v>5.8372755859999996</v>
      </c>
      <c r="E132">
        <v>106.24623560000001</v>
      </c>
      <c r="F132">
        <v>69.120086139999998</v>
      </c>
      <c r="G132" t="s">
        <v>35</v>
      </c>
      <c r="H132">
        <v>324.25639089999999</v>
      </c>
      <c r="I132">
        <v>8.3958002399999998</v>
      </c>
      <c r="J132">
        <v>12.668541469999999</v>
      </c>
      <c r="K132">
        <v>2.0491103329999998</v>
      </c>
      <c r="L132">
        <v>488.17209810000003</v>
      </c>
      <c r="M132">
        <v>1.4942389190000001</v>
      </c>
      <c r="N132">
        <v>8622.3780160000006</v>
      </c>
      <c r="O132" s="1" t="s">
        <v>929</v>
      </c>
      <c r="P132" t="s">
        <v>104</v>
      </c>
      <c r="Q132" t="s">
        <v>1069</v>
      </c>
      <c r="R132" t="s">
        <v>1073</v>
      </c>
      <c r="S132" t="s">
        <v>1064</v>
      </c>
      <c r="T132" s="3">
        <v>32221</v>
      </c>
      <c r="U132" s="3">
        <v>44063</v>
      </c>
      <c r="V132">
        <f t="shared" si="10"/>
        <v>32</v>
      </c>
      <c r="W132">
        <v>1</v>
      </c>
      <c r="X132" t="s">
        <v>1061</v>
      </c>
      <c r="Y132">
        <v>700</v>
      </c>
      <c r="Z132">
        <v>4</v>
      </c>
      <c r="AB132" t="str">
        <f t="shared" ref="AB132:AB195" si="11">IF(P132=A132, "TRUE", "FALSE")</f>
        <v>TRUE</v>
      </c>
    </row>
    <row r="133" spans="1:28">
      <c r="A133" t="s">
        <v>380</v>
      </c>
      <c r="B133">
        <v>3.8383564350000001</v>
      </c>
      <c r="C133" t="s">
        <v>34</v>
      </c>
      <c r="D133">
        <v>5.6939093339999998</v>
      </c>
      <c r="E133">
        <v>121.038584</v>
      </c>
      <c r="F133">
        <v>63.867926099999998</v>
      </c>
      <c r="G133" t="s">
        <v>35</v>
      </c>
      <c r="H133">
        <v>155.81884400000001</v>
      </c>
      <c r="I133">
        <v>7.724625477</v>
      </c>
      <c r="J133">
        <v>9.7015846109999995</v>
      </c>
      <c r="K133">
        <v>2.8881256120000001</v>
      </c>
      <c r="L133">
        <v>351.90053810000001</v>
      </c>
      <c r="M133">
        <v>0.79490716800000005</v>
      </c>
      <c r="N133">
        <v>11606.48977</v>
      </c>
      <c r="O133" s="1" t="s">
        <v>930</v>
      </c>
      <c r="P133" t="s">
        <v>380</v>
      </c>
      <c r="Q133" t="s">
        <v>1058</v>
      </c>
      <c r="R133" t="s">
        <v>1066</v>
      </c>
      <c r="S133" t="s">
        <v>1060</v>
      </c>
      <c r="T133" s="3">
        <v>34492</v>
      </c>
      <c r="U133" s="3">
        <v>44084</v>
      </c>
      <c r="V133">
        <f t="shared" si="10"/>
        <v>26</v>
      </c>
      <c r="W133">
        <v>1</v>
      </c>
      <c r="X133" t="s">
        <v>1061</v>
      </c>
      <c r="Y133">
        <v>1928</v>
      </c>
      <c r="Z133" t="s">
        <v>1060</v>
      </c>
      <c r="AB133" t="str">
        <f t="shared" si="11"/>
        <v>TRUE</v>
      </c>
    </row>
    <row r="134" spans="1:28">
      <c r="A134" t="s">
        <v>710</v>
      </c>
      <c r="B134">
        <v>20.25235223</v>
      </c>
      <c r="C134">
        <v>4.6989716960000001</v>
      </c>
      <c r="D134">
        <v>7.8342237790000002</v>
      </c>
      <c r="E134">
        <v>192.8013311</v>
      </c>
      <c r="F134">
        <v>112.26346529999999</v>
      </c>
      <c r="G134" t="s">
        <v>35</v>
      </c>
      <c r="H134">
        <v>383.42229950000001</v>
      </c>
      <c r="I134">
        <v>9.5777517860000003</v>
      </c>
      <c r="J134">
        <v>10.93338994</v>
      </c>
      <c r="K134">
        <v>5.291087965</v>
      </c>
      <c r="L134">
        <v>379.03057940000002</v>
      </c>
      <c r="M134">
        <v>1.2481739460000001</v>
      </c>
      <c r="N134">
        <v>8719.3702269999994</v>
      </c>
      <c r="O134" s="1" t="s">
        <v>931</v>
      </c>
      <c r="P134" t="s">
        <v>710</v>
      </c>
      <c r="Q134" t="s">
        <v>1062</v>
      </c>
      <c r="R134" t="s">
        <v>1072</v>
      </c>
      <c r="S134" t="s">
        <v>1068</v>
      </c>
      <c r="T134" s="3">
        <v>33194</v>
      </c>
      <c r="U134" s="3">
        <v>44084</v>
      </c>
      <c r="V134">
        <f t="shared" si="10"/>
        <v>29</v>
      </c>
      <c r="W134">
        <v>1</v>
      </c>
      <c r="X134" t="s">
        <v>1065</v>
      </c>
      <c r="Y134">
        <v>6689</v>
      </c>
      <c r="Z134">
        <v>4</v>
      </c>
      <c r="AB134" t="str">
        <f t="shared" si="11"/>
        <v>TRUE</v>
      </c>
    </row>
    <row r="135" spans="1:28">
      <c r="A135" t="s">
        <v>437</v>
      </c>
      <c r="B135">
        <v>5.1507225410000004</v>
      </c>
      <c r="C135" t="s">
        <v>34</v>
      </c>
      <c r="D135">
        <v>8.7257142200000004</v>
      </c>
      <c r="E135" t="s">
        <v>35</v>
      </c>
      <c r="F135">
        <v>83.256509570000006</v>
      </c>
      <c r="G135" t="s">
        <v>35</v>
      </c>
      <c r="H135">
        <v>522.23655670000005</v>
      </c>
      <c r="I135">
        <v>9.6909381729999993</v>
      </c>
      <c r="J135">
        <v>11.94245029</v>
      </c>
      <c r="K135">
        <v>2.736531024</v>
      </c>
      <c r="L135">
        <v>559.82221979999997</v>
      </c>
      <c r="M135">
        <v>1.131149366</v>
      </c>
      <c r="N135">
        <v>11219.306759999999</v>
      </c>
      <c r="O135" s="1" t="s">
        <v>932</v>
      </c>
      <c r="P135" t="s">
        <v>437</v>
      </c>
      <c r="Q135" t="s">
        <v>1069</v>
      </c>
      <c r="R135" t="s">
        <v>1076</v>
      </c>
      <c r="S135" t="s">
        <v>1064</v>
      </c>
      <c r="T135" s="3">
        <v>34219</v>
      </c>
      <c r="U135" s="3">
        <v>44092</v>
      </c>
      <c r="V135">
        <f t="shared" si="10"/>
        <v>27</v>
      </c>
      <c r="W135">
        <v>1</v>
      </c>
      <c r="X135" t="s">
        <v>1065</v>
      </c>
      <c r="Y135">
        <v>2255</v>
      </c>
      <c r="Z135">
        <v>11</v>
      </c>
      <c r="AB135" t="str">
        <f t="shared" si="11"/>
        <v>TRUE</v>
      </c>
    </row>
    <row r="136" spans="1:28">
      <c r="A136" t="s">
        <v>650</v>
      </c>
      <c r="B136">
        <v>2.9124974130000001</v>
      </c>
      <c r="C136" t="s">
        <v>34</v>
      </c>
      <c r="D136">
        <v>5.1401147089999997</v>
      </c>
      <c r="E136">
        <v>91.865892759999994</v>
      </c>
      <c r="F136">
        <v>71.232013600000002</v>
      </c>
      <c r="G136" t="s">
        <v>35</v>
      </c>
      <c r="H136">
        <v>306.40830490000002</v>
      </c>
      <c r="I136">
        <v>6.3279944859999997</v>
      </c>
      <c r="J136">
        <v>9.7990790350000001</v>
      </c>
      <c r="K136">
        <v>1.4478314299999999</v>
      </c>
      <c r="L136">
        <v>378.00980650000002</v>
      </c>
      <c r="M136">
        <v>1.6254481970000001</v>
      </c>
      <c r="N136">
        <v>11817.86815</v>
      </c>
      <c r="O136" s="1" t="s">
        <v>933</v>
      </c>
      <c r="P136" t="s">
        <v>650</v>
      </c>
      <c r="Q136" t="s">
        <v>1058</v>
      </c>
      <c r="R136" t="s">
        <v>1059</v>
      </c>
      <c r="S136" t="s">
        <v>1060</v>
      </c>
      <c r="T136" s="3">
        <v>30903</v>
      </c>
      <c r="U136" s="3">
        <v>44095</v>
      </c>
      <c r="V136">
        <f t="shared" si="10"/>
        <v>36</v>
      </c>
      <c r="W136">
        <v>1</v>
      </c>
      <c r="X136" t="s">
        <v>1061</v>
      </c>
      <c r="Y136">
        <v>1036</v>
      </c>
      <c r="Z136" t="s">
        <v>1060</v>
      </c>
      <c r="AB136" t="str">
        <f t="shared" si="11"/>
        <v>TRUE</v>
      </c>
    </row>
    <row r="137" spans="1:28">
      <c r="A137" t="s">
        <v>374</v>
      </c>
      <c r="B137">
        <v>5.8283311519999996</v>
      </c>
      <c r="C137" t="s">
        <v>34</v>
      </c>
      <c r="D137">
        <v>10.27434605</v>
      </c>
      <c r="E137">
        <v>139.71388049999999</v>
      </c>
      <c r="F137">
        <v>79.34885792</v>
      </c>
      <c r="G137" t="s">
        <v>35</v>
      </c>
      <c r="H137">
        <v>546.62329060000002</v>
      </c>
      <c r="I137">
        <v>9.4365232769999992</v>
      </c>
      <c r="J137">
        <v>17.369783569999999</v>
      </c>
      <c r="K137">
        <v>5.1298500880000004</v>
      </c>
      <c r="L137">
        <v>515.17438819999995</v>
      </c>
      <c r="M137">
        <v>1.264526531</v>
      </c>
      <c r="N137">
        <v>11140.058230000001</v>
      </c>
      <c r="O137" s="1" t="s">
        <v>934</v>
      </c>
      <c r="P137" t="s">
        <v>374</v>
      </c>
      <c r="Q137" t="s">
        <v>1062</v>
      </c>
      <c r="R137" t="s">
        <v>1072</v>
      </c>
      <c r="S137" t="s">
        <v>1068</v>
      </c>
      <c r="T137" s="3">
        <v>21477</v>
      </c>
      <c r="U137" s="3">
        <v>44098</v>
      </c>
      <c r="V137">
        <f t="shared" si="10"/>
        <v>61</v>
      </c>
      <c r="W137">
        <v>2</v>
      </c>
      <c r="X137" t="s">
        <v>1061</v>
      </c>
      <c r="Y137">
        <v>66</v>
      </c>
      <c r="Z137">
        <v>1</v>
      </c>
      <c r="AB137" t="str">
        <f t="shared" si="11"/>
        <v>TRUE</v>
      </c>
    </row>
    <row r="138" spans="1:28">
      <c r="A138" t="s">
        <v>593</v>
      </c>
      <c r="B138">
        <v>4.9785751520000003</v>
      </c>
      <c r="C138" t="s">
        <v>34</v>
      </c>
      <c r="D138">
        <v>4.6138234799999998</v>
      </c>
      <c r="E138" t="s">
        <v>35</v>
      </c>
      <c r="F138">
        <v>50.234334079999996</v>
      </c>
      <c r="G138" t="s">
        <v>35</v>
      </c>
      <c r="H138">
        <v>211.6561706</v>
      </c>
      <c r="I138">
        <v>10.620465319999999</v>
      </c>
      <c r="J138">
        <v>10.94516761</v>
      </c>
      <c r="K138">
        <v>2.8828303050000001</v>
      </c>
      <c r="L138">
        <v>376.22834419999998</v>
      </c>
      <c r="M138">
        <v>1.1630192779999999</v>
      </c>
      <c r="N138">
        <v>11977.879849999999</v>
      </c>
      <c r="O138" s="1" t="s">
        <v>935</v>
      </c>
      <c r="P138" t="s">
        <v>593</v>
      </c>
      <c r="Q138" t="s">
        <v>1062</v>
      </c>
      <c r="R138" t="s">
        <v>1072</v>
      </c>
      <c r="S138" t="s">
        <v>1068</v>
      </c>
      <c r="T138" s="3">
        <v>29096</v>
      </c>
      <c r="U138" s="3">
        <v>44099</v>
      </c>
      <c r="V138">
        <f t="shared" si="10"/>
        <v>41</v>
      </c>
      <c r="W138">
        <v>1</v>
      </c>
      <c r="X138" t="s">
        <v>1061</v>
      </c>
      <c r="Y138">
        <v>1897</v>
      </c>
      <c r="Z138">
        <v>13</v>
      </c>
      <c r="AB138" t="str">
        <f t="shared" si="11"/>
        <v>TRUE</v>
      </c>
    </row>
    <row r="139" spans="1:28">
      <c r="A139" t="s">
        <v>587</v>
      </c>
      <c r="B139">
        <v>4.9933779669999998</v>
      </c>
      <c r="C139" t="s">
        <v>34</v>
      </c>
      <c r="D139">
        <v>6.1170425829999999</v>
      </c>
      <c r="E139" t="s">
        <v>35</v>
      </c>
      <c r="F139">
        <v>74.154402070000003</v>
      </c>
      <c r="G139" t="s">
        <v>35</v>
      </c>
      <c r="H139">
        <v>193.2358807</v>
      </c>
      <c r="I139">
        <v>8.1505918170000005</v>
      </c>
      <c r="J139">
        <v>11.82290442</v>
      </c>
      <c r="K139">
        <v>1.5505833520000001</v>
      </c>
      <c r="L139">
        <v>452.44443710000002</v>
      </c>
      <c r="M139">
        <v>2.6410044890000002</v>
      </c>
      <c r="N139">
        <v>7203.860068</v>
      </c>
      <c r="O139" s="1" t="s">
        <v>936</v>
      </c>
      <c r="P139" t="s">
        <v>587</v>
      </c>
      <c r="Q139" t="s">
        <v>1062</v>
      </c>
      <c r="R139" t="s">
        <v>1067</v>
      </c>
      <c r="S139" t="s">
        <v>1064</v>
      </c>
      <c r="T139" s="3">
        <v>24431</v>
      </c>
      <c r="U139" s="3">
        <v>44099</v>
      </c>
      <c r="V139">
        <f t="shared" si="10"/>
        <v>53</v>
      </c>
      <c r="W139">
        <v>1</v>
      </c>
      <c r="X139" t="s">
        <v>1065</v>
      </c>
      <c r="Y139">
        <v>1126</v>
      </c>
      <c r="Z139">
        <v>15</v>
      </c>
      <c r="AB139" t="str">
        <f t="shared" si="11"/>
        <v>TRUE</v>
      </c>
    </row>
    <row r="140" spans="1:28">
      <c r="A140" t="s">
        <v>98</v>
      </c>
      <c r="B140">
        <v>3.7308054319999999</v>
      </c>
      <c r="C140" t="s">
        <v>34</v>
      </c>
      <c r="D140">
        <v>6.3298294549999996</v>
      </c>
      <c r="E140" t="s">
        <v>35</v>
      </c>
      <c r="F140" t="s">
        <v>35</v>
      </c>
      <c r="G140">
        <v>4183.6123459999999</v>
      </c>
      <c r="H140">
        <v>231.9753958</v>
      </c>
      <c r="I140">
        <v>4.3970939429999998</v>
      </c>
      <c r="J140">
        <v>49.458036819999997</v>
      </c>
      <c r="K140">
        <v>1.7312093630000001</v>
      </c>
      <c r="L140">
        <v>398.01305889999998</v>
      </c>
      <c r="M140">
        <v>2.0683295049999999</v>
      </c>
      <c r="N140">
        <v>7745.2335119999998</v>
      </c>
      <c r="O140" s="1" t="s">
        <v>937</v>
      </c>
      <c r="P140" t="s">
        <v>98</v>
      </c>
      <c r="Q140" t="s">
        <v>1069</v>
      </c>
      <c r="R140" t="s">
        <v>1076</v>
      </c>
      <c r="S140" t="s">
        <v>1068</v>
      </c>
      <c r="T140" s="3">
        <v>35213</v>
      </c>
      <c r="U140" s="3">
        <v>44104</v>
      </c>
      <c r="V140">
        <f t="shared" si="10"/>
        <v>24</v>
      </c>
      <c r="W140">
        <v>1</v>
      </c>
      <c r="X140" t="s">
        <v>1061</v>
      </c>
      <c r="Y140">
        <v>1123</v>
      </c>
      <c r="Z140">
        <v>6</v>
      </c>
      <c r="AB140" t="str">
        <f t="shared" si="11"/>
        <v>TRUE</v>
      </c>
    </row>
    <row r="141" spans="1:28">
      <c r="A141" t="s">
        <v>110</v>
      </c>
      <c r="B141">
        <v>3.7586846309999999</v>
      </c>
      <c r="C141" t="s">
        <v>34</v>
      </c>
      <c r="D141">
        <v>5.6585857710000003</v>
      </c>
      <c r="E141">
        <v>118.89170009999999</v>
      </c>
      <c r="F141">
        <v>38.425963039999999</v>
      </c>
      <c r="G141" t="s">
        <v>35</v>
      </c>
      <c r="H141">
        <v>131.49744949999999</v>
      </c>
      <c r="I141">
        <v>5.2127034500000002</v>
      </c>
      <c r="J141">
        <v>17.566438980000001</v>
      </c>
      <c r="K141">
        <v>1.526440904</v>
      </c>
      <c r="L141">
        <v>309.46634189999997</v>
      </c>
      <c r="M141">
        <v>1.0154279690000001</v>
      </c>
      <c r="N141">
        <v>10330.39451</v>
      </c>
      <c r="O141" s="1" t="s">
        <v>938</v>
      </c>
      <c r="P141" t="s">
        <v>110</v>
      </c>
      <c r="Q141" t="s">
        <v>1062</v>
      </c>
      <c r="R141" t="s">
        <v>1067</v>
      </c>
      <c r="S141" t="s">
        <v>1068</v>
      </c>
      <c r="T141" s="3">
        <v>23988</v>
      </c>
      <c r="U141" s="3">
        <v>44104</v>
      </c>
      <c r="V141">
        <f t="shared" si="10"/>
        <v>55</v>
      </c>
      <c r="W141">
        <v>1</v>
      </c>
      <c r="X141" t="s">
        <v>1065</v>
      </c>
      <c r="Y141">
        <v>4713</v>
      </c>
      <c r="Z141">
        <v>6</v>
      </c>
      <c r="AB141" t="str">
        <f t="shared" si="11"/>
        <v>TRUE</v>
      </c>
    </row>
    <row r="142" spans="1:28">
      <c r="A142" t="s">
        <v>200</v>
      </c>
      <c r="B142">
        <v>3.544797623</v>
      </c>
      <c r="C142" t="s">
        <v>34</v>
      </c>
      <c r="D142">
        <v>6.0153893590000003</v>
      </c>
      <c r="E142" t="s">
        <v>35</v>
      </c>
      <c r="F142" t="s">
        <v>35</v>
      </c>
      <c r="G142">
        <v>2891.1973710000002</v>
      </c>
      <c r="H142">
        <v>158.8337923</v>
      </c>
      <c r="I142">
        <v>8.9973246499999995</v>
      </c>
      <c r="J142">
        <v>22.16859402</v>
      </c>
      <c r="K142">
        <v>1.687196707</v>
      </c>
      <c r="L142">
        <v>607.47886140000003</v>
      </c>
      <c r="M142">
        <v>5.1200808289999999</v>
      </c>
      <c r="N142">
        <v>4653.3769190000003</v>
      </c>
      <c r="O142" s="1" t="s">
        <v>939</v>
      </c>
      <c r="P142" t="s">
        <v>200</v>
      </c>
      <c r="Q142" t="s">
        <v>1062</v>
      </c>
      <c r="R142" t="s">
        <v>1063</v>
      </c>
      <c r="S142" t="s">
        <v>1068</v>
      </c>
      <c r="T142" s="3">
        <v>16624</v>
      </c>
      <c r="U142" s="3">
        <v>44106</v>
      </c>
      <c r="V142">
        <f t="shared" si="10"/>
        <v>75</v>
      </c>
      <c r="W142">
        <v>1</v>
      </c>
      <c r="X142" t="s">
        <v>1065</v>
      </c>
      <c r="Y142">
        <v>4146</v>
      </c>
      <c r="Z142">
        <v>6</v>
      </c>
      <c r="AB142" t="str">
        <f t="shared" si="11"/>
        <v>TRUE</v>
      </c>
    </row>
    <row r="143" spans="1:28">
      <c r="A143" t="s">
        <v>731</v>
      </c>
      <c r="B143">
        <v>8.0029116990000002</v>
      </c>
      <c r="C143" t="s">
        <v>34</v>
      </c>
      <c r="D143">
        <v>8.88430958</v>
      </c>
      <c r="E143" t="s">
        <v>35</v>
      </c>
      <c r="F143">
        <v>133.2315438</v>
      </c>
      <c r="G143" t="s">
        <v>35</v>
      </c>
      <c r="H143">
        <v>395.23969620000003</v>
      </c>
      <c r="I143">
        <v>15.15043</v>
      </c>
      <c r="J143">
        <v>58.7721108</v>
      </c>
      <c r="K143">
        <v>4.0944622280000003</v>
      </c>
      <c r="L143">
        <v>775.63392590000001</v>
      </c>
      <c r="M143">
        <v>1.5601976580000001</v>
      </c>
      <c r="N143">
        <v>12076.680189999999</v>
      </c>
      <c r="O143" s="1" t="s">
        <v>940</v>
      </c>
      <c r="P143" t="s">
        <v>731</v>
      </c>
      <c r="Q143" t="s">
        <v>1062</v>
      </c>
      <c r="R143" t="s">
        <v>1063</v>
      </c>
      <c r="S143" t="s">
        <v>1064</v>
      </c>
      <c r="T143" s="3">
        <v>33801</v>
      </c>
      <c r="U143" s="3">
        <v>44110</v>
      </c>
      <c r="V143">
        <f t="shared" si="10"/>
        <v>28</v>
      </c>
      <c r="W143">
        <v>1</v>
      </c>
      <c r="X143" t="s">
        <v>1061</v>
      </c>
      <c r="Y143">
        <v>2363</v>
      </c>
      <c r="Z143">
        <v>9</v>
      </c>
      <c r="AB143" t="str">
        <f t="shared" si="11"/>
        <v>TRUE</v>
      </c>
    </row>
    <row r="144" spans="1:28">
      <c r="A144" t="s">
        <v>725</v>
      </c>
      <c r="B144">
        <v>6.7214212350000002</v>
      </c>
      <c r="C144" t="s">
        <v>34</v>
      </c>
      <c r="D144">
        <v>7.0365384659999997</v>
      </c>
      <c r="E144">
        <v>105.0242889</v>
      </c>
      <c r="F144">
        <v>45.690278429999999</v>
      </c>
      <c r="G144" t="s">
        <v>35</v>
      </c>
      <c r="H144">
        <v>211.64216070000001</v>
      </c>
      <c r="I144">
        <v>6.5588182000000002</v>
      </c>
      <c r="J144">
        <v>8.1079057100000007</v>
      </c>
      <c r="K144">
        <v>2.655576902</v>
      </c>
      <c r="L144">
        <v>294.91831350000001</v>
      </c>
      <c r="M144">
        <v>0.75390413899999997</v>
      </c>
      <c r="N144">
        <v>12454.695159999999</v>
      </c>
      <c r="O144" s="1" t="s">
        <v>941</v>
      </c>
      <c r="P144" t="s">
        <v>725</v>
      </c>
      <c r="Q144" t="s">
        <v>1069</v>
      </c>
      <c r="R144" t="s">
        <v>1070</v>
      </c>
      <c r="S144" t="s">
        <v>1068</v>
      </c>
      <c r="T144" s="3">
        <v>33242</v>
      </c>
      <c r="U144" s="3">
        <v>44113</v>
      </c>
      <c r="V144">
        <f t="shared" si="10"/>
        <v>29</v>
      </c>
      <c r="W144">
        <v>1</v>
      </c>
      <c r="X144" t="s">
        <v>1061</v>
      </c>
      <c r="Y144">
        <v>38</v>
      </c>
      <c r="Z144">
        <v>1</v>
      </c>
      <c r="AB144" t="str">
        <f t="shared" si="11"/>
        <v>TRUE</v>
      </c>
    </row>
    <row r="145" spans="1:28">
      <c r="A145" t="s">
        <v>425</v>
      </c>
      <c r="B145">
        <v>4.783685921</v>
      </c>
      <c r="C145" t="s">
        <v>34</v>
      </c>
      <c r="D145">
        <v>6.6922834440000001</v>
      </c>
      <c r="E145">
        <v>96.923815309999995</v>
      </c>
      <c r="F145">
        <v>63.037980930000003</v>
      </c>
      <c r="G145" t="s">
        <v>35</v>
      </c>
      <c r="H145">
        <v>258.58449969999998</v>
      </c>
      <c r="I145">
        <v>14.93628183</v>
      </c>
      <c r="J145">
        <v>11.38513466</v>
      </c>
      <c r="K145">
        <v>5.0035403279999997</v>
      </c>
      <c r="L145">
        <v>380.0288276</v>
      </c>
      <c r="M145">
        <v>1.9087608460000001</v>
      </c>
      <c r="N145">
        <v>12897.07703</v>
      </c>
      <c r="O145" s="1" t="s">
        <v>942</v>
      </c>
      <c r="P145" t="s">
        <v>425</v>
      </c>
      <c r="Q145" t="s">
        <v>1058</v>
      </c>
      <c r="R145" t="s">
        <v>1059</v>
      </c>
      <c r="S145" t="s">
        <v>1060</v>
      </c>
      <c r="T145" s="3">
        <v>24811</v>
      </c>
      <c r="U145" s="3">
        <v>44118</v>
      </c>
      <c r="V145">
        <f t="shared" si="10"/>
        <v>52</v>
      </c>
      <c r="W145">
        <v>1</v>
      </c>
      <c r="X145" t="s">
        <v>1065</v>
      </c>
      <c r="Y145">
        <v>236</v>
      </c>
      <c r="Z145" t="s">
        <v>1060</v>
      </c>
      <c r="AB145" t="str">
        <f t="shared" si="11"/>
        <v>TRUE</v>
      </c>
    </row>
    <row r="146" spans="1:28">
      <c r="A146" t="s">
        <v>572</v>
      </c>
      <c r="B146">
        <v>5.7966834780000003</v>
      </c>
      <c r="C146" t="s">
        <v>34</v>
      </c>
      <c r="D146">
        <v>8.1583395309999993</v>
      </c>
      <c r="E146">
        <v>120.332143</v>
      </c>
      <c r="F146">
        <v>134.9177847</v>
      </c>
      <c r="G146" t="s">
        <v>35</v>
      </c>
      <c r="H146">
        <v>348.80173600000001</v>
      </c>
      <c r="I146">
        <v>21.211254180000001</v>
      </c>
      <c r="J146">
        <v>23.041422260000001</v>
      </c>
      <c r="K146">
        <v>3.9145023889999999</v>
      </c>
      <c r="L146">
        <v>661.85041130000002</v>
      </c>
      <c r="M146">
        <v>2.4163190719999998</v>
      </c>
      <c r="N146">
        <v>11184.647940000001</v>
      </c>
      <c r="O146" s="1" t="s">
        <v>943</v>
      </c>
      <c r="P146" t="s">
        <v>572</v>
      </c>
      <c r="Q146" t="s">
        <v>1069</v>
      </c>
      <c r="R146" t="s">
        <v>1076</v>
      </c>
      <c r="S146" t="s">
        <v>1064</v>
      </c>
      <c r="T146" s="3">
        <v>19739</v>
      </c>
      <c r="U146" s="3">
        <v>44119</v>
      </c>
      <c r="V146">
        <f t="shared" si="10"/>
        <v>66</v>
      </c>
      <c r="W146">
        <v>1</v>
      </c>
      <c r="X146" t="s">
        <v>1061</v>
      </c>
      <c r="Y146">
        <v>900</v>
      </c>
      <c r="Z146">
        <v>10</v>
      </c>
      <c r="AB146" t="str">
        <f t="shared" si="11"/>
        <v>TRUE</v>
      </c>
    </row>
    <row r="147" spans="1:28">
      <c r="A147" t="s">
        <v>608</v>
      </c>
      <c r="B147">
        <v>5.3014159420000002</v>
      </c>
      <c r="C147" t="s">
        <v>34</v>
      </c>
      <c r="D147">
        <v>6.017604188</v>
      </c>
      <c r="E147">
        <v>166.48310989999999</v>
      </c>
      <c r="F147">
        <v>62.355274870000002</v>
      </c>
      <c r="G147" t="s">
        <v>35</v>
      </c>
      <c r="H147">
        <v>190.799305</v>
      </c>
      <c r="I147">
        <v>5.5286128650000004</v>
      </c>
      <c r="J147">
        <v>10.42675644</v>
      </c>
      <c r="K147">
        <v>1.9952838390000001</v>
      </c>
      <c r="L147">
        <v>353.27491609999998</v>
      </c>
      <c r="M147">
        <v>1.2770416259999999</v>
      </c>
      <c r="N147">
        <v>11456.81846</v>
      </c>
      <c r="O147" s="1" t="s">
        <v>944</v>
      </c>
      <c r="P147" t="s">
        <v>608</v>
      </c>
      <c r="Q147" t="s">
        <v>1069</v>
      </c>
      <c r="R147" t="s">
        <v>1076</v>
      </c>
      <c r="S147" t="s">
        <v>1068</v>
      </c>
      <c r="T147" s="3">
        <v>34804</v>
      </c>
      <c r="U147" s="3">
        <v>44127</v>
      </c>
      <c r="V147">
        <f t="shared" si="10"/>
        <v>25</v>
      </c>
      <c r="W147">
        <v>1</v>
      </c>
      <c r="X147" t="s">
        <v>1061</v>
      </c>
      <c r="Y147">
        <v>904</v>
      </c>
      <c r="Z147">
        <v>6</v>
      </c>
      <c r="AB147" t="str">
        <f t="shared" si="11"/>
        <v>TRUE</v>
      </c>
    </row>
    <row r="148" spans="1:28">
      <c r="A148" t="s">
        <v>50</v>
      </c>
      <c r="B148">
        <v>7.2059707489999996</v>
      </c>
      <c r="C148" t="s">
        <v>34</v>
      </c>
      <c r="D148">
        <v>13.25011254</v>
      </c>
      <c r="E148">
        <v>161.60373279999999</v>
      </c>
      <c r="F148">
        <v>78.660930359999995</v>
      </c>
      <c r="G148" t="s">
        <v>35</v>
      </c>
      <c r="H148" t="s">
        <v>35</v>
      </c>
      <c r="I148">
        <v>12.067359769999999</v>
      </c>
      <c r="J148">
        <v>17.625954499999999</v>
      </c>
      <c r="K148">
        <v>4.1887943009999997</v>
      </c>
      <c r="L148">
        <v>561.39026720000004</v>
      </c>
      <c r="M148">
        <v>1.280884417</v>
      </c>
      <c r="N148">
        <v>14603.74295</v>
      </c>
      <c r="O148" s="1" t="s">
        <v>945</v>
      </c>
      <c r="P148" t="s">
        <v>50</v>
      </c>
      <c r="Q148" t="s">
        <v>1069</v>
      </c>
      <c r="R148" t="s">
        <v>1070</v>
      </c>
      <c r="S148" t="s">
        <v>1068</v>
      </c>
      <c r="T148" s="3">
        <v>23778</v>
      </c>
      <c r="U148" s="3">
        <v>44130</v>
      </c>
      <c r="V148">
        <f t="shared" si="10"/>
        <v>55</v>
      </c>
      <c r="W148">
        <v>1</v>
      </c>
      <c r="X148" t="s">
        <v>1061</v>
      </c>
      <c r="Y148">
        <v>319</v>
      </c>
      <c r="Z148">
        <v>11</v>
      </c>
      <c r="AB148" t="str">
        <f t="shared" si="11"/>
        <v>TRUE</v>
      </c>
    </row>
    <row r="149" spans="1:28">
      <c r="A149" t="s">
        <v>674</v>
      </c>
      <c r="B149">
        <v>26.871108230000001</v>
      </c>
      <c r="C149" t="s">
        <v>34</v>
      </c>
      <c r="D149">
        <v>38.952818479999998</v>
      </c>
      <c r="E149" t="s">
        <v>35</v>
      </c>
      <c r="F149">
        <v>109.26020579999999</v>
      </c>
      <c r="G149" t="s">
        <v>35</v>
      </c>
      <c r="H149">
        <v>285.88792230000001</v>
      </c>
      <c r="I149">
        <v>17.997154550000001</v>
      </c>
      <c r="J149">
        <v>10.628650629999999</v>
      </c>
      <c r="K149">
        <v>14.78879689</v>
      </c>
      <c r="L149">
        <v>641.96640249999996</v>
      </c>
      <c r="M149">
        <v>0.79428603099999995</v>
      </c>
      <c r="N149">
        <v>16583.47061</v>
      </c>
      <c r="O149" s="1" t="s">
        <v>946</v>
      </c>
      <c r="P149" t="s">
        <v>674</v>
      </c>
      <c r="Q149" t="s">
        <v>1062</v>
      </c>
      <c r="R149" t="s">
        <v>1067</v>
      </c>
      <c r="S149" t="s">
        <v>1068</v>
      </c>
      <c r="T149" s="3">
        <v>36030</v>
      </c>
      <c r="U149" s="3">
        <v>44134</v>
      </c>
      <c r="V149">
        <f t="shared" si="10"/>
        <v>22</v>
      </c>
      <c r="W149">
        <v>2</v>
      </c>
      <c r="X149" t="s">
        <v>1061</v>
      </c>
      <c r="Y149">
        <v>73</v>
      </c>
      <c r="Z149">
        <v>0</v>
      </c>
      <c r="AB149" t="str">
        <f t="shared" si="11"/>
        <v>TRUE</v>
      </c>
    </row>
    <row r="150" spans="1:28">
      <c r="A150" t="s">
        <v>32</v>
      </c>
      <c r="B150">
        <v>8.3460364489999996</v>
      </c>
      <c r="C150" t="s">
        <v>34</v>
      </c>
      <c r="D150">
        <v>9.3448511710000002</v>
      </c>
      <c r="E150">
        <v>137.48851099999999</v>
      </c>
      <c r="F150">
        <v>85.476720990000004</v>
      </c>
      <c r="G150" t="s">
        <v>35</v>
      </c>
      <c r="H150">
        <v>275.96331939999999</v>
      </c>
      <c r="I150">
        <v>8.4795235560000002</v>
      </c>
      <c r="J150">
        <v>11.939709880000001</v>
      </c>
      <c r="K150">
        <v>4.5292439719999997</v>
      </c>
      <c r="L150">
        <v>346.1610786</v>
      </c>
      <c r="M150">
        <v>1.0179256969999999</v>
      </c>
      <c r="N150">
        <v>11754.117329999999</v>
      </c>
      <c r="O150" s="1" t="s">
        <v>947</v>
      </c>
      <c r="P150" t="s">
        <v>32</v>
      </c>
      <c r="Q150" t="s">
        <v>1058</v>
      </c>
      <c r="R150" t="s">
        <v>1075</v>
      </c>
      <c r="S150" t="s">
        <v>1060</v>
      </c>
      <c r="T150" s="3">
        <v>37328</v>
      </c>
      <c r="U150" s="3">
        <v>44146</v>
      </c>
      <c r="V150">
        <f t="shared" si="10"/>
        <v>18</v>
      </c>
      <c r="W150">
        <v>1</v>
      </c>
      <c r="X150" t="s">
        <v>1061</v>
      </c>
      <c r="Y150">
        <v>472</v>
      </c>
      <c r="Z150" t="s">
        <v>1060</v>
      </c>
      <c r="AB150" t="str">
        <f t="shared" si="11"/>
        <v>TRUE</v>
      </c>
    </row>
    <row r="151" spans="1:28">
      <c r="A151" t="s">
        <v>596</v>
      </c>
      <c r="B151">
        <v>5.5427839470000002</v>
      </c>
      <c r="C151" t="s">
        <v>34</v>
      </c>
      <c r="D151">
        <v>5.6375575089999996</v>
      </c>
      <c r="E151">
        <v>185.8999882</v>
      </c>
      <c r="F151">
        <v>74.041845780000003</v>
      </c>
      <c r="G151" t="s">
        <v>35</v>
      </c>
      <c r="H151">
        <v>136.53606730000001</v>
      </c>
      <c r="I151">
        <v>7.891951744</v>
      </c>
      <c r="J151">
        <v>7.8887794900000001</v>
      </c>
      <c r="K151">
        <v>2.6864091970000001</v>
      </c>
      <c r="L151">
        <v>330.72288880000002</v>
      </c>
      <c r="M151">
        <v>1.713500915</v>
      </c>
      <c r="N151">
        <v>9558.6118320000005</v>
      </c>
      <c r="O151" s="1" t="s">
        <v>948</v>
      </c>
      <c r="P151" t="s">
        <v>596</v>
      </c>
      <c r="Q151" t="s">
        <v>1062</v>
      </c>
      <c r="R151" t="s">
        <v>1072</v>
      </c>
      <c r="S151" t="s">
        <v>1068</v>
      </c>
      <c r="T151" s="3">
        <v>29096</v>
      </c>
      <c r="U151" s="3">
        <v>44148</v>
      </c>
      <c r="V151">
        <f t="shared" si="10"/>
        <v>41</v>
      </c>
      <c r="W151">
        <v>2</v>
      </c>
      <c r="X151" t="s">
        <v>1061</v>
      </c>
      <c r="Y151">
        <v>55</v>
      </c>
      <c r="Z151">
        <v>1</v>
      </c>
      <c r="AB151" t="str">
        <f t="shared" si="11"/>
        <v>TRUE</v>
      </c>
    </row>
    <row r="152" spans="1:28">
      <c r="A152" t="s">
        <v>590</v>
      </c>
      <c r="B152">
        <v>5.7956250650000003</v>
      </c>
      <c r="C152" t="s">
        <v>34</v>
      </c>
      <c r="D152">
        <v>5.6760607690000002</v>
      </c>
      <c r="E152">
        <v>170.8243994</v>
      </c>
      <c r="F152">
        <v>84.265374679999994</v>
      </c>
      <c r="G152" t="s">
        <v>35</v>
      </c>
      <c r="H152">
        <v>314.84717389999997</v>
      </c>
      <c r="I152">
        <v>8.5231058149999992</v>
      </c>
      <c r="J152">
        <v>17.446223920000001</v>
      </c>
      <c r="K152">
        <v>2.282962012</v>
      </c>
      <c r="L152">
        <v>516.8300031</v>
      </c>
      <c r="M152">
        <v>2.1872568480000001</v>
      </c>
      <c r="N152">
        <v>12341.208570000001</v>
      </c>
      <c r="O152" s="1" t="s">
        <v>949</v>
      </c>
      <c r="P152" t="s">
        <v>590</v>
      </c>
      <c r="Q152" t="s">
        <v>1062</v>
      </c>
      <c r="R152" t="s">
        <v>1067</v>
      </c>
      <c r="S152" t="s">
        <v>1064</v>
      </c>
      <c r="T152" s="3">
        <v>24431</v>
      </c>
      <c r="U152" s="3">
        <v>44148</v>
      </c>
      <c r="V152">
        <f t="shared" si="10"/>
        <v>53</v>
      </c>
      <c r="W152">
        <v>2</v>
      </c>
      <c r="X152" t="s">
        <v>1065</v>
      </c>
      <c r="Y152">
        <v>1780</v>
      </c>
      <c r="Z152">
        <v>5</v>
      </c>
      <c r="AB152" t="str">
        <f t="shared" si="11"/>
        <v>TRUE</v>
      </c>
    </row>
    <row r="153" spans="1:28">
      <c r="A153" t="s">
        <v>491</v>
      </c>
      <c r="B153">
        <v>17.328652559999998</v>
      </c>
      <c r="C153" t="s">
        <v>34</v>
      </c>
      <c r="D153">
        <v>13.90770843</v>
      </c>
      <c r="E153">
        <v>38.105782019999999</v>
      </c>
      <c r="F153">
        <v>69.154679770000001</v>
      </c>
      <c r="G153" t="s">
        <v>35</v>
      </c>
      <c r="H153">
        <v>496.1349778</v>
      </c>
      <c r="I153">
        <v>7.3270739259999997</v>
      </c>
      <c r="J153">
        <v>15.59452626</v>
      </c>
      <c r="K153">
        <v>9.2193722509999994</v>
      </c>
      <c r="L153">
        <v>330.90368960000001</v>
      </c>
      <c r="M153">
        <v>0.90561074600000002</v>
      </c>
      <c r="N153">
        <v>16932.586039999998</v>
      </c>
      <c r="O153" s="1" t="s">
        <v>950</v>
      </c>
      <c r="P153" t="s">
        <v>491</v>
      </c>
      <c r="Q153" t="s">
        <v>1062</v>
      </c>
      <c r="R153" t="s">
        <v>1067</v>
      </c>
      <c r="S153" t="s">
        <v>1064</v>
      </c>
      <c r="T153" s="3">
        <v>34311</v>
      </c>
      <c r="U153" s="3">
        <v>44148</v>
      </c>
      <c r="V153">
        <f t="shared" si="10"/>
        <v>26</v>
      </c>
      <c r="W153">
        <v>1</v>
      </c>
      <c r="X153" t="s">
        <v>1061</v>
      </c>
      <c r="Y153">
        <v>1823</v>
      </c>
      <c r="Z153">
        <v>9</v>
      </c>
      <c r="AB153" t="str">
        <f t="shared" si="11"/>
        <v>TRUE</v>
      </c>
    </row>
    <row r="154" spans="1:28">
      <c r="A154" t="s">
        <v>443</v>
      </c>
      <c r="B154">
        <v>4.9401773090000001</v>
      </c>
      <c r="C154" t="s">
        <v>34</v>
      </c>
      <c r="D154">
        <v>7.1097299730000003</v>
      </c>
      <c r="E154" t="s">
        <v>35</v>
      </c>
      <c r="F154">
        <v>87.171194310000004</v>
      </c>
      <c r="G154" t="s">
        <v>35</v>
      </c>
      <c r="H154" t="s">
        <v>35</v>
      </c>
      <c r="I154">
        <v>10.218442120000001</v>
      </c>
      <c r="J154">
        <v>16.074191930000001</v>
      </c>
      <c r="K154">
        <v>2.6421348930000002</v>
      </c>
      <c r="L154">
        <v>599.25560970000004</v>
      </c>
      <c r="M154">
        <v>1.4533710099999999</v>
      </c>
      <c r="N154">
        <v>12594.08351</v>
      </c>
      <c r="O154" s="1" t="s">
        <v>951</v>
      </c>
      <c r="P154" t="s">
        <v>443</v>
      </c>
      <c r="Q154" t="s">
        <v>1069</v>
      </c>
      <c r="R154" t="s">
        <v>1076</v>
      </c>
      <c r="S154" t="s">
        <v>1064</v>
      </c>
      <c r="T154" s="3">
        <v>34219</v>
      </c>
      <c r="U154" s="3">
        <v>44151</v>
      </c>
      <c r="V154">
        <f t="shared" si="10"/>
        <v>27</v>
      </c>
      <c r="W154">
        <v>2</v>
      </c>
      <c r="X154" t="s">
        <v>1065</v>
      </c>
      <c r="Y154">
        <v>2739</v>
      </c>
      <c r="Z154">
        <v>8</v>
      </c>
      <c r="AB154" t="str">
        <f t="shared" si="11"/>
        <v>TRUE</v>
      </c>
    </row>
    <row r="155" spans="1:28">
      <c r="A155" t="s">
        <v>317</v>
      </c>
      <c r="B155">
        <v>6.5543837759999999</v>
      </c>
      <c r="C155" t="s">
        <v>34</v>
      </c>
      <c r="D155">
        <v>11.65789532</v>
      </c>
      <c r="E155" t="s">
        <v>35</v>
      </c>
      <c r="F155">
        <v>63.258148380000002</v>
      </c>
      <c r="G155" t="s">
        <v>35</v>
      </c>
      <c r="H155">
        <v>272.93974040000001</v>
      </c>
      <c r="I155">
        <v>8.3763727200000009</v>
      </c>
      <c r="J155">
        <v>12.6826314</v>
      </c>
      <c r="K155">
        <v>4.2050332179999996</v>
      </c>
      <c r="L155">
        <v>289.1102707</v>
      </c>
      <c r="M155">
        <v>1.1360349860000001</v>
      </c>
      <c r="N155">
        <v>9916.0117210000008</v>
      </c>
      <c r="O155" s="1" t="s">
        <v>952</v>
      </c>
      <c r="P155" t="s">
        <v>317</v>
      </c>
      <c r="Q155" t="s">
        <v>1062</v>
      </c>
      <c r="R155" t="s">
        <v>1067</v>
      </c>
      <c r="S155" t="s">
        <v>1068</v>
      </c>
      <c r="T155" s="3">
        <v>33826</v>
      </c>
      <c r="U155" s="3">
        <v>44152</v>
      </c>
      <c r="V155">
        <f t="shared" si="10"/>
        <v>28</v>
      </c>
      <c r="W155">
        <v>1</v>
      </c>
      <c r="X155" t="s">
        <v>1061</v>
      </c>
      <c r="Y155">
        <v>221</v>
      </c>
      <c r="Z155">
        <v>10</v>
      </c>
      <c r="AB155" t="str">
        <f t="shared" si="11"/>
        <v>TRUE</v>
      </c>
    </row>
    <row r="156" spans="1:28">
      <c r="A156" t="s">
        <v>689</v>
      </c>
      <c r="B156">
        <v>5.4204588100000004</v>
      </c>
      <c r="C156" t="s">
        <v>34</v>
      </c>
      <c r="D156">
        <v>3.7668977020000001</v>
      </c>
      <c r="E156" t="s">
        <v>35</v>
      </c>
      <c r="F156">
        <v>47.243347229999998</v>
      </c>
      <c r="G156" t="s">
        <v>35</v>
      </c>
      <c r="H156">
        <v>290.20054859999999</v>
      </c>
      <c r="I156">
        <v>4.7338279740000004</v>
      </c>
      <c r="J156">
        <v>14.87020497</v>
      </c>
      <c r="K156">
        <v>1.3880193249999999</v>
      </c>
      <c r="L156">
        <v>246.67199489999999</v>
      </c>
      <c r="M156">
        <v>0.91312896899999996</v>
      </c>
      <c r="N156">
        <v>9784.308266</v>
      </c>
      <c r="O156" s="1" t="s">
        <v>953</v>
      </c>
      <c r="P156" t="s">
        <v>689</v>
      </c>
      <c r="Q156" t="s">
        <v>1069</v>
      </c>
      <c r="R156" t="s">
        <v>1077</v>
      </c>
      <c r="S156" t="s">
        <v>1068</v>
      </c>
      <c r="T156" s="3">
        <v>25311</v>
      </c>
      <c r="U156" s="3">
        <v>44161</v>
      </c>
      <c r="V156">
        <f t="shared" si="10"/>
        <v>51</v>
      </c>
      <c r="W156">
        <v>1</v>
      </c>
      <c r="X156" t="s">
        <v>1061</v>
      </c>
      <c r="Y156">
        <v>496</v>
      </c>
      <c r="Z156">
        <v>3</v>
      </c>
      <c r="AB156" t="str">
        <f t="shared" si="11"/>
        <v>TRUE</v>
      </c>
    </row>
    <row r="157" spans="1:28">
      <c r="A157" t="s">
        <v>368</v>
      </c>
      <c r="B157">
        <v>4.3723782</v>
      </c>
      <c r="C157" t="s">
        <v>34</v>
      </c>
      <c r="D157">
        <v>5.3616286510000002</v>
      </c>
      <c r="E157">
        <v>111.47842470000001</v>
      </c>
      <c r="F157">
        <v>57.544749799999998</v>
      </c>
      <c r="G157">
        <v>3769.585736</v>
      </c>
      <c r="H157">
        <v>190.69046059999999</v>
      </c>
      <c r="I157">
        <v>6.633050968</v>
      </c>
      <c r="J157">
        <v>14.23755929</v>
      </c>
      <c r="K157">
        <v>1.748755845</v>
      </c>
      <c r="L157">
        <v>394.61297280000002</v>
      </c>
      <c r="M157">
        <v>1.6052943660000001</v>
      </c>
      <c r="N157">
        <v>11712.961289999999</v>
      </c>
      <c r="O157" s="1" t="s">
        <v>954</v>
      </c>
      <c r="P157" t="s">
        <v>368</v>
      </c>
      <c r="Q157" t="s">
        <v>1062</v>
      </c>
      <c r="R157" t="s">
        <v>1067</v>
      </c>
      <c r="S157" t="s">
        <v>1068</v>
      </c>
      <c r="T157" s="3">
        <v>35769</v>
      </c>
      <c r="U157" s="3">
        <v>44162</v>
      </c>
      <c r="V157">
        <f t="shared" si="10"/>
        <v>22</v>
      </c>
      <c r="W157">
        <v>1</v>
      </c>
      <c r="X157" t="s">
        <v>1065</v>
      </c>
      <c r="Y157">
        <v>7900</v>
      </c>
      <c r="Z157">
        <v>13</v>
      </c>
      <c r="AB157" t="str">
        <f t="shared" si="11"/>
        <v>TRUE</v>
      </c>
    </row>
    <row r="158" spans="1:28">
      <c r="A158" t="s">
        <v>149</v>
      </c>
      <c r="B158">
        <v>7.6539570389999998</v>
      </c>
      <c r="C158" t="s">
        <v>34</v>
      </c>
      <c r="D158">
        <v>7.1245687269999998</v>
      </c>
      <c r="E158" t="s">
        <v>35</v>
      </c>
      <c r="F158">
        <v>52.792812159999997</v>
      </c>
      <c r="G158" t="s">
        <v>35</v>
      </c>
      <c r="H158">
        <v>340.75223720000002</v>
      </c>
      <c r="I158">
        <v>12.05985329</v>
      </c>
      <c r="J158">
        <v>10.71584015</v>
      </c>
      <c r="K158">
        <v>4.233185808</v>
      </c>
      <c r="L158">
        <v>387.44170860000003</v>
      </c>
      <c r="M158">
        <v>1.163503282</v>
      </c>
      <c r="N158">
        <v>11727.303449999999</v>
      </c>
      <c r="O158" s="1" t="s">
        <v>955</v>
      </c>
      <c r="P158" t="s">
        <v>149</v>
      </c>
      <c r="Q158" t="s">
        <v>1062</v>
      </c>
      <c r="R158" t="s">
        <v>1067</v>
      </c>
      <c r="S158" t="s">
        <v>1068</v>
      </c>
      <c r="T158" s="3">
        <v>28094</v>
      </c>
      <c r="U158" s="3">
        <v>44169</v>
      </c>
      <c r="V158">
        <f t="shared" si="10"/>
        <v>44</v>
      </c>
      <c r="W158">
        <v>1</v>
      </c>
      <c r="X158" t="s">
        <v>1061</v>
      </c>
      <c r="Y158">
        <v>659</v>
      </c>
      <c r="Z158">
        <v>6</v>
      </c>
      <c r="AB158" t="str">
        <f t="shared" si="11"/>
        <v>TRUE</v>
      </c>
    </row>
    <row r="159" spans="1:28">
      <c r="A159" t="s">
        <v>707</v>
      </c>
      <c r="B159">
        <v>3.9581561660000002</v>
      </c>
      <c r="C159" t="s">
        <v>34</v>
      </c>
      <c r="D159">
        <v>7.0373509089999997</v>
      </c>
      <c r="E159">
        <v>70.751325100000003</v>
      </c>
      <c r="F159">
        <v>73.5224707</v>
      </c>
      <c r="G159" t="s">
        <v>35</v>
      </c>
      <c r="H159">
        <v>212.12702899999999</v>
      </c>
      <c r="I159">
        <v>9.6325918769999994</v>
      </c>
      <c r="J159">
        <v>8.1181942679999999</v>
      </c>
      <c r="K159">
        <v>2.7955459760000001</v>
      </c>
      <c r="L159">
        <v>371.34882929999998</v>
      </c>
      <c r="M159">
        <v>1.0918021609999999</v>
      </c>
      <c r="N159">
        <v>10042.58072</v>
      </c>
      <c r="O159" s="1" t="s">
        <v>956</v>
      </c>
      <c r="P159" t="s">
        <v>707</v>
      </c>
      <c r="Q159" t="s">
        <v>1069</v>
      </c>
      <c r="R159" t="s">
        <v>1076</v>
      </c>
      <c r="S159" t="s">
        <v>1068</v>
      </c>
      <c r="T159" s="3">
        <v>25846</v>
      </c>
      <c r="U159" s="3">
        <v>44172</v>
      </c>
      <c r="V159">
        <f t="shared" si="10"/>
        <v>50</v>
      </c>
      <c r="W159">
        <v>1</v>
      </c>
      <c r="X159" t="s">
        <v>1065</v>
      </c>
      <c r="Y159">
        <v>549</v>
      </c>
      <c r="Z159">
        <v>9</v>
      </c>
      <c r="AB159" t="str">
        <f t="shared" si="11"/>
        <v>TRUE</v>
      </c>
    </row>
    <row r="160" spans="1:28">
      <c r="A160" t="s">
        <v>734</v>
      </c>
      <c r="B160">
        <v>15.438612279999999</v>
      </c>
      <c r="C160" t="s">
        <v>34</v>
      </c>
      <c r="D160">
        <v>11.605017910000001</v>
      </c>
      <c r="E160">
        <v>154.510447</v>
      </c>
      <c r="F160">
        <v>82.945657999999995</v>
      </c>
      <c r="G160">
        <v>4137.4644719999997</v>
      </c>
      <c r="H160">
        <v>363.52751760000001</v>
      </c>
      <c r="I160">
        <v>11.63001094</v>
      </c>
      <c r="J160">
        <v>8.9437401839999993</v>
      </c>
      <c r="K160">
        <v>6.9080848980000003</v>
      </c>
      <c r="L160">
        <v>549.78064099999995</v>
      </c>
      <c r="M160">
        <v>1.127779592</v>
      </c>
      <c r="N160">
        <v>11978.75122</v>
      </c>
      <c r="O160" s="1" t="s">
        <v>957</v>
      </c>
      <c r="P160" t="s">
        <v>734</v>
      </c>
      <c r="Q160" t="s">
        <v>1062</v>
      </c>
      <c r="R160" t="s">
        <v>1063</v>
      </c>
      <c r="S160" t="s">
        <v>1064</v>
      </c>
      <c r="T160" s="3">
        <v>33801</v>
      </c>
      <c r="U160" s="3">
        <v>44173</v>
      </c>
      <c r="V160">
        <f t="shared" si="10"/>
        <v>28</v>
      </c>
      <c r="W160">
        <v>2</v>
      </c>
      <c r="X160" t="s">
        <v>1061</v>
      </c>
      <c r="Y160">
        <v>470</v>
      </c>
      <c r="Z160">
        <v>0</v>
      </c>
      <c r="AB160" t="str">
        <f t="shared" si="11"/>
        <v>TRUE</v>
      </c>
    </row>
    <row r="161" spans="1:28">
      <c r="A161" t="s">
        <v>605</v>
      </c>
      <c r="B161">
        <v>11.504564309999999</v>
      </c>
      <c r="C161" t="s">
        <v>34</v>
      </c>
      <c r="D161">
        <v>6.3546674699999999</v>
      </c>
      <c r="E161">
        <v>112.24165170000001</v>
      </c>
      <c r="F161">
        <v>34.413316279999997</v>
      </c>
      <c r="G161">
        <v>4026.2921820000001</v>
      </c>
      <c r="H161">
        <v>159.80864829999999</v>
      </c>
      <c r="I161">
        <v>7.0425891930000004</v>
      </c>
      <c r="J161">
        <v>11.06046016</v>
      </c>
      <c r="K161">
        <v>3.5168626970000001</v>
      </c>
      <c r="L161">
        <v>234.6566005</v>
      </c>
      <c r="M161">
        <v>1.040914248</v>
      </c>
      <c r="N161">
        <v>9533.4336770000009</v>
      </c>
      <c r="O161" s="1" t="s">
        <v>958</v>
      </c>
      <c r="P161" t="s">
        <v>605</v>
      </c>
      <c r="Q161" t="s">
        <v>1069</v>
      </c>
      <c r="R161" t="s">
        <v>1076</v>
      </c>
      <c r="S161" t="s">
        <v>1068</v>
      </c>
      <c r="T161" s="3">
        <v>34804</v>
      </c>
      <c r="U161" s="3">
        <v>44174</v>
      </c>
      <c r="V161">
        <f t="shared" si="10"/>
        <v>25</v>
      </c>
      <c r="W161">
        <v>2</v>
      </c>
      <c r="X161" t="s">
        <v>1061</v>
      </c>
      <c r="Y161">
        <v>44</v>
      </c>
      <c r="Z161">
        <v>3</v>
      </c>
      <c r="AB161" t="str">
        <f t="shared" si="11"/>
        <v>TRUE</v>
      </c>
    </row>
    <row r="162" spans="1:28">
      <c r="A162" t="s">
        <v>569</v>
      </c>
      <c r="B162">
        <v>2.4885086159999998</v>
      </c>
      <c r="C162" t="s">
        <v>34</v>
      </c>
      <c r="D162">
        <v>2.6087780509999998</v>
      </c>
      <c r="E162" t="s">
        <v>35</v>
      </c>
      <c r="F162">
        <v>35.48952843</v>
      </c>
      <c r="G162" t="s">
        <v>35</v>
      </c>
      <c r="H162">
        <v>177.24653739999999</v>
      </c>
      <c r="I162">
        <v>1.8733240090000001</v>
      </c>
      <c r="J162">
        <v>9.5401260140000002</v>
      </c>
      <c r="K162">
        <v>0.48201851000000001</v>
      </c>
      <c r="L162">
        <v>180.6603906</v>
      </c>
      <c r="M162">
        <v>1.052984079</v>
      </c>
      <c r="N162">
        <v>5731.106393</v>
      </c>
      <c r="O162" s="1" t="s">
        <v>959</v>
      </c>
      <c r="P162" t="s">
        <v>569</v>
      </c>
      <c r="Q162" t="s">
        <v>1069</v>
      </c>
      <c r="R162" t="s">
        <v>1070</v>
      </c>
      <c r="S162" t="s">
        <v>1068</v>
      </c>
      <c r="T162" s="3">
        <v>35547</v>
      </c>
      <c r="U162" s="3">
        <v>44181</v>
      </c>
      <c r="V162">
        <f t="shared" si="10"/>
        <v>23</v>
      </c>
      <c r="W162">
        <v>1</v>
      </c>
      <c r="X162" t="s">
        <v>1065</v>
      </c>
      <c r="Y162">
        <v>338</v>
      </c>
      <c r="Z162">
        <v>7</v>
      </c>
      <c r="AB162" t="str">
        <f t="shared" si="11"/>
        <v>TRUE</v>
      </c>
    </row>
    <row r="163" spans="1:28">
      <c r="A163" t="s">
        <v>371</v>
      </c>
      <c r="B163">
        <v>5.1315568689999997</v>
      </c>
      <c r="C163" t="s">
        <v>34</v>
      </c>
      <c r="D163">
        <v>5.5009350469999996</v>
      </c>
      <c r="E163">
        <v>93.361464380000001</v>
      </c>
      <c r="F163">
        <v>50.072115750000002</v>
      </c>
      <c r="G163" t="s">
        <v>35</v>
      </c>
      <c r="H163">
        <v>161.866637</v>
      </c>
      <c r="I163">
        <v>7.5728713330000001</v>
      </c>
      <c r="J163">
        <v>11.686853749999999</v>
      </c>
      <c r="K163">
        <v>1.646162269</v>
      </c>
      <c r="L163">
        <v>361.13429939999997</v>
      </c>
      <c r="M163">
        <v>1.189530443</v>
      </c>
      <c r="N163">
        <v>12273.745440000001</v>
      </c>
      <c r="O163" s="1" t="s">
        <v>960</v>
      </c>
      <c r="P163" t="s">
        <v>371</v>
      </c>
      <c r="Q163" t="s">
        <v>1062</v>
      </c>
      <c r="R163" t="s">
        <v>1067</v>
      </c>
      <c r="S163" t="s">
        <v>1068</v>
      </c>
      <c r="T163" s="3">
        <v>35769</v>
      </c>
      <c r="U163" s="3">
        <v>44182</v>
      </c>
      <c r="V163">
        <f t="shared" si="10"/>
        <v>23</v>
      </c>
      <c r="W163">
        <v>2</v>
      </c>
      <c r="X163" t="s">
        <v>1065</v>
      </c>
      <c r="Y163">
        <v>282</v>
      </c>
      <c r="Z163">
        <v>1</v>
      </c>
      <c r="AB163" t="str">
        <f t="shared" si="11"/>
        <v>TRUE</v>
      </c>
    </row>
    <row r="164" spans="1:28">
      <c r="A164" t="s">
        <v>68</v>
      </c>
      <c r="B164">
        <v>11.87990418</v>
      </c>
      <c r="C164" t="s">
        <v>34</v>
      </c>
      <c r="D164">
        <v>10.51890291</v>
      </c>
      <c r="E164">
        <v>175.02369859999999</v>
      </c>
      <c r="F164">
        <v>45.052666420000001</v>
      </c>
      <c r="G164" t="s">
        <v>35</v>
      </c>
      <c r="H164">
        <v>230.81276249999999</v>
      </c>
      <c r="I164">
        <v>8.4116034949999996</v>
      </c>
      <c r="J164">
        <v>20.886860389999999</v>
      </c>
      <c r="K164">
        <v>2.7242486289999999</v>
      </c>
      <c r="L164">
        <v>370.9050628</v>
      </c>
      <c r="M164">
        <v>1.1651574330000001</v>
      </c>
      <c r="N164">
        <v>15144.714599999999</v>
      </c>
      <c r="O164" s="1" t="s">
        <v>961</v>
      </c>
      <c r="P164" t="s">
        <v>68</v>
      </c>
      <c r="Q164" t="s">
        <v>1062</v>
      </c>
      <c r="R164" t="s">
        <v>1067</v>
      </c>
      <c r="S164" t="s">
        <v>1068</v>
      </c>
      <c r="T164" s="3">
        <v>23573</v>
      </c>
      <c r="U164" s="3">
        <v>43560</v>
      </c>
      <c r="V164">
        <f t="shared" si="10"/>
        <v>54</v>
      </c>
      <c r="W164">
        <v>3</v>
      </c>
      <c r="X164" t="s">
        <v>1061</v>
      </c>
      <c r="Y164">
        <v>35</v>
      </c>
      <c r="Z164">
        <v>0</v>
      </c>
      <c r="AB164" t="str">
        <f t="shared" si="11"/>
        <v>TRUE</v>
      </c>
    </row>
    <row r="165" spans="1:28">
      <c r="A165" t="s">
        <v>101</v>
      </c>
      <c r="B165">
        <v>4.9113575379999999</v>
      </c>
      <c r="C165" t="s">
        <v>34</v>
      </c>
      <c r="D165">
        <v>9.7772705010000003</v>
      </c>
      <c r="E165" t="s">
        <v>35</v>
      </c>
      <c r="F165">
        <v>172.77695539999999</v>
      </c>
      <c r="G165">
        <v>4648.9436059999998</v>
      </c>
      <c r="H165">
        <v>184.75947909999999</v>
      </c>
      <c r="I165">
        <v>5.5399306140000002</v>
      </c>
      <c r="J165">
        <v>20.223524520000002</v>
      </c>
      <c r="K165">
        <v>2.825683444</v>
      </c>
      <c r="L165">
        <v>368.05084290000002</v>
      </c>
      <c r="M165">
        <v>1.4473485740000001</v>
      </c>
      <c r="N165">
        <v>7421.4084670000002</v>
      </c>
      <c r="O165" s="1" t="s">
        <v>962</v>
      </c>
      <c r="P165" t="s">
        <v>101</v>
      </c>
      <c r="Q165" t="s">
        <v>1069</v>
      </c>
      <c r="R165" t="s">
        <v>1076</v>
      </c>
      <c r="S165" t="s">
        <v>1068</v>
      </c>
      <c r="T165" s="3">
        <v>35213</v>
      </c>
      <c r="U165" s="3">
        <v>44169</v>
      </c>
      <c r="V165">
        <f t="shared" si="10"/>
        <v>24</v>
      </c>
      <c r="W165">
        <v>2</v>
      </c>
      <c r="X165" t="s">
        <v>1061</v>
      </c>
      <c r="Y165">
        <v>1858</v>
      </c>
      <c r="Z165">
        <v>0</v>
      </c>
      <c r="AB165" t="str">
        <f t="shared" si="11"/>
        <v>TRUE</v>
      </c>
    </row>
    <row r="166" spans="1:28">
      <c r="A166" t="s">
        <v>203</v>
      </c>
      <c r="B166">
        <v>4.8883884259999997</v>
      </c>
      <c r="C166" t="s">
        <v>34</v>
      </c>
      <c r="D166">
        <v>6.6846012940000001</v>
      </c>
      <c r="E166" t="s">
        <v>35</v>
      </c>
      <c r="F166">
        <v>148.56894030000001</v>
      </c>
      <c r="G166" t="s">
        <v>35</v>
      </c>
      <c r="H166">
        <v>325.06301439999999</v>
      </c>
      <c r="I166">
        <v>16.120907290000002</v>
      </c>
      <c r="J166">
        <v>75.200472070000004</v>
      </c>
      <c r="K166">
        <v>6.1001480160000003</v>
      </c>
      <c r="L166">
        <v>675.28923759999998</v>
      </c>
      <c r="M166">
        <v>2.9552246960000002</v>
      </c>
      <c r="N166">
        <v>6515.5746810000001</v>
      </c>
      <c r="O166" s="1" t="s">
        <v>963</v>
      </c>
      <c r="P166" t="s">
        <v>203</v>
      </c>
      <c r="Q166" t="s">
        <v>1062</v>
      </c>
      <c r="R166" t="s">
        <v>1063</v>
      </c>
      <c r="S166" t="s">
        <v>1068</v>
      </c>
      <c r="T166" s="3">
        <v>16624</v>
      </c>
      <c r="U166" s="3">
        <v>44172</v>
      </c>
      <c r="V166">
        <f t="shared" si="10"/>
        <v>75</v>
      </c>
      <c r="W166">
        <v>2</v>
      </c>
      <c r="X166" t="s">
        <v>1065</v>
      </c>
      <c r="Y166">
        <v>324</v>
      </c>
      <c r="Z166">
        <v>0</v>
      </c>
      <c r="AB166" t="str">
        <f t="shared" si="11"/>
        <v>TRUE</v>
      </c>
    </row>
    <row r="167" spans="1:28">
      <c r="A167" t="s">
        <v>38</v>
      </c>
      <c r="B167">
        <v>5.1832145199999999</v>
      </c>
      <c r="C167" t="s">
        <v>34</v>
      </c>
      <c r="D167">
        <v>5.5274278629999998</v>
      </c>
      <c r="E167">
        <v>84.636957609999996</v>
      </c>
      <c r="F167">
        <v>49.313930509999999</v>
      </c>
      <c r="G167">
        <v>3839.7830439999998</v>
      </c>
      <c r="H167">
        <v>251.5649626</v>
      </c>
      <c r="I167">
        <v>8.6125928609999995</v>
      </c>
      <c r="J167">
        <v>9.2150796370000005</v>
      </c>
      <c r="K167">
        <v>3.1770904799999999</v>
      </c>
      <c r="L167">
        <v>338.52574179999999</v>
      </c>
      <c r="M167">
        <v>0.90041204100000005</v>
      </c>
      <c r="N167">
        <v>9139.0390499999994</v>
      </c>
      <c r="O167" s="1" t="s">
        <v>964</v>
      </c>
      <c r="P167" t="s">
        <v>38</v>
      </c>
      <c r="Q167" t="s">
        <v>1074</v>
      </c>
      <c r="R167" t="s">
        <v>1066</v>
      </c>
      <c r="S167" t="s">
        <v>1060</v>
      </c>
      <c r="T167" s="3">
        <v>21616</v>
      </c>
      <c r="U167" s="3">
        <v>43237</v>
      </c>
      <c r="V167">
        <f t="shared" si="10"/>
        <v>59</v>
      </c>
      <c r="W167">
        <v>1</v>
      </c>
      <c r="X167" t="s">
        <v>1061</v>
      </c>
      <c r="Y167">
        <v>206</v>
      </c>
      <c r="Z167" t="s">
        <v>1060</v>
      </c>
      <c r="AB167" t="str">
        <f t="shared" si="11"/>
        <v>TRUE</v>
      </c>
    </row>
    <row r="168" spans="1:28">
      <c r="A168" t="s">
        <v>512</v>
      </c>
      <c r="B168">
        <v>6.2822241769999998</v>
      </c>
      <c r="C168" t="s">
        <v>34</v>
      </c>
      <c r="D168">
        <v>11.305498890000001</v>
      </c>
      <c r="E168">
        <v>160.41303009999999</v>
      </c>
      <c r="F168">
        <v>162.58300199999999</v>
      </c>
      <c r="G168">
        <v>4191.7805200000003</v>
      </c>
      <c r="H168">
        <v>295.17560520000001</v>
      </c>
      <c r="I168">
        <v>13.70153945</v>
      </c>
      <c r="J168">
        <v>19.991725710000001</v>
      </c>
      <c r="K168">
        <v>2.8308874880000001</v>
      </c>
      <c r="L168" t="s">
        <v>35</v>
      </c>
      <c r="M168">
        <v>2.8087369029999998</v>
      </c>
      <c r="N168">
        <v>13424.936540000001</v>
      </c>
      <c r="O168" s="1" t="s">
        <v>965</v>
      </c>
      <c r="P168" t="s">
        <v>512</v>
      </c>
      <c r="Q168" t="s">
        <v>1069</v>
      </c>
      <c r="R168" t="s">
        <v>1077</v>
      </c>
      <c r="S168" t="s">
        <v>1068</v>
      </c>
      <c r="T168" s="3">
        <v>19925</v>
      </c>
      <c r="U168" s="3">
        <v>43677</v>
      </c>
      <c r="V168">
        <f t="shared" si="10"/>
        <v>65</v>
      </c>
      <c r="W168">
        <v>1</v>
      </c>
      <c r="X168" t="s">
        <v>1065</v>
      </c>
      <c r="Y168">
        <v>329</v>
      </c>
      <c r="Z168">
        <v>2</v>
      </c>
      <c r="AB168" t="str">
        <f t="shared" si="11"/>
        <v>TRUE</v>
      </c>
    </row>
    <row r="169" spans="1:28">
      <c r="A169" t="s">
        <v>323</v>
      </c>
      <c r="B169">
        <v>17.16293263</v>
      </c>
      <c r="C169" t="s">
        <v>34</v>
      </c>
      <c r="D169">
        <v>11.17053069</v>
      </c>
      <c r="E169">
        <v>39.300049399999999</v>
      </c>
      <c r="F169">
        <v>39.648561919999999</v>
      </c>
      <c r="G169" t="s">
        <v>35</v>
      </c>
      <c r="H169">
        <v>340.47966339999999</v>
      </c>
      <c r="I169">
        <v>10.33540837</v>
      </c>
      <c r="J169">
        <v>16.221363920000002</v>
      </c>
      <c r="K169">
        <v>5.2170366369999996</v>
      </c>
      <c r="L169">
        <v>235.1354571</v>
      </c>
      <c r="M169">
        <v>0.79601183900000005</v>
      </c>
      <c r="N169">
        <v>9906.6318279999996</v>
      </c>
      <c r="O169" s="1" t="s">
        <v>966</v>
      </c>
      <c r="P169" t="s">
        <v>323</v>
      </c>
      <c r="Q169" t="s">
        <v>1062</v>
      </c>
      <c r="R169" t="s">
        <v>1063</v>
      </c>
      <c r="S169" t="s">
        <v>1068</v>
      </c>
      <c r="T169" s="3">
        <v>23568</v>
      </c>
      <c r="U169" s="3">
        <v>43679</v>
      </c>
      <c r="V169">
        <v>55</v>
      </c>
      <c r="W169">
        <v>2</v>
      </c>
      <c r="X169" t="s">
        <v>1061</v>
      </c>
      <c r="Y169" t="s">
        <v>1060</v>
      </c>
      <c r="Z169">
        <v>6</v>
      </c>
      <c r="AB169" t="str">
        <f t="shared" si="11"/>
        <v>TRUE</v>
      </c>
    </row>
    <row r="170" spans="1:28">
      <c r="A170" t="s">
        <v>509</v>
      </c>
      <c r="B170">
        <v>7.6652352459999999</v>
      </c>
      <c r="C170" t="s">
        <v>34</v>
      </c>
      <c r="D170">
        <v>14.17216691</v>
      </c>
      <c r="E170">
        <v>147.01690099999999</v>
      </c>
      <c r="F170">
        <v>122.94757319999999</v>
      </c>
      <c r="G170">
        <v>4391.94661</v>
      </c>
      <c r="H170">
        <v>364.92962679999999</v>
      </c>
      <c r="I170">
        <v>13.75957987</v>
      </c>
      <c r="J170">
        <v>20.412948140000001</v>
      </c>
      <c r="K170">
        <v>5.347863641</v>
      </c>
      <c r="L170">
        <v>678.65490360000001</v>
      </c>
      <c r="M170">
        <v>2.5333547639999998</v>
      </c>
      <c r="N170">
        <v>13550.593769999999</v>
      </c>
      <c r="O170" s="1" t="s">
        <v>967</v>
      </c>
      <c r="P170" t="s">
        <v>509</v>
      </c>
      <c r="Q170" t="s">
        <v>1069</v>
      </c>
      <c r="R170" t="s">
        <v>1077</v>
      </c>
      <c r="S170" t="s">
        <v>1068</v>
      </c>
      <c r="T170" s="3">
        <v>19925</v>
      </c>
      <c r="U170" s="3">
        <v>43684</v>
      </c>
      <c r="V170">
        <f>DATEDIF(T170,U170,"Y")</f>
        <v>65</v>
      </c>
      <c r="W170">
        <v>2</v>
      </c>
      <c r="X170" t="s">
        <v>1065</v>
      </c>
      <c r="Y170" t="s">
        <v>1060</v>
      </c>
      <c r="Z170">
        <v>1</v>
      </c>
      <c r="AB170" t="str">
        <f t="shared" si="11"/>
        <v>TRUE</v>
      </c>
    </row>
    <row r="171" spans="1:28">
      <c r="A171" t="s">
        <v>239</v>
      </c>
      <c r="B171">
        <v>6.29315845</v>
      </c>
      <c r="C171" t="s">
        <v>34</v>
      </c>
      <c r="D171">
        <v>9.1674817999999991</v>
      </c>
      <c r="E171">
        <v>143.58889590000001</v>
      </c>
      <c r="F171">
        <v>37.765848759999997</v>
      </c>
      <c r="G171">
        <v>3432.3323690000002</v>
      </c>
      <c r="H171">
        <v>160.72736269999999</v>
      </c>
      <c r="I171">
        <v>6.1071770519999999</v>
      </c>
      <c r="J171">
        <v>12.37892796</v>
      </c>
      <c r="K171">
        <v>4.3891738629999999</v>
      </c>
      <c r="L171">
        <v>277.20047749999998</v>
      </c>
      <c r="M171">
        <v>1.5289015029999999</v>
      </c>
      <c r="N171">
        <v>10993.894770000001</v>
      </c>
      <c r="O171" s="1" t="s">
        <v>968</v>
      </c>
      <c r="P171" t="s">
        <v>239</v>
      </c>
      <c r="Q171" t="s">
        <v>1062</v>
      </c>
      <c r="R171" t="s">
        <v>1063</v>
      </c>
      <c r="S171" t="s">
        <v>1068</v>
      </c>
      <c r="T171" s="3">
        <v>34948</v>
      </c>
      <c r="U171" s="3">
        <v>43690</v>
      </c>
      <c r="V171">
        <f>DATEDIF(T171,U171,"Y")</f>
        <v>23</v>
      </c>
      <c r="W171">
        <v>1</v>
      </c>
      <c r="X171" t="s">
        <v>1065</v>
      </c>
      <c r="Y171">
        <v>7699</v>
      </c>
      <c r="Z171">
        <v>6</v>
      </c>
      <c r="AB171" t="str">
        <f t="shared" si="11"/>
        <v>TRUE</v>
      </c>
    </row>
    <row r="172" spans="1:28">
      <c r="A172" t="s">
        <v>182</v>
      </c>
      <c r="B172">
        <v>1.671986602</v>
      </c>
      <c r="C172" t="s">
        <v>34</v>
      </c>
      <c r="D172">
        <v>5.6445825169999999</v>
      </c>
      <c r="E172" t="s">
        <v>35</v>
      </c>
      <c r="F172">
        <v>58.847334330000002</v>
      </c>
      <c r="G172">
        <v>3039.9553770000002</v>
      </c>
      <c r="H172" t="s">
        <v>35</v>
      </c>
      <c r="I172">
        <v>4.233210251</v>
      </c>
      <c r="J172">
        <v>22.008981200000001</v>
      </c>
      <c r="K172" t="s">
        <v>34</v>
      </c>
      <c r="L172">
        <v>438.74006900000001</v>
      </c>
      <c r="M172">
        <v>2.7002412850000002</v>
      </c>
      <c r="N172">
        <v>8868.369385</v>
      </c>
      <c r="O172" s="1" t="s">
        <v>969</v>
      </c>
      <c r="P172" t="s">
        <v>182</v>
      </c>
      <c r="Q172" t="s">
        <v>1062</v>
      </c>
      <c r="R172" t="s">
        <v>1063</v>
      </c>
      <c r="S172" t="s">
        <v>1064</v>
      </c>
      <c r="T172" s="3">
        <v>34403</v>
      </c>
      <c r="U172" s="3">
        <v>43690</v>
      </c>
      <c r="V172">
        <f>DATEDIF(T172,U172,"Y")</f>
        <v>25</v>
      </c>
      <c r="W172">
        <v>6</v>
      </c>
      <c r="X172" t="s">
        <v>1065</v>
      </c>
      <c r="Y172">
        <v>3772</v>
      </c>
      <c r="Z172">
        <v>7</v>
      </c>
      <c r="AB172" t="str">
        <f t="shared" si="11"/>
        <v>TRUE</v>
      </c>
    </row>
    <row r="173" spans="1:28">
      <c r="A173" t="s">
        <v>497</v>
      </c>
      <c r="B173">
        <v>6.423085092</v>
      </c>
      <c r="C173" t="s">
        <v>34</v>
      </c>
      <c r="D173">
        <v>14.712336430000001</v>
      </c>
      <c r="E173">
        <v>140.4757261</v>
      </c>
      <c r="F173">
        <v>117.619957</v>
      </c>
      <c r="G173">
        <v>4975.141552</v>
      </c>
      <c r="H173">
        <v>208.70136020000001</v>
      </c>
      <c r="I173">
        <v>16.838657919999999</v>
      </c>
      <c r="J173">
        <v>19.603472310000001</v>
      </c>
      <c r="K173">
        <v>5.4759089469999997</v>
      </c>
      <c r="L173">
        <v>783.40708080000002</v>
      </c>
      <c r="M173">
        <v>2.437158132</v>
      </c>
      <c r="N173">
        <v>18152.501209999999</v>
      </c>
      <c r="O173" s="1" t="s">
        <v>970</v>
      </c>
      <c r="P173" t="s">
        <v>497</v>
      </c>
      <c r="Q173" t="s">
        <v>1069</v>
      </c>
      <c r="R173" t="s">
        <v>1077</v>
      </c>
      <c r="S173" t="s">
        <v>1068</v>
      </c>
      <c r="T173" s="3">
        <v>19925</v>
      </c>
      <c r="U173" s="3">
        <v>43691</v>
      </c>
      <c r="V173">
        <f>DATEDIF(T173,U173,"Y")</f>
        <v>65</v>
      </c>
      <c r="W173">
        <v>3</v>
      </c>
      <c r="X173" t="s">
        <v>1065</v>
      </c>
      <c r="Y173" t="s">
        <v>1060</v>
      </c>
      <c r="Z173">
        <v>2</v>
      </c>
      <c r="AB173" t="str">
        <f t="shared" si="11"/>
        <v>TRUE</v>
      </c>
    </row>
    <row r="174" spans="1:28">
      <c r="A174" t="s">
        <v>326</v>
      </c>
      <c r="B174">
        <v>11.48604797</v>
      </c>
      <c r="C174" t="s">
        <v>34</v>
      </c>
      <c r="D174">
        <v>9.3000136540000007</v>
      </c>
      <c r="E174">
        <v>43.99317044</v>
      </c>
      <c r="F174">
        <v>32.854328500000001</v>
      </c>
      <c r="G174" t="s">
        <v>35</v>
      </c>
      <c r="H174">
        <v>487.63201129999999</v>
      </c>
      <c r="I174">
        <v>8.8032489359999992</v>
      </c>
      <c r="J174">
        <v>12.380582410000001</v>
      </c>
      <c r="K174">
        <v>5.1034974899999996</v>
      </c>
      <c r="L174">
        <v>224.7745309</v>
      </c>
      <c r="M174">
        <v>0.92982366400000005</v>
      </c>
      <c r="N174">
        <v>7155.3370729999997</v>
      </c>
      <c r="O174" s="1" t="s">
        <v>971</v>
      </c>
      <c r="P174" t="s">
        <v>326</v>
      </c>
      <c r="Q174" t="s">
        <v>1062</v>
      </c>
      <c r="R174" t="s">
        <v>1063</v>
      </c>
      <c r="S174" t="s">
        <v>1068</v>
      </c>
      <c r="T174" s="3">
        <v>23568</v>
      </c>
      <c r="U174" s="3">
        <v>43686</v>
      </c>
      <c r="V174">
        <v>55</v>
      </c>
      <c r="W174">
        <v>3</v>
      </c>
      <c r="X174" t="s">
        <v>1061</v>
      </c>
      <c r="Y174" t="s">
        <v>1060</v>
      </c>
      <c r="Z174">
        <v>5</v>
      </c>
      <c r="AB174" t="str">
        <f t="shared" si="11"/>
        <v>TRUE</v>
      </c>
    </row>
    <row r="175" spans="1:28">
      <c r="A175" t="s">
        <v>506</v>
      </c>
      <c r="B175">
        <v>3.7612231719999998</v>
      </c>
      <c r="C175" t="s">
        <v>34</v>
      </c>
      <c r="D175">
        <v>8.4745268530000004</v>
      </c>
      <c r="E175">
        <v>169.68253870000001</v>
      </c>
      <c r="F175">
        <v>90.370861660000003</v>
      </c>
      <c r="G175">
        <v>4885.4446589999998</v>
      </c>
      <c r="H175">
        <v>282.10968869999999</v>
      </c>
      <c r="I175">
        <v>10.616958410000001</v>
      </c>
      <c r="J175">
        <v>16.07693828</v>
      </c>
      <c r="K175">
        <v>2.6060512309999999</v>
      </c>
      <c r="L175">
        <v>631.65953850000005</v>
      </c>
      <c r="M175">
        <v>2.3537682069999999</v>
      </c>
      <c r="N175">
        <v>10881.54441</v>
      </c>
      <c r="O175" s="1" t="s">
        <v>972</v>
      </c>
      <c r="P175" t="s">
        <v>506</v>
      </c>
      <c r="Q175" t="s">
        <v>1069</v>
      </c>
      <c r="R175" t="s">
        <v>1077</v>
      </c>
      <c r="S175" t="s">
        <v>1068</v>
      </c>
      <c r="T175" s="3">
        <v>19925</v>
      </c>
      <c r="U175" s="3">
        <v>43698</v>
      </c>
      <c r="V175">
        <f t="shared" ref="V175:V182" si="12">DATEDIF(T175,U175,"Y")</f>
        <v>65</v>
      </c>
      <c r="W175">
        <v>4</v>
      </c>
      <c r="X175" t="s">
        <v>1065</v>
      </c>
      <c r="Y175" t="s">
        <v>1060</v>
      </c>
      <c r="Z175">
        <v>1</v>
      </c>
      <c r="AB175" t="str">
        <f t="shared" si="11"/>
        <v>TRUE</v>
      </c>
    </row>
    <row r="176" spans="1:28">
      <c r="A176" t="s">
        <v>332</v>
      </c>
      <c r="B176">
        <v>11.50627222</v>
      </c>
      <c r="C176" t="s">
        <v>34</v>
      </c>
      <c r="D176">
        <v>8.8223487679999995</v>
      </c>
      <c r="E176">
        <v>30.75535202</v>
      </c>
      <c r="F176">
        <v>34.39109594</v>
      </c>
      <c r="G176" t="s">
        <v>35</v>
      </c>
      <c r="H176">
        <v>262.49598420000001</v>
      </c>
      <c r="I176">
        <v>9.8352065660000001</v>
      </c>
      <c r="J176">
        <v>9.8085670100000009</v>
      </c>
      <c r="K176">
        <v>5.0733338359999998</v>
      </c>
      <c r="L176">
        <v>215.99539189999999</v>
      </c>
      <c r="M176">
        <v>0.78999625299999998</v>
      </c>
      <c r="N176">
        <v>7529.4062080000003</v>
      </c>
      <c r="O176" s="1" t="s">
        <v>973</v>
      </c>
      <c r="P176" t="s">
        <v>332</v>
      </c>
      <c r="Q176" t="s">
        <v>1062</v>
      </c>
      <c r="R176" t="s">
        <v>1063</v>
      </c>
      <c r="S176" t="s">
        <v>1068</v>
      </c>
      <c r="T176" s="3">
        <v>23568</v>
      </c>
      <c r="U176" s="3">
        <v>43692</v>
      </c>
      <c r="V176">
        <f t="shared" si="12"/>
        <v>55</v>
      </c>
      <c r="W176">
        <v>4</v>
      </c>
      <c r="X176" t="s">
        <v>1061</v>
      </c>
      <c r="Y176" t="s">
        <v>1060</v>
      </c>
      <c r="Z176">
        <v>6</v>
      </c>
      <c r="AB176" t="str">
        <f t="shared" si="11"/>
        <v>TRUE</v>
      </c>
    </row>
    <row r="177" spans="1:28">
      <c r="A177" t="s">
        <v>248</v>
      </c>
      <c r="B177">
        <v>7.1222215379999998</v>
      </c>
      <c r="C177" t="s">
        <v>34</v>
      </c>
      <c r="D177">
        <v>13.13377828</v>
      </c>
      <c r="E177">
        <v>85.983918669999994</v>
      </c>
      <c r="F177">
        <v>42.639094329999999</v>
      </c>
      <c r="G177">
        <v>3078.3707380000001</v>
      </c>
      <c r="H177">
        <v>247.5980792</v>
      </c>
      <c r="I177">
        <v>10.21299687</v>
      </c>
      <c r="J177">
        <v>12.326708979999999</v>
      </c>
      <c r="K177">
        <v>6.4624690530000004</v>
      </c>
      <c r="L177">
        <v>369.11585919999999</v>
      </c>
      <c r="M177">
        <v>1.9240003109999999</v>
      </c>
      <c r="N177">
        <v>9514.4158160000006</v>
      </c>
      <c r="O177" s="1" t="s">
        <v>974</v>
      </c>
      <c r="P177" t="s">
        <v>248</v>
      </c>
      <c r="Q177" t="s">
        <v>1062</v>
      </c>
      <c r="R177" t="s">
        <v>1063</v>
      </c>
      <c r="S177" t="s">
        <v>1068</v>
      </c>
      <c r="T177" s="3">
        <v>34948</v>
      </c>
      <c r="U177" s="3">
        <v>43698</v>
      </c>
      <c r="V177">
        <f t="shared" si="12"/>
        <v>23</v>
      </c>
      <c r="W177">
        <v>2</v>
      </c>
      <c r="X177" t="s">
        <v>1065</v>
      </c>
      <c r="Y177" t="s">
        <v>1060</v>
      </c>
      <c r="Z177">
        <v>4</v>
      </c>
      <c r="AB177" t="str">
        <f t="shared" si="11"/>
        <v>TRUE</v>
      </c>
    </row>
    <row r="178" spans="1:28">
      <c r="A178" t="s">
        <v>338</v>
      </c>
      <c r="B178">
        <v>10.39733638</v>
      </c>
      <c r="C178" t="s">
        <v>34</v>
      </c>
      <c r="D178">
        <v>6.6626998090000003</v>
      </c>
      <c r="E178">
        <v>25.427639840000001</v>
      </c>
      <c r="F178">
        <v>40.112672150000002</v>
      </c>
      <c r="G178" t="s">
        <v>35</v>
      </c>
      <c r="H178">
        <v>326.65030289999999</v>
      </c>
      <c r="I178">
        <v>9.3550416330000008</v>
      </c>
      <c r="J178">
        <v>9.0156640410000009</v>
      </c>
      <c r="K178">
        <v>5.2321245059999999</v>
      </c>
      <c r="L178">
        <v>271.7090129</v>
      </c>
      <c r="M178">
        <v>0.88930114199999999</v>
      </c>
      <c r="N178">
        <v>9398.044339</v>
      </c>
      <c r="O178" s="1" t="s">
        <v>975</v>
      </c>
      <c r="P178" t="s">
        <v>338</v>
      </c>
      <c r="Q178" t="s">
        <v>1062</v>
      </c>
      <c r="R178" t="s">
        <v>1063</v>
      </c>
      <c r="S178" t="s">
        <v>1068</v>
      </c>
      <c r="T178" s="3">
        <v>23568</v>
      </c>
      <c r="U178" s="3">
        <v>43699</v>
      </c>
      <c r="V178">
        <f t="shared" si="12"/>
        <v>55</v>
      </c>
      <c r="W178">
        <v>5</v>
      </c>
      <c r="X178" t="s">
        <v>1061</v>
      </c>
      <c r="Y178">
        <v>57</v>
      </c>
      <c r="Z178">
        <v>4</v>
      </c>
      <c r="AB178" t="str">
        <f t="shared" si="11"/>
        <v>TRUE</v>
      </c>
    </row>
    <row r="179" spans="1:28">
      <c r="A179" t="s">
        <v>233</v>
      </c>
      <c r="B179">
        <v>7.2739981440000001</v>
      </c>
      <c r="C179" t="s">
        <v>34</v>
      </c>
      <c r="D179">
        <v>12.85635319</v>
      </c>
      <c r="E179">
        <v>77.044595709999996</v>
      </c>
      <c r="F179">
        <v>35.441462399999999</v>
      </c>
      <c r="G179">
        <v>3127.1468159999999</v>
      </c>
      <c r="H179">
        <v>158.07862399999999</v>
      </c>
      <c r="I179">
        <v>8.6915202790000006</v>
      </c>
      <c r="J179">
        <v>13.565573669999999</v>
      </c>
      <c r="K179">
        <v>6.7356474589999999</v>
      </c>
      <c r="L179">
        <v>288.2625984</v>
      </c>
      <c r="M179">
        <v>1.7078509909999999</v>
      </c>
      <c r="N179">
        <v>10760.752860000001</v>
      </c>
      <c r="O179" s="1" t="s">
        <v>976</v>
      </c>
      <c r="P179" t="s">
        <v>233</v>
      </c>
      <c r="Q179" t="s">
        <v>1062</v>
      </c>
      <c r="R179" t="s">
        <v>1063</v>
      </c>
      <c r="S179" t="s">
        <v>1068</v>
      </c>
      <c r="T179" s="3">
        <v>34948</v>
      </c>
      <c r="U179" s="3">
        <v>43705</v>
      </c>
      <c r="V179">
        <f t="shared" si="12"/>
        <v>23</v>
      </c>
      <c r="W179">
        <v>3</v>
      </c>
      <c r="X179" t="s">
        <v>1065</v>
      </c>
      <c r="Y179" t="s">
        <v>1060</v>
      </c>
      <c r="Z179">
        <v>4</v>
      </c>
      <c r="AB179" t="str">
        <f t="shared" si="11"/>
        <v>TRUE</v>
      </c>
    </row>
    <row r="180" spans="1:28">
      <c r="A180" t="s">
        <v>170</v>
      </c>
      <c r="B180">
        <v>1.7424027689999999</v>
      </c>
      <c r="C180" t="s">
        <v>34</v>
      </c>
      <c r="D180">
        <v>3.2544665629999998</v>
      </c>
      <c r="E180" t="s">
        <v>35</v>
      </c>
      <c r="F180">
        <v>25.190394919999999</v>
      </c>
      <c r="G180">
        <v>3119.5230959999999</v>
      </c>
      <c r="H180">
        <v>349.20756649999998</v>
      </c>
      <c r="I180">
        <v>4.2636056609999997</v>
      </c>
      <c r="J180">
        <v>19.975892330000001</v>
      </c>
      <c r="K180">
        <v>0.51196327100000005</v>
      </c>
      <c r="L180">
        <v>235.8230514</v>
      </c>
      <c r="M180">
        <v>2.0594414169999999</v>
      </c>
      <c r="N180">
        <v>6775.0969439999999</v>
      </c>
      <c r="O180" s="1" t="s">
        <v>977</v>
      </c>
      <c r="P180" t="s">
        <v>170</v>
      </c>
      <c r="Q180" t="s">
        <v>1062</v>
      </c>
      <c r="R180" t="s">
        <v>1063</v>
      </c>
      <c r="S180" t="s">
        <v>1064</v>
      </c>
      <c r="T180" s="3">
        <v>34403</v>
      </c>
      <c r="U180" s="3">
        <v>43718</v>
      </c>
      <c r="V180">
        <f t="shared" si="12"/>
        <v>25</v>
      </c>
      <c r="W180">
        <v>7</v>
      </c>
      <c r="X180" t="s">
        <v>1065</v>
      </c>
      <c r="Y180">
        <v>904</v>
      </c>
      <c r="Z180">
        <v>5</v>
      </c>
      <c r="AB180" t="str">
        <f t="shared" si="11"/>
        <v>TRUE</v>
      </c>
    </row>
    <row r="181" spans="1:28">
      <c r="A181" t="s">
        <v>62</v>
      </c>
      <c r="B181">
        <v>12.801451670000001</v>
      </c>
      <c r="C181" t="s">
        <v>34</v>
      </c>
      <c r="D181">
        <v>7.427214846</v>
      </c>
      <c r="E181">
        <v>157.97314510000001</v>
      </c>
      <c r="F181">
        <v>95.658021629999993</v>
      </c>
      <c r="G181" t="s">
        <v>35</v>
      </c>
      <c r="H181">
        <v>368.91404590000002</v>
      </c>
      <c r="I181">
        <v>21.275454719999999</v>
      </c>
      <c r="J181">
        <v>20.758905949999999</v>
      </c>
      <c r="K181">
        <v>8.189066403</v>
      </c>
      <c r="L181">
        <v>446.90966839999999</v>
      </c>
      <c r="M181">
        <v>4.2191698090000003</v>
      </c>
      <c r="N181">
        <v>8679.5260020000005</v>
      </c>
      <c r="O181" s="1" t="s">
        <v>978</v>
      </c>
      <c r="P181" t="s">
        <v>62</v>
      </c>
      <c r="Q181" t="s">
        <v>1069</v>
      </c>
      <c r="R181" t="s">
        <v>1076</v>
      </c>
      <c r="S181" t="s">
        <v>1064</v>
      </c>
      <c r="T181" s="3">
        <v>18937</v>
      </c>
      <c r="U181" s="3">
        <v>43711</v>
      </c>
      <c r="V181">
        <f t="shared" si="12"/>
        <v>67</v>
      </c>
      <c r="W181">
        <v>1</v>
      </c>
      <c r="X181" t="s">
        <v>1061</v>
      </c>
      <c r="Y181">
        <v>715</v>
      </c>
      <c r="Z181">
        <v>5</v>
      </c>
      <c r="AB181" t="str">
        <f t="shared" si="11"/>
        <v>TRUE</v>
      </c>
    </row>
    <row r="182" spans="1:28">
      <c r="A182" t="s">
        <v>242</v>
      </c>
      <c r="B182">
        <v>6.5561308939999998</v>
      </c>
      <c r="C182" t="s">
        <v>34</v>
      </c>
      <c r="D182">
        <v>10.73589316</v>
      </c>
      <c r="E182">
        <v>131.02562040000001</v>
      </c>
      <c r="F182">
        <v>43.172876119999998</v>
      </c>
      <c r="G182">
        <v>3120.0868869999999</v>
      </c>
      <c r="H182">
        <v>241.46298770000001</v>
      </c>
      <c r="I182">
        <v>12.30213217</v>
      </c>
      <c r="J182">
        <v>11.696719420000001</v>
      </c>
      <c r="K182">
        <v>6.7245156279999998</v>
      </c>
      <c r="L182">
        <v>335.64841439999998</v>
      </c>
      <c r="M182">
        <v>2.1769409479999999</v>
      </c>
      <c r="N182">
        <v>14141.811180000001</v>
      </c>
      <c r="O182" s="1" t="s">
        <v>979</v>
      </c>
      <c r="P182" t="s">
        <v>242</v>
      </c>
      <c r="Q182" t="s">
        <v>1062</v>
      </c>
      <c r="R182" t="s">
        <v>1063</v>
      </c>
      <c r="S182" t="s">
        <v>1068</v>
      </c>
      <c r="T182" s="3">
        <v>34948</v>
      </c>
      <c r="U182" s="3">
        <v>43713</v>
      </c>
      <c r="V182">
        <f t="shared" si="12"/>
        <v>23</v>
      </c>
      <c r="W182">
        <v>4</v>
      </c>
      <c r="X182" t="s">
        <v>1065</v>
      </c>
      <c r="Y182" t="s">
        <v>1060</v>
      </c>
      <c r="Z182">
        <v>3</v>
      </c>
      <c r="AB182" t="str">
        <f t="shared" si="11"/>
        <v>TRUE</v>
      </c>
    </row>
    <row r="183" spans="1:28">
      <c r="A183" t="s">
        <v>56</v>
      </c>
      <c r="B183">
        <v>10.91425935</v>
      </c>
      <c r="C183" t="s">
        <v>34</v>
      </c>
      <c r="D183">
        <v>4.773243312</v>
      </c>
      <c r="E183">
        <v>110.5103561</v>
      </c>
      <c r="F183">
        <v>104.22116389999999</v>
      </c>
      <c r="G183" t="s">
        <v>35</v>
      </c>
      <c r="H183">
        <v>248.20615530000001</v>
      </c>
      <c r="I183">
        <v>22.926883610000001</v>
      </c>
      <c r="J183">
        <v>26.21808716</v>
      </c>
      <c r="K183">
        <v>6.4161147730000003</v>
      </c>
      <c r="L183">
        <v>420.1511873</v>
      </c>
      <c r="M183">
        <v>3.6920393859999998</v>
      </c>
      <c r="N183">
        <v>8285.7217970000002</v>
      </c>
      <c r="O183" s="1" t="s">
        <v>980</v>
      </c>
      <c r="P183" t="s">
        <v>56</v>
      </c>
      <c r="Q183" t="s">
        <v>1069</v>
      </c>
      <c r="R183" t="s">
        <v>1076</v>
      </c>
      <c r="S183" t="s">
        <v>1064</v>
      </c>
      <c r="T183" s="3">
        <v>18937</v>
      </c>
      <c r="U183" s="3">
        <v>43721</v>
      </c>
      <c r="V183">
        <v>67</v>
      </c>
      <c r="W183">
        <v>2</v>
      </c>
      <c r="X183" t="s">
        <v>1061</v>
      </c>
      <c r="Y183" t="s">
        <v>1060</v>
      </c>
      <c r="Z183">
        <v>0</v>
      </c>
      <c r="AB183" t="str">
        <f t="shared" si="11"/>
        <v>TRUE</v>
      </c>
    </row>
    <row r="184" spans="1:28">
      <c r="A184" t="s">
        <v>236</v>
      </c>
      <c r="B184">
        <v>6.0187250690000003</v>
      </c>
      <c r="C184" t="s">
        <v>34</v>
      </c>
      <c r="D184">
        <v>13.249569340000001</v>
      </c>
      <c r="E184">
        <v>153.23477639999999</v>
      </c>
      <c r="F184">
        <v>35.884960270000001</v>
      </c>
      <c r="G184">
        <v>3635.991974</v>
      </c>
      <c r="H184">
        <v>161.6419784</v>
      </c>
      <c r="I184">
        <v>9.4551558040000003</v>
      </c>
      <c r="J184">
        <v>16.992781430000001</v>
      </c>
      <c r="K184">
        <v>9.0787220219999991</v>
      </c>
      <c r="L184">
        <v>302.26585660000001</v>
      </c>
      <c r="M184">
        <v>1.49345635</v>
      </c>
      <c r="N184">
        <v>8978.3202959999999</v>
      </c>
      <c r="O184" s="1" t="s">
        <v>981</v>
      </c>
      <c r="P184" t="s">
        <v>236</v>
      </c>
      <c r="Q184" t="s">
        <v>1062</v>
      </c>
      <c r="R184" t="s">
        <v>1063</v>
      </c>
      <c r="S184" t="s">
        <v>1068</v>
      </c>
      <c r="T184" s="3">
        <v>34948</v>
      </c>
      <c r="U184" s="3">
        <v>43719</v>
      </c>
      <c r="V184">
        <f>DATEDIF(T184,U184,"Y")</f>
        <v>24</v>
      </c>
      <c r="W184">
        <v>5</v>
      </c>
      <c r="X184" t="s">
        <v>1065</v>
      </c>
      <c r="Y184">
        <v>251</v>
      </c>
      <c r="Z184">
        <v>4</v>
      </c>
      <c r="AB184" t="str">
        <f t="shared" si="11"/>
        <v>TRUE</v>
      </c>
    </row>
    <row r="185" spans="1:28">
      <c r="A185" t="s">
        <v>341</v>
      </c>
      <c r="B185">
        <v>8.3338840249999997</v>
      </c>
      <c r="C185" t="s">
        <v>34</v>
      </c>
      <c r="D185">
        <v>7.5156070030000004</v>
      </c>
      <c r="E185">
        <v>43.249083419999998</v>
      </c>
      <c r="F185">
        <v>89.967829769999994</v>
      </c>
      <c r="G185">
        <v>3864.1896099999999</v>
      </c>
      <c r="H185">
        <v>194.9515566</v>
      </c>
      <c r="I185">
        <v>7.362215741</v>
      </c>
      <c r="J185">
        <v>18.76644945</v>
      </c>
      <c r="K185">
        <v>2.233432536</v>
      </c>
      <c r="L185">
        <v>438.61935349999999</v>
      </c>
      <c r="M185">
        <v>1.461322376</v>
      </c>
      <c r="N185">
        <v>10275.217699999999</v>
      </c>
      <c r="O185" s="1" t="s">
        <v>982</v>
      </c>
      <c r="P185" t="s">
        <v>341</v>
      </c>
      <c r="Q185" t="s">
        <v>1062</v>
      </c>
      <c r="R185" t="s">
        <v>1063</v>
      </c>
      <c r="S185" t="s">
        <v>1068</v>
      </c>
      <c r="T185" s="3">
        <v>23568</v>
      </c>
      <c r="U185" s="3">
        <v>43728</v>
      </c>
      <c r="V185">
        <f>DATEDIF(T185,U185,"Y")</f>
        <v>55</v>
      </c>
      <c r="W185">
        <v>6</v>
      </c>
      <c r="X185" t="s">
        <v>1061</v>
      </c>
      <c r="Y185">
        <v>15</v>
      </c>
      <c r="Z185">
        <v>3</v>
      </c>
      <c r="AB185" t="str">
        <f t="shared" si="11"/>
        <v>TRUE</v>
      </c>
    </row>
    <row r="186" spans="1:28">
      <c r="A186" t="s">
        <v>59</v>
      </c>
      <c r="B186">
        <v>8.7699645430000004</v>
      </c>
      <c r="C186" t="s">
        <v>34</v>
      </c>
      <c r="D186">
        <v>5.6612924619999996</v>
      </c>
      <c r="E186">
        <v>131.05547630000001</v>
      </c>
      <c r="F186">
        <v>138.18989790000001</v>
      </c>
      <c r="G186" t="s">
        <v>35</v>
      </c>
      <c r="H186">
        <v>313.89510469999999</v>
      </c>
      <c r="I186">
        <v>18.573060590000001</v>
      </c>
      <c r="J186">
        <v>27.905186789999998</v>
      </c>
      <c r="K186">
        <v>4.9208792309999998</v>
      </c>
      <c r="L186">
        <v>539.82893260000003</v>
      </c>
      <c r="M186">
        <v>4.6954855330000003</v>
      </c>
      <c r="N186">
        <v>9665.4510709999995</v>
      </c>
      <c r="O186" s="1" t="s">
        <v>983</v>
      </c>
      <c r="P186" t="s">
        <v>59</v>
      </c>
      <c r="Q186" t="s">
        <v>1069</v>
      </c>
      <c r="R186" t="s">
        <v>1076</v>
      </c>
      <c r="S186" t="s">
        <v>1064</v>
      </c>
      <c r="T186" s="3">
        <v>18937</v>
      </c>
      <c r="U186" s="3">
        <v>43728</v>
      </c>
      <c r="V186">
        <v>67</v>
      </c>
      <c r="W186">
        <v>3</v>
      </c>
      <c r="X186" t="s">
        <v>1061</v>
      </c>
      <c r="Y186" t="s">
        <v>1060</v>
      </c>
      <c r="Z186">
        <v>0</v>
      </c>
      <c r="AB186" t="str">
        <f t="shared" si="11"/>
        <v>TRUE</v>
      </c>
    </row>
    <row r="187" spans="1:28">
      <c r="A187" t="s">
        <v>767</v>
      </c>
      <c r="B187">
        <v>10.059183730000001</v>
      </c>
      <c r="C187" t="s">
        <v>34</v>
      </c>
      <c r="D187">
        <v>13.67153375</v>
      </c>
      <c r="E187">
        <v>146.40084580000001</v>
      </c>
      <c r="F187">
        <v>77.710753249999996</v>
      </c>
      <c r="G187" t="s">
        <v>35</v>
      </c>
      <c r="H187">
        <v>385.99464280000001</v>
      </c>
      <c r="I187">
        <v>10.602203729999999</v>
      </c>
      <c r="J187">
        <v>17.362586010000001</v>
      </c>
      <c r="K187">
        <v>3.416387297</v>
      </c>
      <c r="L187">
        <v>509.26901199999998</v>
      </c>
      <c r="M187">
        <v>1.4588174410000001</v>
      </c>
      <c r="N187">
        <v>13076.451370000001</v>
      </c>
      <c r="O187" s="1" t="s">
        <v>984</v>
      </c>
      <c r="P187" t="s">
        <v>767</v>
      </c>
      <c r="Q187" t="s">
        <v>1069</v>
      </c>
      <c r="R187" t="s">
        <v>1070</v>
      </c>
      <c r="S187" t="s">
        <v>1068</v>
      </c>
      <c r="T187" s="3">
        <v>22293</v>
      </c>
      <c r="U187" s="3">
        <v>43733</v>
      </c>
      <c r="V187">
        <f>DATEDIF(T187,U187,"Y")</f>
        <v>58</v>
      </c>
      <c r="W187">
        <v>2</v>
      </c>
      <c r="X187" t="s">
        <v>1065</v>
      </c>
      <c r="Y187" t="s">
        <v>1060</v>
      </c>
      <c r="Z187">
        <v>4</v>
      </c>
      <c r="AB187" t="str">
        <f t="shared" si="11"/>
        <v>TRUE</v>
      </c>
    </row>
    <row r="188" spans="1:28">
      <c r="A188" t="s">
        <v>494</v>
      </c>
      <c r="B188">
        <v>7.2423533649999996</v>
      </c>
      <c r="C188" t="s">
        <v>34</v>
      </c>
      <c r="D188">
        <v>9.8632311149999996</v>
      </c>
      <c r="E188">
        <v>132.1328383</v>
      </c>
      <c r="F188">
        <v>127.1144237</v>
      </c>
      <c r="G188" t="s">
        <v>35</v>
      </c>
      <c r="H188">
        <v>325.9743158</v>
      </c>
      <c r="I188">
        <v>15.38449891</v>
      </c>
      <c r="J188">
        <v>20.845088969999999</v>
      </c>
      <c r="K188">
        <v>3.405613679</v>
      </c>
      <c r="L188" t="s">
        <v>35</v>
      </c>
      <c r="M188">
        <v>1.9667766820000001</v>
      </c>
      <c r="N188">
        <v>15303.330959999999</v>
      </c>
      <c r="O188" s="1" t="s">
        <v>985</v>
      </c>
      <c r="P188" t="s">
        <v>494</v>
      </c>
      <c r="Q188" t="s">
        <v>1069</v>
      </c>
      <c r="R188" t="s">
        <v>1077</v>
      </c>
      <c r="S188" t="s">
        <v>1068</v>
      </c>
      <c r="T188" s="3">
        <v>19925</v>
      </c>
      <c r="U188" s="3">
        <v>43733</v>
      </c>
      <c r="V188">
        <f>DATEDIF(T188,U188,"Y")</f>
        <v>65</v>
      </c>
      <c r="W188">
        <v>6</v>
      </c>
      <c r="X188" t="s">
        <v>1065</v>
      </c>
      <c r="Y188">
        <v>220</v>
      </c>
      <c r="Z188">
        <v>2</v>
      </c>
      <c r="AB188" t="str">
        <f t="shared" si="11"/>
        <v>TRUE</v>
      </c>
    </row>
    <row r="189" spans="1:28">
      <c r="A189" t="s">
        <v>65</v>
      </c>
      <c r="B189">
        <v>11.036828659999999</v>
      </c>
      <c r="C189" t="s">
        <v>34</v>
      </c>
      <c r="D189">
        <v>21.425609999999999</v>
      </c>
      <c r="E189">
        <v>90.639021959999994</v>
      </c>
      <c r="F189" t="s">
        <v>35</v>
      </c>
      <c r="G189">
        <v>2124.5504599999999</v>
      </c>
      <c r="H189">
        <v>159.68666020000001</v>
      </c>
      <c r="I189">
        <v>33.322145089999999</v>
      </c>
      <c r="J189">
        <v>30.751028600000001</v>
      </c>
      <c r="K189">
        <v>7.8869310080000004</v>
      </c>
      <c r="L189" t="s">
        <v>35</v>
      </c>
      <c r="M189" t="s">
        <v>35</v>
      </c>
      <c r="N189">
        <v>5771.1890880000001</v>
      </c>
      <c r="O189" s="1" t="s">
        <v>986</v>
      </c>
      <c r="P189" t="s">
        <v>65</v>
      </c>
      <c r="Q189" t="s">
        <v>1069</v>
      </c>
      <c r="R189" t="s">
        <v>1076</v>
      </c>
      <c r="S189" t="s">
        <v>1064</v>
      </c>
      <c r="T189" s="3">
        <v>18937</v>
      </c>
      <c r="U189" s="3">
        <v>43735</v>
      </c>
      <c r="V189">
        <v>67</v>
      </c>
      <c r="W189">
        <v>4</v>
      </c>
      <c r="X189" t="s">
        <v>1061</v>
      </c>
      <c r="Y189" t="s">
        <v>1060</v>
      </c>
      <c r="Z189">
        <v>9</v>
      </c>
      <c r="AB189" t="str">
        <f t="shared" si="11"/>
        <v>TRUE</v>
      </c>
    </row>
    <row r="190" spans="1:28">
      <c r="A190" t="s">
        <v>770</v>
      </c>
      <c r="B190">
        <v>4.56196761</v>
      </c>
      <c r="C190" t="s">
        <v>34</v>
      </c>
      <c r="D190">
        <v>6.2164444110000003</v>
      </c>
      <c r="E190">
        <v>132.17423400000001</v>
      </c>
      <c r="F190">
        <v>94.227918399999993</v>
      </c>
      <c r="G190" t="s">
        <v>35</v>
      </c>
      <c r="H190">
        <v>302.68281969999998</v>
      </c>
      <c r="I190">
        <v>5.9062012450000001</v>
      </c>
      <c r="J190">
        <v>13.738105040000001</v>
      </c>
      <c r="K190">
        <v>1.124002433</v>
      </c>
      <c r="L190">
        <v>592.30468819999999</v>
      </c>
      <c r="M190">
        <v>2.5246820130000001</v>
      </c>
      <c r="N190">
        <v>12589.81979</v>
      </c>
      <c r="O190" s="1" t="s">
        <v>987</v>
      </c>
      <c r="P190" t="s">
        <v>770</v>
      </c>
      <c r="Q190" t="s">
        <v>1069</v>
      </c>
      <c r="R190" t="s">
        <v>1070</v>
      </c>
      <c r="S190" t="s">
        <v>1068</v>
      </c>
      <c r="T190" s="3">
        <v>22293</v>
      </c>
      <c r="U190" s="3">
        <v>43741</v>
      </c>
      <c r="V190">
        <f t="shared" ref="V190:V198" si="13">DATEDIF(T190,U190,"Y")</f>
        <v>58</v>
      </c>
      <c r="W190">
        <v>3</v>
      </c>
      <c r="X190" t="s">
        <v>1065</v>
      </c>
      <c r="Y190" t="s">
        <v>1060</v>
      </c>
      <c r="Z190">
        <v>1</v>
      </c>
      <c r="AB190" t="str">
        <f t="shared" si="11"/>
        <v>TRUE</v>
      </c>
    </row>
    <row r="191" spans="1:28">
      <c r="A191" t="s">
        <v>761</v>
      </c>
      <c r="B191">
        <v>7.5833667030000003</v>
      </c>
      <c r="C191" t="s">
        <v>34</v>
      </c>
      <c r="D191">
        <v>10.06817466</v>
      </c>
      <c r="E191">
        <v>191.6873047</v>
      </c>
      <c r="F191">
        <v>84.018105370000001</v>
      </c>
      <c r="G191" t="s">
        <v>35</v>
      </c>
      <c r="H191">
        <v>350.18183909999999</v>
      </c>
      <c r="I191">
        <v>13.38676519</v>
      </c>
      <c r="J191">
        <v>13.91668836</v>
      </c>
      <c r="K191">
        <v>3.6803033850000002</v>
      </c>
      <c r="L191">
        <v>565.41227579999997</v>
      </c>
      <c r="M191">
        <v>1.705807222</v>
      </c>
      <c r="N191">
        <v>11617.11692</v>
      </c>
      <c r="O191" s="1" t="s">
        <v>988</v>
      </c>
      <c r="P191" t="s">
        <v>761</v>
      </c>
      <c r="Q191" t="s">
        <v>1069</v>
      </c>
      <c r="R191" t="s">
        <v>1070</v>
      </c>
      <c r="S191" t="s">
        <v>1068</v>
      </c>
      <c r="T191" s="3">
        <v>22293</v>
      </c>
      <c r="U191" s="3">
        <v>43748</v>
      </c>
      <c r="V191">
        <f t="shared" si="13"/>
        <v>58</v>
      </c>
      <c r="W191">
        <v>4</v>
      </c>
      <c r="X191" t="s">
        <v>1065</v>
      </c>
      <c r="Y191" t="s">
        <v>1060</v>
      </c>
      <c r="Z191">
        <v>1</v>
      </c>
      <c r="AB191" t="str">
        <f t="shared" si="11"/>
        <v>TRUE</v>
      </c>
    </row>
    <row r="192" spans="1:28">
      <c r="A192" t="s">
        <v>245</v>
      </c>
      <c r="B192">
        <v>5.0756111439999998</v>
      </c>
      <c r="C192" t="s">
        <v>34</v>
      </c>
      <c r="D192">
        <v>10.444081369999999</v>
      </c>
      <c r="E192">
        <v>39.108166779999998</v>
      </c>
      <c r="F192">
        <v>66.194015449999995</v>
      </c>
      <c r="G192">
        <v>3609.0936190000002</v>
      </c>
      <c r="H192">
        <v>192.1168648</v>
      </c>
      <c r="I192">
        <v>9.2843353450000006</v>
      </c>
      <c r="J192">
        <v>6.5296640119999996</v>
      </c>
      <c r="K192">
        <v>6.4491339720000003</v>
      </c>
      <c r="L192">
        <v>371.71703009999999</v>
      </c>
      <c r="M192">
        <v>2.2547106220000002</v>
      </c>
      <c r="N192">
        <v>10855.75669</v>
      </c>
      <c r="O192" s="1" t="s">
        <v>989</v>
      </c>
      <c r="P192" t="s">
        <v>245</v>
      </c>
      <c r="Q192" t="s">
        <v>1062</v>
      </c>
      <c r="R192" t="s">
        <v>1063</v>
      </c>
      <c r="S192" t="s">
        <v>1068</v>
      </c>
      <c r="T192" s="3">
        <v>34948</v>
      </c>
      <c r="U192" s="3">
        <v>43755</v>
      </c>
      <c r="V192">
        <f t="shared" si="13"/>
        <v>24</v>
      </c>
      <c r="W192">
        <v>6</v>
      </c>
      <c r="X192" t="s">
        <v>1065</v>
      </c>
      <c r="Y192">
        <v>15</v>
      </c>
      <c r="Z192">
        <v>1</v>
      </c>
      <c r="AB192" t="str">
        <f t="shared" si="11"/>
        <v>TRUE</v>
      </c>
    </row>
    <row r="193" spans="1:28">
      <c r="A193" t="s">
        <v>764</v>
      </c>
      <c r="B193">
        <v>10.26793784</v>
      </c>
      <c r="C193" t="s">
        <v>34</v>
      </c>
      <c r="D193">
        <v>12.27972845</v>
      </c>
      <c r="E193" t="s">
        <v>35</v>
      </c>
      <c r="F193">
        <v>74.301432129999995</v>
      </c>
      <c r="G193" t="s">
        <v>35</v>
      </c>
      <c r="H193">
        <v>383.67986509999997</v>
      </c>
      <c r="I193">
        <v>12.9452962</v>
      </c>
      <c r="J193">
        <v>11.243932819999999</v>
      </c>
      <c r="K193">
        <v>4.5072057299999999</v>
      </c>
      <c r="L193">
        <v>560.1698136</v>
      </c>
      <c r="M193">
        <v>1.31082718</v>
      </c>
      <c r="N193">
        <v>14374.34519</v>
      </c>
      <c r="O193" s="1" t="s">
        <v>990</v>
      </c>
      <c r="P193" t="s">
        <v>764</v>
      </c>
      <c r="Q193" t="s">
        <v>1069</v>
      </c>
      <c r="R193" t="s">
        <v>1070</v>
      </c>
      <c r="S193" t="s">
        <v>1068</v>
      </c>
      <c r="T193" s="3">
        <v>22293</v>
      </c>
      <c r="U193" s="3">
        <v>43754</v>
      </c>
      <c r="V193">
        <f t="shared" si="13"/>
        <v>58</v>
      </c>
      <c r="W193">
        <v>5</v>
      </c>
      <c r="X193" t="s">
        <v>1065</v>
      </c>
      <c r="Y193">
        <v>254</v>
      </c>
      <c r="Z193">
        <v>2</v>
      </c>
      <c r="AB193" t="str">
        <f t="shared" si="11"/>
        <v>TRUE</v>
      </c>
    </row>
    <row r="194" spans="1:28">
      <c r="A194" t="s">
        <v>503</v>
      </c>
      <c r="B194">
        <v>4.7528143409999997</v>
      </c>
      <c r="C194" t="s">
        <v>34</v>
      </c>
      <c r="D194">
        <v>10.692198940000001</v>
      </c>
      <c r="E194">
        <v>166.5290564</v>
      </c>
      <c r="F194">
        <v>116.95133970000001</v>
      </c>
      <c r="G194">
        <v>4997.0294649999996</v>
      </c>
      <c r="H194">
        <v>312.0697073</v>
      </c>
      <c r="I194">
        <v>12.254662639999999</v>
      </c>
      <c r="J194">
        <v>18.674160149999999</v>
      </c>
      <c r="K194">
        <v>2.2465542510000001</v>
      </c>
      <c r="L194">
        <v>777.63959639999996</v>
      </c>
      <c r="M194">
        <v>2.1428406249999998</v>
      </c>
      <c r="N194">
        <v>13298.10816</v>
      </c>
      <c r="O194" s="1" t="s">
        <v>991</v>
      </c>
      <c r="P194" t="s">
        <v>503</v>
      </c>
      <c r="Q194" t="s">
        <v>1069</v>
      </c>
      <c r="R194" t="s">
        <v>1077</v>
      </c>
      <c r="S194" t="s">
        <v>1068</v>
      </c>
      <c r="T194" s="3">
        <v>19925</v>
      </c>
      <c r="U194" s="3">
        <v>43705</v>
      </c>
      <c r="V194">
        <f t="shared" si="13"/>
        <v>65</v>
      </c>
      <c r="W194">
        <v>5</v>
      </c>
      <c r="X194" t="s">
        <v>1065</v>
      </c>
      <c r="Y194">
        <v>122</v>
      </c>
      <c r="Z194">
        <v>2</v>
      </c>
      <c r="AB194" t="str">
        <f t="shared" si="11"/>
        <v>TRUE</v>
      </c>
    </row>
    <row r="195" spans="1:28">
      <c r="A195" t="s">
        <v>623</v>
      </c>
      <c r="B195">
        <v>4.6375261160000001</v>
      </c>
      <c r="C195" t="s">
        <v>34</v>
      </c>
      <c r="D195">
        <v>5.5427857950000003</v>
      </c>
      <c r="E195" t="s">
        <v>35</v>
      </c>
      <c r="F195">
        <v>72.123737849999998</v>
      </c>
      <c r="G195">
        <v>4881.7282939999996</v>
      </c>
      <c r="H195">
        <v>297.22103620000001</v>
      </c>
      <c r="I195">
        <v>4.595246414</v>
      </c>
      <c r="J195">
        <v>13.0653875</v>
      </c>
      <c r="K195">
        <v>0.86378378700000003</v>
      </c>
      <c r="L195">
        <v>420.15139099999999</v>
      </c>
      <c r="M195">
        <v>1.7694565760000001</v>
      </c>
      <c r="N195">
        <v>11116.246639999999</v>
      </c>
      <c r="O195" s="1" t="s">
        <v>992</v>
      </c>
      <c r="P195" t="s">
        <v>623</v>
      </c>
      <c r="Q195" t="s">
        <v>1069</v>
      </c>
      <c r="R195" t="s">
        <v>1073</v>
      </c>
      <c r="S195" t="s">
        <v>1064</v>
      </c>
      <c r="T195" s="3">
        <v>31009</v>
      </c>
      <c r="U195" s="3">
        <v>43699</v>
      </c>
      <c r="V195">
        <f t="shared" si="13"/>
        <v>34</v>
      </c>
      <c r="W195">
        <v>1</v>
      </c>
      <c r="X195" t="s">
        <v>1061</v>
      </c>
      <c r="Y195">
        <v>2000</v>
      </c>
      <c r="Z195">
        <v>10</v>
      </c>
      <c r="AB195" t="str">
        <f t="shared" si="11"/>
        <v>TRUE</v>
      </c>
    </row>
    <row r="196" spans="1:28">
      <c r="A196" t="s">
        <v>773</v>
      </c>
      <c r="B196">
        <v>4.5834858360000004</v>
      </c>
      <c r="C196" t="s">
        <v>34</v>
      </c>
      <c r="D196">
        <v>7.6428640190000001</v>
      </c>
      <c r="E196">
        <v>187.37151750000001</v>
      </c>
      <c r="F196">
        <v>60.531537210000003</v>
      </c>
      <c r="G196" t="s">
        <v>35</v>
      </c>
      <c r="H196">
        <v>175.63411690000001</v>
      </c>
      <c r="I196">
        <v>12.0097123</v>
      </c>
      <c r="J196">
        <v>11.917823840000001</v>
      </c>
      <c r="K196">
        <v>3.6735185420000001</v>
      </c>
      <c r="L196">
        <v>455.97067390000001</v>
      </c>
      <c r="M196">
        <v>1.457518506</v>
      </c>
      <c r="N196">
        <v>12145.007310000001</v>
      </c>
      <c r="O196" s="1" t="s">
        <v>993</v>
      </c>
      <c r="P196" t="s">
        <v>773</v>
      </c>
      <c r="Q196" t="s">
        <v>1069</v>
      </c>
      <c r="R196" t="s">
        <v>1070</v>
      </c>
      <c r="S196" t="s">
        <v>1068</v>
      </c>
      <c r="T196" s="3">
        <v>22293</v>
      </c>
      <c r="U196" s="3">
        <v>43788</v>
      </c>
      <c r="V196">
        <f t="shared" si="13"/>
        <v>58</v>
      </c>
      <c r="W196">
        <v>6</v>
      </c>
      <c r="X196" t="s">
        <v>1065</v>
      </c>
      <c r="Y196">
        <v>467</v>
      </c>
      <c r="Z196">
        <v>1</v>
      </c>
      <c r="AB196" t="str">
        <f t="shared" ref="AB196:AB260" si="14">IF(P196=A196, "TRUE", "FALSE")</f>
        <v>TRUE</v>
      </c>
    </row>
    <row r="197" spans="1:28">
      <c r="A197" t="s">
        <v>128</v>
      </c>
      <c r="B197">
        <v>3.6067866999999998</v>
      </c>
      <c r="C197" t="s">
        <v>34</v>
      </c>
      <c r="D197">
        <v>7.3953771770000003</v>
      </c>
      <c r="E197" t="s">
        <v>35</v>
      </c>
      <c r="F197">
        <v>29.05757826</v>
      </c>
      <c r="G197" t="s">
        <v>35</v>
      </c>
      <c r="H197">
        <v>310.79271699999998</v>
      </c>
      <c r="I197">
        <v>5.0079380440000003</v>
      </c>
      <c r="J197">
        <v>10.829731880000001</v>
      </c>
      <c r="K197">
        <v>1.8496176259999999</v>
      </c>
      <c r="L197">
        <v>247.22463310000001</v>
      </c>
      <c r="M197">
        <v>1.119033282</v>
      </c>
      <c r="N197">
        <v>12572.71175</v>
      </c>
      <c r="O197" s="1" t="s">
        <v>994</v>
      </c>
      <c r="P197" t="s">
        <v>128</v>
      </c>
      <c r="Q197" t="s">
        <v>1069</v>
      </c>
      <c r="R197" t="s">
        <v>1073</v>
      </c>
      <c r="S197" t="s">
        <v>1068</v>
      </c>
      <c r="T197" s="3">
        <v>29371</v>
      </c>
      <c r="U197" s="3">
        <v>43791</v>
      </c>
      <c r="V197">
        <f t="shared" si="13"/>
        <v>39</v>
      </c>
      <c r="W197">
        <v>2</v>
      </c>
      <c r="X197" t="s">
        <v>1065</v>
      </c>
      <c r="Y197" t="s">
        <v>1060</v>
      </c>
      <c r="Z197">
        <v>5</v>
      </c>
      <c r="AB197" t="str">
        <f t="shared" si="14"/>
        <v>TRUE</v>
      </c>
    </row>
    <row r="198" spans="1:28">
      <c r="A198" t="s">
        <v>122</v>
      </c>
      <c r="B198">
        <v>4.5779386899999999</v>
      </c>
      <c r="C198" t="s">
        <v>34</v>
      </c>
      <c r="D198">
        <v>8.2110648180000005</v>
      </c>
      <c r="E198" t="s">
        <v>35</v>
      </c>
      <c r="F198">
        <v>34.419377930000003</v>
      </c>
      <c r="G198" t="s">
        <v>35</v>
      </c>
      <c r="H198">
        <v>246.4057085</v>
      </c>
      <c r="I198">
        <v>5.0317060930000004</v>
      </c>
      <c r="J198">
        <v>13.44940984</v>
      </c>
      <c r="K198">
        <v>2.112079305</v>
      </c>
      <c r="L198">
        <v>287.93966399999999</v>
      </c>
      <c r="M198">
        <v>1.0758672419999999</v>
      </c>
      <c r="N198">
        <v>17857.365549999999</v>
      </c>
      <c r="O198" s="1" t="s">
        <v>995</v>
      </c>
      <c r="P198" t="s">
        <v>122</v>
      </c>
      <c r="Q198" t="s">
        <v>1069</v>
      </c>
      <c r="R198" t="s">
        <v>1073</v>
      </c>
      <c r="S198" t="s">
        <v>1068</v>
      </c>
      <c r="T198" s="3">
        <v>29371</v>
      </c>
      <c r="U198" s="3">
        <v>43798</v>
      </c>
      <c r="V198">
        <f t="shared" si="13"/>
        <v>39</v>
      </c>
      <c r="W198">
        <v>3</v>
      </c>
      <c r="X198" t="s">
        <v>1065</v>
      </c>
      <c r="Y198" t="s">
        <v>1060</v>
      </c>
      <c r="Z198">
        <v>5</v>
      </c>
      <c r="AB198" t="str">
        <f t="shared" si="14"/>
        <v>TRUE</v>
      </c>
    </row>
    <row r="199" spans="1:28">
      <c r="A199" t="s">
        <v>779</v>
      </c>
      <c r="B199">
        <v>17.937510150000001</v>
      </c>
      <c r="C199" t="s">
        <v>34</v>
      </c>
      <c r="D199">
        <v>23.88238827</v>
      </c>
      <c r="E199">
        <v>24.536543829999999</v>
      </c>
      <c r="F199">
        <v>165.97196020000001</v>
      </c>
      <c r="G199" t="s">
        <v>35</v>
      </c>
      <c r="H199">
        <v>684.91579490000004</v>
      </c>
      <c r="I199">
        <v>12.695021150000001</v>
      </c>
      <c r="J199">
        <v>11.306287599999999</v>
      </c>
      <c r="K199">
        <v>20.223544929999999</v>
      </c>
      <c r="L199">
        <v>564.38282160000006</v>
      </c>
      <c r="M199">
        <v>1.4192785699999999</v>
      </c>
      <c r="N199">
        <v>16560.79638</v>
      </c>
      <c r="O199" s="1" t="s">
        <v>996</v>
      </c>
      <c r="P199" t="s">
        <v>779</v>
      </c>
      <c r="Q199" t="s">
        <v>1069</v>
      </c>
      <c r="R199" t="s">
        <v>1070</v>
      </c>
      <c r="S199" t="s">
        <v>1068</v>
      </c>
      <c r="T199" s="3">
        <v>33023</v>
      </c>
      <c r="U199" s="3">
        <v>43798</v>
      </c>
      <c r="V199">
        <v>29</v>
      </c>
      <c r="W199">
        <v>2</v>
      </c>
      <c r="X199" t="s">
        <v>1061</v>
      </c>
      <c r="Y199" t="s">
        <v>1060</v>
      </c>
      <c r="Z199">
        <v>3</v>
      </c>
      <c r="AB199" t="str">
        <f t="shared" si="14"/>
        <v>TRUE</v>
      </c>
    </row>
    <row r="200" spans="1:28">
      <c r="A200" t="s">
        <v>53</v>
      </c>
      <c r="B200">
        <v>7.0755467120000004</v>
      </c>
      <c r="C200" t="s">
        <v>34</v>
      </c>
      <c r="D200">
        <v>8.1268170499999997</v>
      </c>
      <c r="E200">
        <v>138.90179549999999</v>
      </c>
      <c r="F200">
        <v>122.2314087</v>
      </c>
      <c r="G200" t="s">
        <v>35</v>
      </c>
      <c r="H200">
        <v>337.3605154</v>
      </c>
      <c r="I200">
        <v>23.725285230000001</v>
      </c>
      <c r="J200">
        <v>14.973786369999999</v>
      </c>
      <c r="K200">
        <v>7.9989175829999999</v>
      </c>
      <c r="L200">
        <v>555.67926790000001</v>
      </c>
      <c r="M200">
        <v>2.6302687310000001</v>
      </c>
      <c r="N200">
        <v>11448.7863</v>
      </c>
      <c r="O200" s="1" t="s">
        <v>997</v>
      </c>
      <c r="P200" t="s">
        <v>53</v>
      </c>
      <c r="Q200" t="s">
        <v>1069</v>
      </c>
      <c r="R200" t="s">
        <v>1076</v>
      </c>
      <c r="S200" t="s">
        <v>1064</v>
      </c>
      <c r="T200" s="3">
        <v>18937</v>
      </c>
      <c r="U200" s="3">
        <v>43802</v>
      </c>
      <c r="V200">
        <v>68</v>
      </c>
      <c r="W200">
        <v>5</v>
      </c>
      <c r="X200" t="s">
        <v>1061</v>
      </c>
      <c r="Y200">
        <v>2388</v>
      </c>
      <c r="Z200">
        <v>6</v>
      </c>
      <c r="AB200" t="str">
        <f t="shared" si="14"/>
        <v>TRUE</v>
      </c>
    </row>
    <row r="201" spans="1:28">
      <c r="A201" t="s">
        <v>116</v>
      </c>
      <c r="B201">
        <v>6.8343320790000002</v>
      </c>
      <c r="C201" t="s">
        <v>34</v>
      </c>
      <c r="D201">
        <v>18.854173150000001</v>
      </c>
      <c r="E201" t="s">
        <v>35</v>
      </c>
      <c r="F201">
        <v>40.227596009999999</v>
      </c>
      <c r="G201" t="s">
        <v>35</v>
      </c>
      <c r="H201">
        <v>282.576483</v>
      </c>
      <c r="I201">
        <v>7.0947151359999996</v>
      </c>
      <c r="J201">
        <v>30.945807850000001</v>
      </c>
      <c r="K201">
        <v>3.9320680160000001</v>
      </c>
      <c r="L201">
        <v>263.02751840000002</v>
      </c>
      <c r="M201">
        <v>1.1568512630000001</v>
      </c>
      <c r="N201">
        <v>12431.62844</v>
      </c>
      <c r="O201" s="1" t="s">
        <v>998</v>
      </c>
      <c r="P201" t="s">
        <v>116</v>
      </c>
      <c r="Q201" t="s">
        <v>1069</v>
      </c>
      <c r="R201" t="s">
        <v>1073</v>
      </c>
      <c r="S201" t="s">
        <v>1068</v>
      </c>
      <c r="T201" s="3">
        <v>29371</v>
      </c>
      <c r="U201" s="3">
        <v>43805</v>
      </c>
      <c r="V201">
        <f>DATEDIF(T201,U201,"Y")</f>
        <v>39</v>
      </c>
      <c r="W201">
        <v>4</v>
      </c>
      <c r="X201" t="s">
        <v>1065</v>
      </c>
      <c r="Y201" t="s">
        <v>1060</v>
      </c>
      <c r="Z201">
        <v>4</v>
      </c>
      <c r="AB201" t="str">
        <f t="shared" si="14"/>
        <v>TRUE</v>
      </c>
    </row>
    <row r="202" spans="1:28">
      <c r="A202" t="s">
        <v>788</v>
      </c>
      <c r="B202">
        <v>9.614466578</v>
      </c>
      <c r="C202" t="s">
        <v>34</v>
      </c>
      <c r="D202">
        <v>12.68179497</v>
      </c>
      <c r="E202">
        <v>21.132794010000001</v>
      </c>
      <c r="F202">
        <v>104.27768260000001</v>
      </c>
      <c r="G202" t="s">
        <v>35</v>
      </c>
      <c r="H202">
        <v>435.94818579999998</v>
      </c>
      <c r="I202">
        <v>8.8372842009999992</v>
      </c>
      <c r="J202">
        <v>9.3602206199999998</v>
      </c>
      <c r="K202">
        <v>10.54277222</v>
      </c>
      <c r="L202">
        <v>321.04982310000003</v>
      </c>
      <c r="M202">
        <v>1.5439529789999999</v>
      </c>
      <c r="N202">
        <v>10952.93492</v>
      </c>
      <c r="O202" s="1" t="s">
        <v>999</v>
      </c>
      <c r="P202" t="s">
        <v>788</v>
      </c>
      <c r="Q202" t="s">
        <v>1069</v>
      </c>
      <c r="R202" t="s">
        <v>1070</v>
      </c>
      <c r="S202" t="s">
        <v>1068</v>
      </c>
      <c r="T202" s="3">
        <v>33023</v>
      </c>
      <c r="U202" s="3">
        <v>43805</v>
      </c>
      <c r="V202">
        <v>29</v>
      </c>
      <c r="W202">
        <v>3</v>
      </c>
      <c r="X202" t="s">
        <v>1061</v>
      </c>
      <c r="Y202" t="s">
        <v>1060</v>
      </c>
      <c r="Z202">
        <v>6</v>
      </c>
      <c r="AB202" t="str">
        <f t="shared" si="14"/>
        <v>TRUE</v>
      </c>
    </row>
    <row r="203" spans="1:28">
      <c r="A203" t="s">
        <v>785</v>
      </c>
      <c r="B203">
        <v>3.8974342310000001</v>
      </c>
      <c r="C203" t="s">
        <v>34</v>
      </c>
      <c r="D203">
        <v>6.3218305130000001</v>
      </c>
      <c r="E203">
        <v>23.979671060000001</v>
      </c>
      <c r="F203">
        <v>80.94870813</v>
      </c>
      <c r="G203">
        <v>3621.353443</v>
      </c>
      <c r="H203">
        <v>282.25007090000003</v>
      </c>
      <c r="I203">
        <v>5.6398056260000002</v>
      </c>
      <c r="J203">
        <v>39.265330130000002</v>
      </c>
      <c r="K203">
        <v>3.5491290879999999</v>
      </c>
      <c r="L203">
        <v>331.18790369999999</v>
      </c>
      <c r="M203">
        <v>1.618349662</v>
      </c>
      <c r="N203">
        <v>9549.5503399999998</v>
      </c>
      <c r="O203" s="1" t="s">
        <v>1000</v>
      </c>
      <c r="P203" t="s">
        <v>785</v>
      </c>
      <c r="Q203" t="s">
        <v>1069</v>
      </c>
      <c r="R203" t="s">
        <v>1070</v>
      </c>
      <c r="S203" t="s">
        <v>1068</v>
      </c>
      <c r="T203" s="3">
        <v>33023</v>
      </c>
      <c r="U203" s="3">
        <v>43812</v>
      </c>
      <c r="V203">
        <v>29</v>
      </c>
      <c r="W203">
        <v>4</v>
      </c>
      <c r="X203" t="s">
        <v>1061</v>
      </c>
      <c r="Y203" t="s">
        <v>1060</v>
      </c>
      <c r="Z203">
        <v>6</v>
      </c>
      <c r="AB203" t="str">
        <f t="shared" si="14"/>
        <v>TRUE</v>
      </c>
    </row>
    <row r="204" spans="1:28">
      <c r="A204" t="s">
        <v>620</v>
      </c>
      <c r="B204">
        <v>4.3175117930000004</v>
      </c>
      <c r="C204" t="s">
        <v>34</v>
      </c>
      <c r="D204">
        <v>4.8195516249999999</v>
      </c>
      <c r="E204" t="s">
        <v>35</v>
      </c>
      <c r="F204">
        <v>52.418485689999997</v>
      </c>
      <c r="G204" t="s">
        <v>35</v>
      </c>
      <c r="H204">
        <v>372.47654540000002</v>
      </c>
      <c r="I204">
        <v>5.2282848389999996</v>
      </c>
      <c r="J204">
        <v>18.25287865</v>
      </c>
      <c r="K204">
        <v>1.66367273</v>
      </c>
      <c r="L204">
        <v>397.81516010000001</v>
      </c>
      <c r="M204">
        <v>1.1872721509999999</v>
      </c>
      <c r="N204">
        <v>10120.0021</v>
      </c>
      <c r="O204" s="1" t="s">
        <v>1001</v>
      </c>
      <c r="P204" t="s">
        <v>620</v>
      </c>
      <c r="Q204" t="s">
        <v>1069</v>
      </c>
      <c r="R204" t="s">
        <v>1073</v>
      </c>
      <c r="S204" t="s">
        <v>1064</v>
      </c>
      <c r="T204" s="3">
        <v>31009</v>
      </c>
      <c r="U204" s="3">
        <v>43812</v>
      </c>
      <c r="V204">
        <f>DATEDIF(T204,U204,"Y")</f>
        <v>35</v>
      </c>
      <c r="W204">
        <v>5</v>
      </c>
      <c r="X204" t="s">
        <v>1061</v>
      </c>
      <c r="Y204">
        <v>545</v>
      </c>
      <c r="Z204">
        <v>4</v>
      </c>
      <c r="AB204" t="str">
        <f t="shared" si="14"/>
        <v>TRUE</v>
      </c>
    </row>
    <row r="205" spans="1:28">
      <c r="A205" t="s">
        <v>119</v>
      </c>
      <c r="B205">
        <v>11.357535990000001</v>
      </c>
      <c r="C205" t="s">
        <v>34</v>
      </c>
      <c r="D205">
        <v>15.300217630000001</v>
      </c>
      <c r="E205">
        <v>194.43165379999999</v>
      </c>
      <c r="F205">
        <v>40.162406259999997</v>
      </c>
      <c r="G205" t="s">
        <v>35</v>
      </c>
      <c r="H205">
        <v>207.58346090000001</v>
      </c>
      <c r="I205">
        <v>8.6779756920000004</v>
      </c>
      <c r="J205">
        <v>11.26482852</v>
      </c>
      <c r="K205">
        <v>4.1162888979999996</v>
      </c>
      <c r="L205">
        <v>225.8594362</v>
      </c>
      <c r="M205">
        <v>0.69216221499999997</v>
      </c>
      <c r="N205">
        <v>9588.9064350000008</v>
      </c>
      <c r="O205" s="1" t="s">
        <v>1002</v>
      </c>
      <c r="P205" t="s">
        <v>119</v>
      </c>
      <c r="Q205" t="s">
        <v>1069</v>
      </c>
      <c r="R205" t="s">
        <v>1073</v>
      </c>
      <c r="S205" t="s">
        <v>1068</v>
      </c>
      <c r="T205" s="3">
        <v>29371</v>
      </c>
      <c r="U205" s="3">
        <v>43812</v>
      </c>
      <c r="V205">
        <f>DATEDIF(T205,U205,"Y")</f>
        <v>39</v>
      </c>
      <c r="W205">
        <v>5</v>
      </c>
      <c r="X205" t="s">
        <v>1065</v>
      </c>
      <c r="Y205">
        <v>45</v>
      </c>
      <c r="Z205">
        <v>2</v>
      </c>
      <c r="AB205" t="str">
        <f t="shared" si="14"/>
        <v>TRUE</v>
      </c>
    </row>
    <row r="206" spans="1:28">
      <c r="A206" t="s">
        <v>758</v>
      </c>
      <c r="B206">
        <v>7.3335071599999999</v>
      </c>
      <c r="C206" t="s">
        <v>34</v>
      </c>
      <c r="D206">
        <v>9.9338353010000002</v>
      </c>
      <c r="E206">
        <v>122.4309854</v>
      </c>
      <c r="F206">
        <v>65.060106750000003</v>
      </c>
      <c r="G206" t="s">
        <v>35</v>
      </c>
      <c r="H206">
        <v>228.87512670000001</v>
      </c>
      <c r="I206">
        <v>14.80914342</v>
      </c>
      <c r="J206">
        <v>13.907317490000001</v>
      </c>
      <c r="K206">
        <v>4.3465003290000004</v>
      </c>
      <c r="L206">
        <v>485.08772520000002</v>
      </c>
      <c r="M206">
        <v>1.4624663179999999</v>
      </c>
      <c r="N206">
        <v>11928.15885</v>
      </c>
      <c r="O206" s="1" t="s">
        <v>1003</v>
      </c>
      <c r="P206" t="s">
        <v>758</v>
      </c>
      <c r="Q206" t="s">
        <v>1069</v>
      </c>
      <c r="R206" t="s">
        <v>1070</v>
      </c>
      <c r="S206" t="s">
        <v>1068</v>
      </c>
      <c r="T206" s="3">
        <v>22293</v>
      </c>
      <c r="U206" s="3">
        <v>43816</v>
      </c>
      <c r="V206">
        <f>DATEDIF(T206,U206,"Y")</f>
        <v>58</v>
      </c>
      <c r="W206">
        <v>7</v>
      </c>
      <c r="X206" t="s">
        <v>1065</v>
      </c>
      <c r="Y206">
        <v>653</v>
      </c>
      <c r="Z206">
        <v>0</v>
      </c>
      <c r="AB206" t="str">
        <f t="shared" si="14"/>
        <v>TRUE</v>
      </c>
    </row>
    <row r="207" spans="1:28">
      <c r="A207" t="s">
        <v>782</v>
      </c>
      <c r="B207">
        <v>6.0189625089999996</v>
      </c>
      <c r="C207" t="s">
        <v>34</v>
      </c>
      <c r="D207">
        <v>11.5573867</v>
      </c>
      <c r="E207">
        <v>22.305496059999999</v>
      </c>
      <c r="F207">
        <v>99.465424940000005</v>
      </c>
      <c r="G207">
        <v>4478.7581410000003</v>
      </c>
      <c r="H207">
        <v>288.0217561</v>
      </c>
      <c r="I207">
        <v>8.4808032769999997</v>
      </c>
      <c r="J207">
        <v>10.13013366</v>
      </c>
      <c r="K207">
        <v>9.8771598639999993</v>
      </c>
      <c r="L207">
        <v>309.80273510000001</v>
      </c>
      <c r="M207">
        <v>1.6925745379999999</v>
      </c>
      <c r="N207">
        <v>10857.43093</v>
      </c>
      <c r="O207" s="1" t="s">
        <v>1004</v>
      </c>
      <c r="P207" t="s">
        <v>782</v>
      </c>
      <c r="Q207" t="s">
        <v>1069</v>
      </c>
      <c r="R207" t="s">
        <v>1070</v>
      </c>
      <c r="S207" t="s">
        <v>1068</v>
      </c>
      <c r="T207" s="3">
        <v>33023</v>
      </c>
      <c r="U207" s="3">
        <v>43817</v>
      </c>
      <c r="V207">
        <v>29</v>
      </c>
      <c r="W207">
        <v>5</v>
      </c>
      <c r="X207" t="s">
        <v>1061</v>
      </c>
      <c r="Y207">
        <v>368</v>
      </c>
      <c r="Z207">
        <v>7</v>
      </c>
      <c r="AB207" t="str">
        <f t="shared" si="14"/>
        <v>TRUE</v>
      </c>
    </row>
    <row r="208" spans="1:28">
      <c r="A208" t="s">
        <v>125</v>
      </c>
      <c r="B208">
        <v>4.793478307</v>
      </c>
      <c r="C208" t="s">
        <v>34</v>
      </c>
      <c r="D208">
        <v>13.229198370000001</v>
      </c>
      <c r="E208" t="s">
        <v>35</v>
      </c>
      <c r="F208">
        <v>42.995678310000002</v>
      </c>
      <c r="G208" t="s">
        <v>35</v>
      </c>
      <c r="H208">
        <v>218.96337349999999</v>
      </c>
      <c r="I208">
        <v>7.4581658729999996</v>
      </c>
      <c r="J208">
        <v>8.6222006150000006</v>
      </c>
      <c r="K208">
        <v>2.5256719080000001</v>
      </c>
      <c r="L208">
        <v>328.93790669999998</v>
      </c>
      <c r="M208">
        <v>1.4807237369999999</v>
      </c>
      <c r="N208">
        <v>9550.9339889999992</v>
      </c>
      <c r="O208" s="1" t="s">
        <v>1005</v>
      </c>
      <c r="P208" t="s">
        <v>125</v>
      </c>
      <c r="Q208" t="s">
        <v>1069</v>
      </c>
      <c r="R208" t="s">
        <v>1073</v>
      </c>
      <c r="S208" t="s">
        <v>1068</v>
      </c>
      <c r="T208" s="3">
        <v>29371</v>
      </c>
      <c r="U208" s="3">
        <v>43840</v>
      </c>
      <c r="V208">
        <f>DATEDIF(T208,U208,"Y")</f>
        <v>39</v>
      </c>
      <c r="W208">
        <v>6</v>
      </c>
      <c r="X208" t="s">
        <v>1065</v>
      </c>
      <c r="Y208">
        <v>29</v>
      </c>
      <c r="Z208">
        <v>2</v>
      </c>
      <c r="AB208" t="str">
        <f t="shared" si="14"/>
        <v>TRUE</v>
      </c>
    </row>
    <row r="209" spans="1:28">
      <c r="A209" t="s">
        <v>797</v>
      </c>
      <c r="B209">
        <v>5.8653301249999998</v>
      </c>
      <c r="C209" t="s">
        <v>34</v>
      </c>
      <c r="D209">
        <v>8.3978493000000007</v>
      </c>
      <c r="E209">
        <v>28.75596058</v>
      </c>
      <c r="F209">
        <v>101.540865</v>
      </c>
      <c r="G209" t="s">
        <v>35</v>
      </c>
      <c r="H209">
        <v>253.54590020000001</v>
      </c>
      <c r="I209">
        <v>6.774147138</v>
      </c>
      <c r="J209">
        <v>8.7986410579999994</v>
      </c>
      <c r="K209">
        <v>6.0742336239999997</v>
      </c>
      <c r="L209">
        <v>301.7006844</v>
      </c>
      <c r="M209">
        <v>1.53294291</v>
      </c>
      <c r="N209">
        <v>10193.32123</v>
      </c>
      <c r="O209" s="1" t="s">
        <v>1006</v>
      </c>
      <c r="P209" t="s">
        <v>797</v>
      </c>
      <c r="Q209" t="s">
        <v>1069</v>
      </c>
      <c r="R209" t="s">
        <v>1070</v>
      </c>
      <c r="S209" t="s">
        <v>1068</v>
      </c>
      <c r="T209" s="3">
        <v>33023</v>
      </c>
      <c r="U209" s="3">
        <v>43847</v>
      </c>
      <c r="V209">
        <v>29</v>
      </c>
      <c r="W209">
        <v>6</v>
      </c>
      <c r="X209" t="s">
        <v>1061</v>
      </c>
      <c r="Y209">
        <v>426</v>
      </c>
      <c r="Z209">
        <v>3</v>
      </c>
      <c r="AB209" t="str">
        <f t="shared" si="14"/>
        <v>TRUE</v>
      </c>
    </row>
    <row r="210" spans="1:28">
      <c r="A210" t="s">
        <v>539</v>
      </c>
      <c r="B210">
        <v>7.4722535609999996</v>
      </c>
      <c r="C210" t="s">
        <v>34</v>
      </c>
      <c r="D210">
        <v>9.2588765530000003</v>
      </c>
      <c r="E210">
        <v>116.6964627</v>
      </c>
      <c r="F210">
        <v>67.607316569999995</v>
      </c>
      <c r="G210" t="s">
        <v>35</v>
      </c>
      <c r="H210">
        <v>382.0525586</v>
      </c>
      <c r="I210">
        <v>11.92194795</v>
      </c>
      <c r="J210">
        <v>13.9784115</v>
      </c>
      <c r="K210">
        <v>5.2718753019999998</v>
      </c>
      <c r="L210">
        <v>461.24796579999997</v>
      </c>
      <c r="M210">
        <v>1.3213287899999999</v>
      </c>
      <c r="N210">
        <v>11803.21825</v>
      </c>
      <c r="O210" s="1" t="s">
        <v>1007</v>
      </c>
      <c r="P210" t="s">
        <v>539</v>
      </c>
      <c r="Q210" t="s">
        <v>1062</v>
      </c>
      <c r="R210" t="s">
        <v>1067</v>
      </c>
      <c r="S210" t="s">
        <v>1068</v>
      </c>
      <c r="T210" s="3">
        <v>29354</v>
      </c>
      <c r="U210" s="3">
        <v>43868</v>
      </c>
      <c r="V210">
        <f>DATEDIF(T210,U210,"Y")</f>
        <v>39</v>
      </c>
      <c r="W210">
        <v>1</v>
      </c>
      <c r="X210" t="s">
        <v>1061</v>
      </c>
      <c r="Y210">
        <v>11611</v>
      </c>
      <c r="Z210">
        <v>10</v>
      </c>
      <c r="AB210" t="str">
        <f t="shared" si="14"/>
        <v>TRUE</v>
      </c>
    </row>
    <row r="211" spans="1:28">
      <c r="A211" t="s">
        <v>542</v>
      </c>
      <c r="B211">
        <v>6.3083267540000003</v>
      </c>
      <c r="C211" t="s">
        <v>34</v>
      </c>
      <c r="D211">
        <v>10.339641719999999</v>
      </c>
      <c r="E211">
        <v>183.38101259999999</v>
      </c>
      <c r="F211">
        <v>65.213577849999993</v>
      </c>
      <c r="G211" t="s">
        <v>35</v>
      </c>
      <c r="H211">
        <v>453.55795010000003</v>
      </c>
      <c r="I211">
        <v>11.424562079999999</v>
      </c>
      <c r="J211">
        <v>8.2756105469999994</v>
      </c>
      <c r="K211">
        <v>3.6899990730000001</v>
      </c>
      <c r="L211">
        <v>529.76491920000001</v>
      </c>
      <c r="M211">
        <v>1.2862698969999999</v>
      </c>
      <c r="N211">
        <v>11642.67353</v>
      </c>
      <c r="O211" s="1" t="s">
        <v>1008</v>
      </c>
      <c r="P211" t="s">
        <v>542</v>
      </c>
      <c r="Q211" t="s">
        <v>1062</v>
      </c>
      <c r="R211" t="s">
        <v>1067</v>
      </c>
      <c r="S211" t="s">
        <v>1068</v>
      </c>
      <c r="T211" s="3">
        <v>29354</v>
      </c>
      <c r="U211" s="3">
        <v>43875</v>
      </c>
      <c r="V211">
        <f>DATEDIF(T211,U211,"Y")</f>
        <v>39</v>
      </c>
      <c r="W211">
        <v>2</v>
      </c>
      <c r="X211" t="s">
        <v>1061</v>
      </c>
      <c r="Y211" t="s">
        <v>1060</v>
      </c>
      <c r="Z211">
        <v>10</v>
      </c>
      <c r="AB211" t="str">
        <f t="shared" si="14"/>
        <v>TRUE</v>
      </c>
    </row>
    <row r="212" spans="1:28">
      <c r="A212" t="s">
        <v>794</v>
      </c>
      <c r="B212">
        <v>7.9318903460000003</v>
      </c>
      <c r="C212" t="s">
        <v>34</v>
      </c>
      <c r="D212">
        <v>7.9561385900000001</v>
      </c>
      <c r="E212">
        <v>35.218173110000002</v>
      </c>
      <c r="F212">
        <v>70.944026179999994</v>
      </c>
      <c r="G212" t="s">
        <v>35</v>
      </c>
      <c r="H212">
        <v>288.74643809999998</v>
      </c>
      <c r="I212">
        <v>5.2191964500000001</v>
      </c>
      <c r="J212">
        <v>11.47366768</v>
      </c>
      <c r="K212">
        <v>2.9859594079999998</v>
      </c>
      <c r="L212">
        <v>300.68793979999998</v>
      </c>
      <c r="M212">
        <v>1.18338535</v>
      </c>
      <c r="N212">
        <v>10866.566860000001</v>
      </c>
      <c r="O212" s="1" t="s">
        <v>1009</v>
      </c>
      <c r="P212" t="s">
        <v>794</v>
      </c>
      <c r="Q212" t="s">
        <v>1069</v>
      </c>
      <c r="R212" t="s">
        <v>1070</v>
      </c>
      <c r="S212" t="s">
        <v>1068</v>
      </c>
      <c r="T212" s="3">
        <v>33023</v>
      </c>
      <c r="U212" s="3">
        <v>43875</v>
      </c>
      <c r="V212">
        <v>29</v>
      </c>
      <c r="W212">
        <v>7</v>
      </c>
      <c r="X212" t="s">
        <v>1061</v>
      </c>
      <c r="Y212">
        <v>391</v>
      </c>
      <c r="Z212">
        <v>2</v>
      </c>
      <c r="AB212" t="str">
        <f t="shared" si="14"/>
        <v>TRUE</v>
      </c>
    </row>
    <row r="213" spans="1:28">
      <c r="A213" t="s">
        <v>545</v>
      </c>
      <c r="B213">
        <v>6.0979461690000001</v>
      </c>
      <c r="C213" t="s">
        <v>34</v>
      </c>
      <c r="D213">
        <v>10.975985379999999</v>
      </c>
      <c r="E213" t="s">
        <v>35</v>
      </c>
      <c r="F213">
        <v>59.18160134</v>
      </c>
      <c r="G213" t="s">
        <v>35</v>
      </c>
      <c r="H213">
        <v>279.95265760000001</v>
      </c>
      <c r="I213">
        <v>10.88262868</v>
      </c>
      <c r="J213">
        <v>10.45781519</v>
      </c>
      <c r="K213">
        <v>4.5732057890000002</v>
      </c>
      <c r="L213">
        <v>408.51719960000003</v>
      </c>
      <c r="M213">
        <v>1.5504883389999999</v>
      </c>
      <c r="N213">
        <v>14099.08489</v>
      </c>
      <c r="O213" s="1" t="s">
        <v>1010</v>
      </c>
      <c r="P213" t="s">
        <v>545</v>
      </c>
      <c r="Q213" t="s">
        <v>1062</v>
      </c>
      <c r="R213" t="s">
        <v>1067</v>
      </c>
      <c r="S213" t="s">
        <v>1068</v>
      </c>
      <c r="T213" s="3">
        <v>29354</v>
      </c>
      <c r="U213" s="3">
        <v>43882</v>
      </c>
      <c r="V213">
        <f t="shared" ref="V213:V228" si="15">DATEDIF(T213,U213,"Y")</f>
        <v>39</v>
      </c>
      <c r="W213">
        <v>3</v>
      </c>
      <c r="X213" t="s">
        <v>1061</v>
      </c>
      <c r="Y213" t="s">
        <v>1060</v>
      </c>
      <c r="Z213">
        <v>6</v>
      </c>
      <c r="AB213" t="str">
        <f t="shared" si="14"/>
        <v>TRUE</v>
      </c>
    </row>
    <row r="214" spans="1:28">
      <c r="A214" t="s">
        <v>749</v>
      </c>
      <c r="B214">
        <v>8.2224323290000001</v>
      </c>
      <c r="C214" t="s">
        <v>34</v>
      </c>
      <c r="D214">
        <v>6.2534319280000004</v>
      </c>
      <c r="E214">
        <v>117.9701082</v>
      </c>
      <c r="F214">
        <v>70.606274459999995</v>
      </c>
      <c r="G214" t="s">
        <v>35</v>
      </c>
      <c r="H214">
        <v>243.1871586</v>
      </c>
      <c r="I214">
        <v>8.8438021130000006</v>
      </c>
      <c r="J214">
        <v>9.3711885450000008</v>
      </c>
      <c r="K214">
        <v>2.957918163</v>
      </c>
      <c r="L214">
        <v>521.13182919999997</v>
      </c>
      <c r="M214">
        <v>1.3688390930000001</v>
      </c>
      <c r="N214">
        <v>11563.860720000001</v>
      </c>
      <c r="O214" s="1" t="s">
        <v>1011</v>
      </c>
      <c r="P214" t="s">
        <v>749</v>
      </c>
      <c r="Q214" t="s">
        <v>1069</v>
      </c>
      <c r="R214" t="s">
        <v>1077</v>
      </c>
      <c r="S214" t="s">
        <v>1064</v>
      </c>
      <c r="T214" s="3">
        <v>26203</v>
      </c>
      <c r="U214" s="3">
        <v>43885</v>
      </c>
      <c r="V214">
        <f t="shared" si="15"/>
        <v>48</v>
      </c>
      <c r="W214">
        <v>1</v>
      </c>
      <c r="X214" t="s">
        <v>1065</v>
      </c>
      <c r="Y214">
        <v>247</v>
      </c>
      <c r="Z214">
        <v>6</v>
      </c>
      <c r="AB214" t="str">
        <f t="shared" si="14"/>
        <v>TRUE</v>
      </c>
    </row>
    <row r="215" spans="1:28">
      <c r="A215" t="s">
        <v>536</v>
      </c>
      <c r="B215">
        <v>6.0602215519999998</v>
      </c>
      <c r="C215" t="s">
        <v>34</v>
      </c>
      <c r="D215">
        <v>8.7348856339999994</v>
      </c>
      <c r="E215">
        <v>119.5846233</v>
      </c>
      <c r="F215">
        <v>62.263987010000001</v>
      </c>
      <c r="G215" t="s">
        <v>35</v>
      </c>
      <c r="H215">
        <v>457.7952679</v>
      </c>
      <c r="I215">
        <v>9.3665393019999996</v>
      </c>
      <c r="J215">
        <v>11.030041239999999</v>
      </c>
      <c r="K215">
        <v>3.3138519899999999</v>
      </c>
      <c r="L215">
        <v>455.7140119</v>
      </c>
      <c r="M215">
        <v>1.2939023409999999</v>
      </c>
      <c r="N215">
        <v>11473.338309999999</v>
      </c>
      <c r="O215" s="1" t="s">
        <v>1012</v>
      </c>
      <c r="P215" t="s">
        <v>536</v>
      </c>
      <c r="Q215" t="s">
        <v>1062</v>
      </c>
      <c r="R215" t="s">
        <v>1067</v>
      </c>
      <c r="S215" t="s">
        <v>1068</v>
      </c>
      <c r="T215" s="3">
        <v>29354</v>
      </c>
      <c r="U215" s="3">
        <v>43889</v>
      </c>
      <c r="V215">
        <f t="shared" si="15"/>
        <v>39</v>
      </c>
      <c r="W215">
        <v>4</v>
      </c>
      <c r="X215" t="s">
        <v>1061</v>
      </c>
      <c r="Y215" t="s">
        <v>1060</v>
      </c>
      <c r="Z215">
        <v>8</v>
      </c>
      <c r="AB215" t="str">
        <f t="shared" si="14"/>
        <v>TRUE</v>
      </c>
    </row>
    <row r="216" spans="1:28">
      <c r="A216" t="s">
        <v>752</v>
      </c>
      <c r="B216">
        <v>4.5629106930000001</v>
      </c>
      <c r="C216" t="s">
        <v>34</v>
      </c>
      <c r="D216">
        <v>5.9529699340000004</v>
      </c>
      <c r="E216">
        <v>51.759768540000003</v>
      </c>
      <c r="F216">
        <v>55.425899880000003</v>
      </c>
      <c r="G216" t="s">
        <v>35</v>
      </c>
      <c r="H216">
        <v>195.3799052</v>
      </c>
      <c r="I216">
        <v>10.4281986</v>
      </c>
      <c r="J216">
        <v>6.0552150960000004</v>
      </c>
      <c r="K216">
        <v>2.0751521959999999</v>
      </c>
      <c r="L216">
        <v>376.16087900000002</v>
      </c>
      <c r="M216">
        <v>1.5069741560000001</v>
      </c>
      <c r="N216">
        <v>8902.9033689999997</v>
      </c>
      <c r="O216" s="1" t="s">
        <v>1013</v>
      </c>
      <c r="P216" t="s">
        <v>752</v>
      </c>
      <c r="Q216" t="s">
        <v>1069</v>
      </c>
      <c r="R216" t="s">
        <v>1077</v>
      </c>
      <c r="S216" t="s">
        <v>1064</v>
      </c>
      <c r="T216" s="3">
        <v>26203</v>
      </c>
      <c r="U216" s="3">
        <v>43892</v>
      </c>
      <c r="V216">
        <f t="shared" si="15"/>
        <v>48</v>
      </c>
      <c r="W216">
        <v>2</v>
      </c>
      <c r="X216" t="s">
        <v>1065</v>
      </c>
      <c r="Y216" t="s">
        <v>1060</v>
      </c>
      <c r="Z216">
        <v>5</v>
      </c>
      <c r="AB216" t="str">
        <f t="shared" si="14"/>
        <v>TRUE</v>
      </c>
    </row>
    <row r="217" spans="1:28">
      <c r="A217" t="s">
        <v>548</v>
      </c>
      <c r="B217">
        <v>4.949928237</v>
      </c>
      <c r="C217" t="s">
        <v>34</v>
      </c>
      <c r="D217">
        <v>8.5680271589999997</v>
      </c>
      <c r="E217">
        <v>124.3947203</v>
      </c>
      <c r="F217">
        <v>105.3707564</v>
      </c>
      <c r="G217">
        <v>4928.6884369999998</v>
      </c>
      <c r="H217">
        <v>340.6151936</v>
      </c>
      <c r="I217">
        <v>10.93925932</v>
      </c>
      <c r="J217">
        <v>9.8116330919999992</v>
      </c>
      <c r="K217">
        <v>3.9518735010000001</v>
      </c>
      <c r="L217">
        <v>568.6391509</v>
      </c>
      <c r="M217">
        <v>3.5635566330000001</v>
      </c>
      <c r="N217">
        <v>10348.803910000001</v>
      </c>
      <c r="O217" s="1" t="s">
        <v>1014</v>
      </c>
      <c r="P217" t="s">
        <v>548</v>
      </c>
      <c r="Q217" t="s">
        <v>1062</v>
      </c>
      <c r="R217" t="s">
        <v>1067</v>
      </c>
      <c r="S217" t="s">
        <v>1068</v>
      </c>
      <c r="T217" s="3">
        <v>29354</v>
      </c>
      <c r="U217" s="3">
        <v>43894</v>
      </c>
      <c r="V217">
        <f t="shared" si="15"/>
        <v>39</v>
      </c>
      <c r="W217">
        <v>5</v>
      </c>
      <c r="X217" t="s">
        <v>1061</v>
      </c>
      <c r="Y217">
        <v>4033</v>
      </c>
      <c r="Z217">
        <v>8</v>
      </c>
      <c r="AB217" t="str">
        <f t="shared" si="14"/>
        <v>TRUE</v>
      </c>
    </row>
    <row r="218" spans="1:28">
      <c r="A218" t="s">
        <v>290</v>
      </c>
      <c r="B218">
        <v>7.3093879739999998</v>
      </c>
      <c r="C218" t="s">
        <v>34</v>
      </c>
      <c r="D218">
        <v>11.868419729999999</v>
      </c>
      <c r="E218">
        <v>104.1570244</v>
      </c>
      <c r="F218">
        <v>105.9266403</v>
      </c>
      <c r="G218" t="s">
        <v>35</v>
      </c>
      <c r="H218">
        <v>266.72406960000001</v>
      </c>
      <c r="I218">
        <v>18.75352397</v>
      </c>
      <c r="J218">
        <v>7.5005594670000004</v>
      </c>
      <c r="K218">
        <v>7.6383482310000002</v>
      </c>
      <c r="L218">
        <v>636.49771480000004</v>
      </c>
      <c r="M218">
        <v>2.4613271229999998</v>
      </c>
      <c r="N218">
        <v>13913.48811</v>
      </c>
      <c r="O218" s="1" t="s">
        <v>1015</v>
      </c>
      <c r="P218" t="s">
        <v>290</v>
      </c>
      <c r="Q218" t="s">
        <v>1062</v>
      </c>
      <c r="R218" t="s">
        <v>1067</v>
      </c>
      <c r="S218" t="s">
        <v>1068</v>
      </c>
      <c r="T218" s="3">
        <v>29943</v>
      </c>
      <c r="U218" s="3">
        <v>43865</v>
      </c>
      <c r="V218">
        <f t="shared" si="15"/>
        <v>38</v>
      </c>
      <c r="W218">
        <v>2</v>
      </c>
      <c r="X218" t="s">
        <v>1061</v>
      </c>
      <c r="Y218" t="s">
        <v>1060</v>
      </c>
      <c r="Z218">
        <v>8</v>
      </c>
      <c r="AB218" t="str">
        <f t="shared" si="14"/>
        <v>TRUE</v>
      </c>
    </row>
    <row r="219" spans="1:28">
      <c r="A219" t="s">
        <v>278</v>
      </c>
      <c r="B219">
        <v>4.721281973</v>
      </c>
      <c r="C219" t="s">
        <v>34</v>
      </c>
      <c r="D219">
        <v>9.4043614229999992</v>
      </c>
      <c r="E219" t="s">
        <v>35</v>
      </c>
      <c r="F219">
        <v>106.7059604</v>
      </c>
      <c r="G219" t="s">
        <v>35</v>
      </c>
      <c r="H219">
        <v>169.94251840000001</v>
      </c>
      <c r="I219">
        <v>12.50086413</v>
      </c>
      <c r="J219">
        <v>7.8216109969999996</v>
      </c>
      <c r="K219">
        <v>4.2802517770000001</v>
      </c>
      <c r="L219">
        <v>564.55047309999998</v>
      </c>
      <c r="M219">
        <v>1.896865502</v>
      </c>
      <c r="N219">
        <v>11474.8516</v>
      </c>
      <c r="O219" s="1" t="s">
        <v>1016</v>
      </c>
      <c r="P219" t="s">
        <v>278</v>
      </c>
      <c r="Q219" t="s">
        <v>1062</v>
      </c>
      <c r="R219" t="s">
        <v>1067</v>
      </c>
      <c r="S219" t="s">
        <v>1068</v>
      </c>
      <c r="T219" s="3">
        <v>29943</v>
      </c>
      <c r="U219" s="3">
        <v>43882</v>
      </c>
      <c r="V219">
        <f t="shared" si="15"/>
        <v>38</v>
      </c>
      <c r="W219">
        <v>3</v>
      </c>
      <c r="X219" t="s">
        <v>1061</v>
      </c>
      <c r="Y219" t="s">
        <v>1060</v>
      </c>
      <c r="Z219">
        <v>11</v>
      </c>
      <c r="AB219" t="str">
        <f t="shared" si="14"/>
        <v>TRUE</v>
      </c>
    </row>
    <row r="220" spans="1:28">
      <c r="A220" t="s">
        <v>281</v>
      </c>
      <c r="B220">
        <v>9.3836612739999996</v>
      </c>
      <c r="C220" t="s">
        <v>34</v>
      </c>
      <c r="D220">
        <v>12.12698492</v>
      </c>
      <c r="E220" t="s">
        <v>35</v>
      </c>
      <c r="F220">
        <v>108.8601384</v>
      </c>
      <c r="G220" t="s">
        <v>35</v>
      </c>
      <c r="H220">
        <v>278.42332579999999</v>
      </c>
      <c r="I220">
        <v>15.42470138</v>
      </c>
      <c r="J220">
        <v>8.3658406509999992</v>
      </c>
      <c r="K220">
        <v>6.2423783259999999</v>
      </c>
      <c r="L220">
        <v>544.76923020000004</v>
      </c>
      <c r="M220">
        <v>1.9921225810000001</v>
      </c>
      <c r="N220">
        <v>10091.63048</v>
      </c>
      <c r="O220" s="1" t="s">
        <v>1017</v>
      </c>
      <c r="P220" t="s">
        <v>281</v>
      </c>
      <c r="Q220" t="s">
        <v>1062</v>
      </c>
      <c r="R220" t="s">
        <v>1067</v>
      </c>
      <c r="S220" t="s">
        <v>1064</v>
      </c>
      <c r="T220" s="3">
        <v>29943</v>
      </c>
      <c r="U220" s="3">
        <v>43889</v>
      </c>
      <c r="V220">
        <f t="shared" si="15"/>
        <v>38</v>
      </c>
      <c r="W220">
        <v>4</v>
      </c>
      <c r="X220" t="s">
        <v>1061</v>
      </c>
      <c r="Y220" t="s">
        <v>1060</v>
      </c>
      <c r="Z220">
        <v>10</v>
      </c>
      <c r="AB220" t="str">
        <f t="shared" si="14"/>
        <v>TRUE</v>
      </c>
    </row>
    <row r="221" spans="1:28">
      <c r="A221" t="s">
        <v>293</v>
      </c>
      <c r="B221">
        <v>2.8603906860000001</v>
      </c>
      <c r="C221" t="s">
        <v>34</v>
      </c>
      <c r="D221">
        <v>6.387228951</v>
      </c>
      <c r="E221">
        <v>177.57097390000001</v>
      </c>
      <c r="F221">
        <v>69.866631420000004</v>
      </c>
      <c r="G221" t="s">
        <v>35</v>
      </c>
      <c r="H221">
        <v>187.9156969</v>
      </c>
      <c r="I221">
        <v>5.5353321209999997</v>
      </c>
      <c r="J221">
        <v>14.02591209</v>
      </c>
      <c r="K221">
        <v>1.5471575900000001</v>
      </c>
      <c r="L221">
        <v>456.4076245</v>
      </c>
      <c r="M221">
        <v>2.16094177</v>
      </c>
      <c r="N221">
        <v>14491.351430000001</v>
      </c>
      <c r="O221" s="1" t="s">
        <v>1018</v>
      </c>
      <c r="P221" t="s">
        <v>293</v>
      </c>
      <c r="Q221" t="s">
        <v>1062</v>
      </c>
      <c r="R221" t="s">
        <v>1067</v>
      </c>
      <c r="S221" t="s">
        <v>1064</v>
      </c>
      <c r="T221" s="3">
        <v>29943</v>
      </c>
      <c r="U221" s="3">
        <v>43896</v>
      </c>
      <c r="V221">
        <f t="shared" si="15"/>
        <v>38</v>
      </c>
      <c r="W221">
        <v>4</v>
      </c>
      <c r="X221" t="s">
        <v>1061</v>
      </c>
      <c r="Y221">
        <v>1144</v>
      </c>
      <c r="Z221">
        <v>5</v>
      </c>
      <c r="AB221" t="str">
        <f t="shared" si="14"/>
        <v>TRUE</v>
      </c>
    </row>
    <row r="222" spans="1:28">
      <c r="A222" t="s">
        <v>134</v>
      </c>
      <c r="B222">
        <v>8.3826318840000003</v>
      </c>
      <c r="C222" t="s">
        <v>34</v>
      </c>
      <c r="D222">
        <v>9.9288170779999998</v>
      </c>
      <c r="E222">
        <v>147.9574274</v>
      </c>
      <c r="F222">
        <v>53.561382129999998</v>
      </c>
      <c r="G222" t="s">
        <v>35</v>
      </c>
      <c r="H222">
        <v>274.3762893</v>
      </c>
      <c r="I222">
        <v>12.82325629</v>
      </c>
      <c r="J222">
        <v>13.416765180000001</v>
      </c>
      <c r="K222">
        <v>6.3322019320000003</v>
      </c>
      <c r="L222">
        <v>357.72522459999999</v>
      </c>
      <c r="M222">
        <v>1.1216224589999999</v>
      </c>
      <c r="N222">
        <v>12496.1806</v>
      </c>
      <c r="O222" s="1" t="s">
        <v>1019</v>
      </c>
      <c r="P222" t="s">
        <v>134</v>
      </c>
      <c r="Q222" t="s">
        <v>1069</v>
      </c>
      <c r="R222" t="s">
        <v>1073</v>
      </c>
      <c r="S222" t="s">
        <v>1068</v>
      </c>
      <c r="T222" s="3">
        <v>29371</v>
      </c>
      <c r="U222" s="3">
        <v>43896</v>
      </c>
      <c r="V222">
        <f t="shared" si="15"/>
        <v>39</v>
      </c>
      <c r="W222">
        <v>7</v>
      </c>
      <c r="X222" t="s">
        <v>1065</v>
      </c>
      <c r="Y222">
        <v>1822</v>
      </c>
      <c r="Z222">
        <v>3</v>
      </c>
      <c r="AB222" t="str">
        <f t="shared" si="14"/>
        <v>TRUE</v>
      </c>
    </row>
    <row r="223" spans="1:28">
      <c r="A223" t="s">
        <v>551</v>
      </c>
      <c r="B223">
        <v>5.902193832</v>
      </c>
      <c r="C223" t="s">
        <v>34</v>
      </c>
      <c r="D223">
        <v>7.9537636090000001</v>
      </c>
      <c r="E223">
        <v>111.36548430000001</v>
      </c>
      <c r="F223">
        <v>57.626557079999998</v>
      </c>
      <c r="G223" t="s">
        <v>35</v>
      </c>
      <c r="H223">
        <v>263.20576929999999</v>
      </c>
      <c r="I223">
        <v>14.367861080000001</v>
      </c>
      <c r="J223">
        <v>12.77482915</v>
      </c>
      <c r="K223">
        <v>5.0798234320000004</v>
      </c>
      <c r="L223">
        <v>339.2030403</v>
      </c>
      <c r="M223">
        <v>1.4270969899999999</v>
      </c>
      <c r="N223">
        <v>9183.7010150000006</v>
      </c>
      <c r="O223" s="1" t="s">
        <v>1020</v>
      </c>
      <c r="P223" t="s">
        <v>551</v>
      </c>
      <c r="Q223" t="s">
        <v>1062</v>
      </c>
      <c r="R223" t="s">
        <v>1067</v>
      </c>
      <c r="S223" t="s">
        <v>1068</v>
      </c>
      <c r="T223" s="3">
        <v>29354</v>
      </c>
      <c r="U223" s="3">
        <v>44007</v>
      </c>
      <c r="V223">
        <f t="shared" si="15"/>
        <v>40</v>
      </c>
      <c r="W223">
        <v>6</v>
      </c>
      <c r="X223" t="s">
        <v>1061</v>
      </c>
      <c r="Y223">
        <v>43</v>
      </c>
      <c r="Z223">
        <v>2</v>
      </c>
      <c r="AB223" t="str">
        <f t="shared" si="14"/>
        <v>TRUE</v>
      </c>
    </row>
    <row r="224" spans="1:28">
      <c r="A224" t="s">
        <v>284</v>
      </c>
      <c r="B224">
        <v>6.1465562739999999</v>
      </c>
      <c r="C224" t="s">
        <v>34</v>
      </c>
      <c r="D224">
        <v>6.9592856420000002</v>
      </c>
      <c r="E224">
        <v>106.1214894</v>
      </c>
      <c r="F224">
        <v>54.514540859999997</v>
      </c>
      <c r="G224" t="s">
        <v>35</v>
      </c>
      <c r="H224">
        <v>121.95117380000001</v>
      </c>
      <c r="I224">
        <v>16.969078549999999</v>
      </c>
      <c r="J224">
        <v>21.053649050000001</v>
      </c>
      <c r="K224">
        <v>6.2397291719999997</v>
      </c>
      <c r="L224">
        <v>259.59800000000001</v>
      </c>
      <c r="M224">
        <v>1.071602078</v>
      </c>
      <c r="N224">
        <v>8383.9368489999997</v>
      </c>
      <c r="O224" s="1" t="s">
        <v>1021</v>
      </c>
      <c r="P224" t="s">
        <v>284</v>
      </c>
      <c r="Q224" t="s">
        <v>1062</v>
      </c>
      <c r="R224" t="s">
        <v>1067</v>
      </c>
      <c r="S224" t="s">
        <v>1064</v>
      </c>
      <c r="T224" s="3">
        <v>29943</v>
      </c>
      <c r="U224" s="3">
        <v>44011</v>
      </c>
      <c r="V224">
        <f t="shared" si="15"/>
        <v>38</v>
      </c>
      <c r="W224">
        <v>4</v>
      </c>
      <c r="X224" t="s">
        <v>1061</v>
      </c>
      <c r="Y224" s="5">
        <v>20</v>
      </c>
      <c r="Z224" s="5">
        <v>0</v>
      </c>
      <c r="AB224" t="str">
        <f t="shared" si="14"/>
        <v>TRUE</v>
      </c>
    </row>
    <row r="225" spans="1:28">
      <c r="A225" t="s">
        <v>500</v>
      </c>
      <c r="B225">
        <v>10.73952675</v>
      </c>
      <c r="C225" t="s">
        <v>34</v>
      </c>
      <c r="D225">
        <v>13.66343533</v>
      </c>
      <c r="E225">
        <v>147.0408199</v>
      </c>
      <c r="F225">
        <v>153.71696900000001</v>
      </c>
      <c r="G225" t="s">
        <v>35</v>
      </c>
      <c r="H225">
        <v>447.52722670000003</v>
      </c>
      <c r="I225">
        <v>19.687452480000001</v>
      </c>
      <c r="J225">
        <v>23.460805579999999</v>
      </c>
      <c r="K225">
        <v>5.9891219160000002</v>
      </c>
      <c r="L225">
        <v>798.81128850000005</v>
      </c>
      <c r="M225">
        <v>2.5799466670000002</v>
      </c>
      <c r="N225">
        <v>12759.575129999999</v>
      </c>
      <c r="O225" s="1" t="s">
        <v>1022</v>
      </c>
      <c r="P225" t="s">
        <v>500</v>
      </c>
      <c r="Q225" t="s">
        <v>1069</v>
      </c>
      <c r="R225" t="s">
        <v>1077</v>
      </c>
      <c r="S225" t="s">
        <v>1068</v>
      </c>
      <c r="T225" s="3">
        <v>19925</v>
      </c>
      <c r="U225" s="3">
        <v>43768</v>
      </c>
      <c r="V225">
        <f t="shared" si="15"/>
        <v>65</v>
      </c>
      <c r="W225">
        <v>7</v>
      </c>
      <c r="X225" t="s">
        <v>1065</v>
      </c>
      <c r="Y225">
        <v>157</v>
      </c>
      <c r="Z225">
        <v>3</v>
      </c>
      <c r="AB225" t="str">
        <f t="shared" si="14"/>
        <v>TRUE</v>
      </c>
    </row>
    <row r="226" spans="1:28">
      <c r="A226" t="s">
        <v>212</v>
      </c>
      <c r="B226" t="s">
        <v>34</v>
      </c>
      <c r="C226" t="s">
        <v>34</v>
      </c>
      <c r="D226">
        <v>2.737282693</v>
      </c>
      <c r="E226" t="s">
        <v>35</v>
      </c>
      <c r="F226">
        <v>29.27061621</v>
      </c>
      <c r="G226" t="s">
        <v>35</v>
      </c>
      <c r="H226">
        <v>97.289722990000001</v>
      </c>
      <c r="I226">
        <v>3.0012668370000002</v>
      </c>
      <c r="J226">
        <v>13.58286562</v>
      </c>
      <c r="K226" t="s">
        <v>34</v>
      </c>
      <c r="L226">
        <v>196.4928251</v>
      </c>
      <c r="M226">
        <v>3.930961237</v>
      </c>
      <c r="N226">
        <v>3895.6578589999999</v>
      </c>
      <c r="O226" s="1" t="s">
        <v>1023</v>
      </c>
      <c r="P226" t="s">
        <v>212</v>
      </c>
      <c r="Q226" t="s">
        <v>1069</v>
      </c>
      <c r="R226" t="s">
        <v>1078</v>
      </c>
      <c r="S226" t="s">
        <v>1064</v>
      </c>
      <c r="T226" s="3">
        <v>21300</v>
      </c>
      <c r="U226" s="3">
        <v>43770</v>
      </c>
      <c r="V226">
        <f t="shared" si="15"/>
        <v>61</v>
      </c>
      <c r="W226">
        <v>2</v>
      </c>
      <c r="X226" t="s">
        <v>1065</v>
      </c>
      <c r="Y226">
        <v>921</v>
      </c>
      <c r="Z226">
        <v>12</v>
      </c>
      <c r="AB226" t="str">
        <f t="shared" si="14"/>
        <v>TRUE</v>
      </c>
    </row>
    <row r="227" spans="1:28">
      <c r="A227" t="s">
        <v>215</v>
      </c>
      <c r="B227" t="s">
        <v>34</v>
      </c>
      <c r="C227" t="s">
        <v>34</v>
      </c>
      <c r="D227">
        <v>2.1233393469999999</v>
      </c>
      <c r="E227" t="s">
        <v>35</v>
      </c>
      <c r="F227">
        <v>25.808535719999998</v>
      </c>
      <c r="G227" t="s">
        <v>35</v>
      </c>
      <c r="H227">
        <v>301.18961710000002</v>
      </c>
      <c r="I227">
        <v>1.211374715</v>
      </c>
      <c r="J227">
        <v>12.873714680000001</v>
      </c>
      <c r="K227" t="s">
        <v>34</v>
      </c>
      <c r="L227">
        <v>144.97404090000001</v>
      </c>
      <c r="M227">
        <v>3.3625572560000001</v>
      </c>
      <c r="N227">
        <v>4467.1925339999998</v>
      </c>
      <c r="O227" s="1" t="s">
        <v>1024</v>
      </c>
      <c r="P227" t="s">
        <v>215</v>
      </c>
      <c r="Q227" t="s">
        <v>1069</v>
      </c>
      <c r="R227" t="s">
        <v>1078</v>
      </c>
      <c r="S227" t="s">
        <v>1064</v>
      </c>
      <c r="T227" s="3">
        <v>21300</v>
      </c>
      <c r="U227" s="3">
        <v>43784</v>
      </c>
      <c r="V227">
        <f t="shared" si="15"/>
        <v>61</v>
      </c>
      <c r="W227">
        <v>3</v>
      </c>
      <c r="X227" t="s">
        <v>1065</v>
      </c>
      <c r="Y227" t="s">
        <v>1060</v>
      </c>
      <c r="Z227">
        <v>10</v>
      </c>
      <c r="AB227" t="str">
        <f t="shared" si="14"/>
        <v>TRUE</v>
      </c>
    </row>
    <row r="228" spans="1:28">
      <c r="A228" t="s">
        <v>230</v>
      </c>
      <c r="B228">
        <v>3.2018348919999999</v>
      </c>
      <c r="C228" t="s">
        <v>34</v>
      </c>
      <c r="D228">
        <v>8.0842501339999995</v>
      </c>
      <c r="E228">
        <v>21.158948070000001</v>
      </c>
      <c r="F228">
        <v>45.155011340000001</v>
      </c>
      <c r="G228">
        <v>3595.613167</v>
      </c>
      <c r="H228">
        <v>140.8175569</v>
      </c>
      <c r="I228">
        <v>4.8478032779999998</v>
      </c>
      <c r="J228">
        <v>4.6950268739999999</v>
      </c>
      <c r="K228">
        <v>4.1710320420000002</v>
      </c>
      <c r="L228">
        <v>249.20146220000001</v>
      </c>
      <c r="M228">
        <v>1.3538246279999999</v>
      </c>
      <c r="N228">
        <v>11083.043240000001</v>
      </c>
      <c r="O228" s="1" t="s">
        <v>1025</v>
      </c>
      <c r="P228" t="s">
        <v>230</v>
      </c>
      <c r="Q228" t="s">
        <v>1062</v>
      </c>
      <c r="R228" t="s">
        <v>1063</v>
      </c>
      <c r="S228" t="s">
        <v>1068</v>
      </c>
      <c r="T228" s="3">
        <v>34948</v>
      </c>
      <c r="U228" s="3">
        <v>43788</v>
      </c>
      <c r="V228">
        <f t="shared" si="15"/>
        <v>24</v>
      </c>
      <c r="W228">
        <v>7</v>
      </c>
      <c r="X228" t="s">
        <v>1065</v>
      </c>
      <c r="Y228">
        <v>61</v>
      </c>
      <c r="Z228">
        <v>1</v>
      </c>
      <c r="AB228" t="str">
        <f t="shared" si="14"/>
        <v>TRUE</v>
      </c>
    </row>
    <row r="229" spans="1:28">
      <c r="A229" t="s">
        <v>791</v>
      </c>
      <c r="B229">
        <v>7.6042649840000003</v>
      </c>
      <c r="C229">
        <v>11.692842069999999</v>
      </c>
      <c r="D229">
        <v>8.6462217789999993</v>
      </c>
      <c r="E229">
        <v>20.681291099999999</v>
      </c>
      <c r="F229">
        <v>87.153768830000004</v>
      </c>
      <c r="G229">
        <v>4824.9238260000002</v>
      </c>
      <c r="H229">
        <v>697.49754710000002</v>
      </c>
      <c r="I229">
        <v>6.8583718229999997</v>
      </c>
      <c r="J229">
        <v>8.4604841549999996</v>
      </c>
      <c r="K229">
        <v>5.602079925</v>
      </c>
      <c r="L229">
        <v>385.40114610000001</v>
      </c>
      <c r="M229">
        <v>1.7151370699999999</v>
      </c>
      <c r="N229">
        <v>9149.0652809999992</v>
      </c>
      <c r="O229" s="1" t="s">
        <v>1026</v>
      </c>
      <c r="P229" t="s">
        <v>791</v>
      </c>
      <c r="Q229" t="s">
        <v>1069</v>
      </c>
      <c r="R229" t="s">
        <v>1070</v>
      </c>
      <c r="S229" t="s">
        <v>1068</v>
      </c>
      <c r="T229" s="3">
        <v>33023</v>
      </c>
      <c r="U229" s="3">
        <v>43788</v>
      </c>
      <c r="V229">
        <v>29</v>
      </c>
      <c r="W229">
        <v>1</v>
      </c>
      <c r="X229" t="s">
        <v>1061</v>
      </c>
      <c r="Y229">
        <v>1213</v>
      </c>
      <c r="Z229">
        <v>7</v>
      </c>
      <c r="AB229" t="str">
        <f t="shared" si="14"/>
        <v>TRUE</v>
      </c>
    </row>
    <row r="230" spans="1:28">
      <c r="A230" t="s">
        <v>614</v>
      </c>
      <c r="B230">
        <v>3.0863774350000002</v>
      </c>
      <c r="C230" t="s">
        <v>34</v>
      </c>
      <c r="D230">
        <v>4.5204259850000001</v>
      </c>
      <c r="E230" t="s">
        <v>35</v>
      </c>
      <c r="F230">
        <v>64.135730440000003</v>
      </c>
      <c r="G230" t="s">
        <v>35</v>
      </c>
      <c r="H230">
        <v>269.69375129999997</v>
      </c>
      <c r="I230">
        <v>3.1750614399999999</v>
      </c>
      <c r="J230">
        <v>23.261864760000002</v>
      </c>
      <c r="K230">
        <v>0.79128856599999997</v>
      </c>
      <c r="L230">
        <v>329.6916976</v>
      </c>
      <c r="M230">
        <v>4.5862107109999997</v>
      </c>
      <c r="N230">
        <v>8548.7869169999994</v>
      </c>
      <c r="O230" s="1" t="s">
        <v>1027</v>
      </c>
      <c r="P230" t="s">
        <v>614</v>
      </c>
      <c r="Q230" t="s">
        <v>1069</v>
      </c>
      <c r="R230" t="s">
        <v>1073</v>
      </c>
      <c r="S230" t="s">
        <v>1064</v>
      </c>
      <c r="T230" s="3">
        <v>31009</v>
      </c>
      <c r="U230" s="3">
        <v>43756</v>
      </c>
      <c r="V230">
        <f t="shared" ref="V230:V259" si="16">DATEDIF(T230,U230,"Y")</f>
        <v>34</v>
      </c>
      <c r="W230">
        <v>2</v>
      </c>
      <c r="X230" t="s">
        <v>1061</v>
      </c>
      <c r="Y230" t="s">
        <v>1060</v>
      </c>
      <c r="Z230">
        <v>3</v>
      </c>
      <c r="AB230" t="str">
        <f t="shared" si="14"/>
        <v>TRUE</v>
      </c>
    </row>
    <row r="231" spans="1:28">
      <c r="A231" t="s">
        <v>329</v>
      </c>
      <c r="B231">
        <v>7.6157314769999997</v>
      </c>
      <c r="C231">
        <v>4.0097560149999998</v>
      </c>
      <c r="D231">
        <v>5.419932373</v>
      </c>
      <c r="E231">
        <v>48.121164280000002</v>
      </c>
      <c r="F231">
        <v>132.46436940000001</v>
      </c>
      <c r="G231" t="s">
        <v>35</v>
      </c>
      <c r="H231">
        <v>230.1114001</v>
      </c>
      <c r="I231">
        <v>7.1328603619999997</v>
      </c>
      <c r="J231">
        <v>12.479302280000001</v>
      </c>
      <c r="K231">
        <v>1.894449212</v>
      </c>
      <c r="L231">
        <v>449.42746510000001</v>
      </c>
      <c r="M231">
        <v>1.1155996989999999</v>
      </c>
      <c r="N231">
        <v>12740.09791</v>
      </c>
      <c r="O231" s="1" t="s">
        <v>1028</v>
      </c>
      <c r="P231" t="s">
        <v>329</v>
      </c>
      <c r="Q231" t="s">
        <v>1062</v>
      </c>
      <c r="R231" t="s">
        <v>1063</v>
      </c>
      <c r="S231" t="s">
        <v>1068</v>
      </c>
      <c r="T231" s="3">
        <v>23568</v>
      </c>
      <c r="U231" s="3">
        <v>43756</v>
      </c>
      <c r="V231">
        <f t="shared" si="16"/>
        <v>55</v>
      </c>
      <c r="W231">
        <v>7</v>
      </c>
      <c r="X231" t="s">
        <v>1061</v>
      </c>
      <c r="Y231">
        <v>51</v>
      </c>
      <c r="Z231">
        <v>2</v>
      </c>
      <c r="AB231" t="str">
        <f t="shared" si="14"/>
        <v>TRUE</v>
      </c>
    </row>
    <row r="232" spans="1:28">
      <c r="A232" t="s">
        <v>617</v>
      </c>
      <c r="B232">
        <v>5.750393775</v>
      </c>
      <c r="C232" t="s">
        <v>34</v>
      </c>
      <c r="D232">
        <v>8.1985420569999992</v>
      </c>
      <c r="E232" t="s">
        <v>35</v>
      </c>
      <c r="F232">
        <v>56.659825589999997</v>
      </c>
      <c r="G232" t="s">
        <v>35</v>
      </c>
      <c r="H232">
        <v>190.55094109999999</v>
      </c>
      <c r="I232">
        <v>5.134120426</v>
      </c>
      <c r="J232">
        <v>9.9755924030000003</v>
      </c>
      <c r="K232">
        <v>1.9862692209999999</v>
      </c>
      <c r="L232">
        <v>390.18967559999999</v>
      </c>
      <c r="M232">
        <v>1.3959448510000001</v>
      </c>
      <c r="N232">
        <v>8450.9803090000005</v>
      </c>
      <c r="O232" s="1" t="s">
        <v>1029</v>
      </c>
      <c r="P232" t="s">
        <v>617</v>
      </c>
      <c r="Q232" t="s">
        <v>1069</v>
      </c>
      <c r="R232" t="s">
        <v>1073</v>
      </c>
      <c r="S232" t="s">
        <v>1064</v>
      </c>
      <c r="T232" s="3">
        <v>31009</v>
      </c>
      <c r="U232" s="3">
        <v>43763</v>
      </c>
      <c r="V232">
        <f t="shared" si="16"/>
        <v>34</v>
      </c>
      <c r="W232">
        <v>3</v>
      </c>
      <c r="X232" t="s">
        <v>1061</v>
      </c>
      <c r="Y232">
        <v>445</v>
      </c>
      <c r="Z232">
        <v>2</v>
      </c>
      <c r="AB232" t="str">
        <f t="shared" si="14"/>
        <v>TRUE</v>
      </c>
    </row>
    <row r="233" spans="1:28">
      <c r="A233" t="s">
        <v>611</v>
      </c>
      <c r="B233">
        <v>3.1825728049999999</v>
      </c>
      <c r="C233" t="s">
        <v>34</v>
      </c>
      <c r="D233">
        <v>5.4550448249999999</v>
      </c>
      <c r="E233" t="s">
        <v>35</v>
      </c>
      <c r="F233">
        <v>52.055494600000003</v>
      </c>
      <c r="G233" t="s">
        <v>35</v>
      </c>
      <c r="H233">
        <v>195.78243209999999</v>
      </c>
      <c r="I233">
        <v>4.043928835</v>
      </c>
      <c r="J233">
        <v>7.9091270859999998</v>
      </c>
      <c r="K233">
        <v>1.2610657890000001</v>
      </c>
      <c r="L233">
        <v>385.3118422</v>
      </c>
      <c r="M233">
        <v>1.333770407</v>
      </c>
      <c r="N233">
        <v>7735.7513989999998</v>
      </c>
      <c r="O233" s="1" t="s">
        <v>1030</v>
      </c>
      <c r="P233" t="s">
        <v>611</v>
      </c>
      <c r="Q233" t="s">
        <v>1069</v>
      </c>
      <c r="R233" t="s">
        <v>1073</v>
      </c>
      <c r="S233" t="s">
        <v>1064</v>
      </c>
      <c r="T233" s="3">
        <v>31009</v>
      </c>
      <c r="U233" s="3">
        <v>43769</v>
      </c>
      <c r="V233">
        <f t="shared" si="16"/>
        <v>34</v>
      </c>
      <c r="W233">
        <v>4</v>
      </c>
      <c r="X233" t="s">
        <v>1061</v>
      </c>
      <c r="Y233" t="s">
        <v>1060</v>
      </c>
      <c r="Z233">
        <v>5</v>
      </c>
      <c r="AB233" t="str">
        <f t="shared" si="14"/>
        <v>TRUE</v>
      </c>
    </row>
    <row r="234" spans="1:28">
      <c r="A234" t="s">
        <v>626</v>
      </c>
      <c r="B234">
        <v>4.883791145</v>
      </c>
      <c r="C234" t="s">
        <v>34</v>
      </c>
      <c r="D234">
        <v>6.0112171500000002</v>
      </c>
      <c r="E234" t="s">
        <v>35</v>
      </c>
      <c r="F234">
        <v>47.754904060000001</v>
      </c>
      <c r="G234" t="s">
        <v>35</v>
      </c>
      <c r="H234">
        <v>171.26439629999999</v>
      </c>
      <c r="I234">
        <v>4.3311839680000004</v>
      </c>
      <c r="J234">
        <v>14.51584618</v>
      </c>
      <c r="K234">
        <v>1.3180676870000001</v>
      </c>
      <c r="L234">
        <v>378.99588449999999</v>
      </c>
      <c r="M234">
        <v>1.332214394</v>
      </c>
      <c r="N234">
        <v>8285.043619</v>
      </c>
      <c r="O234" s="1" t="s">
        <v>1031</v>
      </c>
      <c r="P234" t="s">
        <v>626</v>
      </c>
      <c r="Q234" t="s">
        <v>1069</v>
      </c>
      <c r="R234" t="s">
        <v>1073</v>
      </c>
      <c r="S234" t="s">
        <v>1064</v>
      </c>
      <c r="T234" s="3">
        <v>31009</v>
      </c>
      <c r="U234" s="3">
        <v>43775</v>
      </c>
      <c r="V234">
        <f t="shared" si="16"/>
        <v>34</v>
      </c>
      <c r="W234">
        <v>5</v>
      </c>
      <c r="X234" t="s">
        <v>1061</v>
      </c>
      <c r="Y234">
        <v>843</v>
      </c>
      <c r="Z234">
        <v>5</v>
      </c>
      <c r="AB234" t="str">
        <f t="shared" si="14"/>
        <v>TRUE</v>
      </c>
    </row>
    <row r="235" spans="1:28">
      <c r="A235" t="s">
        <v>131</v>
      </c>
      <c r="B235">
        <v>6.3680300609999998</v>
      </c>
      <c r="C235" t="s">
        <v>34</v>
      </c>
      <c r="D235">
        <v>11.84705634</v>
      </c>
      <c r="E235" t="s">
        <v>35</v>
      </c>
      <c r="F235">
        <v>37.458973030000003</v>
      </c>
      <c r="G235" t="s">
        <v>35</v>
      </c>
      <c r="H235">
        <v>237.5721375</v>
      </c>
      <c r="I235">
        <v>7.0916125059999997</v>
      </c>
      <c r="J235">
        <v>21.016173559999999</v>
      </c>
      <c r="K235">
        <v>3.1604591160000002</v>
      </c>
      <c r="L235">
        <v>318.26473399999998</v>
      </c>
      <c r="M235">
        <v>1.228538656</v>
      </c>
      <c r="N235">
        <v>15748.75208</v>
      </c>
      <c r="O235" s="1" t="s">
        <v>1032</v>
      </c>
      <c r="P235" t="s">
        <v>131</v>
      </c>
      <c r="Q235" t="s">
        <v>1069</v>
      </c>
      <c r="R235" t="s">
        <v>1073</v>
      </c>
      <c r="S235" t="s">
        <v>1068</v>
      </c>
      <c r="T235" s="3">
        <v>29371</v>
      </c>
      <c r="U235" s="3">
        <v>43784</v>
      </c>
      <c r="V235">
        <f t="shared" si="16"/>
        <v>39</v>
      </c>
      <c r="W235">
        <v>1</v>
      </c>
      <c r="X235" t="s">
        <v>1065</v>
      </c>
      <c r="Y235">
        <v>3792</v>
      </c>
      <c r="Z235">
        <v>8</v>
      </c>
      <c r="AB235" t="str">
        <f t="shared" si="14"/>
        <v>TRUE</v>
      </c>
    </row>
    <row r="236" spans="1:28">
      <c r="A236" t="s">
        <v>218</v>
      </c>
      <c r="B236">
        <v>3.4872988130000002</v>
      </c>
      <c r="C236" t="s">
        <v>34</v>
      </c>
      <c r="D236">
        <v>4.8609890609999997</v>
      </c>
      <c r="E236" t="s">
        <v>35</v>
      </c>
      <c r="F236">
        <v>54.517578710000002</v>
      </c>
      <c r="G236">
        <v>3028.1353509999999</v>
      </c>
      <c r="H236">
        <v>50.12013013</v>
      </c>
      <c r="I236">
        <v>4.3139441380000001</v>
      </c>
      <c r="J236">
        <v>15.27087878</v>
      </c>
      <c r="K236">
        <v>0.84361743700000003</v>
      </c>
      <c r="L236">
        <v>251.2254973</v>
      </c>
      <c r="M236">
        <v>3.0455685830000001</v>
      </c>
      <c r="N236">
        <v>3776.081259</v>
      </c>
      <c r="O236" s="1" t="s">
        <v>1033</v>
      </c>
      <c r="P236" t="s">
        <v>218</v>
      </c>
      <c r="Q236" t="s">
        <v>1069</v>
      </c>
      <c r="R236" t="s">
        <v>1078</v>
      </c>
      <c r="S236" t="s">
        <v>1064</v>
      </c>
      <c r="T236" s="3">
        <v>21300</v>
      </c>
      <c r="U236" s="3">
        <v>43791</v>
      </c>
      <c r="V236">
        <f t="shared" si="16"/>
        <v>61</v>
      </c>
      <c r="W236">
        <v>4</v>
      </c>
      <c r="X236" t="s">
        <v>1065</v>
      </c>
      <c r="Y236">
        <v>784</v>
      </c>
      <c r="Z236">
        <v>6</v>
      </c>
      <c r="AB236" t="str">
        <f t="shared" si="14"/>
        <v>TRUE</v>
      </c>
    </row>
    <row r="237" spans="1:28">
      <c r="A237" t="s">
        <v>152</v>
      </c>
      <c r="B237">
        <v>8.5159038640000002</v>
      </c>
      <c r="C237" t="s">
        <v>34</v>
      </c>
      <c r="D237">
        <v>7.0207372079999999</v>
      </c>
      <c r="E237" t="s">
        <v>35</v>
      </c>
      <c r="F237">
        <v>43.872866770000002</v>
      </c>
      <c r="G237" t="s">
        <v>35</v>
      </c>
      <c r="H237">
        <v>283.95384439999998</v>
      </c>
      <c r="I237">
        <v>11.340289690000001</v>
      </c>
      <c r="J237">
        <v>11.15572057</v>
      </c>
      <c r="K237">
        <v>4.0666735469999997</v>
      </c>
      <c r="L237">
        <v>346.35943420000001</v>
      </c>
      <c r="M237">
        <v>1.1983687119999999</v>
      </c>
      <c r="N237">
        <v>10594.612090000001</v>
      </c>
      <c r="O237" s="1" t="s">
        <v>1034</v>
      </c>
      <c r="P237" t="s">
        <v>152</v>
      </c>
      <c r="Q237" t="s">
        <v>1062</v>
      </c>
      <c r="R237" t="s">
        <v>1067</v>
      </c>
      <c r="S237" t="s">
        <v>1068</v>
      </c>
      <c r="T237" s="3">
        <v>28094</v>
      </c>
      <c r="U237" s="3">
        <v>44251</v>
      </c>
      <c r="V237">
        <f t="shared" si="16"/>
        <v>44</v>
      </c>
      <c r="W237">
        <v>2</v>
      </c>
      <c r="X237" t="s">
        <v>1061</v>
      </c>
      <c r="Y237">
        <v>20</v>
      </c>
      <c r="Z237">
        <v>0</v>
      </c>
      <c r="AB237" t="str">
        <f t="shared" si="14"/>
        <v>TRUE</v>
      </c>
    </row>
    <row r="238" spans="1:28">
      <c r="A238" t="s">
        <v>488</v>
      </c>
      <c r="B238">
        <v>12.737672269999999</v>
      </c>
      <c r="C238" t="s">
        <v>34</v>
      </c>
      <c r="D238">
        <v>15.57549187</v>
      </c>
      <c r="E238">
        <v>45.042158190000002</v>
      </c>
      <c r="F238">
        <v>76.873678200000001</v>
      </c>
      <c r="G238">
        <v>4806.8715609999999</v>
      </c>
      <c r="H238">
        <v>204.43507320000001</v>
      </c>
      <c r="I238">
        <v>6.3618294630000003</v>
      </c>
      <c r="J238">
        <v>8.2644838840000006</v>
      </c>
      <c r="K238">
        <v>7.4881019689999997</v>
      </c>
      <c r="L238">
        <v>350.68180760000001</v>
      </c>
      <c r="M238">
        <v>1.2910404310000001</v>
      </c>
      <c r="N238">
        <v>15503.49604</v>
      </c>
      <c r="O238" s="1" t="s">
        <v>1035</v>
      </c>
      <c r="P238" t="s">
        <v>488</v>
      </c>
      <c r="Q238" t="s">
        <v>1062</v>
      </c>
      <c r="R238" t="s">
        <v>1067</v>
      </c>
      <c r="S238" t="s">
        <v>1064</v>
      </c>
      <c r="T238" s="3">
        <v>34311</v>
      </c>
      <c r="U238" s="3">
        <v>44259</v>
      </c>
      <c r="V238">
        <f t="shared" si="16"/>
        <v>27</v>
      </c>
      <c r="W238">
        <v>2</v>
      </c>
      <c r="X238" t="s">
        <v>1061</v>
      </c>
      <c r="Y238">
        <v>1826</v>
      </c>
      <c r="Z238">
        <v>6</v>
      </c>
      <c r="AB238" t="str">
        <f t="shared" si="14"/>
        <v>TRUE</v>
      </c>
    </row>
    <row r="239" spans="1:28">
      <c r="A239" t="s">
        <v>107</v>
      </c>
      <c r="B239">
        <v>2.8792242809999999</v>
      </c>
      <c r="C239" t="s">
        <v>34</v>
      </c>
      <c r="D239">
        <v>4.4815496939999999</v>
      </c>
      <c r="E239">
        <v>132.22148089999999</v>
      </c>
      <c r="F239">
        <v>34.079324200000002</v>
      </c>
      <c r="G239" t="s">
        <v>35</v>
      </c>
      <c r="H239">
        <v>146.09530050000001</v>
      </c>
      <c r="I239">
        <v>5.305795142</v>
      </c>
      <c r="J239">
        <v>86.177096259999999</v>
      </c>
      <c r="K239">
        <v>1.4793571169999999</v>
      </c>
      <c r="L239">
        <v>313.31025840000001</v>
      </c>
      <c r="M239">
        <v>1.0984118199999999</v>
      </c>
      <c r="N239">
        <v>11610.77794</v>
      </c>
      <c r="O239" s="1" t="s">
        <v>1036</v>
      </c>
      <c r="P239" t="s">
        <v>107</v>
      </c>
      <c r="Q239" t="s">
        <v>1062</v>
      </c>
      <c r="R239" t="s">
        <v>1067</v>
      </c>
      <c r="S239" t="s">
        <v>1068</v>
      </c>
      <c r="T239" s="3">
        <v>23988</v>
      </c>
      <c r="U239" s="3">
        <v>44264</v>
      </c>
      <c r="V239">
        <f t="shared" si="16"/>
        <v>55</v>
      </c>
      <c r="W239">
        <v>2</v>
      </c>
      <c r="X239" t="s">
        <v>1065</v>
      </c>
      <c r="Y239">
        <v>57</v>
      </c>
      <c r="Z239">
        <v>1</v>
      </c>
      <c r="AB239" t="str">
        <f t="shared" si="14"/>
        <v>TRUE</v>
      </c>
    </row>
    <row r="240" spans="1:28">
      <c r="A240" t="s">
        <v>452</v>
      </c>
      <c r="B240">
        <v>4.6318959279999996</v>
      </c>
      <c r="C240" t="s">
        <v>34</v>
      </c>
      <c r="D240">
        <v>5.8159095909999996</v>
      </c>
      <c r="E240">
        <v>127.3673964</v>
      </c>
      <c r="F240">
        <v>48.247145969999998</v>
      </c>
      <c r="G240" t="s">
        <v>35</v>
      </c>
      <c r="H240">
        <v>486.89366080000002</v>
      </c>
      <c r="I240">
        <v>7.7841416150000002</v>
      </c>
      <c r="J240">
        <v>10.26911177</v>
      </c>
      <c r="K240">
        <v>2.6249990830000001</v>
      </c>
      <c r="L240">
        <v>305.46039039999999</v>
      </c>
      <c r="M240">
        <v>1.386539083</v>
      </c>
      <c r="N240">
        <v>10628.572029999999</v>
      </c>
      <c r="O240" s="1" t="s">
        <v>1037</v>
      </c>
      <c r="P240" t="s">
        <v>452</v>
      </c>
      <c r="Q240" t="s">
        <v>1079</v>
      </c>
      <c r="R240" t="s">
        <v>1060</v>
      </c>
      <c r="S240" t="s">
        <v>1060</v>
      </c>
      <c r="T240" s="3">
        <v>26667</v>
      </c>
      <c r="U240" s="3">
        <v>44231</v>
      </c>
      <c r="V240">
        <f t="shared" si="16"/>
        <v>48</v>
      </c>
      <c r="W240">
        <v>1</v>
      </c>
      <c r="X240" t="s">
        <v>1061</v>
      </c>
      <c r="Y240" t="s">
        <v>1060</v>
      </c>
      <c r="Z240" t="s">
        <v>1060</v>
      </c>
      <c r="AB240" t="str">
        <f t="shared" si="14"/>
        <v>TRUE</v>
      </c>
    </row>
    <row r="241" spans="1:28">
      <c r="A241" t="s">
        <v>113</v>
      </c>
      <c r="B241">
        <v>6.1524021009999998</v>
      </c>
      <c r="C241" t="s">
        <v>34</v>
      </c>
      <c r="D241">
        <v>10.077440470000001</v>
      </c>
      <c r="E241" t="s">
        <v>35</v>
      </c>
      <c r="F241">
        <v>61.9846918</v>
      </c>
      <c r="G241" t="s">
        <v>35</v>
      </c>
      <c r="H241">
        <v>689.56531150000001</v>
      </c>
      <c r="I241">
        <v>9.1826350649999995</v>
      </c>
      <c r="J241">
        <v>11.6714918</v>
      </c>
      <c r="K241">
        <v>4.5357124730000002</v>
      </c>
      <c r="L241">
        <v>412.90521280000002</v>
      </c>
      <c r="M241">
        <v>1.564290811</v>
      </c>
      <c r="N241">
        <v>11442.23792</v>
      </c>
      <c r="O241" s="1" t="s">
        <v>1038</v>
      </c>
      <c r="P241" t="s">
        <v>113</v>
      </c>
      <c r="Q241" t="s">
        <v>1079</v>
      </c>
      <c r="R241" t="s">
        <v>1060</v>
      </c>
      <c r="S241" t="s">
        <v>1060</v>
      </c>
      <c r="T241" s="3">
        <v>24872</v>
      </c>
      <c r="U241" s="3">
        <v>44231</v>
      </c>
      <c r="V241">
        <f t="shared" si="16"/>
        <v>53</v>
      </c>
      <c r="W241">
        <v>1</v>
      </c>
      <c r="X241" t="s">
        <v>1061</v>
      </c>
      <c r="Y241" t="s">
        <v>1060</v>
      </c>
      <c r="Z241" t="s">
        <v>1060</v>
      </c>
      <c r="AB241" t="str">
        <f t="shared" si="14"/>
        <v>TRUE</v>
      </c>
    </row>
    <row r="242" spans="1:28">
      <c r="A242" t="s">
        <v>428</v>
      </c>
      <c r="B242">
        <v>15.66824802</v>
      </c>
      <c r="C242" t="s">
        <v>34</v>
      </c>
      <c r="D242">
        <v>10.709482660000001</v>
      </c>
      <c r="E242">
        <v>89.06963519</v>
      </c>
      <c r="F242">
        <v>75.821677249999993</v>
      </c>
      <c r="G242" t="s">
        <v>35</v>
      </c>
      <c r="H242">
        <v>362.4402594</v>
      </c>
      <c r="I242">
        <v>9.5241540380000007</v>
      </c>
      <c r="J242">
        <v>9.9301675540000005</v>
      </c>
      <c r="K242">
        <v>6.5990287480000003</v>
      </c>
      <c r="L242">
        <v>487.06815870000003</v>
      </c>
      <c r="M242">
        <v>1.072946559</v>
      </c>
      <c r="N242">
        <v>11716.78644</v>
      </c>
      <c r="O242" s="1" t="s">
        <v>1039</v>
      </c>
      <c r="P242" t="s">
        <v>428</v>
      </c>
      <c r="Q242" t="s">
        <v>1079</v>
      </c>
      <c r="R242" t="s">
        <v>1060</v>
      </c>
      <c r="S242" t="s">
        <v>1060</v>
      </c>
      <c r="T242" s="3">
        <v>24477</v>
      </c>
      <c r="U242" s="3">
        <v>44233</v>
      </c>
      <c r="V242">
        <f t="shared" si="16"/>
        <v>54</v>
      </c>
      <c r="W242">
        <v>1</v>
      </c>
      <c r="X242" t="s">
        <v>1065</v>
      </c>
      <c r="Y242" t="s">
        <v>1060</v>
      </c>
      <c r="Z242" t="s">
        <v>1060</v>
      </c>
      <c r="AB242" t="str">
        <f t="shared" si="14"/>
        <v>TRUE</v>
      </c>
    </row>
    <row r="243" spans="1:28">
      <c r="A243" t="s">
        <v>563</v>
      </c>
      <c r="B243">
        <v>6.5815522059999996</v>
      </c>
      <c r="C243" t="s">
        <v>34</v>
      </c>
      <c r="D243">
        <v>8.8404359419999992</v>
      </c>
      <c r="E243" t="s">
        <v>35</v>
      </c>
      <c r="F243">
        <v>83.524478529999996</v>
      </c>
      <c r="G243" t="s">
        <v>35</v>
      </c>
      <c r="H243">
        <v>958.82536779999998</v>
      </c>
      <c r="I243">
        <v>9.125031968</v>
      </c>
      <c r="J243">
        <v>7.7414175460000001</v>
      </c>
      <c r="K243">
        <v>3.7283912899999998</v>
      </c>
      <c r="L243">
        <v>490.01249919999998</v>
      </c>
      <c r="M243">
        <v>1.9107777939999999</v>
      </c>
      <c r="N243">
        <v>13290.344929999999</v>
      </c>
      <c r="O243" s="1" t="s">
        <v>1040</v>
      </c>
      <c r="P243" t="s">
        <v>563</v>
      </c>
      <c r="Q243" t="s">
        <v>1079</v>
      </c>
      <c r="R243" t="s">
        <v>1060</v>
      </c>
      <c r="S243" t="s">
        <v>1060</v>
      </c>
      <c r="T243" s="3">
        <v>32884</v>
      </c>
      <c r="U243" s="3">
        <v>44233</v>
      </c>
      <c r="V243">
        <f t="shared" si="16"/>
        <v>31</v>
      </c>
      <c r="W243">
        <v>1</v>
      </c>
      <c r="X243" t="s">
        <v>1061</v>
      </c>
      <c r="Y243" t="s">
        <v>1060</v>
      </c>
      <c r="Z243" t="s">
        <v>1060</v>
      </c>
      <c r="AB243" t="str">
        <f t="shared" si="14"/>
        <v>TRUE</v>
      </c>
    </row>
    <row r="244" spans="1:28">
      <c r="A244" t="s">
        <v>704</v>
      </c>
      <c r="B244">
        <v>11.52835885</v>
      </c>
      <c r="C244" t="s">
        <v>34</v>
      </c>
      <c r="D244">
        <v>9.7867500869999997</v>
      </c>
      <c r="E244" t="s">
        <v>35</v>
      </c>
      <c r="F244">
        <v>66.315870950000004</v>
      </c>
      <c r="G244" t="s">
        <v>35</v>
      </c>
      <c r="H244">
        <v>409.06973599999998</v>
      </c>
      <c r="I244">
        <v>16.41913117</v>
      </c>
      <c r="J244">
        <v>12.630229099999999</v>
      </c>
      <c r="K244">
        <v>6.7103972330000001</v>
      </c>
      <c r="L244">
        <v>434.78487330000002</v>
      </c>
      <c r="M244">
        <v>0.93463290600000004</v>
      </c>
      <c r="N244">
        <v>10039.819600000001</v>
      </c>
      <c r="O244" s="1" t="s">
        <v>1041</v>
      </c>
      <c r="P244" t="s">
        <v>704</v>
      </c>
      <c r="Q244" t="s">
        <v>1079</v>
      </c>
      <c r="R244" t="s">
        <v>1060</v>
      </c>
      <c r="S244" t="s">
        <v>1060</v>
      </c>
      <c r="T244" s="3">
        <v>33635</v>
      </c>
      <c r="U244" s="3">
        <v>44236</v>
      </c>
      <c r="V244">
        <f t="shared" si="16"/>
        <v>29</v>
      </c>
      <c r="W244">
        <v>1</v>
      </c>
      <c r="X244" t="s">
        <v>1061</v>
      </c>
      <c r="Y244" t="s">
        <v>1060</v>
      </c>
      <c r="Z244" t="s">
        <v>1060</v>
      </c>
      <c r="AB244" t="str">
        <f t="shared" si="14"/>
        <v>TRUE</v>
      </c>
    </row>
    <row r="245" spans="1:28">
      <c r="A245" t="s">
        <v>314</v>
      </c>
      <c r="B245">
        <v>3.468804564</v>
      </c>
      <c r="C245" t="s">
        <v>34</v>
      </c>
      <c r="D245">
        <v>4.8725374849999996</v>
      </c>
      <c r="E245">
        <v>152.87785149999999</v>
      </c>
      <c r="F245">
        <v>59.026504170000003</v>
      </c>
      <c r="G245" t="s">
        <v>35</v>
      </c>
      <c r="H245">
        <v>147.09051769999999</v>
      </c>
      <c r="I245">
        <v>6.0534995970000001</v>
      </c>
      <c r="J245">
        <v>9.0688514110000007</v>
      </c>
      <c r="K245">
        <v>1.5623457199999999</v>
      </c>
      <c r="L245">
        <v>367.98076120000002</v>
      </c>
      <c r="M245">
        <v>1.123187562</v>
      </c>
      <c r="N245">
        <v>9185.8988950000003</v>
      </c>
      <c r="O245" s="1" t="s">
        <v>1042</v>
      </c>
      <c r="P245" t="s">
        <v>314</v>
      </c>
      <c r="Q245" t="s">
        <v>1079</v>
      </c>
      <c r="R245" t="s">
        <v>1060</v>
      </c>
      <c r="S245" t="s">
        <v>1060</v>
      </c>
      <c r="T245" s="3">
        <v>33608</v>
      </c>
      <c r="U245" s="3">
        <v>44237</v>
      </c>
      <c r="V245">
        <f t="shared" si="16"/>
        <v>29</v>
      </c>
      <c r="W245">
        <v>1</v>
      </c>
      <c r="X245" t="s">
        <v>1061</v>
      </c>
      <c r="Y245" t="s">
        <v>1060</v>
      </c>
      <c r="Z245" t="s">
        <v>1060</v>
      </c>
      <c r="AB245" t="str">
        <f t="shared" si="14"/>
        <v>TRUE</v>
      </c>
    </row>
    <row r="246" spans="1:28">
      <c r="A246" t="s">
        <v>224</v>
      </c>
      <c r="B246">
        <v>5.9632226429999999</v>
      </c>
      <c r="C246" t="s">
        <v>34</v>
      </c>
      <c r="D246">
        <v>6.2344403850000001</v>
      </c>
      <c r="E246">
        <v>143.514171</v>
      </c>
      <c r="F246">
        <v>33.669533100000002</v>
      </c>
      <c r="G246" t="s">
        <v>35</v>
      </c>
      <c r="H246">
        <v>292.84404110000003</v>
      </c>
      <c r="I246">
        <v>9.0821872040000002</v>
      </c>
      <c r="J246">
        <v>10.60414183</v>
      </c>
      <c r="K246">
        <v>4.0100207919999997</v>
      </c>
      <c r="L246">
        <v>278.03698530000003</v>
      </c>
      <c r="M246">
        <v>0.65222281400000004</v>
      </c>
      <c r="N246">
        <v>10148.376759999999</v>
      </c>
      <c r="O246" s="1" t="s">
        <v>1043</v>
      </c>
      <c r="P246" t="s">
        <v>224</v>
      </c>
      <c r="Q246" t="s">
        <v>1079</v>
      </c>
      <c r="R246" t="s">
        <v>1060</v>
      </c>
      <c r="S246" t="s">
        <v>1060</v>
      </c>
      <c r="T246" s="3">
        <v>34726</v>
      </c>
      <c r="U246" s="3">
        <v>44237</v>
      </c>
      <c r="V246">
        <f t="shared" si="16"/>
        <v>26</v>
      </c>
      <c r="W246">
        <v>1</v>
      </c>
      <c r="X246" t="s">
        <v>1061</v>
      </c>
      <c r="Y246" t="s">
        <v>1060</v>
      </c>
      <c r="Z246" t="s">
        <v>1060</v>
      </c>
      <c r="AB246" t="str">
        <f t="shared" si="14"/>
        <v>TRUE</v>
      </c>
    </row>
    <row r="247" spans="1:28">
      <c r="A247" t="s">
        <v>746</v>
      </c>
      <c r="B247">
        <v>11.57757065</v>
      </c>
      <c r="C247" t="s">
        <v>34</v>
      </c>
      <c r="D247">
        <v>6.2617504039999998</v>
      </c>
      <c r="E247">
        <v>122.7750736</v>
      </c>
      <c r="F247">
        <v>69.411762060000001</v>
      </c>
      <c r="G247" t="s">
        <v>35</v>
      </c>
      <c r="H247">
        <v>253.21472829999999</v>
      </c>
      <c r="I247">
        <v>7.5151957759999997</v>
      </c>
      <c r="J247">
        <v>9.0994101730000008</v>
      </c>
      <c r="K247">
        <v>3.196061233</v>
      </c>
      <c r="L247">
        <v>383.69691010000003</v>
      </c>
      <c r="M247">
        <v>1.552172527</v>
      </c>
      <c r="N247">
        <v>12846.75742</v>
      </c>
      <c r="O247" s="1" t="s">
        <v>1044</v>
      </c>
      <c r="P247" t="s">
        <v>746</v>
      </c>
      <c r="Q247" t="s">
        <v>1079</v>
      </c>
      <c r="R247" t="s">
        <v>1060</v>
      </c>
      <c r="S247" t="s">
        <v>1060</v>
      </c>
      <c r="T247" s="3">
        <v>31660</v>
      </c>
      <c r="U247" s="3">
        <v>44237</v>
      </c>
      <c r="V247">
        <f t="shared" si="16"/>
        <v>34</v>
      </c>
      <c r="W247">
        <v>1</v>
      </c>
      <c r="X247" t="s">
        <v>1065</v>
      </c>
      <c r="Y247" t="s">
        <v>1060</v>
      </c>
      <c r="Z247" t="s">
        <v>1060</v>
      </c>
      <c r="AB247" t="str">
        <f t="shared" si="14"/>
        <v>TRUE</v>
      </c>
    </row>
    <row r="248" spans="1:28">
      <c r="A248" t="s">
        <v>581</v>
      </c>
      <c r="B248">
        <v>9.7308658480000005</v>
      </c>
      <c r="C248" t="s">
        <v>34</v>
      </c>
      <c r="D248">
        <v>7.9169981680000001</v>
      </c>
      <c r="E248" t="s">
        <v>35</v>
      </c>
      <c r="F248">
        <v>67.886580699999996</v>
      </c>
      <c r="G248" t="s">
        <v>35</v>
      </c>
      <c r="H248">
        <v>366.81584980000002</v>
      </c>
      <c r="I248">
        <v>11.883419849999999</v>
      </c>
      <c r="J248">
        <v>13.18694054</v>
      </c>
      <c r="K248">
        <v>4.6253475249999996</v>
      </c>
      <c r="L248">
        <v>423.5989553</v>
      </c>
      <c r="M248">
        <v>1.1712651430000001</v>
      </c>
      <c r="N248">
        <v>10795.7336</v>
      </c>
      <c r="O248" s="1" t="s">
        <v>1045</v>
      </c>
      <c r="P248" t="s">
        <v>581</v>
      </c>
      <c r="Q248" t="s">
        <v>1079</v>
      </c>
      <c r="R248" t="s">
        <v>1060</v>
      </c>
      <c r="S248" t="s">
        <v>1060</v>
      </c>
      <c r="T248" s="3">
        <v>33457</v>
      </c>
      <c r="U248" s="3">
        <v>44238</v>
      </c>
      <c r="V248">
        <f t="shared" si="16"/>
        <v>29</v>
      </c>
      <c r="W248">
        <v>1</v>
      </c>
      <c r="X248" t="s">
        <v>1061</v>
      </c>
      <c r="Y248" t="s">
        <v>1060</v>
      </c>
      <c r="Z248" t="s">
        <v>1060</v>
      </c>
      <c r="AB248" t="str">
        <f t="shared" si="14"/>
        <v>TRUE</v>
      </c>
    </row>
    <row r="249" spans="1:28">
      <c r="A249" t="s">
        <v>677</v>
      </c>
      <c r="B249">
        <v>5.3186038870000001</v>
      </c>
      <c r="C249" t="s">
        <v>34</v>
      </c>
      <c r="D249">
        <v>9.3393027499999999</v>
      </c>
      <c r="E249" t="s">
        <v>35</v>
      </c>
      <c r="F249">
        <v>51.831368599999998</v>
      </c>
      <c r="G249" t="s">
        <v>35</v>
      </c>
      <c r="H249">
        <v>223.1405603</v>
      </c>
      <c r="I249">
        <v>7.8788180849999998</v>
      </c>
      <c r="J249">
        <v>8.7488346670000006</v>
      </c>
      <c r="K249">
        <v>3.353025175</v>
      </c>
      <c r="L249">
        <v>370.978228</v>
      </c>
      <c r="M249">
        <v>1.485248449</v>
      </c>
      <c r="N249">
        <v>8846.1430600000003</v>
      </c>
      <c r="O249" s="1" t="s">
        <v>1046</v>
      </c>
      <c r="P249" t="s">
        <v>677</v>
      </c>
      <c r="Q249" t="s">
        <v>1079</v>
      </c>
      <c r="R249" t="s">
        <v>1060</v>
      </c>
      <c r="S249" t="s">
        <v>1060</v>
      </c>
      <c r="T249" s="3">
        <v>31079</v>
      </c>
      <c r="U249" s="3">
        <v>44238</v>
      </c>
      <c r="V249">
        <f t="shared" si="16"/>
        <v>36</v>
      </c>
      <c r="W249">
        <v>1</v>
      </c>
      <c r="X249" t="s">
        <v>1065</v>
      </c>
      <c r="Y249" t="s">
        <v>1060</v>
      </c>
      <c r="Z249" t="s">
        <v>1060</v>
      </c>
      <c r="AB249" t="str">
        <f t="shared" si="14"/>
        <v>TRUE</v>
      </c>
    </row>
    <row r="250" spans="1:28">
      <c r="A250" t="s">
        <v>716</v>
      </c>
      <c r="B250">
        <v>7.4557927099999999</v>
      </c>
      <c r="C250" t="s">
        <v>34</v>
      </c>
      <c r="D250">
        <v>7.9403957480000003</v>
      </c>
      <c r="E250">
        <v>126.7718247</v>
      </c>
      <c r="F250">
        <v>39.031563300000002</v>
      </c>
      <c r="G250" t="s">
        <v>35</v>
      </c>
      <c r="H250">
        <v>279.0176179</v>
      </c>
      <c r="I250">
        <v>10.2888547</v>
      </c>
      <c r="J250">
        <v>12.499175579999999</v>
      </c>
      <c r="K250">
        <v>4.682940018</v>
      </c>
      <c r="L250">
        <v>382.40795509999998</v>
      </c>
      <c r="M250">
        <v>1.0472815550000001</v>
      </c>
      <c r="N250">
        <v>14131.53894</v>
      </c>
      <c r="O250" s="1" t="s">
        <v>1047</v>
      </c>
      <c r="P250" t="s">
        <v>716</v>
      </c>
      <c r="Q250" t="s">
        <v>1079</v>
      </c>
      <c r="R250" t="s">
        <v>1060</v>
      </c>
      <c r="S250" t="s">
        <v>1060</v>
      </c>
      <c r="T250" s="3">
        <v>31751</v>
      </c>
      <c r="U250" s="3">
        <v>44244</v>
      </c>
      <c r="V250">
        <f t="shared" si="16"/>
        <v>34</v>
      </c>
      <c r="W250">
        <v>1</v>
      </c>
      <c r="X250" t="s">
        <v>1065</v>
      </c>
      <c r="Y250" t="s">
        <v>1060</v>
      </c>
      <c r="Z250" t="s">
        <v>1060</v>
      </c>
      <c r="AB250" t="str">
        <f t="shared" si="14"/>
        <v>TRUE</v>
      </c>
    </row>
    <row r="251" spans="1:28">
      <c r="A251" t="s">
        <v>164</v>
      </c>
      <c r="B251">
        <v>9.9556343910000002</v>
      </c>
      <c r="C251" t="s">
        <v>34</v>
      </c>
      <c r="D251">
        <v>8.2430249950000007</v>
      </c>
      <c r="E251">
        <v>135.19529750000001</v>
      </c>
      <c r="F251">
        <v>57.931315720000001</v>
      </c>
      <c r="G251" t="s">
        <v>35</v>
      </c>
      <c r="H251">
        <v>284.30168250000003</v>
      </c>
      <c r="I251">
        <v>8.5998798109999992</v>
      </c>
      <c r="J251">
        <v>9.718020718</v>
      </c>
      <c r="K251">
        <v>4.9019412009999996</v>
      </c>
      <c r="L251">
        <v>309.3890591</v>
      </c>
      <c r="M251">
        <v>0.95907478800000001</v>
      </c>
      <c r="N251">
        <v>9872.9205340000008</v>
      </c>
      <c r="O251" s="1" t="s">
        <v>1048</v>
      </c>
      <c r="P251" t="s">
        <v>164</v>
      </c>
      <c r="Q251" t="s">
        <v>1079</v>
      </c>
      <c r="R251" t="s">
        <v>1060</v>
      </c>
      <c r="S251" t="s">
        <v>1060</v>
      </c>
      <c r="T251" s="3">
        <v>31873</v>
      </c>
      <c r="U251" s="3">
        <v>44244</v>
      </c>
      <c r="V251">
        <f t="shared" si="16"/>
        <v>33</v>
      </c>
      <c r="W251">
        <v>1</v>
      </c>
      <c r="X251" t="s">
        <v>1061</v>
      </c>
      <c r="Y251" t="s">
        <v>1060</v>
      </c>
      <c r="Z251" t="s">
        <v>1060</v>
      </c>
      <c r="AB251" t="str">
        <f t="shared" si="14"/>
        <v>TRUE</v>
      </c>
    </row>
    <row r="252" spans="1:28">
      <c r="A252" t="s">
        <v>647</v>
      </c>
      <c r="B252">
        <v>7.2379427720000002</v>
      </c>
      <c r="C252" t="s">
        <v>34</v>
      </c>
      <c r="D252">
        <v>9.4756675050000005</v>
      </c>
      <c r="E252" t="s">
        <v>35</v>
      </c>
      <c r="F252">
        <v>61.765176369999999</v>
      </c>
      <c r="G252" t="s">
        <v>35</v>
      </c>
      <c r="H252">
        <v>247.23483189999999</v>
      </c>
      <c r="I252">
        <v>11.82528267</v>
      </c>
      <c r="J252">
        <v>10.63654886</v>
      </c>
      <c r="K252">
        <v>4.0365441579999999</v>
      </c>
      <c r="L252">
        <v>428.53799850000001</v>
      </c>
      <c r="M252">
        <v>0.80899610899999996</v>
      </c>
      <c r="N252">
        <v>12066.925149999999</v>
      </c>
      <c r="O252" s="1" t="s">
        <v>1049</v>
      </c>
      <c r="P252" t="s">
        <v>647</v>
      </c>
      <c r="Q252" t="s">
        <v>1079</v>
      </c>
      <c r="R252" t="s">
        <v>1060</v>
      </c>
      <c r="S252" t="s">
        <v>1060</v>
      </c>
      <c r="T252" s="3">
        <v>34733</v>
      </c>
      <c r="U252" s="3">
        <v>44244</v>
      </c>
      <c r="V252">
        <f t="shared" si="16"/>
        <v>26</v>
      </c>
      <c r="W252">
        <v>1</v>
      </c>
      <c r="X252" t="s">
        <v>1061</v>
      </c>
      <c r="Y252" t="s">
        <v>1060</v>
      </c>
      <c r="Z252" t="s">
        <v>1060</v>
      </c>
      <c r="AB252" t="str">
        <f t="shared" si="14"/>
        <v>TRUE</v>
      </c>
    </row>
    <row r="253" spans="1:28">
      <c r="A253" t="s">
        <v>227</v>
      </c>
      <c r="B253">
        <v>6.2927926459999997</v>
      </c>
      <c r="C253" t="s">
        <v>34</v>
      </c>
      <c r="D253">
        <v>6.0509457720000004</v>
      </c>
      <c r="E253">
        <v>171.8359423</v>
      </c>
      <c r="F253">
        <v>51.113568379999997</v>
      </c>
      <c r="G253" t="s">
        <v>35</v>
      </c>
      <c r="H253">
        <v>330.57863570000001</v>
      </c>
      <c r="I253">
        <v>9.8682283169999998</v>
      </c>
      <c r="J253">
        <v>10.73704489</v>
      </c>
      <c r="K253">
        <v>1.8174091029999999</v>
      </c>
      <c r="L253">
        <v>418.4395313</v>
      </c>
      <c r="M253">
        <v>1.353846667</v>
      </c>
      <c r="N253">
        <v>9176.6300879999999</v>
      </c>
      <c r="O253" s="1" t="s">
        <v>1050</v>
      </c>
      <c r="P253" t="s">
        <v>227</v>
      </c>
      <c r="Q253" t="s">
        <v>1080</v>
      </c>
      <c r="R253" t="s">
        <v>1060</v>
      </c>
      <c r="S253" t="s">
        <v>1060</v>
      </c>
      <c r="T253" s="3">
        <v>24855</v>
      </c>
      <c r="U253" s="3">
        <v>44245</v>
      </c>
      <c r="V253">
        <f t="shared" si="16"/>
        <v>53</v>
      </c>
      <c r="W253">
        <v>1</v>
      </c>
      <c r="X253" t="s">
        <v>1061</v>
      </c>
      <c r="Y253" t="s">
        <v>1060</v>
      </c>
      <c r="Z253" t="s">
        <v>1060</v>
      </c>
      <c r="AB253" t="str">
        <f t="shared" si="14"/>
        <v>TRUE</v>
      </c>
    </row>
    <row r="254" spans="1:28">
      <c r="A254" t="s">
        <v>455</v>
      </c>
      <c r="B254">
        <v>6.5065945010000004</v>
      </c>
      <c r="C254" t="s">
        <v>34</v>
      </c>
      <c r="D254">
        <v>6.9130190899999997</v>
      </c>
      <c r="E254">
        <v>139.13669229999999</v>
      </c>
      <c r="F254">
        <v>73.512493620000001</v>
      </c>
      <c r="G254" t="s">
        <v>35</v>
      </c>
      <c r="H254">
        <v>296.1260868</v>
      </c>
      <c r="I254">
        <v>9.0893451299999999</v>
      </c>
      <c r="J254">
        <v>9.7719447269999993</v>
      </c>
      <c r="K254">
        <v>2.5581439370000001</v>
      </c>
      <c r="L254">
        <v>454.11632950000001</v>
      </c>
      <c r="M254">
        <v>1.5728656990000001</v>
      </c>
      <c r="N254">
        <v>10926.65352</v>
      </c>
      <c r="O254" s="1" t="s">
        <v>1051</v>
      </c>
      <c r="P254" t="s">
        <v>455</v>
      </c>
      <c r="Q254" t="s">
        <v>1079</v>
      </c>
      <c r="R254" t="s">
        <v>1060</v>
      </c>
      <c r="S254" t="s">
        <v>1060</v>
      </c>
      <c r="T254" s="3">
        <v>32239</v>
      </c>
      <c r="U254" s="3">
        <v>44245</v>
      </c>
      <c r="V254">
        <f t="shared" si="16"/>
        <v>32</v>
      </c>
      <c r="W254">
        <v>1</v>
      </c>
      <c r="X254" t="s">
        <v>1061</v>
      </c>
      <c r="Y254" t="s">
        <v>1060</v>
      </c>
      <c r="Z254" t="s">
        <v>1060</v>
      </c>
      <c r="AB254" t="str">
        <f t="shared" si="14"/>
        <v>TRUE</v>
      </c>
    </row>
    <row r="255" spans="1:28">
      <c r="A255" t="s">
        <v>584</v>
      </c>
      <c r="B255">
        <v>5.6079735299999998</v>
      </c>
      <c r="C255" t="s">
        <v>34</v>
      </c>
      <c r="D255">
        <v>8.0352626679999997</v>
      </c>
      <c r="E255">
        <v>125.6787762</v>
      </c>
      <c r="F255">
        <v>44.715173180000001</v>
      </c>
      <c r="G255" t="s">
        <v>35</v>
      </c>
      <c r="H255">
        <v>417.12146310000003</v>
      </c>
      <c r="I255">
        <v>11.56501003</v>
      </c>
      <c r="J255">
        <v>7.7403239519999998</v>
      </c>
      <c r="K255">
        <v>4.5243389430000001</v>
      </c>
      <c r="L255">
        <v>308.06449730000003</v>
      </c>
      <c r="M255">
        <v>0.615253461</v>
      </c>
      <c r="N255">
        <v>10353.70477</v>
      </c>
      <c r="O255" s="1" t="s">
        <v>1052</v>
      </c>
      <c r="P255" t="s">
        <v>584</v>
      </c>
      <c r="Q255" t="s">
        <v>1079</v>
      </c>
      <c r="R255" t="s">
        <v>1060</v>
      </c>
      <c r="S255" t="s">
        <v>1060</v>
      </c>
      <c r="T255" s="3">
        <v>30318</v>
      </c>
      <c r="U255" s="3">
        <v>44250</v>
      </c>
      <c r="V255">
        <f t="shared" si="16"/>
        <v>38</v>
      </c>
      <c r="W255">
        <v>1</v>
      </c>
      <c r="X255" t="s">
        <v>1065</v>
      </c>
      <c r="Y255" t="s">
        <v>1060</v>
      </c>
      <c r="Z255" t="s">
        <v>1060</v>
      </c>
      <c r="AB255" t="str">
        <f t="shared" si="14"/>
        <v>TRUE</v>
      </c>
    </row>
    <row r="256" spans="1:28">
      <c r="A256" t="s">
        <v>800</v>
      </c>
      <c r="B256">
        <v>5.7048265359999997</v>
      </c>
      <c r="C256" t="s">
        <v>34</v>
      </c>
      <c r="D256">
        <v>5.8708521559999998</v>
      </c>
      <c r="E256" t="s">
        <v>35</v>
      </c>
      <c r="F256">
        <v>61.23159106</v>
      </c>
      <c r="G256" t="s">
        <v>35</v>
      </c>
      <c r="H256">
        <v>433.26648569999998</v>
      </c>
      <c r="I256">
        <v>9.8735390869999993</v>
      </c>
      <c r="J256">
        <v>13.722828120000001</v>
      </c>
      <c r="K256">
        <v>3.1627205420000002</v>
      </c>
      <c r="L256">
        <v>353.3725594</v>
      </c>
      <c r="M256">
        <v>1.0263223269999999</v>
      </c>
      <c r="N256">
        <v>8842.5553400000008</v>
      </c>
      <c r="O256" s="1" t="s">
        <v>1053</v>
      </c>
      <c r="P256" t="s">
        <v>800</v>
      </c>
      <c r="Q256" t="s">
        <v>1079</v>
      </c>
      <c r="R256" t="s">
        <v>1060</v>
      </c>
      <c r="S256" t="s">
        <v>1060</v>
      </c>
      <c r="T256" s="3">
        <v>29625</v>
      </c>
      <c r="U256" s="3">
        <v>44251</v>
      </c>
      <c r="V256">
        <f t="shared" si="16"/>
        <v>40</v>
      </c>
      <c r="W256">
        <v>1</v>
      </c>
      <c r="X256" t="s">
        <v>1061</v>
      </c>
      <c r="Y256" t="s">
        <v>1060</v>
      </c>
      <c r="Z256" t="s">
        <v>1060</v>
      </c>
      <c r="AB256" t="str">
        <f t="shared" si="14"/>
        <v>TRUE</v>
      </c>
    </row>
    <row r="257" spans="1:28">
      <c r="A257" t="s">
        <v>719</v>
      </c>
      <c r="B257">
        <v>5.158115209</v>
      </c>
      <c r="C257" t="s">
        <v>34</v>
      </c>
      <c r="D257">
        <v>10.6346208</v>
      </c>
      <c r="E257" t="s">
        <v>35</v>
      </c>
      <c r="F257">
        <v>193.89308449999999</v>
      </c>
      <c r="G257" t="s">
        <v>35</v>
      </c>
      <c r="H257">
        <v>178.29831949999999</v>
      </c>
      <c r="I257">
        <v>12.65861913</v>
      </c>
      <c r="J257">
        <v>7.9041846500000004</v>
      </c>
      <c r="K257">
        <v>1.888268238</v>
      </c>
      <c r="L257">
        <v>794.01180380000005</v>
      </c>
      <c r="M257">
        <v>6.1492570229999997</v>
      </c>
      <c r="N257">
        <v>10429.141100000001</v>
      </c>
      <c r="O257" s="1" t="s">
        <v>1054</v>
      </c>
      <c r="P257" t="s">
        <v>719</v>
      </c>
      <c r="Q257" t="s">
        <v>1079</v>
      </c>
      <c r="R257" t="s">
        <v>1060</v>
      </c>
      <c r="S257" t="s">
        <v>1060</v>
      </c>
      <c r="T257" s="3">
        <v>30742</v>
      </c>
      <c r="U257" s="3">
        <v>44256</v>
      </c>
      <c r="V257">
        <f t="shared" si="16"/>
        <v>37</v>
      </c>
      <c r="W257">
        <v>1</v>
      </c>
      <c r="X257" t="s">
        <v>1065</v>
      </c>
      <c r="Y257" t="s">
        <v>1060</v>
      </c>
      <c r="Z257" t="s">
        <v>1060</v>
      </c>
      <c r="AB257" t="str">
        <f t="shared" si="14"/>
        <v>TRUE</v>
      </c>
    </row>
    <row r="258" spans="1:28">
      <c r="A258" t="s">
        <v>722</v>
      </c>
      <c r="B258">
        <v>6.4274233040000004</v>
      </c>
      <c r="C258">
        <v>3.2768094959999998</v>
      </c>
      <c r="D258">
        <v>5.9643285080000004</v>
      </c>
      <c r="E258">
        <v>110.37767460000001</v>
      </c>
      <c r="F258">
        <v>66.167577460000004</v>
      </c>
      <c r="G258" t="s">
        <v>35</v>
      </c>
      <c r="H258">
        <v>236.8628621</v>
      </c>
      <c r="I258">
        <v>6.7752211999999998</v>
      </c>
      <c r="J258">
        <v>7.6370389660000004</v>
      </c>
      <c r="K258">
        <v>2.7028438650000002</v>
      </c>
      <c r="L258">
        <v>370.43659280000003</v>
      </c>
      <c r="M258">
        <v>1.407038153</v>
      </c>
      <c r="N258">
        <v>11810.99386</v>
      </c>
      <c r="O258" s="1" t="s">
        <v>1055</v>
      </c>
      <c r="P258" t="s">
        <v>722</v>
      </c>
      <c r="Q258" t="s">
        <v>1079</v>
      </c>
      <c r="R258" t="s">
        <v>1060</v>
      </c>
      <c r="S258" t="s">
        <v>1060</v>
      </c>
      <c r="T258" s="3">
        <v>31628</v>
      </c>
      <c r="U258" s="3">
        <v>44258</v>
      </c>
      <c r="V258">
        <f t="shared" si="16"/>
        <v>34</v>
      </c>
      <c r="W258">
        <v>1</v>
      </c>
      <c r="X258" t="s">
        <v>1065</v>
      </c>
      <c r="Y258" t="s">
        <v>1060</v>
      </c>
      <c r="Z258" t="s">
        <v>1060</v>
      </c>
      <c r="AB258" t="str">
        <f t="shared" si="14"/>
        <v>TRUE</v>
      </c>
    </row>
    <row r="259" spans="1:28">
      <c r="A259" t="s">
        <v>515</v>
      </c>
      <c r="B259">
        <v>4.85093614</v>
      </c>
      <c r="C259" t="s">
        <v>34</v>
      </c>
      <c r="D259">
        <v>7.1130092840000003</v>
      </c>
      <c r="E259">
        <v>149.7364311</v>
      </c>
      <c r="F259">
        <v>46.250915030000002</v>
      </c>
      <c r="G259" t="s">
        <v>35</v>
      </c>
      <c r="H259">
        <v>97.365957699999996</v>
      </c>
      <c r="I259">
        <v>6.341094247</v>
      </c>
      <c r="J259">
        <v>6.6772182659999997</v>
      </c>
      <c r="K259">
        <v>2.8544879920000001</v>
      </c>
      <c r="L259">
        <v>427.5348654</v>
      </c>
      <c r="M259">
        <v>1.052066385</v>
      </c>
      <c r="N259">
        <v>13637.45508</v>
      </c>
      <c r="O259" s="1" t="s">
        <v>1056</v>
      </c>
      <c r="P259" t="s">
        <v>515</v>
      </c>
      <c r="Q259" t="s">
        <v>1079</v>
      </c>
      <c r="R259" t="s">
        <v>1060</v>
      </c>
      <c r="S259" t="s">
        <v>1060</v>
      </c>
      <c r="T259" s="3">
        <v>31809</v>
      </c>
      <c r="U259" s="3">
        <v>44258</v>
      </c>
      <c r="V259">
        <f t="shared" si="16"/>
        <v>34</v>
      </c>
      <c r="W259">
        <v>1</v>
      </c>
      <c r="X259" t="s">
        <v>1065</v>
      </c>
      <c r="Y259" t="s">
        <v>1060</v>
      </c>
      <c r="Z259" t="s">
        <v>1060</v>
      </c>
      <c r="AB259" t="str">
        <f t="shared" si="14"/>
        <v>TRUE</v>
      </c>
    </row>
    <row r="260" spans="1:28">
      <c r="AB260" t="str">
        <f t="shared" si="14"/>
        <v>TRUE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AE102"/>
  <sheetViews>
    <sheetView tabSelected="1" workbookViewId="0">
      <pane ySplit="2" topLeftCell="A3" activePane="bottomLeft" state="frozen"/>
      <selection pane="bottomLeft" activeCell="A22" sqref="A22"/>
    </sheetView>
  </sheetViews>
  <sheetFormatPr defaultColWidth="11" defaultRowHeight="15.75"/>
  <sheetData>
    <row r="1" spans="1:31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1093</v>
      </c>
      <c r="Q1" s="7" t="s">
        <v>1081</v>
      </c>
      <c r="R1" s="7" t="s">
        <v>1082</v>
      </c>
      <c r="S1" s="1" t="s">
        <v>1083</v>
      </c>
      <c r="T1" s="1" t="s">
        <v>1084</v>
      </c>
      <c r="U1" s="1" t="s">
        <v>1085</v>
      </c>
      <c r="V1" s="1" t="s">
        <v>1086</v>
      </c>
      <c r="W1" s="8" t="s">
        <v>1098</v>
      </c>
      <c r="X1" s="8" t="s">
        <v>1099</v>
      </c>
      <c r="Y1" s="8" t="s">
        <v>1100</v>
      </c>
      <c r="Z1" s="8" t="s">
        <v>1101</v>
      </c>
      <c r="AA1" s="1" t="s">
        <v>1087</v>
      </c>
      <c r="AB1" s="1" t="s">
        <v>1088</v>
      </c>
      <c r="AC1" s="1" t="s">
        <v>1089</v>
      </c>
      <c r="AD1" s="1" t="s">
        <v>1090</v>
      </c>
    </row>
    <row r="2" spans="1:31">
      <c r="A2" t="s">
        <v>365</v>
      </c>
      <c r="B2">
        <v>3.9661579570000001</v>
      </c>
      <c r="C2" t="s">
        <v>34</v>
      </c>
      <c r="D2">
        <v>5.9982347499999999</v>
      </c>
      <c r="E2">
        <v>133.99110769999999</v>
      </c>
      <c r="F2">
        <v>62.27400179</v>
      </c>
      <c r="G2" t="s">
        <v>35</v>
      </c>
      <c r="H2">
        <v>395.0173393</v>
      </c>
      <c r="I2">
        <v>6.0864533610000002</v>
      </c>
      <c r="J2">
        <v>11.04220383</v>
      </c>
      <c r="K2">
        <v>2.384542862</v>
      </c>
      <c r="L2">
        <v>356.55996579999999</v>
      </c>
      <c r="M2">
        <v>1.2478741550000001</v>
      </c>
      <c r="N2">
        <v>9330.9369619999998</v>
      </c>
      <c r="O2" s="1" t="s">
        <v>801</v>
      </c>
      <c r="P2" t="s">
        <v>365</v>
      </c>
      <c r="Q2" t="s">
        <v>1058</v>
      </c>
      <c r="R2" t="s">
        <v>1059</v>
      </c>
      <c r="S2" t="s">
        <v>1060</v>
      </c>
      <c r="T2" s="3">
        <v>36363</v>
      </c>
      <c r="U2" s="3">
        <v>43210</v>
      </c>
      <c r="V2">
        <f t="shared" ref="V2:V8" si="0">DATEDIF(T2,U2,"Y")</f>
        <v>18</v>
      </c>
      <c r="W2" s="5">
        <v>1</v>
      </c>
      <c r="X2" s="5">
        <v>3</v>
      </c>
      <c r="Y2" s="5">
        <v>1</v>
      </c>
      <c r="Z2" s="5">
        <v>0</v>
      </c>
      <c r="AA2">
        <v>1</v>
      </c>
      <c r="AB2" t="s">
        <v>1061</v>
      </c>
      <c r="AC2">
        <v>200</v>
      </c>
      <c r="AD2" t="s">
        <v>1060</v>
      </c>
      <c r="AE2" t="str">
        <f t="shared" ref="AE2:AE33" si="1">IF(P2=A2, "TRUE", "FALSE")</f>
        <v>TRUE</v>
      </c>
    </row>
    <row r="3" spans="1:31">
      <c r="A3" t="s">
        <v>386</v>
      </c>
      <c r="B3">
        <v>4.3928061530000004</v>
      </c>
      <c r="C3" t="s">
        <v>34</v>
      </c>
      <c r="D3">
        <v>1.9999899999999999</v>
      </c>
      <c r="E3" t="s">
        <v>35</v>
      </c>
      <c r="F3">
        <v>43.209581659999998</v>
      </c>
      <c r="G3">
        <v>4309.8802079999996</v>
      </c>
      <c r="H3">
        <v>134.09263540000001</v>
      </c>
      <c r="I3">
        <v>2.8996078029999999</v>
      </c>
      <c r="J3">
        <v>31.82622237</v>
      </c>
      <c r="K3">
        <v>0.39999200000000001</v>
      </c>
      <c r="L3">
        <v>189.76601529999999</v>
      </c>
      <c r="M3">
        <v>6.2033718479999997</v>
      </c>
      <c r="N3">
        <v>4080.0258760000002</v>
      </c>
      <c r="O3" s="1" t="s">
        <v>803</v>
      </c>
      <c r="P3" t="s">
        <v>386</v>
      </c>
      <c r="Q3" t="s">
        <v>1062</v>
      </c>
      <c r="R3" t="s">
        <v>1063</v>
      </c>
      <c r="S3" t="s">
        <v>1064</v>
      </c>
      <c r="T3" s="3">
        <v>21589</v>
      </c>
      <c r="U3" s="3">
        <v>43291</v>
      </c>
      <c r="V3">
        <f t="shared" si="0"/>
        <v>59</v>
      </c>
      <c r="W3">
        <v>1</v>
      </c>
      <c r="X3">
        <v>2</v>
      </c>
      <c r="Y3" s="9">
        <v>1</v>
      </c>
      <c r="Z3" s="9">
        <v>0</v>
      </c>
      <c r="AA3">
        <v>1</v>
      </c>
      <c r="AB3" t="s">
        <v>1061</v>
      </c>
      <c r="AC3">
        <v>3000</v>
      </c>
      <c r="AD3">
        <v>9</v>
      </c>
      <c r="AE3" t="str">
        <f t="shared" si="1"/>
        <v>TRUE</v>
      </c>
    </row>
    <row r="4" spans="1:31">
      <c r="A4" t="s">
        <v>431</v>
      </c>
      <c r="B4">
        <v>12.53875592</v>
      </c>
      <c r="C4" t="s">
        <v>34</v>
      </c>
      <c r="D4">
        <v>7.5905355779999999</v>
      </c>
      <c r="E4">
        <v>97.342422749999997</v>
      </c>
      <c r="F4">
        <v>102.4432426</v>
      </c>
      <c r="G4" t="s">
        <v>35</v>
      </c>
      <c r="H4">
        <v>338.17330820000001</v>
      </c>
      <c r="I4">
        <v>10.97909308</v>
      </c>
      <c r="J4">
        <v>14.935020400000001</v>
      </c>
      <c r="K4">
        <v>3.6289633710000002</v>
      </c>
      <c r="L4">
        <v>611.54304679999996</v>
      </c>
      <c r="M4">
        <v>1.3368919050000001</v>
      </c>
      <c r="N4">
        <v>11709.74296</v>
      </c>
      <c r="O4" s="1" t="s">
        <v>804</v>
      </c>
      <c r="P4" t="s">
        <v>431</v>
      </c>
      <c r="Q4" t="s">
        <v>1058</v>
      </c>
      <c r="R4" t="s">
        <v>1066</v>
      </c>
      <c r="S4" t="s">
        <v>1060</v>
      </c>
      <c r="T4" s="3">
        <v>21741</v>
      </c>
      <c r="U4" s="3">
        <v>43297</v>
      </c>
      <c r="V4">
        <f t="shared" si="0"/>
        <v>59</v>
      </c>
      <c r="W4">
        <v>0</v>
      </c>
      <c r="X4">
        <v>2</v>
      </c>
      <c r="Y4">
        <v>1</v>
      </c>
      <c r="Z4">
        <v>0</v>
      </c>
      <c r="AA4">
        <v>1</v>
      </c>
      <c r="AB4" t="s">
        <v>1065</v>
      </c>
      <c r="AC4">
        <v>289</v>
      </c>
      <c r="AD4" t="s">
        <v>1060</v>
      </c>
      <c r="AE4" t="str">
        <f t="shared" si="1"/>
        <v>TRUE</v>
      </c>
    </row>
    <row r="5" spans="1:31">
      <c r="A5" t="s">
        <v>476</v>
      </c>
      <c r="B5">
        <v>6.2030408960000001</v>
      </c>
      <c r="C5" t="s">
        <v>34</v>
      </c>
      <c r="D5">
        <v>5.0957737319999996</v>
      </c>
      <c r="E5">
        <v>158.5771001</v>
      </c>
      <c r="F5">
        <v>65.842667550000002</v>
      </c>
      <c r="G5" t="s">
        <v>35</v>
      </c>
      <c r="H5">
        <v>285.2652324</v>
      </c>
      <c r="I5">
        <v>7.3728252149999998</v>
      </c>
      <c r="J5">
        <v>18.846505629999999</v>
      </c>
      <c r="K5">
        <v>2.3966921590000001</v>
      </c>
      <c r="L5">
        <v>461.44041229999999</v>
      </c>
      <c r="M5">
        <v>1.2407292489999999</v>
      </c>
      <c r="N5">
        <v>13793.29997</v>
      </c>
      <c r="O5" s="1" t="s">
        <v>805</v>
      </c>
      <c r="P5" t="s">
        <v>476</v>
      </c>
      <c r="Q5" t="s">
        <v>1062</v>
      </c>
      <c r="R5" t="s">
        <v>1067</v>
      </c>
      <c r="S5" t="s">
        <v>1068</v>
      </c>
      <c r="T5" s="3">
        <v>30401</v>
      </c>
      <c r="U5" s="3">
        <v>43300</v>
      </c>
      <c r="V5">
        <f t="shared" si="0"/>
        <v>35</v>
      </c>
      <c r="W5">
        <v>0</v>
      </c>
      <c r="X5">
        <v>2</v>
      </c>
      <c r="Y5" s="9">
        <v>1</v>
      </c>
      <c r="Z5" s="9">
        <v>0</v>
      </c>
      <c r="AA5">
        <v>1</v>
      </c>
      <c r="AB5" t="s">
        <v>1061</v>
      </c>
      <c r="AC5">
        <v>250</v>
      </c>
      <c r="AD5">
        <v>0</v>
      </c>
      <c r="AE5" t="str">
        <f t="shared" si="1"/>
        <v>TRUE</v>
      </c>
    </row>
    <row r="6" spans="1:31">
      <c r="A6" t="s">
        <v>686</v>
      </c>
      <c r="B6">
        <v>2.3281414229999999</v>
      </c>
      <c r="C6" t="s">
        <v>34</v>
      </c>
      <c r="D6">
        <v>4.4275973410000002</v>
      </c>
      <c r="E6">
        <v>125.93136699999999</v>
      </c>
      <c r="F6">
        <v>26.649001290000001</v>
      </c>
      <c r="G6" t="s">
        <v>35</v>
      </c>
      <c r="H6">
        <v>123.7847208</v>
      </c>
      <c r="I6">
        <v>4.172047386</v>
      </c>
      <c r="J6">
        <v>6.0939392400000001</v>
      </c>
      <c r="K6">
        <v>1.648796266</v>
      </c>
      <c r="L6">
        <v>138.18388859999999</v>
      </c>
      <c r="M6">
        <v>0.88788201099999997</v>
      </c>
      <c r="N6">
        <v>7441.0903920000001</v>
      </c>
      <c r="O6" s="1" t="s">
        <v>806</v>
      </c>
      <c r="P6" t="s">
        <v>686</v>
      </c>
      <c r="Q6" t="s">
        <v>1069</v>
      </c>
      <c r="R6" t="s">
        <v>1070</v>
      </c>
      <c r="S6" t="s">
        <v>1064</v>
      </c>
      <c r="T6" s="3">
        <v>29526</v>
      </c>
      <c r="U6" s="3">
        <v>43301</v>
      </c>
      <c r="V6">
        <f t="shared" si="0"/>
        <v>37</v>
      </c>
      <c r="W6">
        <v>0</v>
      </c>
      <c r="X6">
        <v>2</v>
      </c>
      <c r="Y6" s="9">
        <v>1</v>
      </c>
      <c r="Z6" s="9">
        <v>0</v>
      </c>
      <c r="AA6">
        <v>1</v>
      </c>
      <c r="AB6" t="s">
        <v>1065</v>
      </c>
      <c r="AC6">
        <v>70</v>
      </c>
      <c r="AD6">
        <v>6</v>
      </c>
      <c r="AE6" t="str">
        <f t="shared" si="1"/>
        <v>TRUE</v>
      </c>
    </row>
    <row r="7" spans="1:31">
      <c r="A7" t="s">
        <v>656</v>
      </c>
      <c r="B7">
        <v>17.966949450000001</v>
      </c>
      <c r="C7" t="s">
        <v>34</v>
      </c>
      <c r="D7">
        <v>14.8152612</v>
      </c>
      <c r="E7">
        <v>136.1373686</v>
      </c>
      <c r="F7">
        <v>82.331926300000006</v>
      </c>
      <c r="G7" t="s">
        <v>35</v>
      </c>
      <c r="H7">
        <v>836.78332769999997</v>
      </c>
      <c r="I7">
        <v>12.10307851</v>
      </c>
      <c r="J7">
        <v>10.1207616</v>
      </c>
      <c r="K7">
        <v>6.8275398850000002</v>
      </c>
      <c r="L7">
        <v>515.16997149999997</v>
      </c>
      <c r="M7">
        <v>2.062871119</v>
      </c>
      <c r="N7">
        <v>10790.043460000001</v>
      </c>
      <c r="O7" s="1" t="s">
        <v>807</v>
      </c>
      <c r="P7" t="s">
        <v>656</v>
      </c>
      <c r="Q7" t="s">
        <v>1062</v>
      </c>
      <c r="R7" t="s">
        <v>1067</v>
      </c>
      <c r="S7" t="s">
        <v>1068</v>
      </c>
      <c r="T7" s="3">
        <v>32618</v>
      </c>
      <c r="U7" s="3">
        <v>43308</v>
      </c>
      <c r="V7">
        <f t="shared" si="0"/>
        <v>29</v>
      </c>
      <c r="W7">
        <v>0</v>
      </c>
      <c r="X7">
        <v>1</v>
      </c>
      <c r="Y7" s="9">
        <v>1</v>
      </c>
      <c r="Z7" s="9">
        <v>0</v>
      </c>
      <c r="AA7">
        <v>1</v>
      </c>
      <c r="AB7" t="s">
        <v>1061</v>
      </c>
      <c r="AC7">
        <v>2826</v>
      </c>
      <c r="AD7">
        <v>5</v>
      </c>
      <c r="AE7" t="str">
        <f t="shared" si="1"/>
        <v>TRUE</v>
      </c>
    </row>
    <row r="8" spans="1:31">
      <c r="A8" t="s">
        <v>350</v>
      </c>
      <c r="B8">
        <v>6.3100571260000002</v>
      </c>
      <c r="C8" t="s">
        <v>34</v>
      </c>
      <c r="D8">
        <v>5.5998718680000001</v>
      </c>
      <c r="E8">
        <v>145.65310969999999</v>
      </c>
      <c r="F8">
        <v>44.964904480000001</v>
      </c>
      <c r="G8">
        <v>4527.8925929999996</v>
      </c>
      <c r="H8">
        <v>227.5365051</v>
      </c>
      <c r="I8">
        <v>7.3291040550000002</v>
      </c>
      <c r="J8">
        <v>8.4093033659999996</v>
      </c>
      <c r="K8">
        <v>2.3746778929999999</v>
      </c>
      <c r="L8">
        <v>347.51957440000001</v>
      </c>
      <c r="M8">
        <v>1.1855496919999999</v>
      </c>
      <c r="N8">
        <v>10940.293470000001</v>
      </c>
      <c r="O8" s="1" t="s">
        <v>808</v>
      </c>
      <c r="P8" t="s">
        <v>350</v>
      </c>
      <c r="Q8" t="s">
        <v>1069</v>
      </c>
      <c r="R8" t="s">
        <v>1070</v>
      </c>
      <c r="S8" t="s">
        <v>1068</v>
      </c>
      <c r="T8" s="3">
        <v>32901</v>
      </c>
      <c r="U8" s="3">
        <v>43296</v>
      </c>
      <c r="V8">
        <f t="shared" si="0"/>
        <v>28</v>
      </c>
      <c r="W8">
        <v>0</v>
      </c>
      <c r="X8">
        <v>2</v>
      </c>
      <c r="Y8" s="9">
        <v>1</v>
      </c>
      <c r="Z8" s="9">
        <v>0</v>
      </c>
      <c r="AA8">
        <v>1</v>
      </c>
      <c r="AB8" t="s">
        <v>1061</v>
      </c>
      <c r="AC8">
        <v>796</v>
      </c>
      <c r="AD8">
        <v>6</v>
      </c>
      <c r="AE8" t="str">
        <f t="shared" si="1"/>
        <v>TRUE</v>
      </c>
    </row>
    <row r="9" spans="1:31">
      <c r="A9" t="s">
        <v>668</v>
      </c>
      <c r="B9">
        <v>12.256629330000001</v>
      </c>
      <c r="C9" t="s">
        <v>34</v>
      </c>
      <c r="D9">
        <v>11.4170999</v>
      </c>
      <c r="E9" t="s">
        <v>34</v>
      </c>
      <c r="F9">
        <v>70.940553919999999</v>
      </c>
      <c r="G9" t="s">
        <v>35</v>
      </c>
      <c r="H9">
        <v>189.15066999999999</v>
      </c>
      <c r="I9">
        <v>10.93480742</v>
      </c>
      <c r="J9">
        <v>11.60881532</v>
      </c>
      <c r="K9">
        <v>1.274469901</v>
      </c>
      <c r="L9">
        <v>505.86689539999998</v>
      </c>
      <c r="M9">
        <v>1.2361745319999999</v>
      </c>
      <c r="N9">
        <v>12441.82999</v>
      </c>
      <c r="O9" s="2" t="s">
        <v>809</v>
      </c>
      <c r="P9" t="s">
        <v>668</v>
      </c>
      <c r="Q9" t="s">
        <v>1058</v>
      </c>
      <c r="R9" t="s">
        <v>1059</v>
      </c>
      <c r="S9" t="s">
        <v>1060</v>
      </c>
      <c r="T9" s="3">
        <v>27100</v>
      </c>
      <c r="U9" s="3">
        <v>43318</v>
      </c>
      <c r="V9">
        <v>44</v>
      </c>
      <c r="W9" s="5">
        <v>1</v>
      </c>
      <c r="X9" s="5">
        <v>2</v>
      </c>
      <c r="Y9" s="5">
        <v>1</v>
      </c>
      <c r="Z9" s="5">
        <v>0</v>
      </c>
      <c r="AA9">
        <v>1</v>
      </c>
      <c r="AB9" t="s">
        <v>1065</v>
      </c>
      <c r="AC9">
        <v>300</v>
      </c>
      <c r="AD9" t="s">
        <v>1060</v>
      </c>
      <c r="AE9" t="str">
        <f t="shared" si="1"/>
        <v>TRUE</v>
      </c>
    </row>
    <row r="10" spans="1:31">
      <c r="A10" t="s">
        <v>449</v>
      </c>
      <c r="B10">
        <v>5.7336284620000004</v>
      </c>
      <c r="C10" t="s">
        <v>34</v>
      </c>
      <c r="D10">
        <v>8.8450238900000002</v>
      </c>
      <c r="E10">
        <v>156.28479089999999</v>
      </c>
      <c r="F10">
        <v>82.120706069999997</v>
      </c>
      <c r="G10" t="s">
        <v>35</v>
      </c>
      <c r="H10">
        <v>188.8272887</v>
      </c>
      <c r="I10">
        <v>14.122351370000001</v>
      </c>
      <c r="J10">
        <v>16.697368789999999</v>
      </c>
      <c r="K10">
        <v>4.5743646929999997</v>
      </c>
      <c r="L10">
        <v>473.0427378</v>
      </c>
      <c r="M10">
        <v>1.5758954919999999</v>
      </c>
      <c r="N10">
        <v>9695.3914029999996</v>
      </c>
      <c r="O10" s="1" t="s">
        <v>810</v>
      </c>
      <c r="P10" t="s">
        <v>449</v>
      </c>
      <c r="Q10" t="s">
        <v>1058</v>
      </c>
      <c r="R10" t="s">
        <v>1066</v>
      </c>
      <c r="S10" t="s">
        <v>1060</v>
      </c>
      <c r="T10" s="3">
        <v>36594</v>
      </c>
      <c r="U10" s="3">
        <v>43320</v>
      </c>
      <c r="V10">
        <f t="shared" ref="V10:V20" si="2">DATEDIF(T10,U10,"Y")</f>
        <v>18</v>
      </c>
      <c r="W10">
        <v>0</v>
      </c>
      <c r="X10">
        <v>2</v>
      </c>
      <c r="Y10">
        <v>1</v>
      </c>
      <c r="Z10">
        <v>0</v>
      </c>
      <c r="AA10">
        <v>1</v>
      </c>
      <c r="AB10" t="s">
        <v>1061</v>
      </c>
      <c r="AC10">
        <v>133</v>
      </c>
      <c r="AD10" t="s">
        <v>1060</v>
      </c>
      <c r="AE10" t="str">
        <f t="shared" si="1"/>
        <v>TRUE</v>
      </c>
    </row>
    <row r="11" spans="1:31">
      <c r="A11" t="s">
        <v>518</v>
      </c>
      <c r="B11">
        <v>6.7141047599999997</v>
      </c>
      <c r="C11" t="s">
        <v>34</v>
      </c>
      <c r="D11">
        <v>7.7516135430000004</v>
      </c>
      <c r="E11">
        <v>99.622211190000002</v>
      </c>
      <c r="F11">
        <v>79.283624649999993</v>
      </c>
      <c r="G11" t="s">
        <v>35</v>
      </c>
      <c r="H11">
        <v>261.32645710000003</v>
      </c>
      <c r="I11">
        <v>13.69965957</v>
      </c>
      <c r="J11">
        <v>7.5739220950000004</v>
      </c>
      <c r="K11">
        <v>6.491685983</v>
      </c>
      <c r="L11">
        <v>405.52588980000002</v>
      </c>
      <c r="M11">
        <v>1.226268645</v>
      </c>
      <c r="N11">
        <v>13178.10096</v>
      </c>
      <c r="O11" s="1" t="s">
        <v>811</v>
      </c>
      <c r="P11" t="s">
        <v>518</v>
      </c>
      <c r="Q11" t="s">
        <v>1058</v>
      </c>
      <c r="R11" t="s">
        <v>1066</v>
      </c>
      <c r="S11" t="s">
        <v>1071</v>
      </c>
      <c r="T11" s="3">
        <v>32592</v>
      </c>
      <c r="U11" s="3">
        <v>43321</v>
      </c>
      <c r="V11">
        <f t="shared" si="2"/>
        <v>29</v>
      </c>
      <c r="W11">
        <v>1</v>
      </c>
      <c r="X11">
        <v>3</v>
      </c>
      <c r="Y11" s="9">
        <v>1</v>
      </c>
      <c r="Z11" s="9">
        <v>0</v>
      </c>
      <c r="AA11">
        <v>1</v>
      </c>
      <c r="AB11" t="s">
        <v>1061</v>
      </c>
      <c r="AC11">
        <v>125</v>
      </c>
      <c r="AD11" t="s">
        <v>1060</v>
      </c>
      <c r="AE11" t="str">
        <f t="shared" si="1"/>
        <v>TRUE</v>
      </c>
    </row>
    <row r="12" spans="1:31">
      <c r="A12" t="s">
        <v>644</v>
      </c>
      <c r="B12">
        <v>6.1508339980000004</v>
      </c>
      <c r="C12" t="s">
        <v>34</v>
      </c>
      <c r="D12">
        <v>10.821537810000001</v>
      </c>
      <c r="E12">
        <v>156.497467</v>
      </c>
      <c r="F12">
        <v>198.34344129999999</v>
      </c>
      <c r="G12">
        <v>3701.5041040000001</v>
      </c>
      <c r="H12">
        <v>216.4242314</v>
      </c>
      <c r="I12">
        <v>10.058418209999999</v>
      </c>
      <c r="J12">
        <v>15.09133396</v>
      </c>
      <c r="K12">
        <v>2.2056184349999999</v>
      </c>
      <c r="L12">
        <v>763.86777930000005</v>
      </c>
      <c r="M12">
        <v>4.4011677110000003</v>
      </c>
      <c r="N12">
        <v>12151.99351</v>
      </c>
      <c r="O12" s="1" t="s">
        <v>812</v>
      </c>
      <c r="P12" t="s">
        <v>644</v>
      </c>
      <c r="Q12" t="s">
        <v>1062</v>
      </c>
      <c r="R12" t="s">
        <v>1063</v>
      </c>
      <c r="S12" t="s">
        <v>1068</v>
      </c>
      <c r="T12" s="3">
        <v>29445</v>
      </c>
      <c r="U12" s="3">
        <v>43329</v>
      </c>
      <c r="V12">
        <f t="shared" si="2"/>
        <v>38</v>
      </c>
      <c r="W12">
        <v>1</v>
      </c>
      <c r="X12">
        <v>2</v>
      </c>
      <c r="Y12" s="9">
        <v>0</v>
      </c>
      <c r="Z12" s="9">
        <v>0</v>
      </c>
      <c r="AA12">
        <v>1</v>
      </c>
      <c r="AB12" t="s">
        <v>1061</v>
      </c>
      <c r="AC12">
        <v>2043</v>
      </c>
      <c r="AD12">
        <v>8</v>
      </c>
      <c r="AE12" t="str">
        <f t="shared" si="1"/>
        <v>TRUE</v>
      </c>
    </row>
    <row r="13" spans="1:31">
      <c r="A13" t="s">
        <v>458</v>
      </c>
      <c r="B13">
        <v>5.6385018740000001</v>
      </c>
      <c r="C13" t="s">
        <v>34</v>
      </c>
      <c r="D13">
        <v>5.9791125310000002</v>
      </c>
      <c r="E13" t="s">
        <v>35</v>
      </c>
      <c r="F13">
        <v>77.947645789999996</v>
      </c>
      <c r="G13">
        <v>4998.613762</v>
      </c>
      <c r="H13">
        <v>187.1867191</v>
      </c>
      <c r="I13">
        <v>8.7341479979999992</v>
      </c>
      <c r="J13">
        <v>8.2322676870000002</v>
      </c>
      <c r="K13">
        <v>1.658231657</v>
      </c>
      <c r="L13">
        <v>252.8871024</v>
      </c>
      <c r="M13">
        <v>1.732107013</v>
      </c>
      <c r="N13">
        <v>5679.4760619999997</v>
      </c>
      <c r="O13" s="1" t="s">
        <v>813</v>
      </c>
      <c r="P13" t="s">
        <v>458</v>
      </c>
      <c r="Q13" t="s">
        <v>1062</v>
      </c>
      <c r="R13" t="s">
        <v>1072</v>
      </c>
      <c r="S13" t="s">
        <v>1068</v>
      </c>
      <c r="T13" s="3">
        <v>31343</v>
      </c>
      <c r="U13" s="3">
        <v>43340</v>
      </c>
      <c r="V13">
        <f t="shared" si="2"/>
        <v>32</v>
      </c>
      <c r="W13">
        <v>0</v>
      </c>
      <c r="X13">
        <v>2</v>
      </c>
      <c r="Y13" s="9">
        <v>1</v>
      </c>
      <c r="Z13" s="9">
        <v>0</v>
      </c>
      <c r="AA13">
        <v>1</v>
      </c>
      <c r="AB13" t="s">
        <v>1061</v>
      </c>
      <c r="AC13">
        <v>143</v>
      </c>
      <c r="AD13">
        <v>5</v>
      </c>
      <c r="AE13" t="str">
        <f t="shared" si="1"/>
        <v>TRUE</v>
      </c>
    </row>
    <row r="14" spans="1:31">
      <c r="A14" t="s">
        <v>407</v>
      </c>
      <c r="B14">
        <v>6.4446027380000004</v>
      </c>
      <c r="C14" t="s">
        <v>34</v>
      </c>
      <c r="D14">
        <v>7.4946771639999996</v>
      </c>
      <c r="E14">
        <v>171.9817357</v>
      </c>
      <c r="F14">
        <v>49.479427129999998</v>
      </c>
      <c r="G14" t="s">
        <v>35</v>
      </c>
      <c r="H14">
        <v>182.01445960000001</v>
      </c>
      <c r="I14">
        <v>7.8107836519999996</v>
      </c>
      <c r="J14">
        <v>8.7825578750000002</v>
      </c>
      <c r="K14">
        <v>4.2208425189999996</v>
      </c>
      <c r="L14">
        <v>427.00257099999999</v>
      </c>
      <c r="M14">
        <v>1.0648652890000001</v>
      </c>
      <c r="N14">
        <v>12793.79616</v>
      </c>
      <c r="O14" s="1" t="s">
        <v>814</v>
      </c>
      <c r="P14" t="s">
        <v>407</v>
      </c>
      <c r="Q14" t="s">
        <v>1058</v>
      </c>
      <c r="R14" t="s">
        <v>1059</v>
      </c>
      <c r="S14" t="s">
        <v>1060</v>
      </c>
      <c r="T14" s="3">
        <v>32770</v>
      </c>
      <c r="U14" s="3">
        <v>43341</v>
      </c>
      <c r="V14">
        <f t="shared" si="2"/>
        <v>28</v>
      </c>
      <c r="W14">
        <v>1</v>
      </c>
      <c r="X14">
        <v>2</v>
      </c>
      <c r="Y14">
        <v>1</v>
      </c>
      <c r="Z14">
        <v>0</v>
      </c>
      <c r="AA14">
        <v>1</v>
      </c>
      <c r="AB14" t="s">
        <v>1061</v>
      </c>
      <c r="AC14">
        <v>56</v>
      </c>
      <c r="AD14" t="s">
        <v>1060</v>
      </c>
      <c r="AE14" t="str">
        <f t="shared" si="1"/>
        <v>TRUE</v>
      </c>
    </row>
    <row r="15" spans="1:31">
      <c r="A15" t="s">
        <v>701</v>
      </c>
      <c r="B15">
        <v>2.7693402969999998</v>
      </c>
      <c r="C15" t="s">
        <v>34</v>
      </c>
      <c r="D15">
        <v>3.4340043759999999</v>
      </c>
      <c r="E15" t="s">
        <v>35</v>
      </c>
      <c r="F15">
        <v>178.14372470000001</v>
      </c>
      <c r="G15">
        <v>4226.0955329999997</v>
      </c>
      <c r="H15">
        <v>138.77762010000001</v>
      </c>
      <c r="I15">
        <v>3.6546143170000001</v>
      </c>
      <c r="J15">
        <v>27.135168799999999</v>
      </c>
      <c r="K15">
        <v>0.3999991</v>
      </c>
      <c r="L15">
        <v>451.91062720000002</v>
      </c>
      <c r="M15">
        <v>3.1231130199999999</v>
      </c>
      <c r="N15">
        <v>4301.0442489999996</v>
      </c>
      <c r="O15" s="1" t="s">
        <v>815</v>
      </c>
      <c r="P15" t="s">
        <v>701</v>
      </c>
      <c r="Q15" t="s">
        <v>1069</v>
      </c>
      <c r="R15" t="s">
        <v>1073</v>
      </c>
      <c r="S15" t="s">
        <v>1064</v>
      </c>
      <c r="T15" s="3">
        <v>36556</v>
      </c>
      <c r="U15" s="3">
        <v>43343</v>
      </c>
      <c r="V15">
        <f t="shared" si="2"/>
        <v>18</v>
      </c>
      <c r="W15" s="5">
        <v>1</v>
      </c>
      <c r="X15" s="5">
        <v>1</v>
      </c>
      <c r="Y15" s="5">
        <v>1</v>
      </c>
      <c r="Z15" s="5">
        <v>0</v>
      </c>
      <c r="AA15">
        <v>1</v>
      </c>
      <c r="AB15" t="s">
        <v>1065</v>
      </c>
      <c r="AC15">
        <v>2552</v>
      </c>
      <c r="AD15">
        <v>6</v>
      </c>
      <c r="AE15" t="str">
        <f t="shared" si="1"/>
        <v>TRUE</v>
      </c>
    </row>
    <row r="16" spans="1:31">
      <c r="A16" t="s">
        <v>260</v>
      </c>
      <c r="B16">
        <v>5.3751733850000001</v>
      </c>
      <c r="C16" t="s">
        <v>34</v>
      </c>
      <c r="D16">
        <v>5.786169535</v>
      </c>
      <c r="E16" t="s">
        <v>35</v>
      </c>
      <c r="F16">
        <v>77.503941499999996</v>
      </c>
      <c r="G16" t="s">
        <v>35</v>
      </c>
      <c r="H16">
        <v>414.65757860000002</v>
      </c>
      <c r="I16">
        <v>4.6449841420000002</v>
      </c>
      <c r="J16">
        <v>26.982893820000001</v>
      </c>
      <c r="K16">
        <v>1.1929637639999999</v>
      </c>
      <c r="L16">
        <v>320.0485491</v>
      </c>
      <c r="M16">
        <v>2.5095940460000001</v>
      </c>
      <c r="N16">
        <v>6713.2631240000001</v>
      </c>
      <c r="O16" s="1" t="s">
        <v>816</v>
      </c>
      <c r="P16" t="s">
        <v>260</v>
      </c>
      <c r="Q16" t="s">
        <v>1069</v>
      </c>
      <c r="R16" t="s">
        <v>1070</v>
      </c>
      <c r="S16" t="s">
        <v>1068</v>
      </c>
      <c r="T16" s="3">
        <v>21233</v>
      </c>
      <c r="U16" s="3">
        <v>43350</v>
      </c>
      <c r="V16">
        <f t="shared" si="2"/>
        <v>60</v>
      </c>
      <c r="W16">
        <v>0</v>
      </c>
      <c r="X16">
        <v>3</v>
      </c>
      <c r="Y16" s="9">
        <v>1</v>
      </c>
      <c r="Z16" s="9">
        <v>0</v>
      </c>
      <c r="AA16">
        <v>1</v>
      </c>
      <c r="AB16" t="s">
        <v>1061</v>
      </c>
      <c r="AC16">
        <v>992</v>
      </c>
      <c r="AD16">
        <v>1</v>
      </c>
      <c r="AE16" t="str">
        <f t="shared" si="1"/>
        <v>TRUE</v>
      </c>
    </row>
    <row r="17" spans="1:31">
      <c r="A17" t="s">
        <v>320</v>
      </c>
      <c r="B17">
        <v>3.9240462599999999</v>
      </c>
      <c r="C17" t="s">
        <v>34</v>
      </c>
      <c r="D17">
        <v>4.5711269379999999</v>
      </c>
      <c r="E17">
        <v>56.219553650000002</v>
      </c>
      <c r="F17">
        <v>45.81228909</v>
      </c>
      <c r="G17">
        <v>4524.2623270000004</v>
      </c>
      <c r="H17">
        <v>193.87701290000001</v>
      </c>
      <c r="I17">
        <v>6.9940351329999997</v>
      </c>
      <c r="J17">
        <v>6.5860178139999999</v>
      </c>
      <c r="K17">
        <v>2.6076235630000002</v>
      </c>
      <c r="L17">
        <v>363.98470609999998</v>
      </c>
      <c r="M17">
        <v>0.53716706999999997</v>
      </c>
      <c r="N17">
        <v>11814.97251</v>
      </c>
      <c r="O17" s="1" t="s">
        <v>817</v>
      </c>
      <c r="P17" t="s">
        <v>320</v>
      </c>
      <c r="Q17" t="s">
        <v>1074</v>
      </c>
      <c r="R17" t="s">
        <v>1075</v>
      </c>
      <c r="S17" t="s">
        <v>1060</v>
      </c>
      <c r="T17" s="3">
        <v>26185</v>
      </c>
      <c r="U17" s="3">
        <v>43354</v>
      </c>
      <c r="V17">
        <f t="shared" si="2"/>
        <v>47</v>
      </c>
      <c r="W17" s="5">
        <v>1</v>
      </c>
      <c r="X17" s="5">
        <v>2</v>
      </c>
      <c r="Y17" s="5">
        <v>1</v>
      </c>
      <c r="Z17" s="5">
        <v>0</v>
      </c>
      <c r="AA17">
        <v>1</v>
      </c>
      <c r="AB17" t="s">
        <v>1061</v>
      </c>
      <c r="AC17">
        <v>644</v>
      </c>
      <c r="AD17" t="s">
        <v>1060</v>
      </c>
      <c r="AE17" t="str">
        <f t="shared" si="1"/>
        <v>TRUE</v>
      </c>
    </row>
    <row r="18" spans="1:31">
      <c r="A18" t="s">
        <v>344</v>
      </c>
      <c r="B18">
        <v>8.8000071149999997</v>
      </c>
      <c r="C18" t="s">
        <v>34</v>
      </c>
      <c r="D18">
        <v>7.8282766160000001</v>
      </c>
      <c r="E18">
        <v>186.3530557</v>
      </c>
      <c r="F18">
        <v>48.546761519999997</v>
      </c>
      <c r="G18" t="s">
        <v>35</v>
      </c>
      <c r="H18">
        <v>140.32017519999999</v>
      </c>
      <c r="I18">
        <v>8.0542160529999993</v>
      </c>
      <c r="J18">
        <v>10.694047149999999</v>
      </c>
      <c r="K18">
        <v>3.0328868299999998</v>
      </c>
      <c r="L18">
        <v>425.58162609999999</v>
      </c>
      <c r="M18">
        <v>1.784434291</v>
      </c>
      <c r="N18">
        <v>9665.7055679999994</v>
      </c>
      <c r="O18" s="1" t="s">
        <v>820</v>
      </c>
      <c r="P18" t="s">
        <v>344</v>
      </c>
      <c r="Q18" t="s">
        <v>1069</v>
      </c>
      <c r="R18" t="s">
        <v>1070</v>
      </c>
      <c r="S18" t="s">
        <v>1064</v>
      </c>
      <c r="T18" s="3">
        <v>28506</v>
      </c>
      <c r="U18" s="3">
        <v>43356</v>
      </c>
      <c r="V18">
        <f t="shared" si="2"/>
        <v>40</v>
      </c>
      <c r="W18" s="5">
        <v>1</v>
      </c>
      <c r="X18" s="5">
        <v>2</v>
      </c>
      <c r="Y18" s="5">
        <v>1</v>
      </c>
      <c r="Z18" s="5">
        <v>0</v>
      </c>
      <c r="AA18">
        <v>1</v>
      </c>
      <c r="AB18" t="s">
        <v>1065</v>
      </c>
      <c r="AC18">
        <v>177</v>
      </c>
      <c r="AD18">
        <v>7</v>
      </c>
      <c r="AE18" t="str">
        <f t="shared" si="1"/>
        <v>TRUE</v>
      </c>
    </row>
    <row r="19" spans="1:31">
      <c r="A19" t="s">
        <v>485</v>
      </c>
      <c r="B19">
        <v>6.0303738750000004</v>
      </c>
      <c r="C19" t="s">
        <v>34</v>
      </c>
      <c r="D19">
        <v>11.28456647</v>
      </c>
      <c r="E19" t="s">
        <v>35</v>
      </c>
      <c r="F19">
        <v>61.495323970000001</v>
      </c>
      <c r="G19" t="s">
        <v>35</v>
      </c>
      <c r="H19">
        <v>194.885389</v>
      </c>
      <c r="I19">
        <v>16.69352696</v>
      </c>
      <c r="J19">
        <v>12.96736576</v>
      </c>
      <c r="K19">
        <v>4.6481050140000004</v>
      </c>
      <c r="L19">
        <v>375.47561100000001</v>
      </c>
      <c r="M19">
        <v>1.2835884719999999</v>
      </c>
      <c r="N19">
        <v>11930.80323</v>
      </c>
      <c r="O19" s="1" t="s">
        <v>821</v>
      </c>
      <c r="P19" t="s">
        <v>485</v>
      </c>
      <c r="Q19" t="s">
        <v>1062</v>
      </c>
      <c r="R19" t="s">
        <v>1063</v>
      </c>
      <c r="S19" t="s">
        <v>1068</v>
      </c>
      <c r="T19" s="3">
        <v>35211</v>
      </c>
      <c r="U19" s="3">
        <v>43377</v>
      </c>
      <c r="V19">
        <f t="shared" si="2"/>
        <v>22</v>
      </c>
      <c r="W19" s="5">
        <v>0</v>
      </c>
      <c r="X19" s="5">
        <v>2</v>
      </c>
      <c r="Y19" s="5">
        <v>1</v>
      </c>
      <c r="Z19" s="5">
        <v>0</v>
      </c>
      <c r="AA19">
        <v>1</v>
      </c>
      <c r="AB19" t="s">
        <v>1061</v>
      </c>
      <c r="AC19">
        <v>69</v>
      </c>
      <c r="AD19">
        <v>4</v>
      </c>
      <c r="AE19" t="str">
        <f t="shared" si="1"/>
        <v>TRUE</v>
      </c>
    </row>
    <row r="20" spans="1:31">
      <c r="A20" t="s">
        <v>77</v>
      </c>
      <c r="B20">
        <v>13.90098008</v>
      </c>
      <c r="C20" t="s">
        <v>34</v>
      </c>
      <c r="D20">
        <v>8.8986663499999992</v>
      </c>
      <c r="E20" t="s">
        <v>35</v>
      </c>
      <c r="F20">
        <v>68.37778213</v>
      </c>
      <c r="G20" t="s">
        <v>35</v>
      </c>
      <c r="H20">
        <v>475.24810780000001</v>
      </c>
      <c r="I20">
        <v>10.884914950000001</v>
      </c>
      <c r="J20">
        <v>13.043611670000001</v>
      </c>
      <c r="K20">
        <v>3.4206184529999999</v>
      </c>
      <c r="L20">
        <v>560.09710959999995</v>
      </c>
      <c r="M20">
        <v>1.3337762790000001</v>
      </c>
      <c r="N20">
        <v>10073.861209999999</v>
      </c>
      <c r="O20" s="1" t="s">
        <v>822</v>
      </c>
      <c r="P20" t="s">
        <v>77</v>
      </c>
      <c r="Q20" t="s">
        <v>1062</v>
      </c>
      <c r="R20" t="s">
        <v>1067</v>
      </c>
      <c r="S20" t="s">
        <v>1068</v>
      </c>
      <c r="T20" s="3">
        <v>23573</v>
      </c>
      <c r="U20" s="3">
        <v>43392</v>
      </c>
      <c r="V20">
        <f t="shared" si="2"/>
        <v>54</v>
      </c>
      <c r="W20">
        <v>0</v>
      </c>
      <c r="X20">
        <v>2</v>
      </c>
      <c r="Y20" s="9">
        <v>1</v>
      </c>
      <c r="Z20" s="9">
        <v>0</v>
      </c>
      <c r="AA20">
        <v>1</v>
      </c>
      <c r="AB20" t="s">
        <v>1061</v>
      </c>
      <c r="AC20">
        <v>6000</v>
      </c>
      <c r="AD20">
        <v>7</v>
      </c>
      <c r="AE20" t="str">
        <f t="shared" si="1"/>
        <v>TRUE</v>
      </c>
    </row>
    <row r="21" spans="1:31">
      <c r="A21" t="s">
        <v>359</v>
      </c>
      <c r="B21">
        <v>4.3920883850000001</v>
      </c>
      <c r="C21" t="s">
        <v>34</v>
      </c>
      <c r="D21">
        <v>6.3734000670000004</v>
      </c>
      <c r="E21" t="s">
        <v>35</v>
      </c>
      <c r="F21">
        <v>82.45237917</v>
      </c>
      <c r="G21" t="s">
        <v>35</v>
      </c>
      <c r="H21">
        <v>138.68815480000001</v>
      </c>
      <c r="I21">
        <v>8.0590955920000003</v>
      </c>
      <c r="J21">
        <v>7.7914493839999999</v>
      </c>
      <c r="K21">
        <v>2.4871477139999998</v>
      </c>
      <c r="L21">
        <v>348.49440129999999</v>
      </c>
      <c r="M21">
        <v>0.98557025899999995</v>
      </c>
      <c r="N21">
        <v>9512.8461380000008</v>
      </c>
      <c r="O21" s="1" t="s">
        <v>824</v>
      </c>
      <c r="P21" t="s">
        <v>359</v>
      </c>
      <c r="Q21" t="s">
        <v>1069</v>
      </c>
      <c r="R21" t="s">
        <v>1070</v>
      </c>
      <c r="S21" t="s">
        <v>1068</v>
      </c>
      <c r="T21" s="3">
        <v>33786</v>
      </c>
      <c r="U21" s="3">
        <v>43399</v>
      </c>
      <c r="V21">
        <v>26</v>
      </c>
      <c r="W21">
        <v>0</v>
      </c>
      <c r="X21">
        <v>3</v>
      </c>
      <c r="Y21" s="9">
        <v>1</v>
      </c>
      <c r="Z21" s="9">
        <v>0</v>
      </c>
      <c r="AA21">
        <v>1</v>
      </c>
      <c r="AB21" t="s">
        <v>1065</v>
      </c>
      <c r="AC21">
        <v>239</v>
      </c>
      <c r="AD21">
        <v>7</v>
      </c>
      <c r="AE21" t="str">
        <f t="shared" si="1"/>
        <v>TRUE</v>
      </c>
    </row>
    <row r="22" spans="1:31">
      <c r="A22" t="s">
        <v>665</v>
      </c>
      <c r="B22">
        <v>5.5962584919999996</v>
      </c>
      <c r="C22" t="s">
        <v>34</v>
      </c>
      <c r="D22">
        <v>6.718052052</v>
      </c>
      <c r="E22" t="s">
        <v>35</v>
      </c>
      <c r="F22">
        <v>56.97497225</v>
      </c>
      <c r="G22" t="s">
        <v>35</v>
      </c>
      <c r="H22">
        <v>345.4811368</v>
      </c>
      <c r="I22">
        <v>8.0291271260000006</v>
      </c>
      <c r="J22">
        <v>15.982100969999999</v>
      </c>
      <c r="K22">
        <v>3.3307307449999999</v>
      </c>
      <c r="L22">
        <v>285.1822492</v>
      </c>
      <c r="M22">
        <v>1.1713508749999999</v>
      </c>
      <c r="N22">
        <v>10685.941489999999</v>
      </c>
      <c r="O22" s="1" t="s">
        <v>825</v>
      </c>
      <c r="P22" t="s">
        <v>665</v>
      </c>
      <c r="Q22" t="s">
        <v>1058</v>
      </c>
      <c r="R22" t="s">
        <v>1066</v>
      </c>
      <c r="S22" t="s">
        <v>1060</v>
      </c>
      <c r="T22" s="3">
        <v>26190</v>
      </c>
      <c r="U22" s="3">
        <v>43409</v>
      </c>
      <c r="V22">
        <f>DATEDIF(T22,U22,"Y")</f>
        <v>47</v>
      </c>
      <c r="W22">
        <v>0</v>
      </c>
      <c r="X22">
        <v>2</v>
      </c>
      <c r="Y22">
        <v>1</v>
      </c>
      <c r="Z22">
        <v>0</v>
      </c>
      <c r="AA22">
        <v>1</v>
      </c>
      <c r="AB22" t="s">
        <v>1061</v>
      </c>
      <c r="AC22">
        <v>189</v>
      </c>
      <c r="AD22">
        <v>5</v>
      </c>
      <c r="AE22" t="str">
        <f t="shared" si="1"/>
        <v>TRUE</v>
      </c>
    </row>
    <row r="23" spans="1:31">
      <c r="A23" t="s">
        <v>395</v>
      </c>
      <c r="B23">
        <v>7.9687610390000003</v>
      </c>
      <c r="C23" t="s">
        <v>34</v>
      </c>
      <c r="D23">
        <v>6.8418997490000004</v>
      </c>
      <c r="E23">
        <v>182.0923799</v>
      </c>
      <c r="F23">
        <v>83.690610149999998</v>
      </c>
      <c r="G23" t="s">
        <v>35</v>
      </c>
      <c r="H23">
        <v>101.2771429</v>
      </c>
      <c r="I23">
        <v>9.5363433369999999</v>
      </c>
      <c r="J23">
        <v>14.366669229999999</v>
      </c>
      <c r="K23">
        <v>3.8644045990000002</v>
      </c>
      <c r="L23">
        <v>414.0081758</v>
      </c>
      <c r="M23">
        <v>1.917680805</v>
      </c>
      <c r="N23">
        <v>9223.8367760000001</v>
      </c>
      <c r="O23" s="1" t="s">
        <v>826</v>
      </c>
      <c r="P23" t="s">
        <v>395</v>
      </c>
      <c r="Q23" t="s">
        <v>1062</v>
      </c>
      <c r="R23" t="s">
        <v>1072</v>
      </c>
      <c r="S23" t="s">
        <v>1068</v>
      </c>
      <c r="T23" s="3">
        <v>30482</v>
      </c>
      <c r="U23" s="3">
        <v>43410</v>
      </c>
      <c r="V23">
        <v>35</v>
      </c>
      <c r="W23" s="5">
        <v>0</v>
      </c>
      <c r="X23" s="5">
        <v>2</v>
      </c>
      <c r="Y23" s="5">
        <v>1</v>
      </c>
      <c r="Z23" s="5">
        <v>0</v>
      </c>
      <c r="AA23">
        <v>1</v>
      </c>
      <c r="AB23" t="s">
        <v>1061</v>
      </c>
      <c r="AC23" t="s">
        <v>1060</v>
      </c>
      <c r="AD23">
        <v>7</v>
      </c>
      <c r="AE23" t="str">
        <f t="shared" si="1"/>
        <v>TRUE</v>
      </c>
    </row>
    <row r="24" spans="1:31">
      <c r="A24" t="s">
        <v>599</v>
      </c>
      <c r="B24">
        <v>4.356645264</v>
      </c>
      <c r="C24" t="s">
        <v>34</v>
      </c>
      <c r="D24">
        <v>5.1721292070000002</v>
      </c>
      <c r="E24" t="s">
        <v>35</v>
      </c>
      <c r="F24">
        <v>87.929660220000002</v>
      </c>
      <c r="G24" t="s">
        <v>35</v>
      </c>
      <c r="H24">
        <v>812.8120864</v>
      </c>
      <c r="I24">
        <v>3.4055202910000002</v>
      </c>
      <c r="J24">
        <v>112.1824582</v>
      </c>
      <c r="K24">
        <v>1.0509073579999999</v>
      </c>
      <c r="L24">
        <v>414.38336859999998</v>
      </c>
      <c r="M24">
        <v>2.7587510210000001</v>
      </c>
      <c r="N24">
        <v>9711.2213119999997</v>
      </c>
      <c r="O24" s="1" t="s">
        <v>827</v>
      </c>
      <c r="P24" t="s">
        <v>599</v>
      </c>
      <c r="Q24" t="s">
        <v>1062</v>
      </c>
      <c r="R24" t="s">
        <v>1067</v>
      </c>
      <c r="S24" t="s">
        <v>1068</v>
      </c>
      <c r="T24" s="3">
        <v>24908</v>
      </c>
      <c r="U24" s="3">
        <v>43411</v>
      </c>
      <c r="V24">
        <f>DATEDIF(T24,U24,"Y")</f>
        <v>50</v>
      </c>
      <c r="W24">
        <v>1</v>
      </c>
      <c r="X24">
        <v>2</v>
      </c>
      <c r="Y24" s="9">
        <v>0</v>
      </c>
      <c r="Z24" s="9">
        <v>0</v>
      </c>
      <c r="AA24">
        <v>1</v>
      </c>
      <c r="AB24" t="s">
        <v>1061</v>
      </c>
      <c r="AC24">
        <v>322</v>
      </c>
      <c r="AD24">
        <v>4</v>
      </c>
      <c r="AE24" t="str">
        <f t="shared" si="1"/>
        <v>TRUE</v>
      </c>
    </row>
    <row r="25" spans="1:31">
      <c r="A25" t="s">
        <v>275</v>
      </c>
      <c r="B25">
        <v>4.8753795440000003</v>
      </c>
      <c r="C25" t="s">
        <v>34</v>
      </c>
      <c r="D25">
        <v>9.0827824499999998</v>
      </c>
      <c r="E25">
        <v>197.39859530000001</v>
      </c>
      <c r="F25">
        <v>101.44845220000001</v>
      </c>
      <c r="G25" t="s">
        <v>35</v>
      </c>
      <c r="H25">
        <v>220.52513949999999</v>
      </c>
      <c r="I25">
        <v>7.8744174429999996</v>
      </c>
      <c r="J25">
        <v>13.763568210000001</v>
      </c>
      <c r="K25">
        <v>4.1600462450000002</v>
      </c>
      <c r="L25">
        <v>580.82231660000002</v>
      </c>
      <c r="M25">
        <v>1.5219930399999999</v>
      </c>
      <c r="N25">
        <v>12473.17246</v>
      </c>
      <c r="O25" s="1" t="s">
        <v>834</v>
      </c>
      <c r="P25" t="s">
        <v>275</v>
      </c>
      <c r="Q25" t="s">
        <v>1062</v>
      </c>
      <c r="R25" t="s">
        <v>1067</v>
      </c>
      <c r="S25" t="s">
        <v>1068</v>
      </c>
      <c r="T25" s="3">
        <v>29437</v>
      </c>
      <c r="U25" s="3">
        <v>43417</v>
      </c>
      <c r="V25">
        <f>DATEDIF(T25,U25,"Y")</f>
        <v>38</v>
      </c>
      <c r="W25">
        <v>1</v>
      </c>
      <c r="X25">
        <v>3</v>
      </c>
      <c r="Y25" s="9">
        <v>1</v>
      </c>
      <c r="Z25" s="9">
        <v>0</v>
      </c>
      <c r="AA25">
        <v>1</v>
      </c>
      <c r="AB25" t="s">
        <v>1061</v>
      </c>
      <c r="AC25">
        <v>1073</v>
      </c>
      <c r="AD25">
        <v>10</v>
      </c>
      <c r="AE25" t="str">
        <f t="shared" si="1"/>
        <v>TRUE</v>
      </c>
    </row>
    <row r="26" spans="1:31">
      <c r="A26" t="s">
        <v>140</v>
      </c>
      <c r="B26">
        <v>14.521910630000001</v>
      </c>
      <c r="C26" t="s">
        <v>34</v>
      </c>
      <c r="D26">
        <v>4.944125294</v>
      </c>
      <c r="E26" t="s">
        <v>35</v>
      </c>
      <c r="F26">
        <v>68.141888069999993</v>
      </c>
      <c r="G26" t="s">
        <v>35</v>
      </c>
      <c r="H26">
        <v>149.0245074</v>
      </c>
      <c r="I26">
        <v>15.152375230000001</v>
      </c>
      <c r="J26">
        <v>20.489276060000002</v>
      </c>
      <c r="K26">
        <v>4.9423817469999998</v>
      </c>
      <c r="L26">
        <v>447.99467129999999</v>
      </c>
      <c r="M26">
        <v>1.4800138819999999</v>
      </c>
      <c r="N26">
        <v>10166.578949999999</v>
      </c>
      <c r="O26" s="1" t="s">
        <v>836</v>
      </c>
      <c r="P26" t="s">
        <v>140</v>
      </c>
      <c r="Q26" t="s">
        <v>1062</v>
      </c>
      <c r="R26" t="s">
        <v>1063</v>
      </c>
      <c r="S26" t="s">
        <v>1068</v>
      </c>
      <c r="T26" s="3">
        <v>36196</v>
      </c>
      <c r="U26" s="3">
        <v>43419</v>
      </c>
      <c r="V26">
        <v>19</v>
      </c>
      <c r="W26">
        <v>1</v>
      </c>
      <c r="X26">
        <v>1</v>
      </c>
      <c r="Y26" s="9">
        <v>1</v>
      </c>
      <c r="Z26" s="9">
        <v>0</v>
      </c>
      <c r="AA26">
        <v>1</v>
      </c>
      <c r="AB26" t="s">
        <v>1061</v>
      </c>
      <c r="AC26">
        <v>900</v>
      </c>
      <c r="AD26">
        <v>9</v>
      </c>
      <c r="AE26" t="str">
        <f t="shared" si="1"/>
        <v>TRUE</v>
      </c>
    </row>
    <row r="27" spans="1:31">
      <c r="A27" t="s">
        <v>740</v>
      </c>
      <c r="B27">
        <v>8.1735190739999997</v>
      </c>
      <c r="C27" t="s">
        <v>34</v>
      </c>
      <c r="D27">
        <v>12.036080370000001</v>
      </c>
      <c r="E27">
        <v>114.4296617</v>
      </c>
      <c r="F27">
        <v>69.425609350000002</v>
      </c>
      <c r="G27" t="s">
        <v>35</v>
      </c>
      <c r="H27">
        <v>687.76959899999997</v>
      </c>
      <c r="I27">
        <v>9.6992064160000009</v>
      </c>
      <c r="J27">
        <v>9.0028417879999996</v>
      </c>
      <c r="K27">
        <v>7.2167971550000001</v>
      </c>
      <c r="L27">
        <v>374.24260240000001</v>
      </c>
      <c r="M27">
        <v>1.537294224</v>
      </c>
      <c r="N27">
        <v>10337.984710000001</v>
      </c>
      <c r="O27" s="1" t="s">
        <v>837</v>
      </c>
      <c r="P27" t="s">
        <v>740</v>
      </c>
      <c r="Q27" t="s">
        <v>1062</v>
      </c>
      <c r="R27" t="s">
        <v>1072</v>
      </c>
      <c r="S27" t="s">
        <v>1068</v>
      </c>
      <c r="T27" s="3">
        <v>25575</v>
      </c>
      <c r="U27" s="3">
        <v>43426</v>
      </c>
      <c r="V27">
        <f t="shared" ref="V27:V32" si="3">DATEDIF(T27,U27,"Y")</f>
        <v>48</v>
      </c>
      <c r="W27">
        <v>0</v>
      </c>
      <c r="X27">
        <v>3</v>
      </c>
      <c r="Y27" s="9">
        <v>1</v>
      </c>
      <c r="Z27" s="9">
        <v>0</v>
      </c>
      <c r="AA27">
        <v>1</v>
      </c>
      <c r="AB27" t="s">
        <v>1061</v>
      </c>
      <c r="AC27">
        <v>98</v>
      </c>
      <c r="AD27">
        <v>4</v>
      </c>
      <c r="AE27" t="str">
        <f t="shared" si="1"/>
        <v>TRUE</v>
      </c>
    </row>
    <row r="28" spans="1:31">
      <c r="A28" t="s">
        <v>257</v>
      </c>
      <c r="B28">
        <v>14.748264900000001</v>
      </c>
      <c r="C28" t="s">
        <v>34</v>
      </c>
      <c r="D28">
        <v>7.614392337</v>
      </c>
      <c r="E28" t="s">
        <v>35</v>
      </c>
      <c r="F28">
        <v>77.485353040000007</v>
      </c>
      <c r="G28" t="s">
        <v>35</v>
      </c>
      <c r="H28">
        <v>416.89059930000002</v>
      </c>
      <c r="I28">
        <v>11.33122081</v>
      </c>
      <c r="J28">
        <v>19.547399760000001</v>
      </c>
      <c r="K28">
        <v>5.4689928129999998</v>
      </c>
      <c r="L28">
        <v>470.98588059999997</v>
      </c>
      <c r="M28">
        <v>1.3333481789999999</v>
      </c>
      <c r="N28">
        <v>9503.8908769999998</v>
      </c>
      <c r="O28" s="1" t="s">
        <v>838</v>
      </c>
      <c r="P28" t="s">
        <v>257</v>
      </c>
      <c r="Q28" t="s">
        <v>1062</v>
      </c>
      <c r="R28" t="s">
        <v>1063</v>
      </c>
      <c r="S28" t="s">
        <v>1068</v>
      </c>
      <c r="T28" s="3">
        <v>17139</v>
      </c>
      <c r="U28" s="3">
        <v>43427</v>
      </c>
      <c r="V28">
        <f t="shared" si="3"/>
        <v>71</v>
      </c>
      <c r="W28">
        <v>0</v>
      </c>
      <c r="X28">
        <v>1</v>
      </c>
      <c r="Y28" s="9">
        <v>1</v>
      </c>
      <c r="Z28" s="9">
        <v>0</v>
      </c>
      <c r="AA28">
        <v>1</v>
      </c>
      <c r="AB28" t="s">
        <v>1061</v>
      </c>
      <c r="AC28">
        <v>164</v>
      </c>
      <c r="AD28">
        <v>4</v>
      </c>
      <c r="AE28" t="str">
        <f t="shared" si="1"/>
        <v>TRUE</v>
      </c>
    </row>
    <row r="29" spans="1:31">
      <c r="A29" t="s">
        <v>95</v>
      </c>
      <c r="B29">
        <v>7.2063626699999999</v>
      </c>
      <c r="C29" t="s">
        <v>34</v>
      </c>
      <c r="D29">
        <v>9.8596310359999997</v>
      </c>
      <c r="E29">
        <v>175.60637460000001</v>
      </c>
      <c r="F29">
        <v>46.709636490000001</v>
      </c>
      <c r="G29" t="s">
        <v>35</v>
      </c>
      <c r="H29">
        <v>235.02813839999999</v>
      </c>
      <c r="I29">
        <v>11.96288397</v>
      </c>
      <c r="J29">
        <v>8.6364094710000003</v>
      </c>
      <c r="K29">
        <v>4.5685107220000001</v>
      </c>
      <c r="L29">
        <v>382.65983349999999</v>
      </c>
      <c r="M29">
        <v>1.368394243</v>
      </c>
      <c r="N29">
        <v>12471.74958</v>
      </c>
      <c r="O29" s="1" t="s">
        <v>841</v>
      </c>
      <c r="P29" t="s">
        <v>95</v>
      </c>
      <c r="Q29" t="s">
        <v>1074</v>
      </c>
      <c r="R29" t="s">
        <v>1075</v>
      </c>
      <c r="S29" t="s">
        <v>1060</v>
      </c>
      <c r="T29" s="3">
        <v>32551</v>
      </c>
      <c r="U29" s="3">
        <v>43469</v>
      </c>
      <c r="V29">
        <f t="shared" si="3"/>
        <v>29</v>
      </c>
      <c r="W29">
        <v>1</v>
      </c>
      <c r="X29">
        <v>1</v>
      </c>
      <c r="Y29">
        <v>1</v>
      </c>
      <c r="Z29">
        <v>0</v>
      </c>
      <c r="AA29">
        <v>1</v>
      </c>
      <c r="AB29" t="s">
        <v>1061</v>
      </c>
      <c r="AC29">
        <v>510</v>
      </c>
      <c r="AD29" t="s">
        <v>1060</v>
      </c>
      <c r="AE29" t="str">
        <f t="shared" si="1"/>
        <v>TRUE</v>
      </c>
    </row>
    <row r="30" spans="1:31">
      <c r="A30" t="s">
        <v>158</v>
      </c>
      <c r="B30">
        <v>3.96821526</v>
      </c>
      <c r="C30" t="s">
        <v>34</v>
      </c>
      <c r="D30">
        <v>8.9982210909999996</v>
      </c>
      <c r="E30" t="s">
        <v>35</v>
      </c>
      <c r="F30">
        <v>86.394456869999999</v>
      </c>
      <c r="G30" t="s">
        <v>35</v>
      </c>
      <c r="H30">
        <v>262.22217660000001</v>
      </c>
      <c r="I30">
        <v>6.9505034109999997</v>
      </c>
      <c r="J30">
        <v>19.189718060000001</v>
      </c>
      <c r="K30">
        <v>2.6589828409999998</v>
      </c>
      <c r="L30">
        <v>466.14271170000001</v>
      </c>
      <c r="M30">
        <v>1.5864774109999999</v>
      </c>
      <c r="N30">
        <v>12960.21579</v>
      </c>
      <c r="O30" s="1" t="s">
        <v>842</v>
      </c>
      <c r="P30" t="s">
        <v>158</v>
      </c>
      <c r="Q30" t="s">
        <v>1069</v>
      </c>
      <c r="R30" t="s">
        <v>1070</v>
      </c>
      <c r="S30" t="s">
        <v>1068</v>
      </c>
      <c r="T30" s="3">
        <v>33939</v>
      </c>
      <c r="U30" s="3">
        <v>43465</v>
      </c>
      <c r="V30">
        <f t="shared" si="3"/>
        <v>26</v>
      </c>
      <c r="W30" s="5">
        <v>1</v>
      </c>
      <c r="X30" s="5">
        <v>3</v>
      </c>
      <c r="Y30" s="5">
        <v>1</v>
      </c>
      <c r="Z30" s="5">
        <v>0</v>
      </c>
      <c r="AA30">
        <v>1</v>
      </c>
      <c r="AB30" t="s">
        <v>1061</v>
      </c>
      <c r="AC30">
        <v>2103</v>
      </c>
      <c r="AD30">
        <v>10</v>
      </c>
      <c r="AE30" t="str">
        <f t="shared" si="1"/>
        <v>TRUE</v>
      </c>
    </row>
    <row r="31" spans="1:31">
      <c r="A31" t="s">
        <v>467</v>
      </c>
      <c r="B31">
        <v>5.4223687639999998</v>
      </c>
      <c r="C31" t="s">
        <v>34</v>
      </c>
      <c r="D31">
        <v>6.0859184830000004</v>
      </c>
      <c r="E31">
        <v>61.833216909999997</v>
      </c>
      <c r="F31">
        <v>46.965343189999999</v>
      </c>
      <c r="G31" t="s">
        <v>35</v>
      </c>
      <c r="H31">
        <v>244.5249823</v>
      </c>
      <c r="I31">
        <v>8.1302783739999995</v>
      </c>
      <c r="J31">
        <v>13.47133429</v>
      </c>
      <c r="K31">
        <v>3.3887736980000001</v>
      </c>
      <c r="L31">
        <v>341.9013544</v>
      </c>
      <c r="M31">
        <v>1.176521054</v>
      </c>
      <c r="N31">
        <v>10681.621639999999</v>
      </c>
      <c r="O31" s="1" t="s">
        <v>848</v>
      </c>
      <c r="P31" t="s">
        <v>467</v>
      </c>
      <c r="Q31" t="s">
        <v>1074</v>
      </c>
      <c r="R31" t="s">
        <v>1066</v>
      </c>
      <c r="S31" t="s">
        <v>1060</v>
      </c>
      <c r="T31" s="3">
        <v>26595</v>
      </c>
      <c r="U31" s="3">
        <v>43480</v>
      </c>
      <c r="V31">
        <f t="shared" si="3"/>
        <v>46</v>
      </c>
      <c r="W31" s="5">
        <v>1</v>
      </c>
      <c r="X31" s="5">
        <v>2</v>
      </c>
      <c r="Y31" s="5">
        <v>1</v>
      </c>
      <c r="Z31" s="5">
        <v>0</v>
      </c>
      <c r="AA31">
        <v>1</v>
      </c>
      <c r="AB31" t="s">
        <v>1061</v>
      </c>
      <c r="AC31">
        <v>208</v>
      </c>
      <c r="AD31" t="s">
        <v>1060</v>
      </c>
      <c r="AE31" t="str">
        <f t="shared" si="1"/>
        <v>TRUE</v>
      </c>
    </row>
    <row r="32" spans="1:31">
      <c r="A32" t="s">
        <v>41</v>
      </c>
      <c r="B32">
        <v>5.5986554599999998</v>
      </c>
      <c r="C32" t="s">
        <v>34</v>
      </c>
      <c r="D32">
        <v>6.9741317189999998</v>
      </c>
      <c r="E32" t="s">
        <v>35</v>
      </c>
      <c r="F32">
        <v>67.643051209999996</v>
      </c>
      <c r="G32" t="s">
        <v>35</v>
      </c>
      <c r="H32">
        <v>435.43098859999998</v>
      </c>
      <c r="I32">
        <v>8.9876150179999996</v>
      </c>
      <c r="J32">
        <v>8.3212318360000008</v>
      </c>
      <c r="K32">
        <v>3.064036717</v>
      </c>
      <c r="L32">
        <v>405.26343300000002</v>
      </c>
      <c r="M32">
        <v>0.67215107600000001</v>
      </c>
      <c r="N32">
        <v>15302.11476</v>
      </c>
      <c r="O32" s="1" t="s">
        <v>849</v>
      </c>
      <c r="P32" t="s">
        <v>41</v>
      </c>
      <c r="Q32" t="s">
        <v>1069</v>
      </c>
      <c r="R32" t="s">
        <v>1076</v>
      </c>
      <c r="S32" t="s">
        <v>1068</v>
      </c>
      <c r="T32" s="3">
        <v>33519</v>
      </c>
      <c r="U32" s="3">
        <v>43487</v>
      </c>
      <c r="V32">
        <f t="shared" si="3"/>
        <v>27</v>
      </c>
      <c r="W32">
        <v>1</v>
      </c>
      <c r="X32">
        <v>1</v>
      </c>
      <c r="Y32" s="9">
        <v>0</v>
      </c>
      <c r="Z32" s="9">
        <v>0</v>
      </c>
      <c r="AA32">
        <v>1</v>
      </c>
      <c r="AB32" t="s">
        <v>1061</v>
      </c>
      <c r="AC32">
        <v>448</v>
      </c>
      <c r="AD32">
        <v>2</v>
      </c>
      <c r="AE32" t="str">
        <f t="shared" si="1"/>
        <v>TRUE</v>
      </c>
    </row>
    <row r="33" spans="1:31">
      <c r="A33" t="s">
        <v>698</v>
      </c>
      <c r="B33">
        <v>6.0288775000000001</v>
      </c>
      <c r="C33" t="s">
        <v>34</v>
      </c>
      <c r="D33">
        <v>3.8084949290000001</v>
      </c>
      <c r="E33">
        <v>188.53314929999999</v>
      </c>
      <c r="F33">
        <v>49.418430919999999</v>
      </c>
      <c r="G33" t="s">
        <v>35</v>
      </c>
      <c r="H33">
        <v>93.499792600000006</v>
      </c>
      <c r="I33">
        <v>4.8595046179999999</v>
      </c>
      <c r="J33">
        <v>7.0677833970000004</v>
      </c>
      <c r="K33">
        <v>2.4612571399999998</v>
      </c>
      <c r="L33">
        <v>233.85697099999999</v>
      </c>
      <c r="M33">
        <v>1.325359435</v>
      </c>
      <c r="N33">
        <v>7920.6276129999997</v>
      </c>
      <c r="O33" s="1" t="s">
        <v>852</v>
      </c>
      <c r="P33" t="s">
        <v>698</v>
      </c>
      <c r="Q33" t="s">
        <v>1062</v>
      </c>
      <c r="R33" t="s">
        <v>1067</v>
      </c>
      <c r="S33" t="s">
        <v>1068</v>
      </c>
      <c r="T33" s="3">
        <v>35129</v>
      </c>
      <c r="U33" s="3">
        <v>43489</v>
      </c>
      <c r="V33">
        <v>23</v>
      </c>
      <c r="W33">
        <v>0</v>
      </c>
      <c r="X33">
        <v>2</v>
      </c>
      <c r="Y33" s="9">
        <v>1</v>
      </c>
      <c r="Z33" s="9">
        <v>0</v>
      </c>
      <c r="AA33">
        <v>1</v>
      </c>
      <c r="AB33" t="s">
        <v>1061</v>
      </c>
      <c r="AC33">
        <v>6000</v>
      </c>
      <c r="AD33">
        <v>7</v>
      </c>
      <c r="AE33" t="str">
        <f t="shared" si="1"/>
        <v>TRUE</v>
      </c>
    </row>
    <row r="34" spans="1:31">
      <c r="A34" t="s">
        <v>554</v>
      </c>
      <c r="B34">
        <v>11.92184144</v>
      </c>
      <c r="C34" t="s">
        <v>34</v>
      </c>
      <c r="D34">
        <v>9.5301141420000004</v>
      </c>
      <c r="E34" t="s">
        <v>35</v>
      </c>
      <c r="F34">
        <v>100.0811908</v>
      </c>
      <c r="G34" t="s">
        <v>35</v>
      </c>
      <c r="H34">
        <v>675.72694139999999</v>
      </c>
      <c r="I34">
        <v>8.0772210330000007</v>
      </c>
      <c r="J34">
        <v>18.311309659999999</v>
      </c>
      <c r="K34">
        <v>3.2709127609999999</v>
      </c>
      <c r="L34">
        <v>423.6371762</v>
      </c>
      <c r="M34">
        <v>2.137539479</v>
      </c>
      <c r="N34">
        <v>7617.0195480000002</v>
      </c>
      <c r="O34" s="1" t="s">
        <v>857</v>
      </c>
      <c r="P34" t="s">
        <v>554</v>
      </c>
      <c r="Q34" t="s">
        <v>1062</v>
      </c>
      <c r="R34" t="s">
        <v>1063</v>
      </c>
      <c r="S34" t="s">
        <v>1068</v>
      </c>
      <c r="T34" s="3">
        <v>25311</v>
      </c>
      <c r="U34" s="3">
        <v>43511</v>
      </c>
      <c r="V34">
        <f t="shared" ref="V34:V42" si="4">DATEDIF(T34,U34,"Y")</f>
        <v>49</v>
      </c>
      <c r="W34">
        <v>1</v>
      </c>
      <c r="X34">
        <v>3</v>
      </c>
      <c r="Y34" s="9">
        <v>1</v>
      </c>
      <c r="Z34" s="9">
        <v>0</v>
      </c>
      <c r="AA34">
        <v>1</v>
      </c>
      <c r="AB34" t="s">
        <v>1061</v>
      </c>
      <c r="AC34">
        <v>2216</v>
      </c>
      <c r="AD34">
        <v>7</v>
      </c>
      <c r="AE34" t="str">
        <f t="shared" ref="AE34:AE65" si="5">IF(P34=A34, "TRUE", "FALSE")</f>
        <v>TRUE</v>
      </c>
    </row>
    <row r="35" spans="1:31">
      <c r="A35" t="s">
        <v>533</v>
      </c>
      <c r="B35">
        <v>4.1799160190000002</v>
      </c>
      <c r="C35" t="s">
        <v>34</v>
      </c>
      <c r="D35">
        <v>6.1921874609999996</v>
      </c>
      <c r="E35">
        <v>114.97724940000001</v>
      </c>
      <c r="F35">
        <v>58.453195260000001</v>
      </c>
      <c r="G35" t="s">
        <v>35</v>
      </c>
      <c r="H35">
        <v>230.11962729999999</v>
      </c>
      <c r="I35">
        <v>7.6990510739999998</v>
      </c>
      <c r="J35">
        <v>11.11008492</v>
      </c>
      <c r="K35">
        <v>3.0412358589999999</v>
      </c>
      <c r="L35">
        <v>414.78132399999998</v>
      </c>
      <c r="M35">
        <v>0.83152047600000001</v>
      </c>
      <c r="N35">
        <v>9540.3707680000007</v>
      </c>
      <c r="O35" s="1" t="s">
        <v>858</v>
      </c>
      <c r="P35" t="s">
        <v>533</v>
      </c>
      <c r="Q35" t="s">
        <v>1062</v>
      </c>
      <c r="R35" t="s">
        <v>1063</v>
      </c>
      <c r="S35" t="s">
        <v>1064</v>
      </c>
      <c r="T35" s="3">
        <v>36595</v>
      </c>
      <c r="U35" s="3">
        <v>43490</v>
      </c>
      <c r="V35">
        <f t="shared" si="4"/>
        <v>18</v>
      </c>
      <c r="W35">
        <v>1</v>
      </c>
      <c r="X35">
        <v>2</v>
      </c>
      <c r="Y35" s="9">
        <v>1</v>
      </c>
      <c r="Z35" s="9">
        <v>0</v>
      </c>
      <c r="AA35">
        <v>1</v>
      </c>
      <c r="AB35" t="s">
        <v>1065</v>
      </c>
      <c r="AC35">
        <v>1276</v>
      </c>
      <c r="AD35">
        <v>11</v>
      </c>
      <c r="AE35" t="str">
        <f t="shared" si="5"/>
        <v>TRUE</v>
      </c>
    </row>
    <row r="36" spans="1:31">
      <c r="A36" t="s">
        <v>632</v>
      </c>
      <c r="B36">
        <v>13.46722772</v>
      </c>
      <c r="C36" t="s">
        <v>34</v>
      </c>
      <c r="D36">
        <v>4.8604305549999998</v>
      </c>
      <c r="E36">
        <v>163.91031659999999</v>
      </c>
      <c r="F36">
        <v>82.626726300000001</v>
      </c>
      <c r="G36" t="s">
        <v>35</v>
      </c>
      <c r="H36">
        <v>216.9963511</v>
      </c>
      <c r="I36">
        <v>9.7529016360000007</v>
      </c>
      <c r="J36">
        <v>15.57948107</v>
      </c>
      <c r="K36">
        <v>2.4604093900000001</v>
      </c>
      <c r="L36">
        <v>500.55035220000002</v>
      </c>
      <c r="M36">
        <v>2.0022617170000001</v>
      </c>
      <c r="N36">
        <v>9749.6927130000004</v>
      </c>
      <c r="O36" s="1" t="s">
        <v>859</v>
      </c>
      <c r="P36" t="s">
        <v>632</v>
      </c>
      <c r="Q36" t="s">
        <v>1069</v>
      </c>
      <c r="R36" t="s">
        <v>1077</v>
      </c>
      <c r="S36" t="s">
        <v>1068</v>
      </c>
      <c r="T36" s="3">
        <v>35185</v>
      </c>
      <c r="U36" s="3">
        <v>43501</v>
      </c>
      <c r="V36">
        <f t="shared" si="4"/>
        <v>22</v>
      </c>
      <c r="W36">
        <v>1</v>
      </c>
      <c r="X36">
        <v>2</v>
      </c>
      <c r="Y36" s="9">
        <v>1</v>
      </c>
      <c r="Z36" s="9">
        <v>0</v>
      </c>
      <c r="AA36">
        <v>1</v>
      </c>
      <c r="AB36" t="s">
        <v>1065</v>
      </c>
      <c r="AC36">
        <v>307</v>
      </c>
      <c r="AD36">
        <v>4</v>
      </c>
      <c r="AE36" t="str">
        <f t="shared" si="5"/>
        <v>TRUE</v>
      </c>
    </row>
    <row r="37" spans="1:31">
      <c r="A37" t="s">
        <v>446</v>
      </c>
      <c r="B37">
        <v>5.1632290789999997</v>
      </c>
      <c r="C37" t="s">
        <v>34</v>
      </c>
      <c r="D37">
        <v>6.6968101080000002</v>
      </c>
      <c r="E37" t="s">
        <v>35</v>
      </c>
      <c r="F37">
        <v>56.040712120000002</v>
      </c>
      <c r="G37" t="s">
        <v>35</v>
      </c>
      <c r="H37">
        <v>229.3287641</v>
      </c>
      <c r="I37">
        <v>5.6620237250000001</v>
      </c>
      <c r="J37">
        <v>22.416742540000001</v>
      </c>
      <c r="K37">
        <v>1.800654518</v>
      </c>
      <c r="L37">
        <v>339.7403521</v>
      </c>
      <c r="M37">
        <v>1.00992372</v>
      </c>
      <c r="N37">
        <v>9880.5502450000004</v>
      </c>
      <c r="O37" s="1" t="s">
        <v>866</v>
      </c>
      <c r="P37" t="s">
        <v>446</v>
      </c>
      <c r="Q37" t="s">
        <v>1074</v>
      </c>
      <c r="R37" t="s">
        <v>1075</v>
      </c>
      <c r="S37" t="s">
        <v>1060</v>
      </c>
      <c r="T37" s="3">
        <v>29872</v>
      </c>
      <c r="U37" s="3">
        <v>43521</v>
      </c>
      <c r="V37">
        <f t="shared" si="4"/>
        <v>37</v>
      </c>
      <c r="W37" s="5">
        <v>0</v>
      </c>
      <c r="X37" s="5">
        <v>2</v>
      </c>
      <c r="Y37" s="5">
        <v>1</v>
      </c>
      <c r="Z37" s="5">
        <v>0</v>
      </c>
      <c r="AA37">
        <v>1</v>
      </c>
      <c r="AB37" t="s">
        <v>1061</v>
      </c>
      <c r="AC37">
        <v>370</v>
      </c>
      <c r="AD37" t="s">
        <v>1060</v>
      </c>
      <c r="AE37" t="str">
        <f t="shared" si="5"/>
        <v>TRUE</v>
      </c>
    </row>
    <row r="38" spans="1:31">
      <c r="A38" t="s">
        <v>287</v>
      </c>
      <c r="B38">
        <v>6.0532374750000004</v>
      </c>
      <c r="C38" t="s">
        <v>34</v>
      </c>
      <c r="D38">
        <v>8.5265529890000007</v>
      </c>
      <c r="E38">
        <v>157.81936769999999</v>
      </c>
      <c r="F38">
        <v>69.425126680000005</v>
      </c>
      <c r="G38" t="s">
        <v>35</v>
      </c>
      <c r="H38">
        <v>211.49313760000001</v>
      </c>
      <c r="I38">
        <v>14.6503367</v>
      </c>
      <c r="J38">
        <v>11.845672220000001</v>
      </c>
      <c r="K38">
        <v>5.3123567789999999</v>
      </c>
      <c r="L38">
        <v>362.6285939</v>
      </c>
      <c r="M38">
        <v>1.487702756</v>
      </c>
      <c r="N38">
        <v>14137.712890000001</v>
      </c>
      <c r="O38" s="1" t="s">
        <v>868</v>
      </c>
      <c r="P38" t="s">
        <v>287</v>
      </c>
      <c r="Q38" t="s">
        <v>1062</v>
      </c>
      <c r="R38" t="s">
        <v>1067</v>
      </c>
      <c r="S38" t="s">
        <v>1064</v>
      </c>
      <c r="T38" s="3">
        <v>29943</v>
      </c>
      <c r="U38" s="3">
        <v>43525</v>
      </c>
      <c r="V38">
        <f t="shared" si="4"/>
        <v>37</v>
      </c>
      <c r="W38">
        <v>0</v>
      </c>
      <c r="X38">
        <v>3</v>
      </c>
      <c r="Y38" s="9">
        <v>1</v>
      </c>
      <c r="Z38" s="9">
        <v>0</v>
      </c>
      <c r="AA38">
        <v>1</v>
      </c>
      <c r="AB38" t="s">
        <v>1061</v>
      </c>
      <c r="AC38">
        <v>922</v>
      </c>
      <c r="AD38">
        <v>8</v>
      </c>
      <c r="AE38" t="str">
        <f t="shared" si="5"/>
        <v>TRUE</v>
      </c>
    </row>
    <row r="39" spans="1:31">
      <c r="A39" t="s">
        <v>416</v>
      </c>
      <c r="B39">
        <v>8.2725228729999998</v>
      </c>
      <c r="C39">
        <v>4.8312312669999997</v>
      </c>
      <c r="D39">
        <v>6.4551304380000003</v>
      </c>
      <c r="E39" t="s">
        <v>35</v>
      </c>
      <c r="F39">
        <v>164.0343867</v>
      </c>
      <c r="G39" t="s">
        <v>35</v>
      </c>
      <c r="H39">
        <v>207.19924370000001</v>
      </c>
      <c r="I39">
        <v>8.8623096090000004</v>
      </c>
      <c r="J39">
        <v>12.74206025</v>
      </c>
      <c r="K39">
        <v>2.9933622529999999</v>
      </c>
      <c r="L39">
        <v>353.00885440000002</v>
      </c>
      <c r="M39">
        <v>2.1172407660000001</v>
      </c>
      <c r="N39">
        <v>9534.0116990000006</v>
      </c>
      <c r="O39" s="1" t="s">
        <v>872</v>
      </c>
      <c r="P39" t="s">
        <v>416</v>
      </c>
      <c r="Q39" t="s">
        <v>1062</v>
      </c>
      <c r="R39" t="s">
        <v>1063</v>
      </c>
      <c r="S39" t="s">
        <v>1068</v>
      </c>
      <c r="T39" s="3">
        <v>31823</v>
      </c>
      <c r="U39" s="3">
        <v>43546</v>
      </c>
      <c r="V39">
        <f t="shared" si="4"/>
        <v>32</v>
      </c>
      <c r="W39">
        <v>0</v>
      </c>
      <c r="X39">
        <v>2</v>
      </c>
      <c r="Y39" s="9">
        <v>0</v>
      </c>
      <c r="Z39" s="9">
        <v>0</v>
      </c>
      <c r="AA39">
        <v>1</v>
      </c>
      <c r="AB39" t="s">
        <v>1065</v>
      </c>
      <c r="AC39">
        <v>306</v>
      </c>
      <c r="AD39">
        <v>4</v>
      </c>
      <c r="AE39" t="str">
        <f t="shared" si="5"/>
        <v>TRUE</v>
      </c>
    </row>
    <row r="40" spans="1:31">
      <c r="A40" t="s">
        <v>755</v>
      </c>
      <c r="B40">
        <v>10.114505380000001</v>
      </c>
      <c r="C40" t="s">
        <v>34</v>
      </c>
      <c r="D40">
        <v>7.05026113</v>
      </c>
      <c r="E40">
        <v>156.0357607</v>
      </c>
      <c r="F40">
        <v>63.443738760000002</v>
      </c>
      <c r="G40" t="s">
        <v>35</v>
      </c>
      <c r="H40">
        <v>171.06529040000001</v>
      </c>
      <c r="I40">
        <v>13.19130481</v>
      </c>
      <c r="J40">
        <v>14.314682619999999</v>
      </c>
      <c r="K40">
        <v>4.6320074389999997</v>
      </c>
      <c r="L40">
        <v>389.17746449999999</v>
      </c>
      <c r="M40">
        <v>1.1394029779999999</v>
      </c>
      <c r="N40">
        <v>13318.92236</v>
      </c>
      <c r="O40" s="1" t="s">
        <v>884</v>
      </c>
      <c r="P40" t="s">
        <v>755</v>
      </c>
      <c r="Q40" t="s">
        <v>1074</v>
      </c>
      <c r="R40" t="s">
        <v>1075</v>
      </c>
      <c r="S40" t="s">
        <v>1060</v>
      </c>
      <c r="T40" s="3">
        <v>33951</v>
      </c>
      <c r="U40" s="3">
        <v>43610</v>
      </c>
      <c r="V40">
        <f t="shared" si="4"/>
        <v>26</v>
      </c>
      <c r="W40">
        <v>0</v>
      </c>
      <c r="X40">
        <v>2</v>
      </c>
      <c r="Y40" s="9">
        <v>1</v>
      </c>
      <c r="Z40" s="9">
        <v>0</v>
      </c>
      <c r="AA40">
        <v>1</v>
      </c>
      <c r="AB40" t="s">
        <v>1065</v>
      </c>
      <c r="AC40">
        <v>305</v>
      </c>
      <c r="AD40" t="s">
        <v>1060</v>
      </c>
      <c r="AE40" t="str">
        <f t="shared" si="5"/>
        <v>TRUE</v>
      </c>
    </row>
    <row r="41" spans="1:31">
      <c r="A41" t="s">
        <v>524</v>
      </c>
      <c r="B41">
        <v>4.184326854</v>
      </c>
      <c r="C41" t="s">
        <v>34</v>
      </c>
      <c r="D41">
        <v>4.5189291880000004</v>
      </c>
      <c r="E41" t="s">
        <v>35</v>
      </c>
      <c r="F41">
        <v>44.196404149999999</v>
      </c>
      <c r="G41" t="s">
        <v>35</v>
      </c>
      <c r="H41">
        <v>164.9276639</v>
      </c>
      <c r="I41">
        <v>6.111785008</v>
      </c>
      <c r="J41">
        <v>11.977726880000001</v>
      </c>
      <c r="K41">
        <v>2.109393485</v>
      </c>
      <c r="L41">
        <v>304.4387625</v>
      </c>
      <c r="M41">
        <v>0.90922938799999997</v>
      </c>
      <c r="N41">
        <v>11142.826929999999</v>
      </c>
      <c r="O41" s="1" t="s">
        <v>889</v>
      </c>
      <c r="P41" t="s">
        <v>524</v>
      </c>
      <c r="Q41" t="s">
        <v>1058</v>
      </c>
      <c r="R41" t="s">
        <v>1066</v>
      </c>
      <c r="S41" t="s">
        <v>1060</v>
      </c>
      <c r="T41" s="3">
        <v>34502</v>
      </c>
      <c r="U41" s="3">
        <v>43677</v>
      </c>
      <c r="V41">
        <f t="shared" si="4"/>
        <v>25</v>
      </c>
      <c r="W41">
        <v>0</v>
      </c>
      <c r="X41">
        <v>2</v>
      </c>
      <c r="Y41">
        <v>1</v>
      </c>
      <c r="Z41">
        <v>0</v>
      </c>
      <c r="AA41">
        <v>1</v>
      </c>
      <c r="AB41" t="s">
        <v>1065</v>
      </c>
      <c r="AC41">
        <v>769</v>
      </c>
      <c r="AD41" t="s">
        <v>1060</v>
      </c>
      <c r="AE41" t="str">
        <f t="shared" si="5"/>
        <v>TRUE</v>
      </c>
    </row>
    <row r="42" spans="1:31">
      <c r="A42" t="s">
        <v>776</v>
      </c>
      <c r="B42">
        <v>6.0334510259999998</v>
      </c>
      <c r="C42" t="s">
        <v>34</v>
      </c>
      <c r="D42">
        <v>5.2233500770000001</v>
      </c>
      <c r="E42">
        <v>91.739495969999993</v>
      </c>
      <c r="F42">
        <v>61.730145239999999</v>
      </c>
      <c r="G42" t="s">
        <v>35</v>
      </c>
      <c r="H42">
        <v>156.78041820000001</v>
      </c>
      <c r="I42">
        <v>8.6619386919999997</v>
      </c>
      <c r="J42">
        <v>15.49389309</v>
      </c>
      <c r="K42">
        <v>2.0930060269999999</v>
      </c>
      <c r="L42">
        <v>534.62962400000004</v>
      </c>
      <c r="M42">
        <v>1.5976852770000001</v>
      </c>
      <c r="N42">
        <v>11249.742</v>
      </c>
      <c r="O42" s="1" t="s">
        <v>899</v>
      </c>
      <c r="P42" t="s">
        <v>776</v>
      </c>
      <c r="Q42" t="s">
        <v>1069</v>
      </c>
      <c r="R42" t="s">
        <v>1070</v>
      </c>
      <c r="S42" t="s">
        <v>1068</v>
      </c>
      <c r="T42" s="3">
        <v>22293</v>
      </c>
      <c r="U42" s="3">
        <v>43657</v>
      </c>
      <c r="V42">
        <f t="shared" si="4"/>
        <v>58</v>
      </c>
      <c r="W42">
        <v>1</v>
      </c>
      <c r="X42">
        <v>2</v>
      </c>
      <c r="Y42">
        <v>1</v>
      </c>
      <c r="Z42">
        <v>0</v>
      </c>
      <c r="AA42">
        <v>1</v>
      </c>
      <c r="AB42" t="s">
        <v>1065</v>
      </c>
      <c r="AC42">
        <v>1013</v>
      </c>
      <c r="AD42">
        <v>8</v>
      </c>
      <c r="AE42" t="str">
        <f t="shared" si="5"/>
        <v>TRUE</v>
      </c>
    </row>
    <row r="43" spans="1:31">
      <c r="A43" t="s">
        <v>713</v>
      </c>
      <c r="B43">
        <v>5.5065791600000003</v>
      </c>
      <c r="C43" t="s">
        <v>34</v>
      </c>
      <c r="D43">
        <v>8.3608804899999996</v>
      </c>
      <c r="E43">
        <v>122.35365760000001</v>
      </c>
      <c r="F43">
        <v>46.484935950000001</v>
      </c>
      <c r="G43" t="s">
        <v>35</v>
      </c>
      <c r="H43">
        <v>174.99245759999999</v>
      </c>
      <c r="I43">
        <v>8.2461742489999992</v>
      </c>
      <c r="J43">
        <v>14.22275424</v>
      </c>
      <c r="K43">
        <v>3.8031339200000001</v>
      </c>
      <c r="L43">
        <v>335.08028680000001</v>
      </c>
      <c r="M43">
        <v>1.0278810300000001</v>
      </c>
      <c r="N43">
        <v>13080.952219999999</v>
      </c>
      <c r="O43" s="1" t="s">
        <v>900</v>
      </c>
      <c r="P43" t="s">
        <v>713</v>
      </c>
      <c r="Q43" t="s">
        <v>1058</v>
      </c>
      <c r="R43" t="s">
        <v>1075</v>
      </c>
      <c r="S43" t="s">
        <v>1060</v>
      </c>
      <c r="T43" s="3">
        <v>34656</v>
      </c>
      <c r="U43" s="3">
        <v>43695</v>
      </c>
      <c r="V43">
        <v>24</v>
      </c>
      <c r="W43">
        <v>0</v>
      </c>
      <c r="X43">
        <v>2</v>
      </c>
      <c r="Y43">
        <v>1</v>
      </c>
      <c r="Z43">
        <v>0</v>
      </c>
      <c r="AA43">
        <v>1</v>
      </c>
      <c r="AB43" t="s">
        <v>1061</v>
      </c>
      <c r="AC43" t="s">
        <v>1060</v>
      </c>
      <c r="AD43" t="s">
        <v>1060</v>
      </c>
      <c r="AE43" t="str">
        <f t="shared" si="5"/>
        <v>TRUE</v>
      </c>
    </row>
    <row r="44" spans="1:31">
      <c r="A44" t="s">
        <v>692</v>
      </c>
      <c r="B44">
        <v>3.5751751669999998</v>
      </c>
      <c r="C44" t="s">
        <v>34</v>
      </c>
      <c r="D44">
        <v>4.1129695369999997</v>
      </c>
      <c r="E44">
        <v>167.68579729999999</v>
      </c>
      <c r="F44">
        <v>50.571409760000002</v>
      </c>
      <c r="G44" t="s">
        <v>35</v>
      </c>
      <c r="H44">
        <v>168.67316270000001</v>
      </c>
      <c r="I44">
        <v>4.5185483849999999</v>
      </c>
      <c r="J44">
        <v>10.47839462</v>
      </c>
      <c r="K44">
        <v>1.2124902040000001</v>
      </c>
      <c r="L44">
        <v>267.52071769999998</v>
      </c>
      <c r="M44">
        <v>0.75865442999999999</v>
      </c>
      <c r="N44">
        <v>9781.9061590000001</v>
      </c>
      <c r="O44" s="1" t="s">
        <v>904</v>
      </c>
      <c r="P44" t="s">
        <v>692</v>
      </c>
      <c r="Q44" t="s">
        <v>1069</v>
      </c>
      <c r="R44" t="s">
        <v>1077</v>
      </c>
      <c r="S44" t="s">
        <v>1068</v>
      </c>
      <c r="T44" s="3">
        <v>25311</v>
      </c>
      <c r="U44" s="3">
        <v>43731</v>
      </c>
      <c r="V44">
        <f t="shared" ref="V44:V75" si="6">DATEDIF(T44,U44,"Y")</f>
        <v>50</v>
      </c>
      <c r="W44">
        <v>0</v>
      </c>
      <c r="X44">
        <v>2</v>
      </c>
      <c r="Y44" s="9">
        <v>1</v>
      </c>
      <c r="Z44" s="9">
        <v>0</v>
      </c>
      <c r="AA44">
        <v>1</v>
      </c>
      <c r="AB44" t="s">
        <v>1061</v>
      </c>
      <c r="AC44">
        <v>1112</v>
      </c>
      <c r="AD44">
        <v>8</v>
      </c>
      <c r="AE44" t="str">
        <f t="shared" si="5"/>
        <v>TRUE</v>
      </c>
    </row>
    <row r="45" spans="1:31">
      <c r="A45" t="s">
        <v>422</v>
      </c>
      <c r="B45">
        <v>10.04921229</v>
      </c>
      <c r="C45" t="s">
        <v>34</v>
      </c>
      <c r="D45">
        <v>6.8459698959999997</v>
      </c>
      <c r="E45">
        <v>167.12955669999999</v>
      </c>
      <c r="F45">
        <v>77.692464689999994</v>
      </c>
      <c r="G45" t="s">
        <v>35</v>
      </c>
      <c r="H45">
        <v>306.32674680000002</v>
      </c>
      <c r="I45">
        <v>13.31834866</v>
      </c>
      <c r="J45">
        <v>13.69729472</v>
      </c>
      <c r="K45">
        <v>5.3338257579999997</v>
      </c>
      <c r="L45">
        <v>451.51709699999998</v>
      </c>
      <c r="M45">
        <v>1.160353982</v>
      </c>
      <c r="N45">
        <v>12860.5766</v>
      </c>
      <c r="O45" s="1" t="s">
        <v>909</v>
      </c>
      <c r="P45" t="s">
        <v>422</v>
      </c>
      <c r="Q45" t="s">
        <v>1058</v>
      </c>
      <c r="R45" t="s">
        <v>1066</v>
      </c>
      <c r="S45" t="s">
        <v>1060</v>
      </c>
      <c r="T45" s="3">
        <v>29236</v>
      </c>
      <c r="U45" s="3">
        <v>43763</v>
      </c>
      <c r="V45">
        <f t="shared" si="6"/>
        <v>39</v>
      </c>
      <c r="W45">
        <v>1</v>
      </c>
      <c r="X45">
        <v>2</v>
      </c>
      <c r="Y45">
        <v>1</v>
      </c>
      <c r="Z45">
        <v>0</v>
      </c>
      <c r="AA45">
        <v>1</v>
      </c>
      <c r="AB45" t="s">
        <v>1061</v>
      </c>
      <c r="AC45">
        <v>2317</v>
      </c>
      <c r="AD45" t="s">
        <v>1060</v>
      </c>
      <c r="AE45" t="str">
        <f t="shared" si="5"/>
        <v>TRUE</v>
      </c>
    </row>
    <row r="46" spans="1:31">
      <c r="A46" t="s">
        <v>566</v>
      </c>
      <c r="B46">
        <v>4.581328343</v>
      </c>
      <c r="C46" t="s">
        <v>34</v>
      </c>
      <c r="D46">
        <v>6.816257566</v>
      </c>
      <c r="E46" t="s">
        <v>35</v>
      </c>
      <c r="F46">
        <v>88.331263210000003</v>
      </c>
      <c r="G46" t="s">
        <v>35</v>
      </c>
      <c r="H46">
        <v>217.67444140000001</v>
      </c>
      <c r="I46">
        <v>7.1362069789999998</v>
      </c>
      <c r="J46">
        <v>8.9731065369999996</v>
      </c>
      <c r="K46">
        <v>2.0058326050000002</v>
      </c>
      <c r="L46">
        <v>368.87652800000001</v>
      </c>
      <c r="M46">
        <v>2.2972882929999998</v>
      </c>
      <c r="N46">
        <v>7263.6232129999999</v>
      </c>
      <c r="O46" s="1" t="s">
        <v>910</v>
      </c>
      <c r="P46" t="s">
        <v>566</v>
      </c>
      <c r="Q46" t="s">
        <v>1058</v>
      </c>
      <c r="R46" t="s">
        <v>1066</v>
      </c>
      <c r="S46" t="s">
        <v>1060</v>
      </c>
      <c r="T46" s="3">
        <v>33514</v>
      </c>
      <c r="U46" s="3">
        <v>43805</v>
      </c>
      <c r="V46">
        <f t="shared" si="6"/>
        <v>28</v>
      </c>
      <c r="W46" s="5">
        <v>0</v>
      </c>
      <c r="X46" s="5">
        <v>2</v>
      </c>
      <c r="Y46" s="5">
        <v>1</v>
      </c>
      <c r="Z46" s="5">
        <v>0</v>
      </c>
      <c r="AA46">
        <v>1</v>
      </c>
      <c r="AB46" t="s">
        <v>1061</v>
      </c>
      <c r="AC46">
        <v>874</v>
      </c>
      <c r="AD46" t="s">
        <v>1060</v>
      </c>
      <c r="AE46" t="str">
        <f t="shared" si="5"/>
        <v>TRUE</v>
      </c>
    </row>
    <row r="47" spans="1:31">
      <c r="A47" t="s">
        <v>578</v>
      </c>
      <c r="B47">
        <v>3.6321672239999998</v>
      </c>
      <c r="C47" t="s">
        <v>34</v>
      </c>
      <c r="D47">
        <v>2.7637311480000002</v>
      </c>
      <c r="E47">
        <v>115.629119</v>
      </c>
      <c r="F47">
        <v>61.354372210000001</v>
      </c>
      <c r="G47" t="s">
        <v>35</v>
      </c>
      <c r="H47">
        <v>366.31301339999999</v>
      </c>
      <c r="I47">
        <v>4.2879239949999999</v>
      </c>
      <c r="J47">
        <v>9.7690133160000006</v>
      </c>
      <c r="K47">
        <v>1.599844984</v>
      </c>
      <c r="L47">
        <v>365.35673910000003</v>
      </c>
      <c r="M47">
        <v>0.96163869099999999</v>
      </c>
      <c r="N47">
        <v>8329.1165779999992</v>
      </c>
      <c r="O47" s="1" t="s">
        <v>913</v>
      </c>
      <c r="P47" t="s">
        <v>578</v>
      </c>
      <c r="Q47" t="s">
        <v>1062</v>
      </c>
      <c r="R47" t="s">
        <v>1067</v>
      </c>
      <c r="S47" t="s">
        <v>1068</v>
      </c>
      <c r="T47" s="3">
        <v>33760</v>
      </c>
      <c r="U47" s="3">
        <v>43815</v>
      </c>
      <c r="V47">
        <f t="shared" si="6"/>
        <v>27</v>
      </c>
      <c r="W47">
        <v>1</v>
      </c>
      <c r="X47">
        <v>2</v>
      </c>
      <c r="Y47" s="9">
        <v>1</v>
      </c>
      <c r="Z47" s="9">
        <v>0</v>
      </c>
      <c r="AA47">
        <v>1</v>
      </c>
      <c r="AB47" t="s">
        <v>1061</v>
      </c>
      <c r="AC47">
        <v>704</v>
      </c>
      <c r="AD47">
        <v>10</v>
      </c>
      <c r="AE47" t="str">
        <f t="shared" si="5"/>
        <v>TRUE</v>
      </c>
    </row>
    <row r="48" spans="1:31">
      <c r="A48" t="s">
        <v>308</v>
      </c>
      <c r="B48">
        <v>2.5376499269999999</v>
      </c>
      <c r="C48" t="s">
        <v>34</v>
      </c>
      <c r="D48">
        <v>4.8456521820000003</v>
      </c>
      <c r="E48" t="s">
        <v>35</v>
      </c>
      <c r="F48">
        <v>75.612575320000005</v>
      </c>
      <c r="G48" t="s">
        <v>35</v>
      </c>
      <c r="H48">
        <v>141.69338759999999</v>
      </c>
      <c r="I48">
        <v>4.1529103559999996</v>
      </c>
      <c r="J48">
        <v>16.73520748</v>
      </c>
      <c r="K48">
        <v>0.45454037800000002</v>
      </c>
      <c r="L48">
        <v>479.89391970000003</v>
      </c>
      <c r="M48">
        <v>2.1406946520000001</v>
      </c>
      <c r="N48">
        <v>7620.1097380000001</v>
      </c>
      <c r="O48" s="1" t="s">
        <v>916</v>
      </c>
      <c r="P48" t="s">
        <v>308</v>
      </c>
      <c r="Q48" t="s">
        <v>1062</v>
      </c>
      <c r="R48" t="s">
        <v>1063</v>
      </c>
      <c r="S48" t="s">
        <v>1064</v>
      </c>
      <c r="T48" s="3">
        <v>23236</v>
      </c>
      <c r="U48" s="3">
        <v>43866</v>
      </c>
      <c r="V48">
        <f t="shared" si="6"/>
        <v>56</v>
      </c>
      <c r="W48">
        <v>0</v>
      </c>
      <c r="X48">
        <v>3</v>
      </c>
      <c r="Y48" s="9">
        <v>0</v>
      </c>
      <c r="Z48" s="9">
        <v>0</v>
      </c>
      <c r="AA48">
        <v>1</v>
      </c>
      <c r="AB48" t="s">
        <v>1061</v>
      </c>
      <c r="AC48">
        <v>1854</v>
      </c>
      <c r="AD48">
        <v>14</v>
      </c>
      <c r="AE48" t="str">
        <f t="shared" si="5"/>
        <v>TRUE</v>
      </c>
    </row>
    <row r="49" spans="1:31">
      <c r="A49" t="s">
        <v>302</v>
      </c>
      <c r="B49">
        <v>3.1060632830000001</v>
      </c>
      <c r="C49" t="s">
        <v>34</v>
      </c>
      <c r="D49">
        <v>5.1743322950000001</v>
      </c>
      <c r="E49" t="s">
        <v>35</v>
      </c>
      <c r="F49">
        <v>71.701552530000001</v>
      </c>
      <c r="G49" t="s">
        <v>35</v>
      </c>
      <c r="H49">
        <v>70.76357668</v>
      </c>
      <c r="I49">
        <v>5.6841255210000003</v>
      </c>
      <c r="J49">
        <v>13.05054041</v>
      </c>
      <c r="K49">
        <v>0.71136655599999998</v>
      </c>
      <c r="L49">
        <v>400.15812920000002</v>
      </c>
      <c r="M49">
        <v>2.4123099570000002</v>
      </c>
      <c r="N49">
        <v>5673.8427259999999</v>
      </c>
      <c r="O49" s="1" t="s">
        <v>920</v>
      </c>
      <c r="P49" t="s">
        <v>302</v>
      </c>
      <c r="Q49" t="s">
        <v>1062</v>
      </c>
      <c r="R49" t="s">
        <v>1063</v>
      </c>
      <c r="S49" t="s">
        <v>1064</v>
      </c>
      <c r="T49" s="3">
        <v>30355</v>
      </c>
      <c r="U49" s="3">
        <v>43854</v>
      </c>
      <c r="V49">
        <f t="shared" si="6"/>
        <v>36</v>
      </c>
      <c r="W49">
        <v>1</v>
      </c>
      <c r="X49">
        <v>3</v>
      </c>
      <c r="Y49" s="9">
        <v>1</v>
      </c>
      <c r="Z49" s="9">
        <v>0</v>
      </c>
      <c r="AA49">
        <v>1</v>
      </c>
      <c r="AB49" t="s">
        <v>1065</v>
      </c>
      <c r="AC49">
        <v>2375</v>
      </c>
      <c r="AD49">
        <v>14</v>
      </c>
      <c r="AE49" t="str">
        <f t="shared" si="5"/>
        <v>TRUE</v>
      </c>
    </row>
    <row r="50" spans="1:31">
      <c r="A50" t="s">
        <v>167</v>
      </c>
      <c r="B50">
        <v>5.0798412900000001</v>
      </c>
      <c r="C50" t="s">
        <v>34</v>
      </c>
      <c r="D50">
        <v>6.1940228959999999</v>
      </c>
      <c r="E50" t="s">
        <v>35</v>
      </c>
      <c r="F50">
        <v>46.604346219999996</v>
      </c>
      <c r="G50">
        <v>3416.4522889999998</v>
      </c>
      <c r="H50">
        <v>185.91256609999999</v>
      </c>
      <c r="I50">
        <v>6.7040769969999996</v>
      </c>
      <c r="J50">
        <v>41.357934200000003</v>
      </c>
      <c r="K50">
        <v>2.1998284460000002</v>
      </c>
      <c r="L50">
        <v>319.75176010000001</v>
      </c>
      <c r="M50">
        <v>1.1132135400000001</v>
      </c>
      <c r="N50">
        <v>10064.505569999999</v>
      </c>
      <c r="O50" s="1" t="s">
        <v>921</v>
      </c>
      <c r="P50" t="s">
        <v>167</v>
      </c>
      <c r="Q50" t="s">
        <v>1069</v>
      </c>
      <c r="R50" t="s">
        <v>1077</v>
      </c>
      <c r="S50" t="s">
        <v>1068</v>
      </c>
      <c r="T50" s="3">
        <v>34130</v>
      </c>
      <c r="U50" s="3">
        <v>43854</v>
      </c>
      <c r="V50">
        <f t="shared" si="6"/>
        <v>26</v>
      </c>
      <c r="W50">
        <v>0</v>
      </c>
      <c r="X50">
        <v>2</v>
      </c>
      <c r="Y50" s="9">
        <v>0</v>
      </c>
      <c r="Z50" s="9">
        <v>0</v>
      </c>
      <c r="AA50">
        <v>1</v>
      </c>
      <c r="AB50" t="s">
        <v>1065</v>
      </c>
      <c r="AC50">
        <v>647</v>
      </c>
      <c r="AD50">
        <v>4</v>
      </c>
      <c r="AE50" t="str">
        <f t="shared" si="5"/>
        <v>TRUE</v>
      </c>
    </row>
    <row r="51" spans="1:31">
      <c r="A51" t="s">
        <v>209</v>
      </c>
      <c r="B51">
        <v>4.5079948989999998</v>
      </c>
      <c r="C51" t="s">
        <v>34</v>
      </c>
      <c r="D51">
        <v>6.0148937739999999</v>
      </c>
      <c r="E51" t="s">
        <v>35</v>
      </c>
      <c r="F51">
        <v>74.676024060000003</v>
      </c>
      <c r="G51" t="s">
        <v>35</v>
      </c>
      <c r="H51">
        <v>530.6888798</v>
      </c>
      <c r="I51">
        <v>8.0448144339999992</v>
      </c>
      <c r="J51">
        <v>15.77501859</v>
      </c>
      <c r="K51">
        <v>2.8349894959999999</v>
      </c>
      <c r="L51">
        <v>388.1016975</v>
      </c>
      <c r="M51">
        <v>1.6551603210000001</v>
      </c>
      <c r="N51">
        <v>9511.9629349999996</v>
      </c>
      <c r="O51" s="1" t="s">
        <v>922</v>
      </c>
      <c r="P51" t="s">
        <v>209</v>
      </c>
      <c r="Q51" t="s">
        <v>1062</v>
      </c>
      <c r="R51" t="s">
        <v>1067</v>
      </c>
      <c r="S51" t="s">
        <v>1068</v>
      </c>
      <c r="T51" s="3">
        <v>25518</v>
      </c>
      <c r="U51" s="3">
        <v>43864</v>
      </c>
      <c r="V51">
        <f t="shared" si="6"/>
        <v>50</v>
      </c>
      <c r="W51">
        <v>0</v>
      </c>
      <c r="X51">
        <v>3</v>
      </c>
      <c r="Y51" s="9">
        <v>1</v>
      </c>
      <c r="Z51" s="9">
        <v>0</v>
      </c>
      <c r="AA51">
        <v>1</v>
      </c>
      <c r="AB51" t="s">
        <v>1065</v>
      </c>
      <c r="AC51">
        <v>1982</v>
      </c>
      <c r="AD51">
        <v>10</v>
      </c>
      <c r="AE51" t="str">
        <f t="shared" si="5"/>
        <v>TRUE</v>
      </c>
    </row>
    <row r="52" spans="1:31">
      <c r="A52" t="s">
        <v>671</v>
      </c>
      <c r="B52">
        <v>7.2989009569999999</v>
      </c>
      <c r="C52" t="s">
        <v>34</v>
      </c>
      <c r="D52">
        <v>6.9665412</v>
      </c>
      <c r="E52" t="s">
        <v>35</v>
      </c>
      <c r="F52">
        <v>87.374632120000001</v>
      </c>
      <c r="G52" t="s">
        <v>35</v>
      </c>
      <c r="H52">
        <v>228.9332173</v>
      </c>
      <c r="I52">
        <v>6.3477424019999997</v>
      </c>
      <c r="J52">
        <v>15.48308712</v>
      </c>
      <c r="K52">
        <v>1.515285558</v>
      </c>
      <c r="L52">
        <v>498.01884050000001</v>
      </c>
      <c r="M52">
        <v>2.6961709190000001</v>
      </c>
      <c r="N52">
        <v>11992.906999999999</v>
      </c>
      <c r="O52" s="1" t="s">
        <v>927</v>
      </c>
      <c r="P52" t="s">
        <v>671</v>
      </c>
      <c r="Q52" t="s">
        <v>1062</v>
      </c>
      <c r="R52" t="s">
        <v>1067</v>
      </c>
      <c r="S52" t="s">
        <v>1068</v>
      </c>
      <c r="T52" s="3">
        <v>36030</v>
      </c>
      <c r="U52" s="3">
        <v>44054</v>
      </c>
      <c r="V52">
        <f t="shared" si="6"/>
        <v>21</v>
      </c>
      <c r="W52">
        <v>1</v>
      </c>
      <c r="X52">
        <v>2</v>
      </c>
      <c r="Y52" s="9">
        <v>1</v>
      </c>
      <c r="Z52" s="9">
        <v>0</v>
      </c>
      <c r="AA52">
        <v>1</v>
      </c>
      <c r="AB52" t="s">
        <v>1061</v>
      </c>
      <c r="AC52">
        <v>2208</v>
      </c>
      <c r="AD52">
        <v>5</v>
      </c>
      <c r="AE52" t="str">
        <f t="shared" si="5"/>
        <v>TRUE</v>
      </c>
    </row>
    <row r="53" spans="1:31">
      <c r="A53" t="s">
        <v>104</v>
      </c>
      <c r="B53">
        <v>3.9111218390000002</v>
      </c>
      <c r="C53" t="s">
        <v>34</v>
      </c>
      <c r="D53">
        <v>5.8372755859999996</v>
      </c>
      <c r="E53">
        <v>106.24623560000001</v>
      </c>
      <c r="F53">
        <v>69.120086139999998</v>
      </c>
      <c r="G53" t="s">
        <v>35</v>
      </c>
      <c r="H53">
        <v>324.25639089999999</v>
      </c>
      <c r="I53">
        <v>8.3958002399999998</v>
      </c>
      <c r="J53">
        <v>12.668541469999999</v>
      </c>
      <c r="K53">
        <v>2.0491103329999998</v>
      </c>
      <c r="L53">
        <v>488.17209810000003</v>
      </c>
      <c r="M53">
        <v>1.4942389190000001</v>
      </c>
      <c r="N53">
        <v>8622.3780160000006</v>
      </c>
      <c r="O53" s="1" t="s">
        <v>929</v>
      </c>
      <c r="P53" t="s">
        <v>104</v>
      </c>
      <c r="Q53" t="s">
        <v>1069</v>
      </c>
      <c r="R53" t="s">
        <v>1073</v>
      </c>
      <c r="S53" t="s">
        <v>1064</v>
      </c>
      <c r="T53" s="3">
        <v>32221</v>
      </c>
      <c r="U53" s="3">
        <v>44063</v>
      </c>
      <c r="V53">
        <f t="shared" si="6"/>
        <v>32</v>
      </c>
      <c r="W53">
        <v>1</v>
      </c>
      <c r="X53">
        <v>2</v>
      </c>
      <c r="Y53" s="9">
        <v>1</v>
      </c>
      <c r="Z53" s="9">
        <v>0</v>
      </c>
      <c r="AA53">
        <v>1</v>
      </c>
      <c r="AB53" t="s">
        <v>1061</v>
      </c>
      <c r="AC53">
        <v>700</v>
      </c>
      <c r="AD53">
        <v>4</v>
      </c>
      <c r="AE53" t="str">
        <f t="shared" si="5"/>
        <v>TRUE</v>
      </c>
    </row>
    <row r="54" spans="1:31">
      <c r="A54" t="s">
        <v>710</v>
      </c>
      <c r="B54">
        <v>20.25235223</v>
      </c>
      <c r="C54">
        <v>4.6989716960000001</v>
      </c>
      <c r="D54">
        <v>7.8342237790000002</v>
      </c>
      <c r="E54">
        <v>192.8013311</v>
      </c>
      <c r="F54">
        <v>112.26346529999999</v>
      </c>
      <c r="G54" t="s">
        <v>35</v>
      </c>
      <c r="H54">
        <v>383.42229950000001</v>
      </c>
      <c r="I54">
        <v>9.5777517860000003</v>
      </c>
      <c r="J54">
        <v>10.93338994</v>
      </c>
      <c r="K54">
        <v>5.291087965</v>
      </c>
      <c r="L54">
        <v>379.03057940000002</v>
      </c>
      <c r="M54">
        <v>1.2481739460000001</v>
      </c>
      <c r="N54">
        <v>8719.3702269999994</v>
      </c>
      <c r="O54" s="1" t="s">
        <v>931</v>
      </c>
      <c r="P54" t="s">
        <v>710</v>
      </c>
      <c r="Q54" t="s">
        <v>1062</v>
      </c>
      <c r="R54" t="s">
        <v>1072</v>
      </c>
      <c r="S54" t="s">
        <v>1068</v>
      </c>
      <c r="T54" s="3">
        <v>33194</v>
      </c>
      <c r="U54" s="3">
        <v>44084</v>
      </c>
      <c r="V54">
        <f t="shared" si="6"/>
        <v>29</v>
      </c>
      <c r="W54">
        <v>1</v>
      </c>
      <c r="X54">
        <v>2</v>
      </c>
      <c r="Y54" s="10">
        <v>1</v>
      </c>
      <c r="Z54" s="10">
        <v>0</v>
      </c>
      <c r="AA54">
        <v>1</v>
      </c>
      <c r="AB54" t="s">
        <v>1065</v>
      </c>
      <c r="AC54">
        <v>6689</v>
      </c>
      <c r="AD54">
        <v>4</v>
      </c>
      <c r="AE54" t="str">
        <f t="shared" si="5"/>
        <v>TRUE</v>
      </c>
    </row>
    <row r="55" spans="1:31">
      <c r="A55" t="s">
        <v>437</v>
      </c>
      <c r="B55">
        <v>5.1507225410000004</v>
      </c>
      <c r="C55" t="s">
        <v>34</v>
      </c>
      <c r="D55">
        <v>8.7257142200000004</v>
      </c>
      <c r="E55" t="s">
        <v>35</v>
      </c>
      <c r="F55">
        <v>83.256509570000006</v>
      </c>
      <c r="G55" t="s">
        <v>35</v>
      </c>
      <c r="H55">
        <v>522.23655670000005</v>
      </c>
      <c r="I55">
        <v>9.6909381729999993</v>
      </c>
      <c r="J55">
        <v>11.94245029</v>
      </c>
      <c r="K55">
        <v>2.736531024</v>
      </c>
      <c r="L55">
        <v>559.82221979999997</v>
      </c>
      <c r="M55">
        <v>1.131149366</v>
      </c>
      <c r="N55">
        <v>11219.306759999999</v>
      </c>
      <c r="O55" s="1" t="s">
        <v>932</v>
      </c>
      <c r="P55" t="s">
        <v>437</v>
      </c>
      <c r="Q55" t="s">
        <v>1069</v>
      </c>
      <c r="R55" t="s">
        <v>1076</v>
      </c>
      <c r="S55" t="s">
        <v>1064</v>
      </c>
      <c r="T55" s="3">
        <v>34219</v>
      </c>
      <c r="U55" s="3">
        <v>44092</v>
      </c>
      <c r="V55">
        <f t="shared" si="6"/>
        <v>27</v>
      </c>
      <c r="W55">
        <v>1</v>
      </c>
      <c r="X55">
        <v>2</v>
      </c>
      <c r="Y55" s="10">
        <v>1</v>
      </c>
      <c r="Z55" s="10">
        <v>0</v>
      </c>
      <c r="AA55">
        <v>1</v>
      </c>
      <c r="AB55" t="s">
        <v>1065</v>
      </c>
      <c r="AC55">
        <v>2255</v>
      </c>
      <c r="AD55">
        <v>11</v>
      </c>
      <c r="AE55" t="str">
        <f t="shared" si="5"/>
        <v>TRUE</v>
      </c>
    </row>
    <row r="56" spans="1:31">
      <c r="A56" t="s">
        <v>593</v>
      </c>
      <c r="B56">
        <v>4.9785751520000003</v>
      </c>
      <c r="C56" t="s">
        <v>34</v>
      </c>
      <c r="D56">
        <v>4.6138234799999998</v>
      </c>
      <c r="E56" t="s">
        <v>35</v>
      </c>
      <c r="F56">
        <v>50.234334079999996</v>
      </c>
      <c r="G56" t="s">
        <v>35</v>
      </c>
      <c r="H56">
        <v>211.6561706</v>
      </c>
      <c r="I56">
        <v>10.620465319999999</v>
      </c>
      <c r="J56">
        <v>10.94516761</v>
      </c>
      <c r="K56">
        <v>2.8828303050000001</v>
      </c>
      <c r="L56">
        <v>376.22834419999998</v>
      </c>
      <c r="M56">
        <v>1.1630192779999999</v>
      </c>
      <c r="N56">
        <v>11977.879849999999</v>
      </c>
      <c r="O56" s="1" t="s">
        <v>935</v>
      </c>
      <c r="P56" t="s">
        <v>593</v>
      </c>
      <c r="Q56" t="s">
        <v>1062</v>
      </c>
      <c r="R56" t="s">
        <v>1072</v>
      </c>
      <c r="S56" t="s">
        <v>1068</v>
      </c>
      <c r="T56" s="3">
        <v>29096</v>
      </c>
      <c r="U56" s="3">
        <v>44099</v>
      </c>
      <c r="V56">
        <f t="shared" si="6"/>
        <v>41</v>
      </c>
      <c r="W56">
        <v>0</v>
      </c>
      <c r="X56">
        <v>1</v>
      </c>
      <c r="Y56" s="10">
        <v>1</v>
      </c>
      <c r="Z56" s="10">
        <v>0</v>
      </c>
      <c r="AA56">
        <v>1</v>
      </c>
      <c r="AB56" t="s">
        <v>1061</v>
      </c>
      <c r="AC56">
        <v>1897</v>
      </c>
      <c r="AD56">
        <v>13</v>
      </c>
      <c r="AE56" t="str">
        <f t="shared" si="5"/>
        <v>TRUE</v>
      </c>
    </row>
    <row r="57" spans="1:31">
      <c r="A57" t="s">
        <v>587</v>
      </c>
      <c r="B57">
        <v>4.9933779669999998</v>
      </c>
      <c r="C57" t="s">
        <v>34</v>
      </c>
      <c r="D57">
        <v>6.1170425829999999</v>
      </c>
      <c r="E57" t="s">
        <v>35</v>
      </c>
      <c r="F57">
        <v>74.154402070000003</v>
      </c>
      <c r="G57" t="s">
        <v>35</v>
      </c>
      <c r="H57">
        <v>193.2358807</v>
      </c>
      <c r="I57">
        <v>8.1505918170000005</v>
      </c>
      <c r="J57">
        <v>11.82290442</v>
      </c>
      <c r="K57">
        <v>1.5505833520000001</v>
      </c>
      <c r="L57">
        <v>452.44443710000002</v>
      </c>
      <c r="M57">
        <v>2.6410044890000002</v>
      </c>
      <c r="N57">
        <v>7203.860068</v>
      </c>
      <c r="O57" s="1" t="s">
        <v>936</v>
      </c>
      <c r="P57" t="s">
        <v>587</v>
      </c>
      <c r="Q57" t="s">
        <v>1062</v>
      </c>
      <c r="R57" t="s">
        <v>1067</v>
      </c>
      <c r="S57" t="s">
        <v>1064</v>
      </c>
      <c r="T57" s="3">
        <v>24431</v>
      </c>
      <c r="U57" s="3">
        <v>44099</v>
      </c>
      <c r="V57">
        <f t="shared" si="6"/>
        <v>53</v>
      </c>
      <c r="W57">
        <v>1</v>
      </c>
      <c r="X57">
        <v>3</v>
      </c>
      <c r="Y57" s="10">
        <v>0</v>
      </c>
      <c r="Z57" s="10">
        <v>0</v>
      </c>
      <c r="AA57">
        <v>1</v>
      </c>
      <c r="AB57" t="s">
        <v>1065</v>
      </c>
      <c r="AC57">
        <v>1126</v>
      </c>
      <c r="AD57">
        <v>15</v>
      </c>
      <c r="AE57" t="str">
        <f t="shared" si="5"/>
        <v>TRUE</v>
      </c>
    </row>
    <row r="58" spans="1:31">
      <c r="A58" t="s">
        <v>98</v>
      </c>
      <c r="B58">
        <v>3.7308054319999999</v>
      </c>
      <c r="C58" t="s">
        <v>34</v>
      </c>
      <c r="D58">
        <v>6.3298294549999996</v>
      </c>
      <c r="E58" t="s">
        <v>35</v>
      </c>
      <c r="F58">
        <v>200.12110999999999</v>
      </c>
      <c r="G58">
        <v>4183.6123459999999</v>
      </c>
      <c r="H58">
        <v>231.9753958</v>
      </c>
      <c r="I58">
        <v>4.3970939429999998</v>
      </c>
      <c r="J58">
        <v>49.458036819999997</v>
      </c>
      <c r="K58">
        <v>1.7312093630000001</v>
      </c>
      <c r="L58">
        <v>398.01305889999998</v>
      </c>
      <c r="M58">
        <v>2.0683295049999999</v>
      </c>
      <c r="N58">
        <v>7745.2335119999998</v>
      </c>
      <c r="O58" s="1" t="s">
        <v>937</v>
      </c>
      <c r="P58" t="s">
        <v>98</v>
      </c>
      <c r="Q58" t="s">
        <v>1069</v>
      </c>
      <c r="R58" t="s">
        <v>1076</v>
      </c>
      <c r="S58" t="s">
        <v>1068</v>
      </c>
      <c r="T58" s="3">
        <v>35213</v>
      </c>
      <c r="U58" s="3">
        <v>44104</v>
      </c>
      <c r="V58">
        <f t="shared" si="6"/>
        <v>24</v>
      </c>
      <c r="W58">
        <v>1</v>
      </c>
      <c r="X58">
        <v>2</v>
      </c>
      <c r="Y58" s="10">
        <v>1</v>
      </c>
      <c r="Z58" s="10">
        <v>0</v>
      </c>
      <c r="AA58">
        <v>1</v>
      </c>
      <c r="AB58" t="s">
        <v>1061</v>
      </c>
      <c r="AC58">
        <v>1123</v>
      </c>
      <c r="AD58">
        <v>6</v>
      </c>
      <c r="AE58" t="str">
        <f t="shared" si="5"/>
        <v>TRUE</v>
      </c>
    </row>
    <row r="59" spans="1:31">
      <c r="A59" t="s">
        <v>110</v>
      </c>
      <c r="B59">
        <v>3.7586846309999999</v>
      </c>
      <c r="C59" t="s">
        <v>34</v>
      </c>
      <c r="D59">
        <v>5.6585857710000003</v>
      </c>
      <c r="E59">
        <v>118.89170009999999</v>
      </c>
      <c r="F59">
        <v>38.425963039999999</v>
      </c>
      <c r="G59" t="s">
        <v>35</v>
      </c>
      <c r="H59">
        <v>131.49744949999999</v>
      </c>
      <c r="I59">
        <v>5.2127034500000002</v>
      </c>
      <c r="J59">
        <v>17.566438980000001</v>
      </c>
      <c r="K59">
        <v>1.526440904</v>
      </c>
      <c r="L59">
        <v>309.46634189999997</v>
      </c>
      <c r="M59">
        <v>1.0154279690000001</v>
      </c>
      <c r="N59">
        <v>10330.39451</v>
      </c>
      <c r="O59" s="1" t="s">
        <v>938</v>
      </c>
      <c r="P59" t="s">
        <v>110</v>
      </c>
      <c r="Q59" t="s">
        <v>1062</v>
      </c>
      <c r="R59" t="s">
        <v>1067</v>
      </c>
      <c r="S59" t="s">
        <v>1068</v>
      </c>
      <c r="T59" s="3">
        <v>23988</v>
      </c>
      <c r="U59" s="3">
        <v>44104</v>
      </c>
      <c r="V59">
        <f t="shared" si="6"/>
        <v>55</v>
      </c>
      <c r="W59">
        <v>1</v>
      </c>
      <c r="X59">
        <v>2</v>
      </c>
      <c r="Y59" s="9">
        <v>0</v>
      </c>
      <c r="Z59" s="9">
        <v>0</v>
      </c>
      <c r="AA59">
        <v>1</v>
      </c>
      <c r="AB59" t="s">
        <v>1065</v>
      </c>
      <c r="AC59">
        <v>4713</v>
      </c>
      <c r="AD59">
        <v>6</v>
      </c>
      <c r="AE59" t="str">
        <f t="shared" si="5"/>
        <v>TRUE</v>
      </c>
    </row>
    <row r="60" spans="1:31">
      <c r="A60" t="s">
        <v>200</v>
      </c>
      <c r="B60">
        <v>3.544797623</v>
      </c>
      <c r="C60" t="s">
        <v>34</v>
      </c>
      <c r="D60">
        <v>6.0153893590000003</v>
      </c>
      <c r="E60" t="s">
        <v>35</v>
      </c>
      <c r="F60">
        <v>200.11111320000001</v>
      </c>
      <c r="G60">
        <v>2891.1973710000002</v>
      </c>
      <c r="H60">
        <v>158.8337923</v>
      </c>
      <c r="I60">
        <v>8.9973246499999995</v>
      </c>
      <c r="J60">
        <v>22.16859402</v>
      </c>
      <c r="K60">
        <v>1.687196707</v>
      </c>
      <c r="L60">
        <v>607.47886140000003</v>
      </c>
      <c r="M60">
        <v>5.1200808289999999</v>
      </c>
      <c r="N60">
        <v>4653.3769190000003</v>
      </c>
      <c r="O60" s="1" t="s">
        <v>939</v>
      </c>
      <c r="P60" t="s">
        <v>200</v>
      </c>
      <c r="Q60" t="s">
        <v>1062</v>
      </c>
      <c r="R60" t="s">
        <v>1063</v>
      </c>
      <c r="S60" t="s">
        <v>1068</v>
      </c>
      <c r="T60" s="3">
        <v>16624</v>
      </c>
      <c r="U60" s="3">
        <v>44106</v>
      </c>
      <c r="V60">
        <f t="shared" si="6"/>
        <v>75</v>
      </c>
      <c r="W60">
        <v>1</v>
      </c>
      <c r="X60">
        <v>2</v>
      </c>
      <c r="Y60" s="9">
        <v>1</v>
      </c>
      <c r="Z60" s="9">
        <v>0</v>
      </c>
      <c r="AA60">
        <v>1</v>
      </c>
      <c r="AB60" t="s">
        <v>1065</v>
      </c>
      <c r="AC60">
        <v>4146</v>
      </c>
      <c r="AD60">
        <v>6</v>
      </c>
      <c r="AE60" t="str">
        <f t="shared" si="5"/>
        <v>TRUE</v>
      </c>
    </row>
    <row r="61" spans="1:31">
      <c r="A61" t="s">
        <v>731</v>
      </c>
      <c r="B61">
        <v>8.0029116990000002</v>
      </c>
      <c r="C61" t="s">
        <v>34</v>
      </c>
      <c r="D61">
        <v>8.88430958</v>
      </c>
      <c r="E61" t="s">
        <v>35</v>
      </c>
      <c r="F61">
        <v>133.2315438</v>
      </c>
      <c r="G61" t="s">
        <v>35</v>
      </c>
      <c r="H61">
        <v>395.23969620000003</v>
      </c>
      <c r="I61">
        <v>15.15043</v>
      </c>
      <c r="J61">
        <v>58.7721108</v>
      </c>
      <c r="K61">
        <v>4.0944622280000003</v>
      </c>
      <c r="L61">
        <v>775.63392590000001</v>
      </c>
      <c r="M61">
        <v>1.5601976580000001</v>
      </c>
      <c r="N61">
        <v>12076.680189999999</v>
      </c>
      <c r="O61" s="1" t="s">
        <v>940</v>
      </c>
      <c r="P61" t="s">
        <v>731</v>
      </c>
      <c r="Q61" t="s">
        <v>1062</v>
      </c>
      <c r="R61" t="s">
        <v>1063</v>
      </c>
      <c r="S61" t="s">
        <v>1064</v>
      </c>
      <c r="T61" s="3">
        <v>33801</v>
      </c>
      <c r="U61" s="3">
        <v>44110</v>
      </c>
      <c r="V61">
        <f t="shared" si="6"/>
        <v>28</v>
      </c>
      <c r="W61">
        <v>0</v>
      </c>
      <c r="X61">
        <v>2</v>
      </c>
      <c r="Y61" s="9">
        <v>1</v>
      </c>
      <c r="Z61" s="9">
        <v>0</v>
      </c>
      <c r="AA61">
        <v>1</v>
      </c>
      <c r="AB61" t="s">
        <v>1061</v>
      </c>
      <c r="AC61">
        <v>2363</v>
      </c>
      <c r="AD61">
        <v>9</v>
      </c>
      <c r="AE61" t="str">
        <f t="shared" si="5"/>
        <v>TRUE</v>
      </c>
    </row>
    <row r="62" spans="1:31">
      <c r="A62" t="s">
        <v>425</v>
      </c>
      <c r="B62">
        <v>4.783685921</v>
      </c>
      <c r="C62" t="s">
        <v>34</v>
      </c>
      <c r="D62">
        <v>6.6922834440000001</v>
      </c>
      <c r="E62">
        <v>96.923815309999995</v>
      </c>
      <c r="F62">
        <v>63.037980930000003</v>
      </c>
      <c r="G62" t="s">
        <v>35</v>
      </c>
      <c r="H62">
        <v>258.58449969999998</v>
      </c>
      <c r="I62">
        <v>14.93628183</v>
      </c>
      <c r="J62">
        <v>11.38513466</v>
      </c>
      <c r="K62">
        <v>5.0035403279999997</v>
      </c>
      <c r="L62">
        <v>380.0288276</v>
      </c>
      <c r="M62">
        <v>1.9087608460000001</v>
      </c>
      <c r="N62">
        <v>12897.07703</v>
      </c>
      <c r="O62" s="1" t="s">
        <v>942</v>
      </c>
      <c r="P62" t="s">
        <v>425</v>
      </c>
      <c r="Q62" t="s">
        <v>1058</v>
      </c>
      <c r="R62" t="s">
        <v>1059</v>
      </c>
      <c r="S62" t="s">
        <v>1060</v>
      </c>
      <c r="T62" s="3">
        <v>24811</v>
      </c>
      <c r="U62" s="3">
        <v>44118</v>
      </c>
      <c r="V62">
        <f t="shared" si="6"/>
        <v>52</v>
      </c>
      <c r="W62">
        <v>1</v>
      </c>
      <c r="X62">
        <v>2</v>
      </c>
      <c r="Y62" s="10">
        <v>1</v>
      </c>
      <c r="Z62" s="10">
        <v>0</v>
      </c>
      <c r="AA62">
        <v>1</v>
      </c>
      <c r="AB62" t="s">
        <v>1065</v>
      </c>
      <c r="AC62">
        <v>236</v>
      </c>
      <c r="AD62" t="s">
        <v>1060</v>
      </c>
      <c r="AE62" t="str">
        <f t="shared" si="5"/>
        <v>TRUE</v>
      </c>
    </row>
    <row r="63" spans="1:31">
      <c r="A63" t="s">
        <v>572</v>
      </c>
      <c r="B63">
        <v>5.7966834780000003</v>
      </c>
      <c r="C63" t="s">
        <v>34</v>
      </c>
      <c r="D63">
        <v>8.1583395309999993</v>
      </c>
      <c r="E63">
        <v>120.332143</v>
      </c>
      <c r="F63">
        <v>134.9177847</v>
      </c>
      <c r="G63" t="s">
        <v>35</v>
      </c>
      <c r="H63">
        <v>348.80173600000001</v>
      </c>
      <c r="I63">
        <v>21.211254180000001</v>
      </c>
      <c r="J63">
        <v>23.041422260000001</v>
      </c>
      <c r="K63">
        <v>3.9145023889999999</v>
      </c>
      <c r="L63">
        <v>661.85041130000002</v>
      </c>
      <c r="M63">
        <v>2.4163190719999998</v>
      </c>
      <c r="N63">
        <v>11184.647940000001</v>
      </c>
      <c r="O63" s="1" t="s">
        <v>943</v>
      </c>
      <c r="P63" t="s">
        <v>572</v>
      </c>
      <c r="Q63" t="s">
        <v>1069</v>
      </c>
      <c r="R63" t="s">
        <v>1076</v>
      </c>
      <c r="S63" t="s">
        <v>1064</v>
      </c>
      <c r="T63" s="3">
        <v>19739</v>
      </c>
      <c r="U63" s="3">
        <v>44119</v>
      </c>
      <c r="V63">
        <f t="shared" si="6"/>
        <v>66</v>
      </c>
      <c r="W63">
        <v>1</v>
      </c>
      <c r="X63">
        <v>3</v>
      </c>
      <c r="Y63" s="9">
        <v>1</v>
      </c>
      <c r="Z63" s="9">
        <v>0</v>
      </c>
      <c r="AA63">
        <v>1</v>
      </c>
      <c r="AB63" t="s">
        <v>1061</v>
      </c>
      <c r="AC63">
        <v>900</v>
      </c>
      <c r="AD63">
        <v>10</v>
      </c>
      <c r="AE63" t="str">
        <f t="shared" si="5"/>
        <v>TRUE</v>
      </c>
    </row>
    <row r="64" spans="1:31">
      <c r="A64" t="s">
        <v>50</v>
      </c>
      <c r="B64">
        <v>7.2059707489999996</v>
      </c>
      <c r="C64" t="s">
        <v>34</v>
      </c>
      <c r="D64">
        <v>13.25011254</v>
      </c>
      <c r="E64">
        <v>161.60373279999999</v>
      </c>
      <c r="F64">
        <v>78.660930359999995</v>
      </c>
      <c r="G64" t="s">
        <v>35</v>
      </c>
      <c r="H64">
        <v>1000.112212</v>
      </c>
      <c r="I64">
        <v>12.067359769999999</v>
      </c>
      <c r="J64">
        <v>17.625954499999999</v>
      </c>
      <c r="K64">
        <v>4.1887943009999997</v>
      </c>
      <c r="L64">
        <v>561.39026720000004</v>
      </c>
      <c r="M64">
        <v>1.280884417</v>
      </c>
      <c r="N64">
        <v>14603.74295</v>
      </c>
      <c r="O64" s="1" t="s">
        <v>945</v>
      </c>
      <c r="P64" t="s">
        <v>50</v>
      </c>
      <c r="Q64" t="s">
        <v>1069</v>
      </c>
      <c r="R64" t="s">
        <v>1070</v>
      </c>
      <c r="S64" t="s">
        <v>1068</v>
      </c>
      <c r="T64" s="3">
        <v>23778</v>
      </c>
      <c r="U64" s="3">
        <v>44130</v>
      </c>
      <c r="V64">
        <f t="shared" si="6"/>
        <v>55</v>
      </c>
      <c r="W64">
        <v>1</v>
      </c>
      <c r="X64">
        <v>2</v>
      </c>
      <c r="Y64" s="10">
        <v>1</v>
      </c>
      <c r="Z64" s="10">
        <v>0</v>
      </c>
      <c r="AA64">
        <v>1</v>
      </c>
      <c r="AB64" t="s">
        <v>1061</v>
      </c>
      <c r="AC64">
        <v>319</v>
      </c>
      <c r="AD64">
        <v>11</v>
      </c>
      <c r="AE64" t="str">
        <f t="shared" si="5"/>
        <v>TRUE</v>
      </c>
    </row>
    <row r="65" spans="1:31">
      <c r="A65" t="s">
        <v>32</v>
      </c>
      <c r="B65">
        <v>8.3460364489999996</v>
      </c>
      <c r="C65" t="s">
        <v>34</v>
      </c>
      <c r="D65">
        <v>9.3448511710000002</v>
      </c>
      <c r="E65">
        <v>137.48851099999999</v>
      </c>
      <c r="F65">
        <v>85.476720990000004</v>
      </c>
      <c r="G65" t="s">
        <v>35</v>
      </c>
      <c r="H65">
        <v>275.96331939999999</v>
      </c>
      <c r="I65">
        <v>8.4795235560000002</v>
      </c>
      <c r="J65">
        <v>11.939709880000001</v>
      </c>
      <c r="K65">
        <v>4.5292439719999997</v>
      </c>
      <c r="L65">
        <v>346.1610786</v>
      </c>
      <c r="M65">
        <v>1.0179256969999999</v>
      </c>
      <c r="N65">
        <v>11754.117329999999</v>
      </c>
      <c r="O65" s="1" t="s">
        <v>947</v>
      </c>
      <c r="P65" t="s">
        <v>32</v>
      </c>
      <c r="Q65" t="s">
        <v>1058</v>
      </c>
      <c r="R65" t="s">
        <v>1075</v>
      </c>
      <c r="S65" t="s">
        <v>1060</v>
      </c>
      <c r="T65" s="3">
        <v>37328</v>
      </c>
      <c r="U65" s="3">
        <v>44146</v>
      </c>
      <c r="V65">
        <f t="shared" si="6"/>
        <v>18</v>
      </c>
      <c r="W65">
        <v>1</v>
      </c>
      <c r="X65">
        <v>2</v>
      </c>
      <c r="Y65" s="10">
        <v>1</v>
      </c>
      <c r="Z65" s="10">
        <v>0</v>
      </c>
      <c r="AA65">
        <v>1</v>
      </c>
      <c r="AB65" t="s">
        <v>1061</v>
      </c>
      <c r="AC65">
        <v>472</v>
      </c>
      <c r="AD65" t="s">
        <v>1060</v>
      </c>
      <c r="AE65" t="str">
        <f t="shared" si="5"/>
        <v>TRUE</v>
      </c>
    </row>
    <row r="66" spans="1:31">
      <c r="A66" t="s">
        <v>491</v>
      </c>
      <c r="B66">
        <v>17.328652559999998</v>
      </c>
      <c r="C66" t="s">
        <v>34</v>
      </c>
      <c r="D66">
        <v>13.90770843</v>
      </c>
      <c r="E66">
        <v>38.105782019999999</v>
      </c>
      <c r="F66">
        <v>69.154679770000001</v>
      </c>
      <c r="G66" t="s">
        <v>35</v>
      </c>
      <c r="H66">
        <v>496.1349778</v>
      </c>
      <c r="I66">
        <v>7.3270739259999997</v>
      </c>
      <c r="J66">
        <v>15.59452626</v>
      </c>
      <c r="K66">
        <v>9.2193722509999994</v>
      </c>
      <c r="L66">
        <v>330.90368960000001</v>
      </c>
      <c r="M66">
        <v>0.90561074600000002</v>
      </c>
      <c r="N66">
        <v>16932.586039999998</v>
      </c>
      <c r="O66" s="1" t="s">
        <v>950</v>
      </c>
      <c r="P66" t="s">
        <v>491</v>
      </c>
      <c r="Q66" t="s">
        <v>1062</v>
      </c>
      <c r="R66" t="s">
        <v>1067</v>
      </c>
      <c r="S66" t="s">
        <v>1064</v>
      </c>
      <c r="T66" s="3">
        <v>34311</v>
      </c>
      <c r="U66" s="3">
        <v>44148</v>
      </c>
      <c r="V66">
        <f t="shared" si="6"/>
        <v>26</v>
      </c>
      <c r="W66">
        <v>0</v>
      </c>
      <c r="X66">
        <v>2</v>
      </c>
      <c r="Y66" s="10">
        <v>1</v>
      </c>
      <c r="Z66" s="10">
        <v>0</v>
      </c>
      <c r="AA66">
        <v>1</v>
      </c>
      <c r="AB66" t="s">
        <v>1061</v>
      </c>
      <c r="AC66">
        <v>1823</v>
      </c>
      <c r="AD66">
        <v>9</v>
      </c>
      <c r="AE66" t="str">
        <f t="shared" ref="AE66:AE102" si="7">IF(P66=A66, "TRUE", "FALSE")</f>
        <v>TRUE</v>
      </c>
    </row>
    <row r="67" spans="1:31">
      <c r="A67" t="s">
        <v>317</v>
      </c>
      <c r="B67">
        <v>6.5543837759999999</v>
      </c>
      <c r="C67" t="s">
        <v>34</v>
      </c>
      <c r="D67">
        <v>11.65789532</v>
      </c>
      <c r="E67" t="s">
        <v>35</v>
      </c>
      <c r="F67">
        <v>63.258148380000002</v>
      </c>
      <c r="G67" t="s">
        <v>35</v>
      </c>
      <c r="H67">
        <v>272.93974040000001</v>
      </c>
      <c r="I67">
        <v>8.3763727200000009</v>
      </c>
      <c r="J67">
        <v>12.6826314</v>
      </c>
      <c r="K67">
        <v>4.2050332179999996</v>
      </c>
      <c r="L67">
        <v>289.1102707</v>
      </c>
      <c r="M67">
        <v>1.1360349860000001</v>
      </c>
      <c r="N67">
        <v>9916.0117210000008</v>
      </c>
      <c r="O67" s="1" t="s">
        <v>952</v>
      </c>
      <c r="P67" t="s">
        <v>317</v>
      </c>
      <c r="Q67" t="s">
        <v>1062</v>
      </c>
      <c r="R67" t="s">
        <v>1067</v>
      </c>
      <c r="S67" t="s">
        <v>1068</v>
      </c>
      <c r="T67" s="3">
        <v>33826</v>
      </c>
      <c r="U67" s="3">
        <v>44152</v>
      </c>
      <c r="V67">
        <f t="shared" si="6"/>
        <v>28</v>
      </c>
      <c r="W67">
        <v>0</v>
      </c>
      <c r="X67">
        <v>2</v>
      </c>
      <c r="Y67" s="9">
        <v>1</v>
      </c>
      <c r="Z67" s="9">
        <v>0</v>
      </c>
      <c r="AA67">
        <v>1</v>
      </c>
      <c r="AB67" t="s">
        <v>1061</v>
      </c>
      <c r="AC67">
        <v>221</v>
      </c>
      <c r="AD67">
        <v>10</v>
      </c>
      <c r="AE67" t="str">
        <f t="shared" si="7"/>
        <v>TRUE</v>
      </c>
    </row>
    <row r="68" spans="1:31">
      <c r="A68" t="s">
        <v>368</v>
      </c>
      <c r="B68">
        <v>4.3723782</v>
      </c>
      <c r="C68" t="s">
        <v>34</v>
      </c>
      <c r="D68">
        <v>5.3616286510000002</v>
      </c>
      <c r="E68">
        <v>111.47842470000001</v>
      </c>
      <c r="F68">
        <v>57.544749799999998</v>
      </c>
      <c r="G68">
        <v>3769.585736</v>
      </c>
      <c r="H68">
        <v>190.69046059999999</v>
      </c>
      <c r="I68">
        <v>6.633050968</v>
      </c>
      <c r="J68">
        <v>14.23755929</v>
      </c>
      <c r="K68">
        <v>1.748755845</v>
      </c>
      <c r="L68">
        <v>394.61297280000002</v>
      </c>
      <c r="M68">
        <v>1.6052943660000001</v>
      </c>
      <c r="N68">
        <v>11712.961289999999</v>
      </c>
      <c r="O68" s="1" t="s">
        <v>954</v>
      </c>
      <c r="P68" t="s">
        <v>368</v>
      </c>
      <c r="Q68" t="s">
        <v>1062</v>
      </c>
      <c r="R68" t="s">
        <v>1067</v>
      </c>
      <c r="S68" t="s">
        <v>1068</v>
      </c>
      <c r="T68" s="3">
        <v>35769</v>
      </c>
      <c r="U68" s="3">
        <v>44162</v>
      </c>
      <c r="V68">
        <f t="shared" si="6"/>
        <v>22</v>
      </c>
      <c r="W68">
        <v>1</v>
      </c>
      <c r="X68">
        <v>2</v>
      </c>
      <c r="Y68" s="10">
        <v>1</v>
      </c>
      <c r="Z68" s="10">
        <v>0</v>
      </c>
      <c r="AA68">
        <v>1</v>
      </c>
      <c r="AB68" t="s">
        <v>1065</v>
      </c>
      <c r="AC68">
        <v>7900</v>
      </c>
      <c r="AD68">
        <v>13</v>
      </c>
      <c r="AE68" t="str">
        <f t="shared" si="7"/>
        <v>TRUE</v>
      </c>
    </row>
    <row r="69" spans="1:31">
      <c r="A69" t="s">
        <v>149</v>
      </c>
      <c r="B69">
        <v>7.6539570389999998</v>
      </c>
      <c r="C69" t="s">
        <v>34</v>
      </c>
      <c r="D69">
        <v>7.1245687269999998</v>
      </c>
      <c r="E69" t="s">
        <v>35</v>
      </c>
      <c r="F69">
        <v>52.792812159999997</v>
      </c>
      <c r="G69" t="s">
        <v>35</v>
      </c>
      <c r="H69">
        <v>340.75223720000002</v>
      </c>
      <c r="I69">
        <v>12.05985329</v>
      </c>
      <c r="J69">
        <v>10.71584015</v>
      </c>
      <c r="K69">
        <v>4.233185808</v>
      </c>
      <c r="L69">
        <v>387.44170860000003</v>
      </c>
      <c r="M69">
        <v>1.163503282</v>
      </c>
      <c r="N69">
        <v>11727.303449999999</v>
      </c>
      <c r="O69" s="1" t="s">
        <v>955</v>
      </c>
      <c r="P69" t="s">
        <v>149</v>
      </c>
      <c r="Q69" t="s">
        <v>1062</v>
      </c>
      <c r="R69" t="s">
        <v>1067</v>
      </c>
      <c r="S69" t="s">
        <v>1068</v>
      </c>
      <c r="T69" s="3">
        <v>28094</v>
      </c>
      <c r="U69" s="3">
        <v>44169</v>
      </c>
      <c r="V69">
        <f t="shared" si="6"/>
        <v>44</v>
      </c>
      <c r="W69">
        <v>1</v>
      </c>
      <c r="X69">
        <v>2</v>
      </c>
      <c r="Y69" s="10">
        <v>1</v>
      </c>
      <c r="Z69" s="10">
        <v>0</v>
      </c>
      <c r="AA69">
        <v>1</v>
      </c>
      <c r="AB69" t="s">
        <v>1061</v>
      </c>
      <c r="AC69">
        <v>659</v>
      </c>
      <c r="AD69">
        <v>6</v>
      </c>
      <c r="AE69" t="str">
        <f t="shared" si="7"/>
        <v>TRUE</v>
      </c>
    </row>
    <row r="70" spans="1:31">
      <c r="A70" t="s">
        <v>707</v>
      </c>
      <c r="B70">
        <v>3.9581561660000002</v>
      </c>
      <c r="C70" t="s">
        <v>34</v>
      </c>
      <c r="D70">
        <v>7.0373509089999997</v>
      </c>
      <c r="E70">
        <v>70.751325100000003</v>
      </c>
      <c r="F70">
        <v>73.5224707</v>
      </c>
      <c r="G70" t="s">
        <v>35</v>
      </c>
      <c r="H70">
        <v>212.12702899999999</v>
      </c>
      <c r="I70">
        <v>9.6325918769999994</v>
      </c>
      <c r="J70">
        <v>8.1181942679999999</v>
      </c>
      <c r="K70">
        <v>2.7955459760000001</v>
      </c>
      <c r="L70">
        <v>371.34882929999998</v>
      </c>
      <c r="M70">
        <v>1.0918021609999999</v>
      </c>
      <c r="N70">
        <v>10042.58072</v>
      </c>
      <c r="O70" s="1" t="s">
        <v>956</v>
      </c>
      <c r="P70" t="s">
        <v>707</v>
      </c>
      <c r="Q70" t="s">
        <v>1069</v>
      </c>
      <c r="R70" t="s">
        <v>1076</v>
      </c>
      <c r="S70" t="s">
        <v>1068</v>
      </c>
      <c r="T70" s="3">
        <v>25846</v>
      </c>
      <c r="U70" s="3">
        <v>44172</v>
      </c>
      <c r="V70">
        <f t="shared" si="6"/>
        <v>50</v>
      </c>
      <c r="W70">
        <v>0</v>
      </c>
      <c r="X70">
        <v>3</v>
      </c>
      <c r="Y70" s="10">
        <v>1</v>
      </c>
      <c r="Z70" s="10">
        <v>0</v>
      </c>
      <c r="AA70">
        <v>1</v>
      </c>
      <c r="AB70" t="s">
        <v>1065</v>
      </c>
      <c r="AC70">
        <v>549</v>
      </c>
      <c r="AD70">
        <v>9</v>
      </c>
      <c r="AE70" t="str">
        <f t="shared" si="7"/>
        <v>TRUE</v>
      </c>
    </row>
    <row r="71" spans="1:31">
      <c r="A71" t="s">
        <v>569</v>
      </c>
      <c r="B71">
        <v>2.4885086159999998</v>
      </c>
      <c r="C71" t="s">
        <v>34</v>
      </c>
      <c r="D71">
        <v>2.6087780509999998</v>
      </c>
      <c r="E71" t="s">
        <v>35</v>
      </c>
      <c r="F71">
        <v>35.48952843</v>
      </c>
      <c r="G71" t="s">
        <v>35</v>
      </c>
      <c r="H71">
        <v>177.24653739999999</v>
      </c>
      <c r="I71">
        <v>1.8733240090000001</v>
      </c>
      <c r="J71">
        <v>9.5401260140000002</v>
      </c>
      <c r="K71">
        <v>0.48201851000000001</v>
      </c>
      <c r="L71">
        <v>180.6603906</v>
      </c>
      <c r="M71">
        <v>1.052984079</v>
      </c>
      <c r="N71">
        <v>5731.106393</v>
      </c>
      <c r="O71" s="1" t="s">
        <v>959</v>
      </c>
      <c r="P71" t="s">
        <v>569</v>
      </c>
      <c r="Q71" t="s">
        <v>1069</v>
      </c>
      <c r="R71" t="s">
        <v>1070</v>
      </c>
      <c r="S71" t="s">
        <v>1068</v>
      </c>
      <c r="T71" s="3">
        <v>35547</v>
      </c>
      <c r="U71" s="3">
        <v>44181</v>
      </c>
      <c r="V71">
        <f t="shared" si="6"/>
        <v>23</v>
      </c>
      <c r="W71">
        <v>0</v>
      </c>
      <c r="X71">
        <v>1</v>
      </c>
      <c r="Y71" s="10">
        <v>0</v>
      </c>
      <c r="Z71" s="10">
        <v>0</v>
      </c>
      <c r="AA71">
        <v>1</v>
      </c>
      <c r="AB71" t="s">
        <v>1065</v>
      </c>
      <c r="AC71">
        <v>338</v>
      </c>
      <c r="AD71">
        <v>7</v>
      </c>
      <c r="AE71" t="str">
        <f t="shared" si="7"/>
        <v>TRUE</v>
      </c>
    </row>
    <row r="72" spans="1:31">
      <c r="A72" t="s">
        <v>38</v>
      </c>
      <c r="B72">
        <v>5.1832145199999999</v>
      </c>
      <c r="C72" t="s">
        <v>34</v>
      </c>
      <c r="D72">
        <v>5.5274278629999998</v>
      </c>
      <c r="E72">
        <v>84.636957609999996</v>
      </c>
      <c r="F72">
        <v>49.313930509999999</v>
      </c>
      <c r="G72">
        <v>3839.7830439999998</v>
      </c>
      <c r="H72">
        <v>251.5649626</v>
      </c>
      <c r="I72">
        <v>8.6125928609999995</v>
      </c>
      <c r="J72">
        <v>9.2150796370000005</v>
      </c>
      <c r="K72">
        <v>3.1770904799999999</v>
      </c>
      <c r="L72">
        <v>338.52574179999999</v>
      </c>
      <c r="M72">
        <v>0.90041204100000005</v>
      </c>
      <c r="N72">
        <v>9139.0390499999994</v>
      </c>
      <c r="O72" s="1" t="s">
        <v>964</v>
      </c>
      <c r="P72" t="s">
        <v>38</v>
      </c>
      <c r="Q72" t="s">
        <v>1074</v>
      </c>
      <c r="R72" t="s">
        <v>1066</v>
      </c>
      <c r="S72" t="s">
        <v>1060</v>
      </c>
      <c r="T72" s="3">
        <v>21616</v>
      </c>
      <c r="U72" s="3">
        <v>43237</v>
      </c>
      <c r="V72">
        <f t="shared" si="6"/>
        <v>59</v>
      </c>
      <c r="W72">
        <v>0</v>
      </c>
      <c r="X72">
        <v>3</v>
      </c>
      <c r="Y72">
        <v>1</v>
      </c>
      <c r="Z72">
        <v>0</v>
      </c>
      <c r="AA72">
        <v>1</v>
      </c>
      <c r="AB72" t="s">
        <v>1061</v>
      </c>
      <c r="AC72">
        <v>206</v>
      </c>
      <c r="AD72" t="s">
        <v>1060</v>
      </c>
      <c r="AE72" t="str">
        <f t="shared" si="7"/>
        <v>TRUE</v>
      </c>
    </row>
    <row r="73" spans="1:31">
      <c r="A73" t="s">
        <v>623</v>
      </c>
      <c r="B73">
        <v>4.6375261160000001</v>
      </c>
      <c r="C73" t="s">
        <v>34</v>
      </c>
      <c r="D73">
        <v>5.5427857950000003</v>
      </c>
      <c r="E73" t="s">
        <v>35</v>
      </c>
      <c r="F73">
        <v>72.123737849999998</v>
      </c>
      <c r="G73">
        <v>4881.7282939999996</v>
      </c>
      <c r="H73">
        <v>297.22103620000001</v>
      </c>
      <c r="I73">
        <v>4.595246414</v>
      </c>
      <c r="J73">
        <v>13.0653875</v>
      </c>
      <c r="K73">
        <v>0.86378378700000003</v>
      </c>
      <c r="L73">
        <v>420.15139099999999</v>
      </c>
      <c r="M73">
        <v>1.7694565760000001</v>
      </c>
      <c r="N73">
        <v>11116.246639999999</v>
      </c>
      <c r="O73" s="1" t="s">
        <v>992</v>
      </c>
      <c r="P73" t="s">
        <v>623</v>
      </c>
      <c r="Q73" t="s">
        <v>1069</v>
      </c>
      <c r="R73" t="s">
        <v>1073</v>
      </c>
      <c r="S73" t="s">
        <v>1064</v>
      </c>
      <c r="T73" s="3">
        <v>31009</v>
      </c>
      <c r="U73" s="3">
        <v>43699</v>
      </c>
      <c r="V73">
        <f t="shared" si="6"/>
        <v>34</v>
      </c>
      <c r="W73">
        <v>1</v>
      </c>
      <c r="X73">
        <v>2</v>
      </c>
      <c r="Y73" s="5">
        <v>1</v>
      </c>
      <c r="Z73" s="5">
        <v>0</v>
      </c>
      <c r="AA73">
        <v>1</v>
      </c>
      <c r="AB73" t="s">
        <v>1061</v>
      </c>
      <c r="AC73">
        <v>2000</v>
      </c>
      <c r="AD73">
        <v>10</v>
      </c>
      <c r="AE73" t="str">
        <f t="shared" si="7"/>
        <v>TRUE</v>
      </c>
    </row>
    <row r="74" spans="1:31">
      <c r="A74" t="s">
        <v>452</v>
      </c>
      <c r="B74">
        <v>4.6318959279999996</v>
      </c>
      <c r="C74" t="s">
        <v>34</v>
      </c>
      <c r="D74">
        <v>5.8159095909999996</v>
      </c>
      <c r="E74">
        <v>127.3673964</v>
      </c>
      <c r="F74">
        <v>48.247145969999998</v>
      </c>
      <c r="G74" t="s">
        <v>35</v>
      </c>
      <c r="H74">
        <v>486.89366080000002</v>
      </c>
      <c r="I74">
        <v>7.7841416150000002</v>
      </c>
      <c r="J74">
        <v>10.26911177</v>
      </c>
      <c r="K74">
        <v>2.6249990830000001</v>
      </c>
      <c r="L74">
        <v>305.46039039999999</v>
      </c>
      <c r="M74">
        <v>1.386539083</v>
      </c>
      <c r="N74">
        <v>10628.572029999999</v>
      </c>
      <c r="O74" s="1" t="s">
        <v>1037</v>
      </c>
      <c r="P74" t="s">
        <v>452</v>
      </c>
      <c r="Q74" t="s">
        <v>1079</v>
      </c>
      <c r="R74" t="s">
        <v>1060</v>
      </c>
      <c r="S74" t="s">
        <v>1060</v>
      </c>
      <c r="T74" s="3">
        <v>26667</v>
      </c>
      <c r="U74" s="3">
        <v>44231</v>
      </c>
      <c r="V74">
        <f t="shared" si="6"/>
        <v>48</v>
      </c>
      <c r="W74">
        <v>0</v>
      </c>
      <c r="X74">
        <v>2</v>
      </c>
      <c r="Y74" s="11">
        <v>1</v>
      </c>
      <c r="Z74" s="11">
        <v>0</v>
      </c>
      <c r="AA74">
        <v>1</v>
      </c>
      <c r="AB74" t="s">
        <v>1061</v>
      </c>
      <c r="AC74" t="s">
        <v>1060</v>
      </c>
      <c r="AD74" t="s">
        <v>1060</v>
      </c>
      <c r="AE74" t="str">
        <f t="shared" si="7"/>
        <v>TRUE</v>
      </c>
    </row>
    <row r="75" spans="1:31">
      <c r="A75" t="s">
        <v>113</v>
      </c>
      <c r="B75">
        <v>6.1524021009999998</v>
      </c>
      <c r="C75" t="s">
        <v>34</v>
      </c>
      <c r="D75">
        <v>10.077440470000001</v>
      </c>
      <c r="E75" t="s">
        <v>35</v>
      </c>
      <c r="F75">
        <v>61.9846918</v>
      </c>
      <c r="G75" t="s">
        <v>35</v>
      </c>
      <c r="H75">
        <v>689.56531150000001</v>
      </c>
      <c r="I75">
        <v>9.1826350649999995</v>
      </c>
      <c r="J75">
        <v>11.6714918</v>
      </c>
      <c r="K75">
        <v>4.5357124730000002</v>
      </c>
      <c r="L75">
        <v>412.90521280000002</v>
      </c>
      <c r="M75">
        <v>1.564290811</v>
      </c>
      <c r="N75">
        <v>11442.23792</v>
      </c>
      <c r="O75" s="1" t="s">
        <v>1038</v>
      </c>
      <c r="P75" t="s">
        <v>113</v>
      </c>
      <c r="Q75" t="s">
        <v>1079</v>
      </c>
      <c r="R75" t="s">
        <v>1060</v>
      </c>
      <c r="S75" t="s">
        <v>1060</v>
      </c>
      <c r="T75" s="3">
        <v>24872</v>
      </c>
      <c r="U75" s="3">
        <v>44231</v>
      </c>
      <c r="V75">
        <f t="shared" si="6"/>
        <v>53</v>
      </c>
      <c r="W75">
        <v>0</v>
      </c>
      <c r="X75">
        <v>2</v>
      </c>
      <c r="Y75" s="11">
        <v>1</v>
      </c>
      <c r="Z75" s="11">
        <v>0</v>
      </c>
      <c r="AA75">
        <v>1</v>
      </c>
      <c r="AB75" t="s">
        <v>1061</v>
      </c>
      <c r="AC75" t="s">
        <v>1060</v>
      </c>
      <c r="AD75" t="s">
        <v>1060</v>
      </c>
      <c r="AE75" t="str">
        <f t="shared" si="7"/>
        <v>TRUE</v>
      </c>
    </row>
    <row r="76" spans="1:31">
      <c r="A76" t="s">
        <v>428</v>
      </c>
      <c r="B76">
        <v>15.66824802</v>
      </c>
      <c r="C76" t="s">
        <v>34</v>
      </c>
      <c r="D76">
        <v>10.709482660000001</v>
      </c>
      <c r="E76">
        <v>89.06963519</v>
      </c>
      <c r="F76">
        <v>75.821677249999993</v>
      </c>
      <c r="G76" t="s">
        <v>35</v>
      </c>
      <c r="H76">
        <v>362.4402594</v>
      </c>
      <c r="I76">
        <v>9.5241540380000007</v>
      </c>
      <c r="J76">
        <v>9.9301675540000005</v>
      </c>
      <c r="K76">
        <v>6.5990287480000003</v>
      </c>
      <c r="L76">
        <v>487.06815870000003</v>
      </c>
      <c r="M76">
        <v>1.072946559</v>
      </c>
      <c r="N76">
        <v>11716.78644</v>
      </c>
      <c r="O76" s="1" t="s">
        <v>1039</v>
      </c>
      <c r="P76" t="s">
        <v>428</v>
      </c>
      <c r="Q76" t="s">
        <v>1079</v>
      </c>
      <c r="R76" t="s">
        <v>1060</v>
      </c>
      <c r="S76" t="s">
        <v>1060</v>
      </c>
      <c r="T76" s="3">
        <v>24477</v>
      </c>
      <c r="U76" s="3">
        <v>44233</v>
      </c>
      <c r="V76">
        <f t="shared" ref="V76:V94" si="8">DATEDIF(T76,U76,"Y")</f>
        <v>54</v>
      </c>
      <c r="W76">
        <v>0</v>
      </c>
      <c r="X76">
        <v>3</v>
      </c>
      <c r="Y76" s="12">
        <v>0</v>
      </c>
      <c r="Z76" s="12">
        <v>0</v>
      </c>
      <c r="AA76">
        <v>1</v>
      </c>
      <c r="AB76" t="s">
        <v>1065</v>
      </c>
      <c r="AC76" t="s">
        <v>1060</v>
      </c>
      <c r="AD76" t="s">
        <v>1060</v>
      </c>
      <c r="AE76" t="str">
        <f t="shared" si="7"/>
        <v>TRUE</v>
      </c>
    </row>
    <row r="77" spans="1:31">
      <c r="A77" t="s">
        <v>563</v>
      </c>
      <c r="B77">
        <v>6.5815522059999996</v>
      </c>
      <c r="C77" t="s">
        <v>34</v>
      </c>
      <c r="D77">
        <v>8.8404359419999992</v>
      </c>
      <c r="E77" t="s">
        <v>35</v>
      </c>
      <c r="F77">
        <v>83.524478529999996</v>
      </c>
      <c r="G77" t="s">
        <v>35</v>
      </c>
      <c r="H77">
        <v>958.82536779999998</v>
      </c>
      <c r="I77">
        <v>9.125031968</v>
      </c>
      <c r="J77">
        <v>7.7414175460000001</v>
      </c>
      <c r="K77">
        <v>3.7283912899999998</v>
      </c>
      <c r="L77">
        <v>490.01249919999998</v>
      </c>
      <c r="M77">
        <v>1.9107777939999999</v>
      </c>
      <c r="N77">
        <v>13290.344929999999</v>
      </c>
      <c r="O77" s="1" t="s">
        <v>1040</v>
      </c>
      <c r="P77" t="s">
        <v>563</v>
      </c>
      <c r="Q77" t="s">
        <v>1079</v>
      </c>
      <c r="R77" t="s">
        <v>1060</v>
      </c>
      <c r="S77" t="s">
        <v>1060</v>
      </c>
      <c r="T77" s="3">
        <v>32884</v>
      </c>
      <c r="U77" s="3">
        <v>44233</v>
      </c>
      <c r="V77">
        <f t="shared" si="8"/>
        <v>31</v>
      </c>
      <c r="W77">
        <v>1</v>
      </c>
      <c r="X77">
        <v>2</v>
      </c>
      <c r="Y77" s="11">
        <v>0</v>
      </c>
      <c r="Z77" s="11">
        <v>0</v>
      </c>
      <c r="AA77">
        <v>1</v>
      </c>
      <c r="AB77" t="s">
        <v>1061</v>
      </c>
      <c r="AC77" t="s">
        <v>1060</v>
      </c>
      <c r="AD77" t="s">
        <v>1060</v>
      </c>
      <c r="AE77" t="str">
        <f t="shared" si="7"/>
        <v>TRUE</v>
      </c>
    </row>
    <row r="78" spans="1:31">
      <c r="A78" t="s">
        <v>704</v>
      </c>
      <c r="B78">
        <v>11.52835885</v>
      </c>
      <c r="C78" t="s">
        <v>34</v>
      </c>
      <c r="D78">
        <v>9.7867500869999997</v>
      </c>
      <c r="E78" t="s">
        <v>35</v>
      </c>
      <c r="F78">
        <v>66.315870950000004</v>
      </c>
      <c r="G78" t="s">
        <v>35</v>
      </c>
      <c r="H78">
        <v>409.06973599999998</v>
      </c>
      <c r="I78">
        <v>16.41913117</v>
      </c>
      <c r="J78">
        <v>12.630229099999999</v>
      </c>
      <c r="K78">
        <v>6.7103972330000001</v>
      </c>
      <c r="L78">
        <v>434.78487330000002</v>
      </c>
      <c r="M78">
        <v>0.93463290600000004</v>
      </c>
      <c r="N78">
        <v>10039.819600000001</v>
      </c>
      <c r="O78" s="1" t="s">
        <v>1041</v>
      </c>
      <c r="P78" t="s">
        <v>704</v>
      </c>
      <c r="Q78" t="s">
        <v>1079</v>
      </c>
      <c r="R78" t="s">
        <v>1060</v>
      </c>
      <c r="S78" t="s">
        <v>1060</v>
      </c>
      <c r="T78" s="3">
        <v>33635</v>
      </c>
      <c r="U78" s="3">
        <v>44236</v>
      </c>
      <c r="V78">
        <f t="shared" si="8"/>
        <v>29</v>
      </c>
      <c r="W78">
        <v>1</v>
      </c>
      <c r="X78">
        <v>2</v>
      </c>
      <c r="Y78" s="12">
        <v>1</v>
      </c>
      <c r="Z78" s="12">
        <v>0</v>
      </c>
      <c r="AA78">
        <v>1</v>
      </c>
      <c r="AB78" t="s">
        <v>1061</v>
      </c>
      <c r="AC78" t="s">
        <v>1060</v>
      </c>
      <c r="AD78" t="s">
        <v>1060</v>
      </c>
      <c r="AE78" t="str">
        <f t="shared" si="7"/>
        <v>TRUE</v>
      </c>
    </row>
    <row r="79" spans="1:31">
      <c r="A79" t="s">
        <v>314</v>
      </c>
      <c r="B79">
        <v>3.468804564</v>
      </c>
      <c r="C79" t="s">
        <v>34</v>
      </c>
      <c r="D79">
        <v>4.8725374849999996</v>
      </c>
      <c r="E79">
        <v>152.87785149999999</v>
      </c>
      <c r="F79">
        <v>59.026504170000003</v>
      </c>
      <c r="G79" t="s">
        <v>35</v>
      </c>
      <c r="H79">
        <v>147.09051769999999</v>
      </c>
      <c r="I79">
        <v>6.0534995970000001</v>
      </c>
      <c r="J79">
        <v>9.0688514110000007</v>
      </c>
      <c r="K79">
        <v>1.5623457199999999</v>
      </c>
      <c r="L79">
        <v>367.98076120000002</v>
      </c>
      <c r="M79">
        <v>1.123187562</v>
      </c>
      <c r="N79">
        <v>9185.8988950000003</v>
      </c>
      <c r="O79" s="1" t="s">
        <v>1042</v>
      </c>
      <c r="P79" t="s">
        <v>314</v>
      </c>
      <c r="Q79" t="s">
        <v>1079</v>
      </c>
      <c r="R79" t="s">
        <v>1060</v>
      </c>
      <c r="S79" t="s">
        <v>1060</v>
      </c>
      <c r="T79" s="3">
        <v>33608</v>
      </c>
      <c r="U79" s="3">
        <v>44237</v>
      </c>
      <c r="V79">
        <f t="shared" si="8"/>
        <v>29</v>
      </c>
      <c r="W79">
        <v>0</v>
      </c>
      <c r="X79">
        <v>2</v>
      </c>
      <c r="Y79" s="12">
        <v>0</v>
      </c>
      <c r="Z79" s="12">
        <v>0</v>
      </c>
      <c r="AA79">
        <v>1</v>
      </c>
      <c r="AB79" t="s">
        <v>1061</v>
      </c>
      <c r="AC79" t="s">
        <v>1060</v>
      </c>
      <c r="AD79" t="s">
        <v>1060</v>
      </c>
      <c r="AE79" t="str">
        <f t="shared" si="7"/>
        <v>TRUE</v>
      </c>
    </row>
    <row r="80" spans="1:31">
      <c r="A80" t="s">
        <v>224</v>
      </c>
      <c r="B80">
        <v>5.9632226429999999</v>
      </c>
      <c r="C80" t="s">
        <v>34</v>
      </c>
      <c r="D80">
        <v>6.2344403850000001</v>
      </c>
      <c r="E80">
        <v>143.514171</v>
      </c>
      <c r="F80">
        <v>33.669533100000002</v>
      </c>
      <c r="G80" t="s">
        <v>35</v>
      </c>
      <c r="H80">
        <v>292.84404110000003</v>
      </c>
      <c r="I80">
        <v>9.0821872040000002</v>
      </c>
      <c r="J80">
        <v>10.60414183</v>
      </c>
      <c r="K80">
        <v>4.0100207919999997</v>
      </c>
      <c r="L80">
        <v>278.03698530000003</v>
      </c>
      <c r="M80">
        <v>0.65222281400000004</v>
      </c>
      <c r="N80">
        <v>10148.376759999999</v>
      </c>
      <c r="O80" s="1" t="s">
        <v>1043</v>
      </c>
      <c r="P80" t="s">
        <v>224</v>
      </c>
      <c r="Q80" t="s">
        <v>1079</v>
      </c>
      <c r="R80" t="s">
        <v>1060</v>
      </c>
      <c r="S80" t="s">
        <v>1060</v>
      </c>
      <c r="T80" s="3">
        <v>34726</v>
      </c>
      <c r="U80" s="3">
        <v>44237</v>
      </c>
      <c r="V80">
        <f t="shared" si="8"/>
        <v>26</v>
      </c>
      <c r="W80">
        <v>0</v>
      </c>
      <c r="X80">
        <v>2</v>
      </c>
      <c r="Y80" s="12">
        <v>1</v>
      </c>
      <c r="Z80" s="12">
        <v>0</v>
      </c>
      <c r="AA80">
        <v>1</v>
      </c>
      <c r="AB80" t="s">
        <v>1061</v>
      </c>
      <c r="AC80" t="s">
        <v>1060</v>
      </c>
      <c r="AD80" t="s">
        <v>1060</v>
      </c>
      <c r="AE80" t="str">
        <f t="shared" si="7"/>
        <v>TRUE</v>
      </c>
    </row>
    <row r="81" spans="1:31">
      <c r="A81" t="s">
        <v>746</v>
      </c>
      <c r="B81">
        <v>11.57757065</v>
      </c>
      <c r="C81" t="s">
        <v>34</v>
      </c>
      <c r="D81">
        <v>6.2617504039999998</v>
      </c>
      <c r="E81">
        <v>122.7750736</v>
      </c>
      <c r="F81">
        <v>69.411762060000001</v>
      </c>
      <c r="G81" t="s">
        <v>35</v>
      </c>
      <c r="H81">
        <v>253.21472829999999</v>
      </c>
      <c r="I81">
        <v>7.5151957759999997</v>
      </c>
      <c r="J81">
        <v>9.0994101730000008</v>
      </c>
      <c r="K81">
        <v>3.196061233</v>
      </c>
      <c r="L81">
        <v>383.69691010000003</v>
      </c>
      <c r="M81">
        <v>1.552172527</v>
      </c>
      <c r="N81">
        <v>12846.75742</v>
      </c>
      <c r="O81" s="1" t="s">
        <v>1044</v>
      </c>
      <c r="P81" t="s">
        <v>746</v>
      </c>
      <c r="Q81" t="s">
        <v>1079</v>
      </c>
      <c r="R81" t="s">
        <v>1060</v>
      </c>
      <c r="S81" t="s">
        <v>1060</v>
      </c>
      <c r="T81" s="3">
        <v>31660</v>
      </c>
      <c r="U81" s="3">
        <v>44237</v>
      </c>
      <c r="V81">
        <f t="shared" si="8"/>
        <v>34</v>
      </c>
      <c r="W81">
        <v>1</v>
      </c>
      <c r="X81">
        <v>2</v>
      </c>
      <c r="Y81" s="12">
        <v>1</v>
      </c>
      <c r="Z81" s="12">
        <v>0</v>
      </c>
      <c r="AA81">
        <v>1</v>
      </c>
      <c r="AB81" t="s">
        <v>1065</v>
      </c>
      <c r="AC81" t="s">
        <v>1060</v>
      </c>
      <c r="AD81" t="s">
        <v>1060</v>
      </c>
      <c r="AE81" t="str">
        <f t="shared" si="7"/>
        <v>TRUE</v>
      </c>
    </row>
    <row r="82" spans="1:31">
      <c r="A82" t="s">
        <v>581</v>
      </c>
      <c r="B82">
        <v>9.7308658480000005</v>
      </c>
      <c r="C82" t="s">
        <v>34</v>
      </c>
      <c r="D82">
        <v>7.9169981680000001</v>
      </c>
      <c r="E82" t="s">
        <v>35</v>
      </c>
      <c r="F82">
        <v>67.886580699999996</v>
      </c>
      <c r="G82" t="s">
        <v>35</v>
      </c>
      <c r="H82">
        <v>366.81584980000002</v>
      </c>
      <c r="I82">
        <v>11.883419849999999</v>
      </c>
      <c r="J82">
        <v>13.18694054</v>
      </c>
      <c r="K82">
        <v>4.6253475249999996</v>
      </c>
      <c r="L82">
        <v>423.5989553</v>
      </c>
      <c r="M82">
        <v>1.1712651430000001</v>
      </c>
      <c r="N82">
        <v>10795.7336</v>
      </c>
      <c r="O82" s="1" t="s">
        <v>1045</v>
      </c>
      <c r="P82" t="s">
        <v>581</v>
      </c>
      <c r="Q82" t="s">
        <v>1079</v>
      </c>
      <c r="R82" t="s">
        <v>1060</v>
      </c>
      <c r="S82" t="s">
        <v>1060</v>
      </c>
      <c r="T82" s="3">
        <v>33457</v>
      </c>
      <c r="U82" s="3">
        <v>44238</v>
      </c>
      <c r="V82">
        <f t="shared" si="8"/>
        <v>29</v>
      </c>
      <c r="W82">
        <v>1</v>
      </c>
      <c r="X82">
        <v>2</v>
      </c>
      <c r="Y82" s="12">
        <v>1</v>
      </c>
      <c r="Z82" s="12">
        <v>0</v>
      </c>
      <c r="AA82">
        <v>1</v>
      </c>
      <c r="AB82" t="s">
        <v>1061</v>
      </c>
      <c r="AC82" t="s">
        <v>1060</v>
      </c>
      <c r="AD82" t="s">
        <v>1060</v>
      </c>
      <c r="AE82" t="str">
        <f t="shared" si="7"/>
        <v>TRUE</v>
      </c>
    </row>
    <row r="83" spans="1:31">
      <c r="A83" t="s">
        <v>677</v>
      </c>
      <c r="B83">
        <v>5.3186038870000001</v>
      </c>
      <c r="C83" t="s">
        <v>34</v>
      </c>
      <c r="D83">
        <v>9.3393027499999999</v>
      </c>
      <c r="E83" t="s">
        <v>35</v>
      </c>
      <c r="F83">
        <v>51.831368599999998</v>
      </c>
      <c r="G83" t="s">
        <v>35</v>
      </c>
      <c r="H83">
        <v>223.1405603</v>
      </c>
      <c r="I83">
        <v>7.8788180849999998</v>
      </c>
      <c r="J83">
        <v>8.7488346670000006</v>
      </c>
      <c r="K83">
        <v>3.353025175</v>
      </c>
      <c r="L83">
        <v>370.978228</v>
      </c>
      <c r="M83">
        <v>1.485248449</v>
      </c>
      <c r="N83">
        <v>8846.1430600000003</v>
      </c>
      <c r="O83" s="1" t="s">
        <v>1046</v>
      </c>
      <c r="P83" t="s">
        <v>677</v>
      </c>
      <c r="Q83" t="s">
        <v>1079</v>
      </c>
      <c r="R83" t="s">
        <v>1060</v>
      </c>
      <c r="S83" t="s">
        <v>1060</v>
      </c>
      <c r="T83" s="3">
        <v>31079</v>
      </c>
      <c r="U83" s="3">
        <v>44238</v>
      </c>
      <c r="V83">
        <f t="shared" si="8"/>
        <v>36</v>
      </c>
      <c r="W83">
        <v>1</v>
      </c>
      <c r="X83">
        <v>2</v>
      </c>
      <c r="Y83" s="12">
        <v>1</v>
      </c>
      <c r="Z83" s="12">
        <v>0</v>
      </c>
      <c r="AA83">
        <v>1</v>
      </c>
      <c r="AB83" t="s">
        <v>1065</v>
      </c>
      <c r="AC83" t="s">
        <v>1060</v>
      </c>
      <c r="AD83" t="s">
        <v>1060</v>
      </c>
      <c r="AE83" t="str">
        <f t="shared" si="7"/>
        <v>TRUE</v>
      </c>
    </row>
    <row r="84" spans="1:31">
      <c r="A84" t="s">
        <v>716</v>
      </c>
      <c r="B84">
        <v>7.4557927099999999</v>
      </c>
      <c r="C84" t="s">
        <v>34</v>
      </c>
      <c r="D84">
        <v>7.9403957480000003</v>
      </c>
      <c r="E84">
        <v>126.7718247</v>
      </c>
      <c r="F84">
        <v>39.031563300000002</v>
      </c>
      <c r="G84" t="s">
        <v>35</v>
      </c>
      <c r="H84">
        <v>279.0176179</v>
      </c>
      <c r="I84">
        <v>10.2888547</v>
      </c>
      <c r="J84">
        <v>12.499175579999999</v>
      </c>
      <c r="K84">
        <v>4.682940018</v>
      </c>
      <c r="L84">
        <v>382.40795509999998</v>
      </c>
      <c r="M84">
        <v>1.0472815550000001</v>
      </c>
      <c r="N84">
        <v>14131.53894</v>
      </c>
      <c r="O84" s="1" t="s">
        <v>1047</v>
      </c>
      <c r="P84" t="s">
        <v>716</v>
      </c>
      <c r="Q84" t="s">
        <v>1079</v>
      </c>
      <c r="R84" t="s">
        <v>1060</v>
      </c>
      <c r="S84" t="s">
        <v>1060</v>
      </c>
      <c r="T84" s="3">
        <v>31751</v>
      </c>
      <c r="U84" s="3">
        <v>44244</v>
      </c>
      <c r="V84">
        <f t="shared" si="8"/>
        <v>34</v>
      </c>
      <c r="W84">
        <v>1</v>
      </c>
      <c r="X84">
        <v>2</v>
      </c>
      <c r="Y84" s="12">
        <v>1</v>
      </c>
      <c r="Z84" s="12">
        <v>0</v>
      </c>
      <c r="AA84">
        <v>1</v>
      </c>
      <c r="AB84" t="s">
        <v>1065</v>
      </c>
      <c r="AC84" t="s">
        <v>1060</v>
      </c>
      <c r="AD84" t="s">
        <v>1060</v>
      </c>
      <c r="AE84" t="str">
        <f t="shared" si="7"/>
        <v>TRUE</v>
      </c>
    </row>
    <row r="85" spans="1:31">
      <c r="A85" t="s">
        <v>164</v>
      </c>
      <c r="B85">
        <v>9.9556343910000002</v>
      </c>
      <c r="C85" t="s">
        <v>34</v>
      </c>
      <c r="D85">
        <v>8.2430249950000007</v>
      </c>
      <c r="E85">
        <v>135.19529750000001</v>
      </c>
      <c r="F85">
        <v>57.931315720000001</v>
      </c>
      <c r="G85" t="s">
        <v>35</v>
      </c>
      <c r="H85">
        <v>284.30168250000003</v>
      </c>
      <c r="I85">
        <v>8.5998798109999992</v>
      </c>
      <c r="J85">
        <v>9.718020718</v>
      </c>
      <c r="K85">
        <v>4.9019412009999996</v>
      </c>
      <c r="L85">
        <v>309.3890591</v>
      </c>
      <c r="M85">
        <v>0.95907478800000001</v>
      </c>
      <c r="N85">
        <v>9872.9205340000008</v>
      </c>
      <c r="O85" s="1" t="s">
        <v>1048</v>
      </c>
      <c r="P85" t="s">
        <v>164</v>
      </c>
      <c r="Q85" t="s">
        <v>1079</v>
      </c>
      <c r="R85" t="s">
        <v>1060</v>
      </c>
      <c r="S85" t="s">
        <v>1060</v>
      </c>
      <c r="T85" s="3">
        <v>31873</v>
      </c>
      <c r="U85" s="3">
        <v>44244</v>
      </c>
      <c r="V85">
        <f t="shared" si="8"/>
        <v>33</v>
      </c>
      <c r="W85">
        <v>0</v>
      </c>
      <c r="X85">
        <v>2</v>
      </c>
      <c r="Y85" s="12">
        <v>0</v>
      </c>
      <c r="Z85" s="12">
        <v>0</v>
      </c>
      <c r="AA85">
        <v>1</v>
      </c>
      <c r="AB85" t="s">
        <v>1061</v>
      </c>
      <c r="AC85" t="s">
        <v>1060</v>
      </c>
      <c r="AD85" t="s">
        <v>1060</v>
      </c>
      <c r="AE85" t="str">
        <f t="shared" si="7"/>
        <v>TRUE</v>
      </c>
    </row>
    <row r="86" spans="1:31">
      <c r="A86" t="s">
        <v>647</v>
      </c>
      <c r="B86">
        <v>7.2379427720000002</v>
      </c>
      <c r="C86" t="s">
        <v>34</v>
      </c>
      <c r="D86">
        <v>9.4756675050000005</v>
      </c>
      <c r="E86" t="s">
        <v>35</v>
      </c>
      <c r="F86">
        <v>61.765176369999999</v>
      </c>
      <c r="G86" t="s">
        <v>35</v>
      </c>
      <c r="H86">
        <v>247.23483189999999</v>
      </c>
      <c r="I86">
        <v>11.82528267</v>
      </c>
      <c r="J86">
        <v>10.63654886</v>
      </c>
      <c r="K86">
        <v>4.0365441579999999</v>
      </c>
      <c r="L86">
        <v>428.53799850000001</v>
      </c>
      <c r="M86">
        <v>0.80899610899999996</v>
      </c>
      <c r="N86">
        <v>12066.925149999999</v>
      </c>
      <c r="O86" s="1" t="s">
        <v>1049</v>
      </c>
      <c r="P86" t="s">
        <v>647</v>
      </c>
      <c r="Q86" t="s">
        <v>1079</v>
      </c>
      <c r="R86" t="s">
        <v>1060</v>
      </c>
      <c r="S86" t="s">
        <v>1060</v>
      </c>
      <c r="T86" s="3">
        <v>34733</v>
      </c>
      <c r="U86" s="3">
        <v>44244</v>
      </c>
      <c r="V86">
        <f t="shared" si="8"/>
        <v>26</v>
      </c>
      <c r="W86">
        <v>0</v>
      </c>
      <c r="X86">
        <v>2</v>
      </c>
      <c r="Y86" s="12">
        <v>1</v>
      </c>
      <c r="Z86" s="12">
        <v>0</v>
      </c>
      <c r="AA86">
        <v>1</v>
      </c>
      <c r="AB86" t="s">
        <v>1061</v>
      </c>
      <c r="AC86" t="s">
        <v>1060</v>
      </c>
      <c r="AD86" t="s">
        <v>1060</v>
      </c>
      <c r="AE86" t="str">
        <f t="shared" si="7"/>
        <v>TRUE</v>
      </c>
    </row>
    <row r="87" spans="1:31">
      <c r="A87" t="s">
        <v>227</v>
      </c>
      <c r="B87">
        <v>6.2927926459999997</v>
      </c>
      <c r="C87" t="s">
        <v>34</v>
      </c>
      <c r="D87">
        <v>6.0509457720000004</v>
      </c>
      <c r="E87">
        <v>171.8359423</v>
      </c>
      <c r="F87">
        <v>51.113568379999997</v>
      </c>
      <c r="G87" t="s">
        <v>35</v>
      </c>
      <c r="H87">
        <v>330.57863570000001</v>
      </c>
      <c r="I87">
        <v>9.8682283169999998</v>
      </c>
      <c r="J87">
        <v>10.73704489</v>
      </c>
      <c r="K87">
        <v>1.8174091029999999</v>
      </c>
      <c r="L87">
        <v>418.4395313</v>
      </c>
      <c r="M87">
        <v>1.353846667</v>
      </c>
      <c r="N87">
        <v>9176.6300879999999</v>
      </c>
      <c r="O87" s="1" t="s">
        <v>1050</v>
      </c>
      <c r="P87" t="s">
        <v>227</v>
      </c>
      <c r="Q87" t="s">
        <v>1080</v>
      </c>
      <c r="R87" t="s">
        <v>1060</v>
      </c>
      <c r="S87" t="s">
        <v>1060</v>
      </c>
      <c r="T87" s="3">
        <v>24855</v>
      </c>
      <c r="U87" s="3">
        <v>44245</v>
      </c>
      <c r="V87">
        <f t="shared" si="8"/>
        <v>53</v>
      </c>
      <c r="W87">
        <v>1</v>
      </c>
      <c r="X87">
        <v>2</v>
      </c>
      <c r="Y87" s="12">
        <v>1</v>
      </c>
      <c r="Z87" s="12">
        <v>0</v>
      </c>
      <c r="AA87">
        <v>1</v>
      </c>
      <c r="AB87" t="s">
        <v>1061</v>
      </c>
      <c r="AC87" t="s">
        <v>1060</v>
      </c>
      <c r="AD87" t="s">
        <v>1060</v>
      </c>
      <c r="AE87" t="str">
        <f t="shared" si="7"/>
        <v>TRUE</v>
      </c>
    </row>
    <row r="88" spans="1:31">
      <c r="A88" t="s">
        <v>455</v>
      </c>
      <c r="B88">
        <v>6.5065945010000004</v>
      </c>
      <c r="C88" t="s">
        <v>34</v>
      </c>
      <c r="D88">
        <v>6.9130190899999997</v>
      </c>
      <c r="E88">
        <v>139.13669229999999</v>
      </c>
      <c r="F88">
        <v>73.512493620000001</v>
      </c>
      <c r="G88" t="s">
        <v>35</v>
      </c>
      <c r="H88">
        <v>296.1260868</v>
      </c>
      <c r="I88">
        <v>9.0893451299999999</v>
      </c>
      <c r="J88">
        <v>9.7719447269999993</v>
      </c>
      <c r="K88">
        <v>2.5581439370000001</v>
      </c>
      <c r="L88">
        <v>454.11632950000001</v>
      </c>
      <c r="M88">
        <v>1.5728656990000001</v>
      </c>
      <c r="N88">
        <v>10926.65352</v>
      </c>
      <c r="O88" s="1" t="s">
        <v>1051</v>
      </c>
      <c r="P88" t="s">
        <v>455</v>
      </c>
      <c r="Q88" t="s">
        <v>1079</v>
      </c>
      <c r="R88" t="s">
        <v>1060</v>
      </c>
      <c r="S88" t="s">
        <v>1060</v>
      </c>
      <c r="T88" s="3">
        <v>32239</v>
      </c>
      <c r="U88" s="3">
        <v>44245</v>
      </c>
      <c r="V88">
        <f t="shared" si="8"/>
        <v>32</v>
      </c>
      <c r="W88">
        <v>1</v>
      </c>
      <c r="X88">
        <v>2</v>
      </c>
      <c r="Y88" s="12">
        <v>1</v>
      </c>
      <c r="Z88" s="12">
        <v>0</v>
      </c>
      <c r="AA88">
        <v>1</v>
      </c>
      <c r="AB88" t="s">
        <v>1061</v>
      </c>
      <c r="AC88" t="s">
        <v>1060</v>
      </c>
      <c r="AD88" t="s">
        <v>1060</v>
      </c>
      <c r="AE88" t="str">
        <f t="shared" si="7"/>
        <v>TRUE</v>
      </c>
    </row>
    <row r="89" spans="1:31">
      <c r="A89" t="s">
        <v>584</v>
      </c>
      <c r="B89">
        <v>5.6079735299999998</v>
      </c>
      <c r="C89" t="s">
        <v>34</v>
      </c>
      <c r="D89">
        <v>8.0352626679999997</v>
      </c>
      <c r="E89">
        <v>125.6787762</v>
      </c>
      <c r="F89">
        <v>44.715173180000001</v>
      </c>
      <c r="G89" t="s">
        <v>35</v>
      </c>
      <c r="H89">
        <v>417.12146310000003</v>
      </c>
      <c r="I89">
        <v>11.56501003</v>
      </c>
      <c r="J89">
        <v>7.7403239519999998</v>
      </c>
      <c r="K89">
        <v>4.5243389430000001</v>
      </c>
      <c r="L89">
        <v>308.06449730000003</v>
      </c>
      <c r="M89">
        <v>0.615253461</v>
      </c>
      <c r="N89">
        <v>10353.70477</v>
      </c>
      <c r="O89" s="1" t="s">
        <v>1052</v>
      </c>
      <c r="P89" t="s">
        <v>584</v>
      </c>
      <c r="Q89" t="s">
        <v>1079</v>
      </c>
      <c r="R89" t="s">
        <v>1060</v>
      </c>
      <c r="S89" t="s">
        <v>1060</v>
      </c>
      <c r="T89" s="3">
        <v>30318</v>
      </c>
      <c r="U89" s="3">
        <v>44250</v>
      </c>
      <c r="V89">
        <f t="shared" si="8"/>
        <v>38</v>
      </c>
      <c r="W89">
        <v>1</v>
      </c>
      <c r="X89">
        <v>2</v>
      </c>
      <c r="Y89" s="12">
        <v>1</v>
      </c>
      <c r="Z89" s="12">
        <v>0</v>
      </c>
      <c r="AA89">
        <v>1</v>
      </c>
      <c r="AB89" t="s">
        <v>1065</v>
      </c>
      <c r="AC89" t="s">
        <v>1060</v>
      </c>
      <c r="AD89" t="s">
        <v>1060</v>
      </c>
      <c r="AE89" t="str">
        <f t="shared" si="7"/>
        <v>TRUE</v>
      </c>
    </row>
    <row r="90" spans="1:31">
      <c r="A90" t="s">
        <v>800</v>
      </c>
      <c r="B90">
        <v>5.7048265359999997</v>
      </c>
      <c r="C90" t="s">
        <v>34</v>
      </c>
      <c r="D90">
        <v>5.8708521559999998</v>
      </c>
      <c r="E90" t="s">
        <v>35</v>
      </c>
      <c r="F90">
        <v>61.23159106</v>
      </c>
      <c r="G90" t="s">
        <v>35</v>
      </c>
      <c r="H90">
        <v>433.26648569999998</v>
      </c>
      <c r="I90">
        <v>9.8735390869999993</v>
      </c>
      <c r="J90">
        <v>13.722828120000001</v>
      </c>
      <c r="K90">
        <v>3.1627205420000002</v>
      </c>
      <c r="L90">
        <v>353.3725594</v>
      </c>
      <c r="M90">
        <v>1.0263223269999999</v>
      </c>
      <c r="N90">
        <v>8842.5553400000008</v>
      </c>
      <c r="O90" s="1" t="s">
        <v>1053</v>
      </c>
      <c r="P90" t="s">
        <v>800</v>
      </c>
      <c r="Q90" t="s">
        <v>1079</v>
      </c>
      <c r="R90" t="s">
        <v>1060</v>
      </c>
      <c r="S90" t="s">
        <v>1060</v>
      </c>
      <c r="T90" s="3">
        <v>29625</v>
      </c>
      <c r="U90" s="3">
        <v>44251</v>
      </c>
      <c r="V90">
        <f t="shared" si="8"/>
        <v>40</v>
      </c>
      <c r="W90">
        <v>0</v>
      </c>
      <c r="X90">
        <v>2</v>
      </c>
      <c r="Y90" s="12">
        <v>0</v>
      </c>
      <c r="Z90" s="12">
        <v>0</v>
      </c>
      <c r="AA90">
        <v>1</v>
      </c>
      <c r="AB90" t="s">
        <v>1061</v>
      </c>
      <c r="AC90" t="s">
        <v>1060</v>
      </c>
      <c r="AD90" t="s">
        <v>1060</v>
      </c>
      <c r="AE90" t="str">
        <f t="shared" si="7"/>
        <v>TRUE</v>
      </c>
    </row>
    <row r="91" spans="1:31">
      <c r="A91" t="s">
        <v>719</v>
      </c>
      <c r="B91">
        <v>5.158115209</v>
      </c>
      <c r="C91" t="s">
        <v>34</v>
      </c>
      <c r="D91">
        <v>10.6346208</v>
      </c>
      <c r="E91" t="s">
        <v>35</v>
      </c>
      <c r="F91">
        <v>193.89308449999999</v>
      </c>
      <c r="G91" t="s">
        <v>35</v>
      </c>
      <c r="H91">
        <v>178.29831949999999</v>
      </c>
      <c r="I91">
        <v>12.65861913</v>
      </c>
      <c r="J91">
        <v>7.9041846500000004</v>
      </c>
      <c r="K91">
        <v>1.888268238</v>
      </c>
      <c r="L91">
        <v>794.01180380000005</v>
      </c>
      <c r="M91">
        <v>6.1492570229999997</v>
      </c>
      <c r="N91">
        <v>10429.141100000001</v>
      </c>
      <c r="O91" s="1" t="s">
        <v>1054</v>
      </c>
      <c r="P91" t="s">
        <v>719</v>
      </c>
      <c r="Q91" t="s">
        <v>1079</v>
      </c>
      <c r="R91" t="s">
        <v>1060</v>
      </c>
      <c r="S91" t="s">
        <v>1060</v>
      </c>
      <c r="T91" s="3">
        <v>30742</v>
      </c>
      <c r="U91" s="3">
        <v>44256</v>
      </c>
      <c r="V91">
        <f t="shared" si="8"/>
        <v>37</v>
      </c>
      <c r="W91">
        <v>1</v>
      </c>
      <c r="X91">
        <v>2</v>
      </c>
      <c r="Y91" s="12">
        <v>1</v>
      </c>
      <c r="Z91" s="12">
        <v>0</v>
      </c>
      <c r="AA91">
        <v>1</v>
      </c>
      <c r="AB91" t="s">
        <v>1065</v>
      </c>
      <c r="AC91" t="s">
        <v>1060</v>
      </c>
      <c r="AD91" t="s">
        <v>1060</v>
      </c>
      <c r="AE91" t="str">
        <f t="shared" si="7"/>
        <v>TRUE</v>
      </c>
    </row>
    <row r="92" spans="1:31">
      <c r="A92" t="s">
        <v>722</v>
      </c>
      <c r="B92">
        <v>6.4274233040000004</v>
      </c>
      <c r="C92">
        <v>3.2768094959999998</v>
      </c>
      <c r="D92">
        <v>5.9643285080000004</v>
      </c>
      <c r="E92">
        <v>110.37767460000001</v>
      </c>
      <c r="F92">
        <v>66.167577460000004</v>
      </c>
      <c r="G92" t="s">
        <v>35</v>
      </c>
      <c r="H92">
        <v>236.8628621</v>
      </c>
      <c r="I92">
        <v>6.7752211999999998</v>
      </c>
      <c r="J92">
        <v>7.6370389660000004</v>
      </c>
      <c r="K92">
        <v>2.7028438650000002</v>
      </c>
      <c r="L92">
        <v>370.43659280000003</v>
      </c>
      <c r="M92">
        <v>1.407038153</v>
      </c>
      <c r="N92">
        <v>11810.99386</v>
      </c>
      <c r="O92" s="1" t="s">
        <v>1055</v>
      </c>
      <c r="P92" t="s">
        <v>722</v>
      </c>
      <c r="Q92" t="s">
        <v>1079</v>
      </c>
      <c r="R92" t="s">
        <v>1060</v>
      </c>
      <c r="S92" t="s">
        <v>1060</v>
      </c>
      <c r="T92" s="3">
        <v>31628</v>
      </c>
      <c r="U92" s="3">
        <v>44258</v>
      </c>
      <c r="V92">
        <f t="shared" si="8"/>
        <v>34</v>
      </c>
      <c r="W92">
        <v>1</v>
      </c>
      <c r="X92">
        <v>2</v>
      </c>
      <c r="Y92" s="12">
        <v>1</v>
      </c>
      <c r="Z92" s="12">
        <v>0</v>
      </c>
      <c r="AA92">
        <v>1</v>
      </c>
      <c r="AB92" t="s">
        <v>1065</v>
      </c>
      <c r="AC92" t="s">
        <v>1060</v>
      </c>
      <c r="AD92" t="s">
        <v>1060</v>
      </c>
      <c r="AE92" t="str">
        <f t="shared" si="7"/>
        <v>TRUE</v>
      </c>
    </row>
    <row r="93" spans="1:31">
      <c r="A93" t="s">
        <v>515</v>
      </c>
      <c r="B93">
        <v>4.85093614</v>
      </c>
      <c r="C93" t="s">
        <v>34</v>
      </c>
      <c r="D93">
        <v>7.1130092840000003</v>
      </c>
      <c r="E93">
        <v>149.7364311</v>
      </c>
      <c r="F93">
        <v>46.250915030000002</v>
      </c>
      <c r="G93" t="s">
        <v>35</v>
      </c>
      <c r="H93">
        <v>97.365957699999996</v>
      </c>
      <c r="I93">
        <v>6.341094247</v>
      </c>
      <c r="J93">
        <v>6.6772182659999997</v>
      </c>
      <c r="K93">
        <v>2.8544879920000001</v>
      </c>
      <c r="L93">
        <v>427.5348654</v>
      </c>
      <c r="M93">
        <v>1.052066385</v>
      </c>
      <c r="N93">
        <v>13637.45508</v>
      </c>
      <c r="O93" s="1" t="s">
        <v>1056</v>
      </c>
      <c r="P93" t="s">
        <v>515</v>
      </c>
      <c r="Q93" t="s">
        <v>1079</v>
      </c>
      <c r="R93" t="s">
        <v>1060</v>
      </c>
      <c r="S93" t="s">
        <v>1060</v>
      </c>
      <c r="T93" s="3">
        <v>31809</v>
      </c>
      <c r="U93" s="3">
        <v>44258</v>
      </c>
      <c r="V93">
        <f t="shared" si="8"/>
        <v>34</v>
      </c>
      <c r="W93">
        <v>1</v>
      </c>
      <c r="X93">
        <v>2</v>
      </c>
      <c r="Y93" s="11">
        <v>1</v>
      </c>
      <c r="Z93" s="11">
        <v>0</v>
      </c>
      <c r="AA93">
        <v>1</v>
      </c>
      <c r="AB93" t="s">
        <v>1065</v>
      </c>
      <c r="AC93" t="s">
        <v>1060</v>
      </c>
      <c r="AD93" t="s">
        <v>1060</v>
      </c>
      <c r="AE93" t="str">
        <f t="shared" si="7"/>
        <v>TRUE</v>
      </c>
    </row>
    <row r="94" spans="1:31">
      <c r="A94" t="s">
        <v>434</v>
      </c>
      <c r="B94">
        <v>9.0364096259999993</v>
      </c>
      <c r="C94">
        <v>3.8526835369999999</v>
      </c>
      <c r="D94">
        <v>7.5824333920000004</v>
      </c>
      <c r="E94" t="s">
        <v>35</v>
      </c>
      <c r="F94">
        <v>94.205813180000007</v>
      </c>
      <c r="G94">
        <v>2125.9417570000001</v>
      </c>
      <c r="H94">
        <v>295.84390680000001</v>
      </c>
      <c r="I94">
        <v>8.6119553680000003</v>
      </c>
      <c r="J94">
        <v>23.798782320000001</v>
      </c>
      <c r="K94">
        <v>4.3525816580000001</v>
      </c>
      <c r="L94">
        <v>387.45708009999998</v>
      </c>
      <c r="M94">
        <v>1.6147937409999999</v>
      </c>
      <c r="N94">
        <v>10571.25649</v>
      </c>
      <c r="O94" s="1" t="s">
        <v>802</v>
      </c>
      <c r="P94" t="s">
        <v>434</v>
      </c>
      <c r="Q94" t="s">
        <v>1062</v>
      </c>
      <c r="R94" t="s">
        <v>1063</v>
      </c>
      <c r="S94" t="s">
        <v>1064</v>
      </c>
      <c r="T94" s="3">
        <v>21294</v>
      </c>
      <c r="U94" s="3">
        <v>43210</v>
      </c>
      <c r="V94">
        <f t="shared" si="8"/>
        <v>60</v>
      </c>
      <c r="W94">
        <v>0</v>
      </c>
      <c r="X94">
        <v>3</v>
      </c>
      <c r="Y94">
        <v>0</v>
      </c>
      <c r="Z94">
        <v>1</v>
      </c>
      <c r="AA94">
        <v>1</v>
      </c>
      <c r="AB94" t="s">
        <v>1065</v>
      </c>
      <c r="AC94">
        <v>1269</v>
      </c>
      <c r="AD94">
        <v>8</v>
      </c>
      <c r="AE94" t="str">
        <f t="shared" si="7"/>
        <v>TRUE</v>
      </c>
    </row>
    <row r="95" spans="1:31">
      <c r="A95" t="s">
        <v>176</v>
      </c>
      <c r="B95">
        <v>2.648518412</v>
      </c>
      <c r="C95" t="s">
        <v>34</v>
      </c>
      <c r="D95">
        <v>5.761712964</v>
      </c>
      <c r="E95" t="s">
        <v>35</v>
      </c>
      <c r="F95">
        <v>55.037263619999997</v>
      </c>
      <c r="G95">
        <v>4233.0302229999998</v>
      </c>
      <c r="H95">
        <v>122.5620444</v>
      </c>
      <c r="I95">
        <v>8.8563772679999992</v>
      </c>
      <c r="J95">
        <v>26.203176930000001</v>
      </c>
      <c r="K95">
        <v>1.411222207</v>
      </c>
      <c r="L95">
        <v>416.50039409999999</v>
      </c>
      <c r="M95">
        <v>1.6736237979999999</v>
      </c>
      <c r="N95">
        <v>7893.9385599999996</v>
      </c>
      <c r="O95" s="1" t="s">
        <v>862</v>
      </c>
      <c r="P95" t="s">
        <v>176</v>
      </c>
      <c r="Q95" t="s">
        <v>1062</v>
      </c>
      <c r="R95" t="s">
        <v>1063</v>
      </c>
      <c r="S95" t="s">
        <v>1064</v>
      </c>
      <c r="T95" s="3">
        <v>34403</v>
      </c>
      <c r="U95" s="3">
        <v>43516</v>
      </c>
      <c r="V95">
        <v>24</v>
      </c>
      <c r="W95">
        <v>0</v>
      </c>
      <c r="X95">
        <v>1</v>
      </c>
      <c r="Y95" s="9">
        <v>0</v>
      </c>
      <c r="Z95" s="9">
        <v>1</v>
      </c>
      <c r="AA95">
        <v>1</v>
      </c>
      <c r="AB95" t="s">
        <v>1065</v>
      </c>
      <c r="AC95">
        <v>2021</v>
      </c>
      <c r="AD95">
        <v>5</v>
      </c>
      <c r="AE95" t="str">
        <f t="shared" si="7"/>
        <v>TRUE</v>
      </c>
    </row>
    <row r="96" spans="1:31">
      <c r="A96" t="s">
        <v>86</v>
      </c>
      <c r="B96">
        <v>8.1678988369999992</v>
      </c>
      <c r="C96" t="s">
        <v>34</v>
      </c>
      <c r="D96">
        <v>10.2862136</v>
      </c>
      <c r="E96" t="s">
        <v>35</v>
      </c>
      <c r="F96">
        <v>73.394944559999999</v>
      </c>
      <c r="G96" t="s">
        <v>35</v>
      </c>
      <c r="H96">
        <v>199.34857890000001</v>
      </c>
      <c r="I96">
        <v>5.4771290620000004</v>
      </c>
      <c r="J96">
        <v>14.960715649999999</v>
      </c>
      <c r="K96">
        <v>3.2082090540000001</v>
      </c>
      <c r="L96">
        <v>370.68023399999998</v>
      </c>
      <c r="M96">
        <v>2.608964807</v>
      </c>
      <c r="N96">
        <v>13187.659240000001</v>
      </c>
      <c r="O96" s="1" t="s">
        <v>908</v>
      </c>
      <c r="P96" t="s">
        <v>86</v>
      </c>
      <c r="Q96" t="s">
        <v>1062</v>
      </c>
      <c r="R96" t="s">
        <v>1072</v>
      </c>
      <c r="S96" t="s">
        <v>1068</v>
      </c>
      <c r="T96" s="3">
        <v>34720</v>
      </c>
      <c r="U96" s="3">
        <v>43812</v>
      </c>
      <c r="V96">
        <f t="shared" ref="V96:V102" si="9">DATEDIF(T96,U96,"Y")</f>
        <v>24</v>
      </c>
      <c r="W96">
        <v>0</v>
      </c>
      <c r="X96">
        <v>1</v>
      </c>
      <c r="Y96" s="10">
        <v>0</v>
      </c>
      <c r="Z96" s="10">
        <v>1</v>
      </c>
      <c r="AA96">
        <v>1</v>
      </c>
      <c r="AB96" t="s">
        <v>1061</v>
      </c>
      <c r="AC96">
        <v>375</v>
      </c>
      <c r="AD96">
        <v>9</v>
      </c>
      <c r="AE96" t="str">
        <f t="shared" si="7"/>
        <v>TRUE</v>
      </c>
    </row>
    <row r="97" spans="1:31">
      <c r="A97" t="s">
        <v>221</v>
      </c>
      <c r="B97">
        <v>1.5990991999999999</v>
      </c>
      <c r="C97" t="s">
        <v>34</v>
      </c>
      <c r="D97">
        <v>2.3711511440000002</v>
      </c>
      <c r="E97" t="s">
        <v>35</v>
      </c>
      <c r="F97">
        <v>35.629410810000003</v>
      </c>
      <c r="G97" t="s">
        <v>35</v>
      </c>
      <c r="H97">
        <v>114.45651169999999</v>
      </c>
      <c r="I97">
        <v>1.462456814</v>
      </c>
      <c r="J97">
        <v>23.04016987</v>
      </c>
      <c r="K97">
        <v>0.39999899999999999</v>
      </c>
      <c r="L97">
        <v>185.02275230000001</v>
      </c>
      <c r="M97">
        <v>3.1957901660000001</v>
      </c>
      <c r="N97">
        <v>3012.421789</v>
      </c>
      <c r="O97" s="1" t="s">
        <v>912</v>
      </c>
      <c r="P97" t="s">
        <v>221</v>
      </c>
      <c r="Q97" t="s">
        <v>1069</v>
      </c>
      <c r="R97" t="s">
        <v>1078</v>
      </c>
      <c r="S97" t="s">
        <v>1064</v>
      </c>
      <c r="T97" s="3">
        <v>21300</v>
      </c>
      <c r="U97" s="3">
        <v>43741</v>
      </c>
      <c r="V97">
        <f t="shared" si="9"/>
        <v>61</v>
      </c>
      <c r="W97">
        <v>0</v>
      </c>
      <c r="X97">
        <v>1</v>
      </c>
      <c r="Y97">
        <v>0</v>
      </c>
      <c r="Z97">
        <v>1</v>
      </c>
      <c r="AA97">
        <v>1</v>
      </c>
      <c r="AB97" t="s">
        <v>1065</v>
      </c>
      <c r="AC97">
        <v>1217</v>
      </c>
      <c r="AD97">
        <v>8</v>
      </c>
      <c r="AE97" t="str">
        <f t="shared" si="7"/>
        <v>TRUE</v>
      </c>
    </row>
    <row r="98" spans="1:31">
      <c r="A98" t="s">
        <v>728</v>
      </c>
      <c r="B98">
        <v>3.6282268150000001</v>
      </c>
      <c r="C98" t="s">
        <v>34</v>
      </c>
      <c r="D98">
        <v>5.8835621079999996</v>
      </c>
      <c r="E98">
        <v>111.2121446</v>
      </c>
      <c r="F98">
        <v>47.634423130000002</v>
      </c>
      <c r="G98" t="s">
        <v>35</v>
      </c>
      <c r="H98">
        <v>281.16089490000002</v>
      </c>
      <c r="I98">
        <v>5.5812027239999997</v>
      </c>
      <c r="J98">
        <v>11.83672258</v>
      </c>
      <c r="K98">
        <v>1.608218353</v>
      </c>
      <c r="L98">
        <v>329.32369549999999</v>
      </c>
      <c r="M98">
        <v>0.82179375899999996</v>
      </c>
      <c r="N98">
        <v>11208.500700000001</v>
      </c>
      <c r="O98" s="1" t="s">
        <v>917</v>
      </c>
      <c r="P98" t="s">
        <v>728</v>
      </c>
      <c r="Q98" t="s">
        <v>1069</v>
      </c>
      <c r="R98" t="s">
        <v>1070</v>
      </c>
      <c r="S98" t="s">
        <v>1068</v>
      </c>
      <c r="T98" s="3">
        <v>33242</v>
      </c>
      <c r="U98" s="3">
        <v>43878</v>
      </c>
      <c r="V98">
        <f t="shared" si="9"/>
        <v>29</v>
      </c>
      <c r="W98">
        <v>1</v>
      </c>
      <c r="X98">
        <v>2</v>
      </c>
      <c r="Y98" s="9">
        <v>0</v>
      </c>
      <c r="Z98" s="9">
        <v>1</v>
      </c>
      <c r="AA98">
        <v>1</v>
      </c>
      <c r="AB98" t="s">
        <v>1061</v>
      </c>
      <c r="AC98">
        <v>148</v>
      </c>
      <c r="AD98">
        <v>9</v>
      </c>
      <c r="AE98" t="str">
        <f t="shared" si="7"/>
        <v>TRUE</v>
      </c>
    </row>
    <row r="99" spans="1:31">
      <c r="A99" t="s">
        <v>377</v>
      </c>
      <c r="B99">
        <v>7.5655957860000003</v>
      </c>
      <c r="C99" t="s">
        <v>34</v>
      </c>
      <c r="D99">
        <v>8.9238363920000001</v>
      </c>
      <c r="E99" t="s">
        <v>35</v>
      </c>
      <c r="F99">
        <v>76.129301380000001</v>
      </c>
      <c r="G99" t="s">
        <v>35</v>
      </c>
      <c r="H99">
        <v>336.38857209999998</v>
      </c>
      <c r="I99">
        <v>7.1089071099999996</v>
      </c>
      <c r="J99">
        <v>11.292208540000001</v>
      </c>
      <c r="K99">
        <v>4.1474253489999997</v>
      </c>
      <c r="L99">
        <v>504.439347</v>
      </c>
      <c r="M99">
        <v>1.1461782819999999</v>
      </c>
      <c r="N99">
        <v>9791.5241850000002</v>
      </c>
      <c r="O99" s="1" t="s">
        <v>926</v>
      </c>
      <c r="P99" t="s">
        <v>377</v>
      </c>
      <c r="Q99" t="s">
        <v>1062</v>
      </c>
      <c r="R99" t="s">
        <v>1072</v>
      </c>
      <c r="S99" t="s">
        <v>1068</v>
      </c>
      <c r="T99" s="3">
        <v>21477</v>
      </c>
      <c r="U99" s="3">
        <v>44042</v>
      </c>
      <c r="V99">
        <f t="shared" si="9"/>
        <v>61</v>
      </c>
      <c r="W99">
        <v>0</v>
      </c>
      <c r="X99">
        <v>2</v>
      </c>
      <c r="Y99" s="9">
        <v>0</v>
      </c>
      <c r="Z99" s="9">
        <v>1</v>
      </c>
      <c r="AA99">
        <v>1</v>
      </c>
      <c r="AB99" t="s">
        <v>1061</v>
      </c>
      <c r="AC99">
        <v>394</v>
      </c>
      <c r="AD99">
        <v>6</v>
      </c>
      <c r="AE99" t="str">
        <f t="shared" si="7"/>
        <v>TRUE</v>
      </c>
    </row>
    <row r="100" spans="1:31">
      <c r="A100" t="s">
        <v>380</v>
      </c>
      <c r="B100">
        <v>3.8383564350000001</v>
      </c>
      <c r="C100" t="s">
        <v>34</v>
      </c>
      <c r="D100">
        <v>5.6939093339999998</v>
      </c>
      <c r="E100">
        <v>121.038584</v>
      </c>
      <c r="F100">
        <v>63.867926099999998</v>
      </c>
      <c r="G100" t="s">
        <v>35</v>
      </c>
      <c r="H100">
        <v>155.81884400000001</v>
      </c>
      <c r="I100">
        <v>7.724625477</v>
      </c>
      <c r="J100">
        <v>9.7015846109999995</v>
      </c>
      <c r="K100">
        <v>2.8881256120000001</v>
      </c>
      <c r="L100">
        <v>351.90053810000001</v>
      </c>
      <c r="M100">
        <v>0.79490716800000005</v>
      </c>
      <c r="N100">
        <v>11606.48977</v>
      </c>
      <c r="O100" s="1" t="s">
        <v>930</v>
      </c>
      <c r="P100" t="s">
        <v>380</v>
      </c>
      <c r="Q100" t="s">
        <v>1058</v>
      </c>
      <c r="R100" t="s">
        <v>1066</v>
      </c>
      <c r="S100" t="s">
        <v>1060</v>
      </c>
      <c r="T100" s="3">
        <v>34492</v>
      </c>
      <c r="U100" s="3">
        <v>44084</v>
      </c>
      <c r="V100">
        <f t="shared" si="9"/>
        <v>26</v>
      </c>
      <c r="W100">
        <v>0</v>
      </c>
      <c r="X100">
        <v>2</v>
      </c>
      <c r="Y100" s="5">
        <v>0</v>
      </c>
      <c r="Z100" s="5">
        <v>1</v>
      </c>
      <c r="AA100">
        <v>1</v>
      </c>
      <c r="AB100" t="s">
        <v>1061</v>
      </c>
      <c r="AC100">
        <v>1928</v>
      </c>
      <c r="AD100" t="s">
        <v>1060</v>
      </c>
      <c r="AE100" t="str">
        <f t="shared" si="7"/>
        <v>TRUE</v>
      </c>
    </row>
    <row r="101" spans="1:31">
      <c r="A101" t="s">
        <v>650</v>
      </c>
      <c r="B101">
        <v>2.9124974130000001</v>
      </c>
      <c r="C101" t="s">
        <v>34</v>
      </c>
      <c r="D101">
        <v>5.1401147089999997</v>
      </c>
      <c r="E101">
        <v>91.865892759999994</v>
      </c>
      <c r="F101">
        <v>71.232013600000002</v>
      </c>
      <c r="G101" t="s">
        <v>35</v>
      </c>
      <c r="H101">
        <v>306.40830490000002</v>
      </c>
      <c r="I101">
        <v>6.3279944859999997</v>
      </c>
      <c r="J101">
        <v>9.7990790350000001</v>
      </c>
      <c r="K101">
        <v>1.4478314299999999</v>
      </c>
      <c r="L101">
        <v>378.00980650000002</v>
      </c>
      <c r="M101">
        <v>1.6254481970000001</v>
      </c>
      <c r="N101">
        <v>11817.86815</v>
      </c>
      <c r="O101" s="1" t="s">
        <v>933</v>
      </c>
      <c r="P101" t="s">
        <v>650</v>
      </c>
      <c r="Q101" t="s">
        <v>1058</v>
      </c>
      <c r="R101" t="s">
        <v>1059</v>
      </c>
      <c r="S101" t="s">
        <v>1060</v>
      </c>
      <c r="T101" s="3">
        <v>30903</v>
      </c>
      <c r="U101" s="3">
        <v>44095</v>
      </c>
      <c r="V101">
        <f t="shared" si="9"/>
        <v>36</v>
      </c>
      <c r="W101">
        <v>1</v>
      </c>
      <c r="X101">
        <v>2</v>
      </c>
      <c r="Y101">
        <v>0</v>
      </c>
      <c r="Z101">
        <v>1</v>
      </c>
      <c r="AA101">
        <v>1</v>
      </c>
      <c r="AB101" t="s">
        <v>1061</v>
      </c>
      <c r="AC101">
        <v>1036</v>
      </c>
      <c r="AD101" t="s">
        <v>1060</v>
      </c>
      <c r="AE101" t="str">
        <f t="shared" si="7"/>
        <v>TRUE</v>
      </c>
    </row>
    <row r="102" spans="1:31">
      <c r="A102" t="s">
        <v>608</v>
      </c>
      <c r="B102">
        <v>5.3014159420000002</v>
      </c>
      <c r="C102" t="s">
        <v>34</v>
      </c>
      <c r="D102">
        <v>6.017604188</v>
      </c>
      <c r="E102">
        <v>166.48310989999999</v>
      </c>
      <c r="F102">
        <v>62.355274870000002</v>
      </c>
      <c r="G102" t="s">
        <v>35</v>
      </c>
      <c r="H102">
        <v>190.799305</v>
      </c>
      <c r="I102">
        <v>5.5286128650000004</v>
      </c>
      <c r="J102">
        <v>10.42675644</v>
      </c>
      <c r="K102">
        <v>1.9952838390000001</v>
      </c>
      <c r="L102">
        <v>353.27491609999998</v>
      </c>
      <c r="M102">
        <v>1.2770416259999999</v>
      </c>
      <c r="N102">
        <v>11456.81846</v>
      </c>
      <c r="O102" s="1" t="s">
        <v>944</v>
      </c>
      <c r="P102" t="s">
        <v>608</v>
      </c>
      <c r="Q102" t="s">
        <v>1069</v>
      </c>
      <c r="R102" t="s">
        <v>1076</v>
      </c>
      <c r="S102" t="s">
        <v>1068</v>
      </c>
      <c r="T102" s="3">
        <v>34804</v>
      </c>
      <c r="U102" s="3">
        <v>44127</v>
      </c>
      <c r="V102">
        <f t="shared" si="9"/>
        <v>25</v>
      </c>
      <c r="W102">
        <v>0</v>
      </c>
      <c r="X102">
        <v>1</v>
      </c>
      <c r="Y102" s="9">
        <v>0</v>
      </c>
      <c r="Z102" s="9">
        <v>1</v>
      </c>
      <c r="AA102">
        <v>1</v>
      </c>
      <c r="AB102" t="s">
        <v>1061</v>
      </c>
      <c r="AC102">
        <v>904</v>
      </c>
      <c r="AD102">
        <v>6</v>
      </c>
      <c r="AE102" t="str">
        <f t="shared" si="7"/>
        <v>TRUE</v>
      </c>
    </row>
  </sheetData>
  <autoFilter ref="Q2:Q104" xr:uid="{00000000-0001-0000-0300-000000000000}"/>
  <sortState xmlns:xlrd2="http://schemas.microsoft.com/office/spreadsheetml/2017/richdata2" ref="A3:AE103">
    <sortCondition ref="Z42:Z103"/>
  </sortState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F73"/>
  <sheetViews>
    <sheetView workbookViewId="0">
      <pane ySplit="1" topLeftCell="A4" activePane="bottomLeft" state="frozen"/>
      <selection pane="bottomLeft" activeCell="Q56" sqref="Q56"/>
    </sheetView>
  </sheetViews>
  <sheetFormatPr defaultColWidth="11" defaultRowHeight="15.75"/>
  <sheetData>
    <row r="1" spans="1:32">
      <c r="A1" s="1" t="s">
        <v>1094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1093</v>
      </c>
      <c r="Q1" s="7" t="s">
        <v>1140</v>
      </c>
      <c r="R1" s="7" t="s">
        <v>1081</v>
      </c>
      <c r="S1" s="7" t="s">
        <v>1082</v>
      </c>
      <c r="T1" s="1" t="s">
        <v>1083</v>
      </c>
      <c r="U1" s="1" t="s">
        <v>1084</v>
      </c>
      <c r="V1" s="1" t="s">
        <v>1085</v>
      </c>
      <c r="W1" s="1" t="s">
        <v>1086</v>
      </c>
      <c r="X1" s="8" t="s">
        <v>1098</v>
      </c>
      <c r="Y1" s="8" t="s">
        <v>1099</v>
      </c>
      <c r="Z1" s="8" t="s">
        <v>1100</v>
      </c>
      <c r="AA1" s="8" t="s">
        <v>1101</v>
      </c>
      <c r="AB1" s="1" t="s">
        <v>1087</v>
      </c>
      <c r="AC1" s="1" t="s">
        <v>1088</v>
      </c>
      <c r="AD1" s="1" t="s">
        <v>1089</v>
      </c>
      <c r="AE1" s="1" t="s">
        <v>1090</v>
      </c>
      <c r="AF1" s="1" t="s">
        <v>1102</v>
      </c>
    </row>
    <row r="3" spans="1:32">
      <c r="A3" t="s">
        <v>434</v>
      </c>
      <c r="B3">
        <v>9.0364096259999993</v>
      </c>
      <c r="C3">
        <v>3.8526835369999999</v>
      </c>
      <c r="D3">
        <v>7.5824333920000004</v>
      </c>
      <c r="E3" t="s">
        <v>35</v>
      </c>
      <c r="F3">
        <v>94.205813180000007</v>
      </c>
      <c r="G3">
        <v>2125.9417570000001</v>
      </c>
      <c r="H3">
        <v>295.84390680000001</v>
      </c>
      <c r="I3">
        <v>8.6119553680000003</v>
      </c>
      <c r="J3">
        <v>23.798782320000001</v>
      </c>
      <c r="K3">
        <v>4.3525816580000001</v>
      </c>
      <c r="L3">
        <v>387.45708009999998</v>
      </c>
      <c r="M3">
        <v>1.6147937409999999</v>
      </c>
      <c r="N3">
        <v>10571.25649</v>
      </c>
      <c r="O3" s="1" t="s">
        <v>802</v>
      </c>
      <c r="P3" t="s">
        <v>434</v>
      </c>
      <c r="Q3" s="1" t="s">
        <v>1103</v>
      </c>
      <c r="R3" t="s">
        <v>1062</v>
      </c>
      <c r="S3" t="s">
        <v>1063</v>
      </c>
      <c r="T3" t="s">
        <v>1064</v>
      </c>
      <c r="U3" s="3">
        <v>21294</v>
      </c>
      <c r="V3" s="3">
        <v>43210</v>
      </c>
      <c r="W3">
        <f t="shared" ref="W3" si="0">DATEDIF(U3,V3,"Y")</f>
        <v>60</v>
      </c>
      <c r="X3">
        <v>0</v>
      </c>
      <c r="Y3">
        <v>3</v>
      </c>
      <c r="Z3">
        <v>0</v>
      </c>
      <c r="AA3">
        <v>1</v>
      </c>
      <c r="AB3">
        <v>1</v>
      </c>
      <c r="AC3" t="s">
        <v>1065</v>
      </c>
      <c r="AD3">
        <v>1269</v>
      </c>
      <c r="AE3">
        <v>8</v>
      </c>
      <c r="AF3" t="str">
        <f t="shared" ref="AF3:AF34" si="1">IF(P3=A3, "TRUE", "FALSE")</f>
        <v>TRUE</v>
      </c>
    </row>
    <row r="4" spans="1:32">
      <c r="A4" t="s">
        <v>386</v>
      </c>
      <c r="B4">
        <v>4.3928061530000004</v>
      </c>
      <c r="C4" t="s">
        <v>34</v>
      </c>
      <c r="D4">
        <v>1.9999899999999999</v>
      </c>
      <c r="E4" t="s">
        <v>35</v>
      </c>
      <c r="F4">
        <v>43.209581659999998</v>
      </c>
      <c r="G4">
        <v>4309.8802079999996</v>
      </c>
      <c r="H4">
        <v>134.09263540000001</v>
      </c>
      <c r="I4">
        <v>2.8996078029999999</v>
      </c>
      <c r="J4">
        <v>31.82622237</v>
      </c>
      <c r="K4" t="s">
        <v>34</v>
      </c>
      <c r="L4">
        <v>189.76601529999999</v>
      </c>
      <c r="M4">
        <v>6.2033718479999997</v>
      </c>
      <c r="N4">
        <v>4080.0258760000002</v>
      </c>
      <c r="O4" s="1" t="s">
        <v>803</v>
      </c>
      <c r="P4" t="s">
        <v>386</v>
      </c>
      <c r="Q4" s="1" t="s">
        <v>1104</v>
      </c>
      <c r="R4" t="s">
        <v>1062</v>
      </c>
      <c r="S4" t="s">
        <v>1063</v>
      </c>
      <c r="T4" t="s">
        <v>1064</v>
      </c>
      <c r="U4" s="3">
        <v>21589</v>
      </c>
      <c r="V4" s="3">
        <v>43291</v>
      </c>
      <c r="W4">
        <f t="shared" ref="W4:W11" si="2">DATEDIF(U4,V4,"Y")</f>
        <v>59</v>
      </c>
      <c r="X4">
        <v>1</v>
      </c>
      <c r="Y4">
        <v>2</v>
      </c>
      <c r="Z4" s="9">
        <v>1</v>
      </c>
      <c r="AA4" s="9">
        <v>0</v>
      </c>
      <c r="AB4">
        <v>1</v>
      </c>
      <c r="AC4" t="s">
        <v>1061</v>
      </c>
      <c r="AD4">
        <v>3000</v>
      </c>
      <c r="AE4">
        <v>9</v>
      </c>
      <c r="AF4" t="str">
        <f t="shared" si="1"/>
        <v>TRUE</v>
      </c>
    </row>
    <row r="5" spans="1:32">
      <c r="A5" t="s">
        <v>476</v>
      </c>
      <c r="B5">
        <v>6.2030408960000001</v>
      </c>
      <c r="C5" t="s">
        <v>34</v>
      </c>
      <c r="D5">
        <v>5.0957737319999996</v>
      </c>
      <c r="E5">
        <v>158.5771001</v>
      </c>
      <c r="F5">
        <v>65.842667550000002</v>
      </c>
      <c r="G5" t="s">
        <v>35</v>
      </c>
      <c r="H5">
        <v>285.2652324</v>
      </c>
      <c r="I5">
        <v>7.3728252149999998</v>
      </c>
      <c r="J5">
        <v>18.846505629999999</v>
      </c>
      <c r="K5">
        <v>2.3966921590000001</v>
      </c>
      <c r="L5">
        <v>461.44041229999999</v>
      </c>
      <c r="M5">
        <v>1.2407292489999999</v>
      </c>
      <c r="N5">
        <v>13793.29997</v>
      </c>
      <c r="O5" s="1" t="s">
        <v>805</v>
      </c>
      <c r="P5" t="s">
        <v>476</v>
      </c>
      <c r="Q5" s="1" t="s">
        <v>1105</v>
      </c>
      <c r="R5" t="s">
        <v>1062</v>
      </c>
      <c r="S5" t="s">
        <v>1067</v>
      </c>
      <c r="T5" t="s">
        <v>1068</v>
      </c>
      <c r="U5" s="3">
        <v>30401</v>
      </c>
      <c r="V5" s="3">
        <v>43300</v>
      </c>
      <c r="W5">
        <f t="shared" si="2"/>
        <v>35</v>
      </c>
      <c r="X5">
        <v>0</v>
      </c>
      <c r="Y5">
        <v>2</v>
      </c>
      <c r="Z5" s="9">
        <v>1</v>
      </c>
      <c r="AA5" s="9">
        <v>0</v>
      </c>
      <c r="AB5">
        <v>1</v>
      </c>
      <c r="AC5" t="s">
        <v>1061</v>
      </c>
      <c r="AD5">
        <v>250</v>
      </c>
      <c r="AE5">
        <v>4</v>
      </c>
      <c r="AF5" t="str">
        <f t="shared" si="1"/>
        <v>TRUE</v>
      </c>
    </row>
    <row r="6" spans="1:32">
      <c r="A6" t="s">
        <v>656</v>
      </c>
      <c r="B6">
        <v>17.966949450000001</v>
      </c>
      <c r="C6" t="s">
        <v>34</v>
      </c>
      <c r="D6">
        <v>14.8152612</v>
      </c>
      <c r="E6">
        <v>136.1373686</v>
      </c>
      <c r="F6">
        <v>82.331926300000006</v>
      </c>
      <c r="G6" t="s">
        <v>35</v>
      </c>
      <c r="H6">
        <v>836.78332769999997</v>
      </c>
      <c r="I6">
        <v>12.10307851</v>
      </c>
      <c r="J6">
        <v>10.1207616</v>
      </c>
      <c r="K6">
        <v>6.8275398850000002</v>
      </c>
      <c r="L6">
        <v>515.16997149999997</v>
      </c>
      <c r="M6">
        <v>2.062871119</v>
      </c>
      <c r="N6">
        <v>10790.043460000001</v>
      </c>
      <c r="O6" s="1" t="s">
        <v>807</v>
      </c>
      <c r="P6" t="s">
        <v>656</v>
      </c>
      <c r="Q6" s="1" t="s">
        <v>1106</v>
      </c>
      <c r="R6" t="s">
        <v>1062</v>
      </c>
      <c r="S6" t="s">
        <v>1067</v>
      </c>
      <c r="T6" t="s">
        <v>1068</v>
      </c>
      <c r="U6" s="3">
        <v>32618</v>
      </c>
      <c r="V6" s="3">
        <v>43308</v>
      </c>
      <c r="W6">
        <f t="shared" si="2"/>
        <v>29</v>
      </c>
      <c r="X6">
        <v>0</v>
      </c>
      <c r="Y6">
        <v>1</v>
      </c>
      <c r="Z6" s="9">
        <v>1</v>
      </c>
      <c r="AA6" s="9">
        <v>0</v>
      </c>
      <c r="AB6">
        <v>1</v>
      </c>
      <c r="AC6" t="s">
        <v>1061</v>
      </c>
      <c r="AD6">
        <v>2826</v>
      </c>
      <c r="AE6">
        <v>5</v>
      </c>
      <c r="AF6" t="str">
        <f t="shared" si="1"/>
        <v>TRUE</v>
      </c>
    </row>
    <row r="7" spans="1:32">
      <c r="A7" t="s">
        <v>644</v>
      </c>
      <c r="B7">
        <v>6.1508339980000004</v>
      </c>
      <c r="C7" t="s">
        <v>34</v>
      </c>
      <c r="D7">
        <v>10.821537810000001</v>
      </c>
      <c r="E7">
        <v>156.497467</v>
      </c>
      <c r="F7">
        <v>198.34344129999999</v>
      </c>
      <c r="G7">
        <v>3701.5041040000001</v>
      </c>
      <c r="H7">
        <v>216.4242314</v>
      </c>
      <c r="I7">
        <v>10.058418209999999</v>
      </c>
      <c r="J7">
        <v>15.09133396</v>
      </c>
      <c r="K7">
        <v>2.2056184349999999</v>
      </c>
      <c r="L7">
        <v>763.86777930000005</v>
      </c>
      <c r="M7">
        <v>4.4011677110000003</v>
      </c>
      <c r="N7">
        <v>12151.99351</v>
      </c>
      <c r="O7" s="1" t="s">
        <v>812</v>
      </c>
      <c r="P7" t="s">
        <v>644</v>
      </c>
      <c r="Q7" s="1" t="s">
        <v>1107</v>
      </c>
      <c r="R7" t="s">
        <v>1062</v>
      </c>
      <c r="S7" t="s">
        <v>1063</v>
      </c>
      <c r="T7" t="s">
        <v>1068</v>
      </c>
      <c r="U7" s="3">
        <v>29445</v>
      </c>
      <c r="V7" s="3">
        <v>43329</v>
      </c>
      <c r="W7">
        <f t="shared" si="2"/>
        <v>38</v>
      </c>
      <c r="X7">
        <v>1</v>
      </c>
      <c r="Y7">
        <v>2</v>
      </c>
      <c r="Z7" s="9">
        <v>0</v>
      </c>
      <c r="AA7" s="9">
        <v>0</v>
      </c>
      <c r="AB7">
        <v>1</v>
      </c>
      <c r="AC7" t="s">
        <v>1061</v>
      </c>
      <c r="AD7">
        <v>2043</v>
      </c>
      <c r="AE7">
        <v>8</v>
      </c>
      <c r="AF7" t="str">
        <f t="shared" si="1"/>
        <v>TRUE</v>
      </c>
    </row>
    <row r="8" spans="1:32">
      <c r="A8" t="s">
        <v>464</v>
      </c>
      <c r="B8">
        <v>19.503082070000001</v>
      </c>
      <c r="C8" t="s">
        <v>34</v>
      </c>
      <c r="D8">
        <v>10.422261860000001</v>
      </c>
      <c r="E8" t="s">
        <v>35</v>
      </c>
      <c r="F8">
        <v>103.64937190000001</v>
      </c>
      <c r="G8" t="s">
        <v>35</v>
      </c>
      <c r="H8">
        <v>282.17477609999997</v>
      </c>
      <c r="I8">
        <v>10.17757787</v>
      </c>
      <c r="J8">
        <v>20.566653339999998</v>
      </c>
      <c r="K8">
        <v>4.3080356389999999</v>
      </c>
      <c r="L8">
        <v>488.9487939</v>
      </c>
      <c r="M8">
        <v>1.511248916</v>
      </c>
      <c r="N8">
        <v>11036.99404</v>
      </c>
      <c r="O8" s="1" t="s">
        <v>818</v>
      </c>
      <c r="P8" t="s">
        <v>464</v>
      </c>
      <c r="Q8" s="1" t="s">
        <v>1108</v>
      </c>
      <c r="R8" t="s">
        <v>1062</v>
      </c>
      <c r="S8" t="s">
        <v>1072</v>
      </c>
      <c r="T8" t="s">
        <v>1068</v>
      </c>
      <c r="U8" s="3">
        <v>31343</v>
      </c>
      <c r="V8" s="3">
        <v>43371</v>
      </c>
      <c r="W8">
        <f t="shared" si="2"/>
        <v>32</v>
      </c>
      <c r="X8">
        <v>0</v>
      </c>
      <c r="Y8">
        <v>2</v>
      </c>
      <c r="Z8" s="9">
        <v>1</v>
      </c>
      <c r="AA8" s="9">
        <v>0</v>
      </c>
      <c r="AB8">
        <v>1</v>
      </c>
      <c r="AC8" t="s">
        <v>1061</v>
      </c>
      <c r="AD8">
        <v>543</v>
      </c>
      <c r="AE8">
        <v>5</v>
      </c>
      <c r="AF8" t="str">
        <f t="shared" si="1"/>
        <v>TRUE</v>
      </c>
    </row>
    <row r="9" spans="1:32">
      <c r="A9" t="s">
        <v>389</v>
      </c>
      <c r="B9">
        <v>5.8521312940000003</v>
      </c>
      <c r="C9" t="s">
        <v>34</v>
      </c>
      <c r="D9">
        <v>5.4165857449999999</v>
      </c>
      <c r="E9">
        <v>116.0913068</v>
      </c>
      <c r="F9">
        <v>103.2261221</v>
      </c>
      <c r="G9" t="s">
        <v>35</v>
      </c>
      <c r="H9">
        <v>219.0083898</v>
      </c>
      <c r="I9">
        <v>7.1744554000000003</v>
      </c>
      <c r="J9">
        <v>30.708722649999999</v>
      </c>
      <c r="K9">
        <v>1.952079817</v>
      </c>
      <c r="L9">
        <v>520.55033449999996</v>
      </c>
      <c r="M9">
        <v>1.845000242</v>
      </c>
      <c r="N9">
        <v>11877.25063</v>
      </c>
      <c r="O9" s="1" t="s">
        <v>819</v>
      </c>
      <c r="P9" t="s">
        <v>389</v>
      </c>
      <c r="Q9" s="1" t="s">
        <v>1104</v>
      </c>
      <c r="R9" t="s">
        <v>1062</v>
      </c>
      <c r="S9" t="s">
        <v>1063</v>
      </c>
      <c r="T9" t="s">
        <v>1064</v>
      </c>
      <c r="U9" s="3">
        <v>21589</v>
      </c>
      <c r="V9" s="3">
        <v>43375</v>
      </c>
      <c r="W9">
        <f t="shared" si="2"/>
        <v>59</v>
      </c>
      <c r="X9">
        <v>1</v>
      </c>
      <c r="Y9">
        <v>2</v>
      </c>
      <c r="Z9" s="9">
        <v>1</v>
      </c>
      <c r="AA9" s="9">
        <v>0</v>
      </c>
      <c r="AB9">
        <v>2</v>
      </c>
      <c r="AC9" t="s">
        <v>1061</v>
      </c>
      <c r="AD9">
        <v>1200</v>
      </c>
      <c r="AE9">
        <v>4</v>
      </c>
      <c r="AF9" t="str">
        <f t="shared" si="1"/>
        <v>TRUE</v>
      </c>
    </row>
    <row r="10" spans="1:32">
      <c r="A10" t="s">
        <v>485</v>
      </c>
      <c r="B10">
        <v>6.0303738750000004</v>
      </c>
      <c r="C10" t="s">
        <v>34</v>
      </c>
      <c r="D10">
        <v>11.28456647</v>
      </c>
      <c r="E10" t="s">
        <v>35</v>
      </c>
      <c r="F10">
        <v>61.495323970000001</v>
      </c>
      <c r="G10" t="s">
        <v>35</v>
      </c>
      <c r="H10">
        <v>194.885389</v>
      </c>
      <c r="I10">
        <v>16.69352696</v>
      </c>
      <c r="J10">
        <v>12.96736576</v>
      </c>
      <c r="K10">
        <v>4.6481050140000004</v>
      </c>
      <c r="L10">
        <v>375.47561100000001</v>
      </c>
      <c r="M10">
        <v>1.2835884719999999</v>
      </c>
      <c r="N10">
        <v>11930.80323</v>
      </c>
      <c r="O10" s="1" t="s">
        <v>821</v>
      </c>
      <c r="P10" t="s">
        <v>485</v>
      </c>
      <c r="Q10" s="1" t="s">
        <v>1109</v>
      </c>
      <c r="R10" t="s">
        <v>1062</v>
      </c>
      <c r="S10" t="s">
        <v>1063</v>
      </c>
      <c r="T10" t="s">
        <v>1068</v>
      </c>
      <c r="U10" s="3">
        <v>35211</v>
      </c>
      <c r="V10" s="3">
        <v>43377</v>
      </c>
      <c r="W10">
        <f t="shared" si="2"/>
        <v>22</v>
      </c>
      <c r="X10" s="5">
        <v>0</v>
      </c>
      <c r="Y10" s="5">
        <v>2</v>
      </c>
      <c r="Z10" s="5">
        <v>1</v>
      </c>
      <c r="AA10" s="5">
        <v>0</v>
      </c>
      <c r="AB10">
        <v>1</v>
      </c>
      <c r="AC10" t="s">
        <v>1061</v>
      </c>
      <c r="AD10">
        <v>690</v>
      </c>
      <c r="AE10">
        <v>4</v>
      </c>
      <c r="AF10" t="str">
        <f t="shared" si="1"/>
        <v>TRUE</v>
      </c>
    </row>
    <row r="11" spans="1:32">
      <c r="A11" t="s">
        <v>77</v>
      </c>
      <c r="B11">
        <v>13.90098008</v>
      </c>
      <c r="C11" t="s">
        <v>34</v>
      </c>
      <c r="D11">
        <v>8.8986663499999992</v>
      </c>
      <c r="E11" t="s">
        <v>35</v>
      </c>
      <c r="F11">
        <v>68.37778213</v>
      </c>
      <c r="G11" t="s">
        <v>35</v>
      </c>
      <c r="H11">
        <v>475.24810780000001</v>
      </c>
      <c r="I11">
        <v>10.884914950000001</v>
      </c>
      <c r="J11">
        <v>13.043611670000001</v>
      </c>
      <c r="K11">
        <v>3.4206184529999999</v>
      </c>
      <c r="L11">
        <v>560.09710959999995</v>
      </c>
      <c r="M11">
        <v>1.3337762790000001</v>
      </c>
      <c r="N11">
        <v>10073.861209999999</v>
      </c>
      <c r="O11" s="1" t="s">
        <v>822</v>
      </c>
      <c r="P11" t="s">
        <v>77</v>
      </c>
      <c r="Q11" s="1" t="s">
        <v>1110</v>
      </c>
      <c r="R11" t="s">
        <v>1062</v>
      </c>
      <c r="S11" t="s">
        <v>1067</v>
      </c>
      <c r="T11" t="s">
        <v>1068</v>
      </c>
      <c r="U11" s="3">
        <v>23573</v>
      </c>
      <c r="V11" s="3">
        <v>43392</v>
      </c>
      <c r="W11">
        <f t="shared" si="2"/>
        <v>54</v>
      </c>
      <c r="X11">
        <v>0</v>
      </c>
      <c r="Y11">
        <v>2</v>
      </c>
      <c r="Z11" s="9">
        <v>1</v>
      </c>
      <c r="AA11" s="9">
        <v>0</v>
      </c>
      <c r="AB11">
        <v>1</v>
      </c>
      <c r="AC11" t="s">
        <v>1061</v>
      </c>
      <c r="AD11">
        <v>6000</v>
      </c>
      <c r="AE11">
        <v>7</v>
      </c>
      <c r="AF11" t="str">
        <f t="shared" si="1"/>
        <v>TRUE</v>
      </c>
    </row>
    <row r="12" spans="1:32">
      <c r="A12" t="s">
        <v>395</v>
      </c>
      <c r="B12">
        <v>7.9687610390000003</v>
      </c>
      <c r="C12" t="s">
        <v>34</v>
      </c>
      <c r="D12">
        <v>6.8418997490000004</v>
      </c>
      <c r="E12">
        <v>182.0923799</v>
      </c>
      <c r="F12">
        <v>83.690610149999998</v>
      </c>
      <c r="G12" t="s">
        <v>35</v>
      </c>
      <c r="H12">
        <v>101.2771429</v>
      </c>
      <c r="I12">
        <v>9.5363433369999999</v>
      </c>
      <c r="J12">
        <v>14.366669229999999</v>
      </c>
      <c r="K12">
        <v>3.8644045990000002</v>
      </c>
      <c r="L12">
        <v>414.0081758</v>
      </c>
      <c r="M12">
        <v>1.917680805</v>
      </c>
      <c r="N12">
        <v>9223.8367760000001</v>
      </c>
      <c r="O12" s="1" t="s">
        <v>826</v>
      </c>
      <c r="P12" t="s">
        <v>395</v>
      </c>
      <c r="Q12" s="1" t="s">
        <v>1111</v>
      </c>
      <c r="R12" t="s">
        <v>1062</v>
      </c>
      <c r="S12" t="s">
        <v>1072</v>
      </c>
      <c r="T12" t="s">
        <v>1068</v>
      </c>
      <c r="U12" s="3">
        <v>30482</v>
      </c>
      <c r="V12" s="3">
        <v>43410</v>
      </c>
      <c r="W12">
        <v>35</v>
      </c>
      <c r="X12">
        <v>0</v>
      </c>
      <c r="Y12">
        <v>2</v>
      </c>
      <c r="Z12" s="9">
        <v>1</v>
      </c>
      <c r="AA12" s="9">
        <v>0</v>
      </c>
      <c r="AB12">
        <v>1</v>
      </c>
      <c r="AC12" t="s">
        <v>1061</v>
      </c>
      <c r="AD12">
        <v>700</v>
      </c>
      <c r="AE12">
        <v>7</v>
      </c>
      <c r="AF12" t="str">
        <f t="shared" si="1"/>
        <v>TRUE</v>
      </c>
    </row>
    <row r="13" spans="1:32">
      <c r="A13" t="s">
        <v>599</v>
      </c>
      <c r="B13">
        <v>4.356645264</v>
      </c>
      <c r="C13" t="s">
        <v>34</v>
      </c>
      <c r="D13">
        <v>5.1721292070000002</v>
      </c>
      <c r="E13" t="s">
        <v>35</v>
      </c>
      <c r="F13">
        <v>87.929660220000002</v>
      </c>
      <c r="G13" t="s">
        <v>35</v>
      </c>
      <c r="H13">
        <v>812.8120864</v>
      </c>
      <c r="I13">
        <v>3.4055202910000002</v>
      </c>
      <c r="J13">
        <v>112.1824582</v>
      </c>
      <c r="K13">
        <v>1.0509073579999999</v>
      </c>
      <c r="L13">
        <v>414.38336859999998</v>
      </c>
      <c r="M13">
        <v>2.7587510210000001</v>
      </c>
      <c r="N13">
        <v>9711.2213119999997</v>
      </c>
      <c r="O13" s="1" t="s">
        <v>827</v>
      </c>
      <c r="P13" t="s">
        <v>599</v>
      </c>
      <c r="Q13" s="1" t="s">
        <v>1112</v>
      </c>
      <c r="R13" t="s">
        <v>1062</v>
      </c>
      <c r="S13" t="s">
        <v>1067</v>
      </c>
      <c r="T13" t="s">
        <v>1068</v>
      </c>
      <c r="U13" s="3">
        <v>24908</v>
      </c>
      <c r="V13" s="3">
        <v>43411</v>
      </c>
      <c r="W13">
        <f>DATEDIF(U13,V13,"Y")</f>
        <v>50</v>
      </c>
      <c r="X13">
        <v>1</v>
      </c>
      <c r="Y13">
        <v>2</v>
      </c>
      <c r="Z13" s="9">
        <v>0</v>
      </c>
      <c r="AA13" s="9">
        <v>0</v>
      </c>
      <c r="AB13">
        <v>1</v>
      </c>
      <c r="AC13" t="s">
        <v>1061</v>
      </c>
      <c r="AD13">
        <v>322</v>
      </c>
      <c r="AE13">
        <v>4</v>
      </c>
      <c r="AF13" t="str">
        <f t="shared" si="1"/>
        <v>TRUE</v>
      </c>
    </row>
    <row r="14" spans="1:32">
      <c r="A14" t="s">
        <v>275</v>
      </c>
      <c r="B14">
        <v>4.8753795440000003</v>
      </c>
      <c r="C14" t="s">
        <v>34</v>
      </c>
      <c r="D14">
        <v>9.0827824499999998</v>
      </c>
      <c r="E14">
        <v>197.39859530000001</v>
      </c>
      <c r="F14">
        <v>101.44845220000001</v>
      </c>
      <c r="G14" t="s">
        <v>35</v>
      </c>
      <c r="H14">
        <v>220.52513949999999</v>
      </c>
      <c r="I14">
        <v>7.8744174429999996</v>
      </c>
      <c r="J14">
        <v>13.763568210000001</v>
      </c>
      <c r="K14">
        <v>4.1600462450000002</v>
      </c>
      <c r="L14">
        <v>580.82231660000002</v>
      </c>
      <c r="M14">
        <v>1.5219930399999999</v>
      </c>
      <c r="N14">
        <v>12473.17246</v>
      </c>
      <c r="O14" s="1" t="s">
        <v>834</v>
      </c>
      <c r="P14" t="s">
        <v>275</v>
      </c>
      <c r="Q14" s="1" t="s">
        <v>1113</v>
      </c>
      <c r="R14" t="s">
        <v>1062</v>
      </c>
      <c r="S14" t="s">
        <v>1067</v>
      </c>
      <c r="T14" t="s">
        <v>1068</v>
      </c>
      <c r="U14" s="3">
        <v>29437</v>
      </c>
      <c r="V14" s="3">
        <v>43417</v>
      </c>
      <c r="W14">
        <f>DATEDIF(U14,V14,"Y")</f>
        <v>38</v>
      </c>
      <c r="X14">
        <v>1</v>
      </c>
      <c r="Y14">
        <v>3</v>
      </c>
      <c r="Z14" s="9">
        <v>1</v>
      </c>
      <c r="AA14" s="9">
        <v>0</v>
      </c>
      <c r="AB14">
        <v>1</v>
      </c>
      <c r="AC14" t="s">
        <v>1061</v>
      </c>
      <c r="AD14">
        <v>1073</v>
      </c>
      <c r="AE14">
        <v>10</v>
      </c>
      <c r="AF14" t="str">
        <f t="shared" si="1"/>
        <v>TRUE</v>
      </c>
    </row>
    <row r="15" spans="1:32">
      <c r="A15" t="s">
        <v>461</v>
      </c>
      <c r="B15">
        <v>7.9730037810000001</v>
      </c>
      <c r="C15" t="s">
        <v>34</v>
      </c>
      <c r="D15">
        <v>5.5280722750000004</v>
      </c>
      <c r="E15" t="s">
        <v>35</v>
      </c>
      <c r="F15">
        <v>74.203743079999995</v>
      </c>
      <c r="G15">
        <v>4900.202483</v>
      </c>
      <c r="H15">
        <v>132.5378781</v>
      </c>
      <c r="I15">
        <v>6.5215593549999999</v>
      </c>
      <c r="J15">
        <v>19.742541760000002</v>
      </c>
      <c r="K15">
        <v>2.58589212</v>
      </c>
      <c r="L15">
        <v>266.10956329999999</v>
      </c>
      <c r="M15">
        <v>1.164060782</v>
      </c>
      <c r="N15">
        <v>9893.9217680000002</v>
      </c>
      <c r="O15" s="1" t="s">
        <v>835</v>
      </c>
      <c r="P15" t="s">
        <v>461</v>
      </c>
      <c r="Q15" s="1" t="s">
        <v>1108</v>
      </c>
      <c r="R15" t="s">
        <v>1062</v>
      </c>
      <c r="S15" t="s">
        <v>1072</v>
      </c>
      <c r="T15" t="s">
        <v>1068</v>
      </c>
      <c r="U15" s="3">
        <v>31343</v>
      </c>
      <c r="V15" s="3">
        <v>43418</v>
      </c>
      <c r="W15">
        <f>DATEDIF(U15,V15,"Y")</f>
        <v>33</v>
      </c>
      <c r="X15">
        <v>0</v>
      </c>
      <c r="Y15">
        <v>2</v>
      </c>
      <c r="Z15" s="9">
        <v>1</v>
      </c>
      <c r="AA15" s="9">
        <v>0</v>
      </c>
      <c r="AB15">
        <v>2</v>
      </c>
      <c r="AC15" t="s">
        <v>1061</v>
      </c>
      <c r="AD15">
        <v>20</v>
      </c>
      <c r="AE15">
        <v>0</v>
      </c>
      <c r="AF15" t="str">
        <f t="shared" si="1"/>
        <v>TRUE</v>
      </c>
    </row>
    <row r="16" spans="1:32">
      <c r="A16" t="s">
        <v>740</v>
      </c>
      <c r="B16">
        <v>8.1735190739999997</v>
      </c>
      <c r="C16" t="s">
        <v>34</v>
      </c>
      <c r="D16">
        <v>12.036080370000001</v>
      </c>
      <c r="E16">
        <v>114.4296617</v>
      </c>
      <c r="F16">
        <v>69.425609350000002</v>
      </c>
      <c r="G16" t="s">
        <v>35</v>
      </c>
      <c r="H16">
        <v>687.76959899999997</v>
      </c>
      <c r="I16">
        <v>9.6992064160000009</v>
      </c>
      <c r="J16">
        <v>9.0028417879999996</v>
      </c>
      <c r="K16">
        <v>7.2167971550000001</v>
      </c>
      <c r="L16">
        <v>374.24260240000001</v>
      </c>
      <c r="M16">
        <v>1.537294224</v>
      </c>
      <c r="N16">
        <v>10337.984710000001</v>
      </c>
      <c r="O16" s="1" t="s">
        <v>837</v>
      </c>
      <c r="P16" t="s">
        <v>740</v>
      </c>
      <c r="Q16" s="1" t="s">
        <v>1114</v>
      </c>
      <c r="R16" t="s">
        <v>1062</v>
      </c>
      <c r="S16" t="s">
        <v>1072</v>
      </c>
      <c r="T16" t="s">
        <v>1068</v>
      </c>
      <c r="U16" s="3">
        <v>25575</v>
      </c>
      <c r="V16" s="3">
        <v>43426</v>
      </c>
      <c r="W16">
        <f>DATEDIF(U16,V16,"Y")</f>
        <v>48</v>
      </c>
      <c r="X16">
        <v>0</v>
      </c>
      <c r="Y16">
        <v>3</v>
      </c>
      <c r="Z16" s="9">
        <v>1</v>
      </c>
      <c r="AA16" s="9">
        <v>0</v>
      </c>
      <c r="AB16">
        <v>1</v>
      </c>
      <c r="AC16" t="s">
        <v>1061</v>
      </c>
      <c r="AD16">
        <v>490</v>
      </c>
      <c r="AE16">
        <v>4</v>
      </c>
      <c r="AF16" t="str">
        <f t="shared" si="1"/>
        <v>TRUE</v>
      </c>
    </row>
    <row r="17" spans="1:32">
      <c r="A17" t="s">
        <v>257</v>
      </c>
      <c r="B17">
        <v>14.748264900000001</v>
      </c>
      <c r="C17" t="s">
        <v>34</v>
      </c>
      <c r="D17">
        <v>7.614392337</v>
      </c>
      <c r="E17" t="s">
        <v>35</v>
      </c>
      <c r="F17">
        <v>77.485353040000007</v>
      </c>
      <c r="G17" t="s">
        <v>35</v>
      </c>
      <c r="H17">
        <v>416.89059930000002</v>
      </c>
      <c r="I17">
        <v>11.33122081</v>
      </c>
      <c r="J17">
        <v>19.547399760000001</v>
      </c>
      <c r="K17">
        <v>5.4689928129999998</v>
      </c>
      <c r="L17">
        <v>470.98588059999997</v>
      </c>
      <c r="M17">
        <v>1.3333481789999999</v>
      </c>
      <c r="N17">
        <v>9503.8908769999998</v>
      </c>
      <c r="O17" s="1" t="s">
        <v>838</v>
      </c>
      <c r="P17" t="s">
        <v>257</v>
      </c>
      <c r="Q17" s="1" t="s">
        <v>1115</v>
      </c>
      <c r="R17" t="s">
        <v>1062</v>
      </c>
      <c r="S17" t="s">
        <v>1063</v>
      </c>
      <c r="T17" t="s">
        <v>1068</v>
      </c>
      <c r="U17" s="3">
        <v>17139</v>
      </c>
      <c r="V17" s="3">
        <v>43427</v>
      </c>
      <c r="W17">
        <f>DATEDIF(U17,V17,"Y")</f>
        <v>71</v>
      </c>
      <c r="X17">
        <v>0</v>
      </c>
      <c r="Y17">
        <v>1</v>
      </c>
      <c r="Z17" s="9">
        <v>1</v>
      </c>
      <c r="AA17" s="9">
        <v>0</v>
      </c>
      <c r="AB17">
        <v>1</v>
      </c>
      <c r="AC17" t="s">
        <v>1061</v>
      </c>
      <c r="AD17">
        <v>164</v>
      </c>
      <c r="AE17">
        <v>4</v>
      </c>
      <c r="AF17" t="str">
        <f t="shared" si="1"/>
        <v>TRUE</v>
      </c>
    </row>
    <row r="18" spans="1:32">
      <c r="A18" t="s">
        <v>137</v>
      </c>
      <c r="B18">
        <v>10.645415270000001</v>
      </c>
      <c r="C18" t="s">
        <v>34</v>
      </c>
      <c r="D18">
        <v>10.553437580000001</v>
      </c>
      <c r="E18">
        <v>180.25763069999999</v>
      </c>
      <c r="F18">
        <v>68.358234060000001</v>
      </c>
      <c r="G18" t="s">
        <v>35</v>
      </c>
      <c r="H18">
        <v>279.6283851</v>
      </c>
      <c r="I18">
        <v>16.321337920000001</v>
      </c>
      <c r="J18">
        <v>15.039950709999999</v>
      </c>
      <c r="K18">
        <v>8.1509388919999992</v>
      </c>
      <c r="L18">
        <v>493.59435079999997</v>
      </c>
      <c r="M18">
        <v>1.2293272799999999</v>
      </c>
      <c r="N18">
        <v>12998.88767</v>
      </c>
      <c r="O18" s="1" t="s">
        <v>843</v>
      </c>
      <c r="P18" t="s">
        <v>137</v>
      </c>
      <c r="Q18" s="1" t="s">
        <v>1116</v>
      </c>
      <c r="R18" t="s">
        <v>1062</v>
      </c>
      <c r="S18" t="s">
        <v>1063</v>
      </c>
      <c r="T18" t="s">
        <v>1068</v>
      </c>
      <c r="U18" s="3">
        <v>36196</v>
      </c>
      <c r="V18" s="3">
        <v>43419</v>
      </c>
      <c r="W18">
        <v>19</v>
      </c>
      <c r="X18" s="13">
        <v>1</v>
      </c>
      <c r="Y18" s="13">
        <v>1</v>
      </c>
      <c r="Z18" s="14">
        <v>1</v>
      </c>
      <c r="AA18" s="14">
        <v>0</v>
      </c>
      <c r="AB18">
        <v>1</v>
      </c>
      <c r="AC18" t="s">
        <v>1061</v>
      </c>
      <c r="AD18">
        <v>900</v>
      </c>
      <c r="AE18">
        <v>9</v>
      </c>
      <c r="AF18" t="str">
        <f t="shared" si="1"/>
        <v>TRUE</v>
      </c>
    </row>
    <row r="19" spans="1:32">
      <c r="A19" t="s">
        <v>473</v>
      </c>
      <c r="B19">
        <v>5.3024414100000001</v>
      </c>
      <c r="C19" t="s">
        <v>34</v>
      </c>
      <c r="D19">
        <v>7.5763545309999998</v>
      </c>
      <c r="E19">
        <v>197.21342709999999</v>
      </c>
      <c r="F19">
        <v>64.182145879999993</v>
      </c>
      <c r="G19" t="s">
        <v>35</v>
      </c>
      <c r="H19">
        <v>346.6580697</v>
      </c>
      <c r="I19">
        <v>7.093967299</v>
      </c>
      <c r="J19">
        <v>9.7432261990000004</v>
      </c>
      <c r="K19">
        <v>2.760076593</v>
      </c>
      <c r="L19">
        <v>424.76633370000002</v>
      </c>
      <c r="M19">
        <v>1.19651872</v>
      </c>
      <c r="N19">
        <v>16266.954379999999</v>
      </c>
      <c r="O19" s="1" t="s">
        <v>845</v>
      </c>
      <c r="P19" t="s">
        <v>473</v>
      </c>
      <c r="Q19" s="1" t="s">
        <v>1105</v>
      </c>
      <c r="R19" t="s">
        <v>1062</v>
      </c>
      <c r="S19" t="s">
        <v>1067</v>
      </c>
      <c r="T19" t="s">
        <v>1068</v>
      </c>
      <c r="U19" s="3">
        <v>30401</v>
      </c>
      <c r="V19" s="3">
        <v>43469</v>
      </c>
      <c r="W19">
        <f>DATEDIF(U19,V19,"Y")</f>
        <v>35</v>
      </c>
      <c r="X19" s="13">
        <v>0</v>
      </c>
      <c r="Y19" s="13">
        <v>2</v>
      </c>
      <c r="Z19" s="9">
        <v>1</v>
      </c>
      <c r="AA19" s="9">
        <v>0</v>
      </c>
      <c r="AB19">
        <v>2</v>
      </c>
      <c r="AC19" t="s">
        <v>1061</v>
      </c>
      <c r="AD19">
        <v>35</v>
      </c>
      <c r="AE19">
        <v>3</v>
      </c>
      <c r="AF19" t="str">
        <f t="shared" si="1"/>
        <v>TRUE</v>
      </c>
    </row>
    <row r="20" spans="1:32">
      <c r="A20" t="s">
        <v>653</v>
      </c>
      <c r="B20">
        <v>15.94668321</v>
      </c>
      <c r="C20">
        <v>6.8954535359999998</v>
      </c>
      <c r="D20">
        <v>19.663361009999999</v>
      </c>
      <c r="E20">
        <v>187.07304310000001</v>
      </c>
      <c r="F20">
        <v>200.11222119999999</v>
      </c>
      <c r="G20" t="s">
        <v>35</v>
      </c>
      <c r="H20">
        <v>440.91393570000002</v>
      </c>
      <c r="I20">
        <v>11.545307279999999</v>
      </c>
      <c r="J20">
        <v>9.7613532910000007</v>
      </c>
      <c r="K20">
        <v>6.33677153</v>
      </c>
      <c r="L20">
        <v>623.27216369999996</v>
      </c>
      <c r="M20">
        <v>3.2731643689999999</v>
      </c>
      <c r="N20">
        <v>14580.49273</v>
      </c>
      <c r="O20" s="1" t="s">
        <v>846</v>
      </c>
      <c r="P20" t="s">
        <v>653</v>
      </c>
      <c r="Q20" s="1" t="s">
        <v>1106</v>
      </c>
      <c r="R20" t="s">
        <v>1062</v>
      </c>
      <c r="S20" t="s">
        <v>1067</v>
      </c>
      <c r="T20" t="s">
        <v>1068</v>
      </c>
      <c r="U20" s="3">
        <v>32618</v>
      </c>
      <c r="V20" s="3">
        <v>43476</v>
      </c>
      <c r="W20">
        <f>DATEDIF(U20,V20,"Y")</f>
        <v>29</v>
      </c>
      <c r="X20">
        <v>0</v>
      </c>
      <c r="Y20">
        <v>2</v>
      </c>
      <c r="Z20" s="9">
        <v>1</v>
      </c>
      <c r="AA20" s="9">
        <v>0</v>
      </c>
      <c r="AB20">
        <v>2</v>
      </c>
      <c r="AC20" t="s">
        <v>1061</v>
      </c>
      <c r="AD20">
        <v>103</v>
      </c>
      <c r="AE20">
        <v>2</v>
      </c>
      <c r="AF20" t="str">
        <f t="shared" si="1"/>
        <v>TRUE</v>
      </c>
    </row>
    <row r="21" spans="1:32">
      <c r="A21" t="s">
        <v>80</v>
      </c>
      <c r="B21">
        <v>13.584303930000001</v>
      </c>
      <c r="C21" t="s">
        <v>34</v>
      </c>
      <c r="D21">
        <v>9.891883086</v>
      </c>
      <c r="E21" t="s">
        <v>35</v>
      </c>
      <c r="F21">
        <v>40.03136473</v>
      </c>
      <c r="G21" t="s">
        <v>35</v>
      </c>
      <c r="H21">
        <v>225.40621340000001</v>
      </c>
      <c r="I21">
        <v>7.7772106619999999</v>
      </c>
      <c r="J21">
        <v>13.83973479</v>
      </c>
      <c r="K21">
        <v>3.6309683879999999</v>
      </c>
      <c r="L21">
        <v>362.1748963</v>
      </c>
      <c r="M21">
        <v>1.0203746819999999</v>
      </c>
      <c r="N21">
        <v>12867.030059999999</v>
      </c>
      <c r="O21" s="1" t="s">
        <v>847</v>
      </c>
      <c r="P21" t="s">
        <v>80</v>
      </c>
      <c r="Q21" s="1" t="s">
        <v>1110</v>
      </c>
      <c r="R21" t="s">
        <v>1062</v>
      </c>
      <c r="S21" t="s">
        <v>1067</v>
      </c>
      <c r="T21" t="s">
        <v>1068</v>
      </c>
      <c r="U21" s="3">
        <v>23573</v>
      </c>
      <c r="V21" s="3">
        <v>43483</v>
      </c>
      <c r="W21">
        <f>DATEDIF(U21,V21,"Y")</f>
        <v>54</v>
      </c>
      <c r="X21" s="13">
        <v>0</v>
      </c>
      <c r="Y21" s="13">
        <v>2</v>
      </c>
      <c r="Z21" s="14">
        <v>1</v>
      </c>
      <c r="AA21" s="14">
        <v>0</v>
      </c>
      <c r="AB21">
        <v>2</v>
      </c>
      <c r="AC21" t="s">
        <v>1061</v>
      </c>
      <c r="AD21">
        <v>15</v>
      </c>
      <c r="AE21">
        <v>0</v>
      </c>
      <c r="AF21" t="str">
        <f t="shared" si="1"/>
        <v>TRUE</v>
      </c>
    </row>
    <row r="22" spans="1:32">
      <c r="A22" t="s">
        <v>698</v>
      </c>
      <c r="B22">
        <v>6.0288775000000001</v>
      </c>
      <c r="C22" t="s">
        <v>34</v>
      </c>
      <c r="D22">
        <v>3.8084949290000001</v>
      </c>
      <c r="E22">
        <v>188.53314929999999</v>
      </c>
      <c r="F22">
        <v>49.418430919999999</v>
      </c>
      <c r="G22" t="s">
        <v>35</v>
      </c>
      <c r="H22">
        <v>93.499792600000006</v>
      </c>
      <c r="I22">
        <v>4.8595046179999999</v>
      </c>
      <c r="J22">
        <v>7.0677833970000004</v>
      </c>
      <c r="K22">
        <v>2.4612571399999998</v>
      </c>
      <c r="L22">
        <v>233.85697099999999</v>
      </c>
      <c r="M22">
        <v>1.325359435</v>
      </c>
      <c r="N22">
        <v>7920.6276129999997</v>
      </c>
      <c r="O22" s="1" t="s">
        <v>852</v>
      </c>
      <c r="P22" t="s">
        <v>698</v>
      </c>
      <c r="Q22" s="1" t="s">
        <v>1117</v>
      </c>
      <c r="R22" t="s">
        <v>1062</v>
      </c>
      <c r="S22" t="s">
        <v>1067</v>
      </c>
      <c r="T22" t="s">
        <v>1068</v>
      </c>
      <c r="U22" s="3">
        <v>35129</v>
      </c>
      <c r="V22" s="3">
        <v>43489</v>
      </c>
      <c r="W22">
        <v>23</v>
      </c>
      <c r="X22">
        <v>0</v>
      </c>
      <c r="Y22">
        <v>2</v>
      </c>
      <c r="Z22" s="9">
        <v>1</v>
      </c>
      <c r="AA22" s="9">
        <v>0</v>
      </c>
      <c r="AB22">
        <v>1</v>
      </c>
      <c r="AC22" t="s">
        <v>1061</v>
      </c>
      <c r="AD22">
        <v>6000</v>
      </c>
      <c r="AE22">
        <v>7</v>
      </c>
      <c r="AF22" t="str">
        <f t="shared" si="1"/>
        <v>TRUE</v>
      </c>
    </row>
    <row r="23" spans="1:32">
      <c r="A23" t="s">
        <v>392</v>
      </c>
      <c r="B23">
        <v>8.172217775</v>
      </c>
      <c r="C23" t="s">
        <v>34</v>
      </c>
      <c r="D23">
        <v>9.5961409569999994</v>
      </c>
      <c r="E23">
        <v>187.19036740000001</v>
      </c>
      <c r="F23">
        <v>111.1924609</v>
      </c>
      <c r="G23" t="s">
        <v>35</v>
      </c>
      <c r="H23">
        <v>301.8412841</v>
      </c>
      <c r="I23">
        <v>8.6821076440000002</v>
      </c>
      <c r="J23">
        <v>33.04762607</v>
      </c>
      <c r="K23">
        <v>5.1484135750000002</v>
      </c>
      <c r="L23">
        <v>367.52601870000001</v>
      </c>
      <c r="M23">
        <v>1.651655638</v>
      </c>
      <c r="N23">
        <v>10331.34498</v>
      </c>
      <c r="O23" s="1" t="s">
        <v>855</v>
      </c>
      <c r="P23" t="s">
        <v>392</v>
      </c>
      <c r="Q23" s="1" t="s">
        <v>1111</v>
      </c>
      <c r="R23" t="s">
        <v>1062</v>
      </c>
      <c r="S23" t="s">
        <v>1072</v>
      </c>
      <c r="T23" t="s">
        <v>1068</v>
      </c>
      <c r="U23" s="3">
        <v>30482</v>
      </c>
      <c r="V23" s="3">
        <v>43518</v>
      </c>
      <c r="W23">
        <v>35</v>
      </c>
      <c r="X23" s="13">
        <v>0</v>
      </c>
      <c r="Y23" s="13">
        <v>2</v>
      </c>
      <c r="Z23" s="9">
        <v>1</v>
      </c>
      <c r="AA23" s="9">
        <v>0</v>
      </c>
      <c r="AB23">
        <v>2</v>
      </c>
      <c r="AC23" t="s">
        <v>1061</v>
      </c>
      <c r="AD23">
        <v>42</v>
      </c>
      <c r="AE23">
        <v>3</v>
      </c>
      <c r="AF23" t="str">
        <f t="shared" si="1"/>
        <v>TRUE</v>
      </c>
    </row>
    <row r="24" spans="1:32">
      <c r="A24" t="s">
        <v>602</v>
      </c>
      <c r="B24">
        <v>8.5078965679999996</v>
      </c>
      <c r="C24" t="s">
        <v>34</v>
      </c>
      <c r="D24">
        <v>6.069815009</v>
      </c>
      <c r="E24">
        <v>186.03805550000001</v>
      </c>
      <c r="F24">
        <v>71.737063620000001</v>
      </c>
      <c r="G24">
        <v>4899.2850879999996</v>
      </c>
      <c r="H24">
        <v>753.57937019999997</v>
      </c>
      <c r="I24">
        <v>5.7502580879999998</v>
      </c>
      <c r="J24">
        <v>30.432261409999999</v>
      </c>
      <c r="K24">
        <v>2.1262207659999999</v>
      </c>
      <c r="L24">
        <v>437.8826689</v>
      </c>
      <c r="M24">
        <v>2.1532879789999999</v>
      </c>
      <c r="N24">
        <v>12061.12328</v>
      </c>
      <c r="O24" s="1" t="s">
        <v>856</v>
      </c>
      <c r="P24" t="s">
        <v>602</v>
      </c>
      <c r="Q24" s="1" t="s">
        <v>1112</v>
      </c>
      <c r="R24" t="s">
        <v>1062</v>
      </c>
      <c r="S24" t="s">
        <v>1067</v>
      </c>
      <c r="T24" t="s">
        <v>1068</v>
      </c>
      <c r="U24" s="3">
        <v>24908</v>
      </c>
      <c r="V24" s="3">
        <v>43509</v>
      </c>
      <c r="W24">
        <f t="shared" ref="W24:W31" si="3">DATEDIF(U24,V24,"Y")</f>
        <v>50</v>
      </c>
      <c r="X24" s="13">
        <v>1</v>
      </c>
      <c r="Y24" s="13">
        <v>2</v>
      </c>
      <c r="Z24" s="14">
        <v>0</v>
      </c>
      <c r="AA24" s="14">
        <v>0</v>
      </c>
      <c r="AB24">
        <v>2</v>
      </c>
      <c r="AC24" t="s">
        <v>1061</v>
      </c>
      <c r="AD24">
        <v>15</v>
      </c>
      <c r="AE24">
        <v>2</v>
      </c>
      <c r="AF24" t="str">
        <f t="shared" si="1"/>
        <v>TRUE</v>
      </c>
    </row>
    <row r="25" spans="1:32">
      <c r="A25" t="s">
        <v>554</v>
      </c>
      <c r="B25">
        <v>11.92184144</v>
      </c>
      <c r="C25" t="s">
        <v>34</v>
      </c>
      <c r="D25">
        <v>9.5301141420000004</v>
      </c>
      <c r="E25" t="s">
        <v>35</v>
      </c>
      <c r="F25">
        <v>100.0811908</v>
      </c>
      <c r="G25" t="s">
        <v>35</v>
      </c>
      <c r="H25">
        <v>675.72694139999999</v>
      </c>
      <c r="I25">
        <v>8.0772210330000007</v>
      </c>
      <c r="J25">
        <v>18.311309659999999</v>
      </c>
      <c r="K25">
        <v>3.2709127609999999</v>
      </c>
      <c r="L25">
        <v>423.6371762</v>
      </c>
      <c r="M25">
        <v>2.137539479</v>
      </c>
      <c r="N25">
        <v>7617.0195480000002</v>
      </c>
      <c r="O25" s="1" t="s">
        <v>857</v>
      </c>
      <c r="P25" t="s">
        <v>554</v>
      </c>
      <c r="Q25" s="1" t="s">
        <v>1118</v>
      </c>
      <c r="R25" t="s">
        <v>1062</v>
      </c>
      <c r="S25" t="s">
        <v>1063</v>
      </c>
      <c r="T25" t="s">
        <v>1068</v>
      </c>
      <c r="U25" s="3">
        <v>25311</v>
      </c>
      <c r="V25" s="3">
        <v>43511</v>
      </c>
      <c r="W25">
        <f t="shared" si="3"/>
        <v>49</v>
      </c>
      <c r="X25">
        <v>1</v>
      </c>
      <c r="Y25">
        <v>3</v>
      </c>
      <c r="Z25" s="9">
        <v>1</v>
      </c>
      <c r="AA25" s="9">
        <v>0</v>
      </c>
      <c r="AB25">
        <v>1</v>
      </c>
      <c r="AC25" t="s">
        <v>1061</v>
      </c>
      <c r="AD25">
        <v>2216</v>
      </c>
      <c r="AE25">
        <v>7</v>
      </c>
      <c r="AF25" t="str">
        <f t="shared" si="1"/>
        <v>TRUE</v>
      </c>
    </row>
    <row r="26" spans="1:32">
      <c r="A26" t="s">
        <v>533</v>
      </c>
      <c r="B26">
        <v>4.1799160190000002</v>
      </c>
      <c r="C26" t="s">
        <v>34</v>
      </c>
      <c r="D26">
        <v>6.1921874609999996</v>
      </c>
      <c r="E26">
        <v>114.97724940000001</v>
      </c>
      <c r="F26">
        <v>58.453195260000001</v>
      </c>
      <c r="G26" t="s">
        <v>35</v>
      </c>
      <c r="H26">
        <v>230.11962729999999</v>
      </c>
      <c r="I26">
        <v>7.6990510739999998</v>
      </c>
      <c r="J26">
        <v>11.11008492</v>
      </c>
      <c r="K26">
        <v>3.0412358589999999</v>
      </c>
      <c r="L26">
        <v>414.78132399999998</v>
      </c>
      <c r="M26">
        <v>0.83152047600000001</v>
      </c>
      <c r="N26">
        <v>9540.3707680000007</v>
      </c>
      <c r="O26" s="1" t="s">
        <v>858</v>
      </c>
      <c r="P26" t="s">
        <v>533</v>
      </c>
      <c r="Q26" s="1" t="s">
        <v>1119</v>
      </c>
      <c r="R26" t="s">
        <v>1062</v>
      </c>
      <c r="S26" t="s">
        <v>1063</v>
      </c>
      <c r="T26" t="s">
        <v>1064</v>
      </c>
      <c r="U26" s="3">
        <v>36595</v>
      </c>
      <c r="V26" s="3">
        <v>43490</v>
      </c>
      <c r="W26">
        <f t="shared" si="3"/>
        <v>18</v>
      </c>
      <c r="X26">
        <v>1</v>
      </c>
      <c r="Y26">
        <v>2</v>
      </c>
      <c r="Z26" s="9">
        <v>1</v>
      </c>
      <c r="AA26" s="9">
        <v>0</v>
      </c>
      <c r="AB26">
        <v>1</v>
      </c>
      <c r="AC26" t="s">
        <v>1065</v>
      </c>
      <c r="AD26">
        <v>1276</v>
      </c>
      <c r="AE26">
        <v>11</v>
      </c>
      <c r="AF26" t="str">
        <f t="shared" si="1"/>
        <v>TRUE</v>
      </c>
    </row>
    <row r="27" spans="1:32">
      <c r="A27" t="s">
        <v>179</v>
      </c>
      <c r="B27">
        <v>3.6500806899999998</v>
      </c>
      <c r="C27" t="s">
        <v>34</v>
      </c>
      <c r="D27">
        <v>5.5144173299999997</v>
      </c>
      <c r="E27" t="s">
        <v>35</v>
      </c>
      <c r="F27">
        <v>62.659016479999998</v>
      </c>
      <c r="G27" t="s">
        <v>35</v>
      </c>
      <c r="H27">
        <v>243.56147619999999</v>
      </c>
      <c r="I27">
        <v>8.990953245</v>
      </c>
      <c r="J27">
        <v>22.24318835</v>
      </c>
      <c r="K27">
        <v>1.306528583</v>
      </c>
      <c r="L27">
        <v>458.1405709</v>
      </c>
      <c r="M27">
        <v>1.7565826499999999</v>
      </c>
      <c r="N27">
        <v>9436.3491190000004</v>
      </c>
      <c r="O27" s="1" t="s">
        <v>865</v>
      </c>
      <c r="P27" t="s">
        <v>179</v>
      </c>
      <c r="Q27" s="1" t="s">
        <v>1120</v>
      </c>
      <c r="R27" t="s">
        <v>1062</v>
      </c>
      <c r="S27" t="s">
        <v>1063</v>
      </c>
      <c r="T27" t="s">
        <v>1064</v>
      </c>
      <c r="U27" s="3">
        <v>34403</v>
      </c>
      <c r="V27" s="3">
        <v>43529</v>
      </c>
      <c r="W27">
        <f t="shared" si="3"/>
        <v>24</v>
      </c>
      <c r="X27" s="13">
        <v>0</v>
      </c>
      <c r="Y27" s="13">
        <v>1</v>
      </c>
      <c r="Z27" s="14">
        <v>0</v>
      </c>
      <c r="AA27" s="14">
        <v>1</v>
      </c>
      <c r="AB27">
        <v>1</v>
      </c>
      <c r="AC27" t="s">
        <v>1065</v>
      </c>
      <c r="AD27">
        <v>2021</v>
      </c>
      <c r="AE27">
        <v>5</v>
      </c>
      <c r="AF27" t="str">
        <f t="shared" si="1"/>
        <v>TRUE</v>
      </c>
    </row>
    <row r="28" spans="1:32">
      <c r="A28" t="s">
        <v>287</v>
      </c>
      <c r="B28">
        <v>6.0532374750000004</v>
      </c>
      <c r="C28" t="s">
        <v>34</v>
      </c>
      <c r="D28">
        <v>8.5265529890000007</v>
      </c>
      <c r="E28">
        <v>157.81936769999999</v>
      </c>
      <c r="F28">
        <v>69.425126680000005</v>
      </c>
      <c r="G28" t="s">
        <v>35</v>
      </c>
      <c r="H28">
        <v>211.49313760000001</v>
      </c>
      <c r="I28">
        <v>14.6503367</v>
      </c>
      <c r="J28">
        <v>11.845672220000001</v>
      </c>
      <c r="K28">
        <v>5.3123567789999999</v>
      </c>
      <c r="L28">
        <v>362.6285939</v>
      </c>
      <c r="M28">
        <v>1.487702756</v>
      </c>
      <c r="N28">
        <v>14137.712890000001</v>
      </c>
      <c r="O28" s="1" t="s">
        <v>868</v>
      </c>
      <c r="P28" t="s">
        <v>287</v>
      </c>
      <c r="Q28" s="1" t="s">
        <v>1121</v>
      </c>
      <c r="R28" t="s">
        <v>1062</v>
      </c>
      <c r="S28" t="s">
        <v>1067</v>
      </c>
      <c r="T28" t="s">
        <v>1064</v>
      </c>
      <c r="U28" s="3">
        <v>29943</v>
      </c>
      <c r="V28" s="3">
        <v>43525</v>
      </c>
      <c r="W28">
        <f t="shared" si="3"/>
        <v>37</v>
      </c>
      <c r="X28">
        <v>0</v>
      </c>
      <c r="Y28">
        <v>3</v>
      </c>
      <c r="Z28" s="9">
        <v>1</v>
      </c>
      <c r="AA28" s="9">
        <v>0</v>
      </c>
      <c r="AB28">
        <v>1</v>
      </c>
      <c r="AC28" t="s">
        <v>1061</v>
      </c>
      <c r="AD28">
        <v>922</v>
      </c>
      <c r="AE28">
        <v>8</v>
      </c>
      <c r="AF28" t="str">
        <f t="shared" si="1"/>
        <v>TRUE</v>
      </c>
    </row>
    <row r="29" spans="1:32">
      <c r="A29" t="s">
        <v>695</v>
      </c>
      <c r="B29">
        <v>9.8090088350000002</v>
      </c>
      <c r="C29" t="s">
        <v>34</v>
      </c>
      <c r="D29">
        <v>11.920733520000001</v>
      </c>
      <c r="E29" t="s">
        <v>35</v>
      </c>
      <c r="F29">
        <v>72.266905309999999</v>
      </c>
      <c r="G29">
        <v>4719.9475359999997</v>
      </c>
      <c r="H29">
        <v>197.1869562</v>
      </c>
      <c r="I29">
        <v>8.1288448110000004</v>
      </c>
      <c r="J29">
        <v>16.07770404</v>
      </c>
      <c r="K29">
        <v>6.7295336250000002</v>
      </c>
      <c r="L29">
        <v>390.22062620000003</v>
      </c>
      <c r="M29">
        <v>1.3347298409999999</v>
      </c>
      <c r="N29">
        <v>11672.363670000001</v>
      </c>
      <c r="O29" s="1" t="s">
        <v>870</v>
      </c>
      <c r="P29" t="s">
        <v>695</v>
      </c>
      <c r="Q29" s="1" t="s">
        <v>1117</v>
      </c>
      <c r="R29" t="s">
        <v>1062</v>
      </c>
      <c r="S29" t="s">
        <v>1067</v>
      </c>
      <c r="T29" t="s">
        <v>1068</v>
      </c>
      <c r="U29" s="3">
        <v>35129</v>
      </c>
      <c r="V29" s="3">
        <v>43532</v>
      </c>
      <c r="W29">
        <f t="shared" si="3"/>
        <v>23</v>
      </c>
      <c r="X29">
        <v>0</v>
      </c>
      <c r="Y29">
        <v>2</v>
      </c>
      <c r="Z29" s="9">
        <v>1</v>
      </c>
      <c r="AA29" s="9">
        <v>0</v>
      </c>
      <c r="AB29">
        <v>2</v>
      </c>
      <c r="AC29" t="s">
        <v>1061</v>
      </c>
      <c r="AD29">
        <v>80</v>
      </c>
      <c r="AE29">
        <v>2</v>
      </c>
      <c r="AF29" t="str">
        <f t="shared" si="1"/>
        <v>TRUE</v>
      </c>
    </row>
    <row r="30" spans="1:32">
      <c r="A30" t="s">
        <v>416</v>
      </c>
      <c r="B30">
        <v>8.2725228729999998</v>
      </c>
      <c r="C30">
        <v>4.8312312669999997</v>
      </c>
      <c r="D30">
        <v>6.4551304380000003</v>
      </c>
      <c r="E30" t="s">
        <v>35</v>
      </c>
      <c r="F30">
        <v>164.0343867</v>
      </c>
      <c r="G30" t="s">
        <v>35</v>
      </c>
      <c r="H30">
        <v>207.19924370000001</v>
      </c>
      <c r="I30">
        <v>8.8623096090000004</v>
      </c>
      <c r="J30">
        <v>12.74206025</v>
      </c>
      <c r="K30">
        <v>2.9933622529999999</v>
      </c>
      <c r="L30">
        <v>353.00885440000002</v>
      </c>
      <c r="M30">
        <v>2.1172407660000001</v>
      </c>
      <c r="N30">
        <v>9534.0116990000006</v>
      </c>
      <c r="O30" s="1" t="s">
        <v>872</v>
      </c>
      <c r="P30" t="s">
        <v>416</v>
      </c>
      <c r="Q30" s="1" t="s">
        <v>1122</v>
      </c>
      <c r="R30" t="s">
        <v>1062</v>
      </c>
      <c r="S30" t="s">
        <v>1063</v>
      </c>
      <c r="T30" t="s">
        <v>1068</v>
      </c>
      <c r="U30" s="3">
        <v>31823</v>
      </c>
      <c r="V30" s="3">
        <v>43546</v>
      </c>
      <c r="W30">
        <f t="shared" si="3"/>
        <v>32</v>
      </c>
      <c r="X30">
        <v>0</v>
      </c>
      <c r="Y30">
        <v>2</v>
      </c>
      <c r="Z30" s="9">
        <v>0</v>
      </c>
      <c r="AA30" s="9">
        <v>0</v>
      </c>
      <c r="AB30">
        <v>1</v>
      </c>
      <c r="AC30" t="s">
        <v>1065</v>
      </c>
      <c r="AD30">
        <v>306</v>
      </c>
      <c r="AE30">
        <v>4</v>
      </c>
      <c r="AF30" t="str">
        <f t="shared" si="1"/>
        <v>TRUE</v>
      </c>
    </row>
    <row r="31" spans="1:32">
      <c r="A31" t="s">
        <v>191</v>
      </c>
      <c r="B31">
        <v>2.3039864209999998</v>
      </c>
      <c r="C31" t="s">
        <v>34</v>
      </c>
      <c r="D31">
        <v>4.2041521570000002</v>
      </c>
      <c r="E31" t="s">
        <v>35</v>
      </c>
      <c r="F31">
        <v>51.117094649999999</v>
      </c>
      <c r="G31">
        <v>4847.682933</v>
      </c>
      <c r="H31">
        <v>174.35768110000001</v>
      </c>
      <c r="I31">
        <v>5.4448299889999996</v>
      </c>
      <c r="J31">
        <v>37.356897400000001</v>
      </c>
      <c r="K31">
        <v>0.51297733099999998</v>
      </c>
      <c r="L31">
        <v>371.39224359999997</v>
      </c>
      <c r="M31">
        <v>1.60870332</v>
      </c>
      <c r="N31">
        <v>6860.9702960000004</v>
      </c>
      <c r="O31" s="1" t="s">
        <v>876</v>
      </c>
      <c r="P31" t="s">
        <v>191</v>
      </c>
      <c r="Q31" s="1" t="s">
        <v>1120</v>
      </c>
      <c r="R31" t="s">
        <v>1062</v>
      </c>
      <c r="S31" t="s">
        <v>1063</v>
      </c>
      <c r="T31" t="s">
        <v>1064</v>
      </c>
      <c r="U31" s="3">
        <v>34403</v>
      </c>
      <c r="V31" s="3">
        <v>43607</v>
      </c>
      <c r="W31">
        <f t="shared" si="3"/>
        <v>25</v>
      </c>
      <c r="X31" s="13">
        <v>0</v>
      </c>
      <c r="Y31" s="13">
        <v>1</v>
      </c>
      <c r="Z31" s="14">
        <v>0</v>
      </c>
      <c r="AA31" s="14">
        <v>1</v>
      </c>
      <c r="AB31">
        <v>2</v>
      </c>
      <c r="AC31" t="s">
        <v>1065</v>
      </c>
      <c r="AD31">
        <v>2155</v>
      </c>
      <c r="AE31">
        <v>15</v>
      </c>
      <c r="AF31" t="str">
        <f t="shared" si="1"/>
        <v>TRUE</v>
      </c>
    </row>
    <row r="32" spans="1:32">
      <c r="A32" t="s">
        <v>530</v>
      </c>
      <c r="B32">
        <v>4.695308786</v>
      </c>
      <c r="C32" t="s">
        <v>34</v>
      </c>
      <c r="D32">
        <v>5.8541709270000002</v>
      </c>
      <c r="E32">
        <v>91.609492419999995</v>
      </c>
      <c r="F32">
        <v>57.594731179999997</v>
      </c>
      <c r="G32" t="s">
        <v>35</v>
      </c>
      <c r="H32">
        <v>195.78512280000001</v>
      </c>
      <c r="I32">
        <v>6.4366989869999998</v>
      </c>
      <c r="J32">
        <v>11.349264</v>
      </c>
      <c r="K32">
        <v>3.135771718</v>
      </c>
      <c r="L32">
        <v>421.81839000000002</v>
      </c>
      <c r="M32">
        <v>0.92532599699999996</v>
      </c>
      <c r="N32">
        <v>11637.969940000001</v>
      </c>
      <c r="O32" s="1" t="s">
        <v>879</v>
      </c>
      <c r="P32" t="s">
        <v>530</v>
      </c>
      <c r="Q32" s="1" t="s">
        <v>1119</v>
      </c>
      <c r="R32" t="s">
        <v>1062</v>
      </c>
      <c r="S32" t="s">
        <v>1063</v>
      </c>
      <c r="T32" t="s">
        <v>1064</v>
      </c>
      <c r="U32" s="3">
        <v>36595</v>
      </c>
      <c r="V32" s="3">
        <v>43567</v>
      </c>
      <c r="W32">
        <v>19</v>
      </c>
      <c r="X32">
        <v>1</v>
      </c>
      <c r="Y32">
        <v>2</v>
      </c>
      <c r="Z32" s="9">
        <v>1</v>
      </c>
      <c r="AA32" s="9">
        <v>0</v>
      </c>
      <c r="AB32">
        <v>2</v>
      </c>
      <c r="AC32" t="s">
        <v>1065</v>
      </c>
      <c r="AD32">
        <v>1000</v>
      </c>
      <c r="AE32">
        <v>7</v>
      </c>
      <c r="AF32" t="str">
        <f t="shared" si="1"/>
        <v>TRUE</v>
      </c>
    </row>
    <row r="33" spans="1:32">
      <c r="A33" t="s">
        <v>251</v>
      </c>
      <c r="B33">
        <v>19.877599</v>
      </c>
      <c r="C33" t="s">
        <v>34</v>
      </c>
      <c r="D33">
        <v>11.29619952</v>
      </c>
      <c r="E33">
        <v>133.74648350000001</v>
      </c>
      <c r="F33">
        <v>91.877728959999999</v>
      </c>
      <c r="G33" t="s">
        <v>35</v>
      </c>
      <c r="H33">
        <v>569.87504799999999</v>
      </c>
      <c r="I33">
        <v>15.532589010000001</v>
      </c>
      <c r="J33">
        <v>35.901992139999997</v>
      </c>
      <c r="K33">
        <v>7.731473609</v>
      </c>
      <c r="L33">
        <v>581.59619540000006</v>
      </c>
      <c r="M33">
        <v>1.226587595</v>
      </c>
      <c r="N33">
        <v>10595.40971</v>
      </c>
      <c r="O33" s="1" t="s">
        <v>885</v>
      </c>
      <c r="P33" t="s">
        <v>251</v>
      </c>
      <c r="Q33" s="1" t="s">
        <v>1115</v>
      </c>
      <c r="R33" t="s">
        <v>1062</v>
      </c>
      <c r="S33" t="s">
        <v>1063</v>
      </c>
      <c r="T33" t="s">
        <v>1068</v>
      </c>
      <c r="U33" s="3">
        <v>17139</v>
      </c>
      <c r="V33" s="3">
        <v>43518</v>
      </c>
      <c r="W33">
        <f t="shared" ref="W33:W72" si="4">DATEDIF(U33,V33,"Y")</f>
        <v>72</v>
      </c>
      <c r="X33">
        <v>0</v>
      </c>
      <c r="Y33">
        <v>1</v>
      </c>
      <c r="Z33" s="14">
        <v>1</v>
      </c>
      <c r="AA33" s="14">
        <v>0</v>
      </c>
      <c r="AB33">
        <v>2</v>
      </c>
      <c r="AC33" t="s">
        <v>1061</v>
      </c>
      <c r="AD33">
        <v>15</v>
      </c>
      <c r="AE33">
        <v>2</v>
      </c>
      <c r="AF33" t="str">
        <f t="shared" si="1"/>
        <v>TRUE</v>
      </c>
    </row>
    <row r="34" spans="1:32">
      <c r="A34" t="s">
        <v>560</v>
      </c>
      <c r="B34">
        <v>10.229740850000001</v>
      </c>
      <c r="C34" t="s">
        <v>34</v>
      </c>
      <c r="D34">
        <v>16.172258249999999</v>
      </c>
      <c r="E34">
        <v>101.5402484</v>
      </c>
      <c r="F34">
        <v>104.4822635</v>
      </c>
      <c r="G34" t="s">
        <v>35</v>
      </c>
      <c r="H34">
        <v>220.39607799999999</v>
      </c>
      <c r="I34">
        <v>18.663131960000001</v>
      </c>
      <c r="J34">
        <v>34.422953100000001</v>
      </c>
      <c r="K34">
        <v>8.9167092490000002</v>
      </c>
      <c r="L34">
        <v>572.9455481</v>
      </c>
      <c r="M34">
        <v>1.4775280559999999</v>
      </c>
      <c r="N34">
        <v>13153.932500000001</v>
      </c>
      <c r="O34" s="1" t="s">
        <v>890</v>
      </c>
      <c r="P34" t="s">
        <v>560</v>
      </c>
      <c r="Q34" s="1" t="s">
        <v>1118</v>
      </c>
      <c r="R34" t="s">
        <v>1062</v>
      </c>
      <c r="S34" t="s">
        <v>1063</v>
      </c>
      <c r="T34" t="s">
        <v>1068</v>
      </c>
      <c r="U34" s="3">
        <v>25311</v>
      </c>
      <c r="V34" s="3">
        <v>43581</v>
      </c>
      <c r="W34">
        <f t="shared" si="4"/>
        <v>50</v>
      </c>
      <c r="X34">
        <v>1</v>
      </c>
      <c r="Y34">
        <v>3</v>
      </c>
      <c r="Z34" s="9">
        <v>1</v>
      </c>
      <c r="AA34" s="9">
        <v>0</v>
      </c>
      <c r="AB34">
        <v>2</v>
      </c>
      <c r="AC34" t="s">
        <v>1061</v>
      </c>
      <c r="AD34">
        <v>67</v>
      </c>
      <c r="AE34">
        <v>2</v>
      </c>
      <c r="AF34" t="str">
        <f t="shared" si="1"/>
        <v>TRUE</v>
      </c>
    </row>
    <row r="35" spans="1:32">
      <c r="A35" t="s">
        <v>641</v>
      </c>
      <c r="B35">
        <v>11.198941059999999</v>
      </c>
      <c r="C35" t="s">
        <v>34</v>
      </c>
      <c r="D35">
        <v>12.614824369999999</v>
      </c>
      <c r="E35">
        <v>126.59174520000001</v>
      </c>
      <c r="F35">
        <v>67.130066319999997</v>
      </c>
      <c r="G35" t="s">
        <v>35</v>
      </c>
      <c r="H35">
        <v>313.2878604</v>
      </c>
      <c r="I35">
        <v>13.77019739</v>
      </c>
      <c r="J35">
        <v>14.41245468</v>
      </c>
      <c r="K35">
        <v>5.6951677199999997</v>
      </c>
      <c r="L35">
        <v>566.54328759999999</v>
      </c>
      <c r="M35">
        <v>0.90423421599999998</v>
      </c>
      <c r="N35">
        <v>16281.623009999999</v>
      </c>
      <c r="O35" s="1" t="s">
        <v>892</v>
      </c>
      <c r="P35" t="s">
        <v>641</v>
      </c>
      <c r="Q35" s="1" t="s">
        <v>1107</v>
      </c>
      <c r="R35" t="s">
        <v>1062</v>
      </c>
      <c r="S35" t="s">
        <v>1063</v>
      </c>
      <c r="T35" t="s">
        <v>1068</v>
      </c>
      <c r="U35" s="3">
        <v>29445</v>
      </c>
      <c r="V35" s="3">
        <v>43467</v>
      </c>
      <c r="W35">
        <f t="shared" si="4"/>
        <v>38</v>
      </c>
      <c r="X35" s="13">
        <v>1</v>
      </c>
      <c r="Y35" s="13">
        <v>2</v>
      </c>
      <c r="Z35" s="14">
        <v>0</v>
      </c>
      <c r="AA35" s="14">
        <v>0</v>
      </c>
      <c r="AB35">
        <v>2</v>
      </c>
      <c r="AC35" t="s">
        <v>1061</v>
      </c>
      <c r="AD35">
        <v>103</v>
      </c>
      <c r="AE35">
        <v>1</v>
      </c>
      <c r="AF35" t="str">
        <f t="shared" ref="AF35:AF66" si="5">IF(P35=A35, "TRUE", "FALSE")</f>
        <v>TRUE</v>
      </c>
    </row>
    <row r="36" spans="1:32">
      <c r="A36" t="s">
        <v>743</v>
      </c>
      <c r="B36">
        <v>6.01840829</v>
      </c>
      <c r="C36" t="s">
        <v>34</v>
      </c>
      <c r="D36">
        <v>7.7233036229999996</v>
      </c>
      <c r="E36">
        <v>65.905197529999995</v>
      </c>
      <c r="F36">
        <v>68.20737029</v>
      </c>
      <c r="G36" t="s">
        <v>35</v>
      </c>
      <c r="H36">
        <v>533.67263949999995</v>
      </c>
      <c r="I36">
        <v>8.6052996000000004</v>
      </c>
      <c r="J36">
        <v>10.32312625</v>
      </c>
      <c r="K36">
        <v>4.0985164430000003</v>
      </c>
      <c r="L36">
        <v>392.42039410000001</v>
      </c>
      <c r="M36">
        <v>1.663851513</v>
      </c>
      <c r="N36">
        <v>11896.218800000001</v>
      </c>
      <c r="O36" s="1" t="s">
        <v>894</v>
      </c>
      <c r="P36" t="s">
        <v>743</v>
      </c>
      <c r="Q36" s="1" t="s">
        <v>1114</v>
      </c>
      <c r="R36" t="s">
        <v>1062</v>
      </c>
      <c r="S36" t="s">
        <v>1072</v>
      </c>
      <c r="T36" t="s">
        <v>1068</v>
      </c>
      <c r="U36" s="3">
        <v>25575</v>
      </c>
      <c r="V36" s="3">
        <v>43700</v>
      </c>
      <c r="W36">
        <f t="shared" si="4"/>
        <v>49</v>
      </c>
      <c r="X36" s="13">
        <v>0</v>
      </c>
      <c r="Y36" s="13">
        <v>3</v>
      </c>
      <c r="Z36" s="14">
        <v>1</v>
      </c>
      <c r="AA36" s="14">
        <v>0</v>
      </c>
      <c r="AB36">
        <v>2</v>
      </c>
      <c r="AC36" t="s">
        <v>1061</v>
      </c>
      <c r="AD36">
        <v>15</v>
      </c>
      <c r="AE36">
        <v>2</v>
      </c>
      <c r="AF36" t="str">
        <f t="shared" si="5"/>
        <v>TRUE</v>
      </c>
    </row>
    <row r="37" spans="1:32">
      <c r="A37" t="s">
        <v>413</v>
      </c>
      <c r="B37">
        <v>6.0567065099999997</v>
      </c>
      <c r="C37" t="s">
        <v>34</v>
      </c>
      <c r="D37">
        <v>5.9678229270000003</v>
      </c>
      <c r="E37" t="s">
        <v>35</v>
      </c>
      <c r="F37">
        <v>67.954664370000003</v>
      </c>
      <c r="G37" t="s">
        <v>35</v>
      </c>
      <c r="H37">
        <v>175.64839520000001</v>
      </c>
      <c r="I37">
        <v>6.8844506919999997</v>
      </c>
      <c r="J37">
        <v>12.863872089999999</v>
      </c>
      <c r="K37">
        <v>3.0485240230000001</v>
      </c>
      <c r="L37">
        <v>322.12736189999998</v>
      </c>
      <c r="M37">
        <v>1.6171308929999999</v>
      </c>
      <c r="N37">
        <v>9159.0749049999995</v>
      </c>
      <c r="O37" s="1" t="s">
        <v>902</v>
      </c>
      <c r="P37" t="s">
        <v>413</v>
      </c>
      <c r="Q37" s="1" t="s">
        <v>1122</v>
      </c>
      <c r="R37" t="s">
        <v>1062</v>
      </c>
      <c r="S37" t="s">
        <v>1063</v>
      </c>
      <c r="T37" t="s">
        <v>1068</v>
      </c>
      <c r="U37" s="3">
        <v>31823</v>
      </c>
      <c r="V37" s="3">
        <v>43603</v>
      </c>
      <c r="W37">
        <f t="shared" si="4"/>
        <v>32</v>
      </c>
      <c r="X37" s="13">
        <v>0</v>
      </c>
      <c r="Y37" s="13">
        <v>1</v>
      </c>
      <c r="Z37" s="14">
        <v>1</v>
      </c>
      <c r="AA37" s="14">
        <v>0</v>
      </c>
      <c r="AB37">
        <v>2</v>
      </c>
      <c r="AC37" t="s">
        <v>1065</v>
      </c>
      <c r="AD37">
        <v>15</v>
      </c>
      <c r="AE37">
        <v>0</v>
      </c>
      <c r="AF37" t="str">
        <f t="shared" si="5"/>
        <v>TRUE</v>
      </c>
    </row>
    <row r="38" spans="1:32">
      <c r="A38" t="s">
        <v>482</v>
      </c>
      <c r="B38">
        <v>3.299249407</v>
      </c>
      <c r="C38" t="s">
        <v>34</v>
      </c>
      <c r="D38">
        <v>4.2220050149999997</v>
      </c>
      <c r="E38">
        <v>199.15563969999999</v>
      </c>
      <c r="F38">
        <v>42.59403227</v>
      </c>
      <c r="G38" t="s">
        <v>35</v>
      </c>
      <c r="H38">
        <v>140.02873640000001</v>
      </c>
      <c r="I38">
        <v>7.4320604269999997</v>
      </c>
      <c r="J38">
        <v>19.143708910000001</v>
      </c>
      <c r="K38">
        <v>1.716607413</v>
      </c>
      <c r="L38">
        <v>255.58903129999999</v>
      </c>
      <c r="M38">
        <v>0.91564451499999999</v>
      </c>
      <c r="N38">
        <v>9309.8198069999999</v>
      </c>
      <c r="O38" s="1" t="s">
        <v>903</v>
      </c>
      <c r="P38" t="s">
        <v>482</v>
      </c>
      <c r="Q38" s="1" t="s">
        <v>1109</v>
      </c>
      <c r="R38" t="s">
        <v>1062</v>
      </c>
      <c r="S38" t="s">
        <v>1063</v>
      </c>
      <c r="T38" t="s">
        <v>1068</v>
      </c>
      <c r="U38" s="3">
        <v>35211</v>
      </c>
      <c r="V38" s="3">
        <v>43516</v>
      </c>
      <c r="W38">
        <f t="shared" si="4"/>
        <v>22</v>
      </c>
      <c r="X38">
        <v>0</v>
      </c>
      <c r="Y38">
        <v>2</v>
      </c>
      <c r="Z38" s="9">
        <v>0</v>
      </c>
      <c r="AA38" s="9">
        <v>0</v>
      </c>
      <c r="AB38">
        <v>2</v>
      </c>
      <c r="AC38" t="s">
        <v>1061</v>
      </c>
      <c r="AD38">
        <v>64</v>
      </c>
      <c r="AE38">
        <v>2</v>
      </c>
      <c r="AF38" t="str">
        <f t="shared" si="5"/>
        <v>TRUE</v>
      </c>
    </row>
    <row r="39" spans="1:32">
      <c r="A39" t="s">
        <v>143</v>
      </c>
      <c r="B39">
        <v>8.7182423960000008</v>
      </c>
      <c r="C39" t="s">
        <v>34</v>
      </c>
      <c r="D39">
        <v>6.1701237830000002</v>
      </c>
      <c r="E39">
        <v>153.24803499999999</v>
      </c>
      <c r="F39">
        <v>89.929921710000002</v>
      </c>
      <c r="G39" t="s">
        <v>35</v>
      </c>
      <c r="H39">
        <v>324.64407779999999</v>
      </c>
      <c r="I39">
        <v>13.4264762</v>
      </c>
      <c r="J39">
        <v>21.824715730000001</v>
      </c>
      <c r="K39">
        <v>3.9618690399999998</v>
      </c>
      <c r="L39">
        <v>604.79675680000003</v>
      </c>
      <c r="M39">
        <v>2.0099812269999999</v>
      </c>
      <c r="N39">
        <v>13158.774950000001</v>
      </c>
      <c r="O39" s="1" t="s">
        <v>905</v>
      </c>
      <c r="P39" t="s">
        <v>143</v>
      </c>
      <c r="Q39" s="1" t="s">
        <v>1116</v>
      </c>
      <c r="R39" t="s">
        <v>1062</v>
      </c>
      <c r="S39" t="s">
        <v>1063</v>
      </c>
      <c r="T39" t="s">
        <v>1068</v>
      </c>
      <c r="U39" s="3">
        <v>36196</v>
      </c>
      <c r="V39" s="3">
        <v>43506</v>
      </c>
      <c r="W39">
        <f t="shared" si="4"/>
        <v>20</v>
      </c>
      <c r="X39" s="13">
        <v>1</v>
      </c>
      <c r="Y39" s="13">
        <v>1</v>
      </c>
      <c r="Z39" s="14">
        <v>1</v>
      </c>
      <c r="AA39" s="14">
        <v>0</v>
      </c>
      <c r="AB39">
        <v>2</v>
      </c>
      <c r="AC39" t="s">
        <v>1061</v>
      </c>
      <c r="AD39">
        <v>60</v>
      </c>
      <c r="AE39">
        <v>1</v>
      </c>
      <c r="AF39" t="str">
        <f t="shared" si="5"/>
        <v>TRUE</v>
      </c>
    </row>
    <row r="40" spans="1:32">
      <c r="A40" t="s">
        <v>272</v>
      </c>
      <c r="B40">
        <v>6.5524374390000002</v>
      </c>
      <c r="C40" t="s">
        <v>34</v>
      </c>
      <c r="D40">
        <v>7.9593239569999996</v>
      </c>
      <c r="E40">
        <v>130.56403800000001</v>
      </c>
      <c r="F40">
        <v>91.943208970000001</v>
      </c>
      <c r="G40" t="s">
        <v>35</v>
      </c>
      <c r="H40">
        <v>210.3601664</v>
      </c>
      <c r="I40">
        <v>9.4219595609999995</v>
      </c>
      <c r="J40">
        <v>16.590171779999999</v>
      </c>
      <c r="K40">
        <v>4.769904071</v>
      </c>
      <c r="L40">
        <v>457.36000339999998</v>
      </c>
      <c r="M40">
        <v>1.344781306</v>
      </c>
      <c r="N40">
        <v>11041.92517</v>
      </c>
      <c r="O40" s="1" t="s">
        <v>907</v>
      </c>
      <c r="P40" t="s">
        <v>272</v>
      </c>
      <c r="Q40" s="1" t="s">
        <v>1113</v>
      </c>
      <c r="R40" t="s">
        <v>1062</v>
      </c>
      <c r="S40" t="s">
        <v>1067</v>
      </c>
      <c r="T40" t="s">
        <v>1068</v>
      </c>
      <c r="U40" s="3">
        <v>29437</v>
      </c>
      <c r="V40" s="3">
        <v>43523</v>
      </c>
      <c r="W40">
        <f t="shared" si="4"/>
        <v>38</v>
      </c>
      <c r="X40" s="13">
        <v>1</v>
      </c>
      <c r="Y40" s="13">
        <v>3</v>
      </c>
      <c r="Z40" s="14">
        <v>0</v>
      </c>
      <c r="AA40" s="14">
        <v>0</v>
      </c>
      <c r="AB40">
        <v>2</v>
      </c>
      <c r="AC40" t="s">
        <v>1061</v>
      </c>
      <c r="AD40">
        <v>98</v>
      </c>
      <c r="AE40">
        <v>0</v>
      </c>
      <c r="AF40" t="str">
        <f t="shared" si="5"/>
        <v>TRUE</v>
      </c>
    </row>
    <row r="41" spans="1:32">
      <c r="A41" t="s">
        <v>86</v>
      </c>
      <c r="B41">
        <v>8.1678988369999992</v>
      </c>
      <c r="C41" t="s">
        <v>34</v>
      </c>
      <c r="D41">
        <v>10.2862136</v>
      </c>
      <c r="E41" t="s">
        <v>35</v>
      </c>
      <c r="F41">
        <v>73.394944559999999</v>
      </c>
      <c r="G41" t="s">
        <v>35</v>
      </c>
      <c r="H41">
        <v>199.34857890000001</v>
      </c>
      <c r="I41">
        <v>5.4771290620000004</v>
      </c>
      <c r="J41">
        <v>14.960715649999999</v>
      </c>
      <c r="K41">
        <v>3.2082090540000001</v>
      </c>
      <c r="L41">
        <v>370.68023399999998</v>
      </c>
      <c r="M41">
        <v>2.608964807</v>
      </c>
      <c r="N41">
        <v>13187.659240000001</v>
      </c>
      <c r="O41" s="1" t="s">
        <v>908</v>
      </c>
      <c r="P41" t="s">
        <v>86</v>
      </c>
      <c r="Q41" s="1" t="s">
        <v>1123</v>
      </c>
      <c r="R41" t="s">
        <v>1062</v>
      </c>
      <c r="S41" t="s">
        <v>1072</v>
      </c>
      <c r="T41" t="s">
        <v>1068</v>
      </c>
      <c r="U41" s="3">
        <v>34720</v>
      </c>
      <c r="V41" s="3">
        <v>43812</v>
      </c>
      <c r="W41">
        <f t="shared" si="4"/>
        <v>24</v>
      </c>
      <c r="X41">
        <v>0</v>
      </c>
      <c r="Y41">
        <v>1</v>
      </c>
      <c r="Z41" s="14">
        <v>0</v>
      </c>
      <c r="AA41" s="14">
        <v>1</v>
      </c>
      <c r="AB41">
        <v>1</v>
      </c>
      <c r="AC41" t="s">
        <v>1061</v>
      </c>
      <c r="AD41">
        <v>375</v>
      </c>
      <c r="AE41">
        <v>9</v>
      </c>
      <c r="AF41" t="str">
        <f t="shared" si="5"/>
        <v>TRUE</v>
      </c>
    </row>
    <row r="42" spans="1:32">
      <c r="A42" t="s">
        <v>299</v>
      </c>
      <c r="B42">
        <v>3.967712466</v>
      </c>
      <c r="C42" t="s">
        <v>34</v>
      </c>
      <c r="D42">
        <v>10.625454879999999</v>
      </c>
      <c r="E42">
        <v>178.3700422</v>
      </c>
      <c r="F42">
        <v>65.023873179999995</v>
      </c>
      <c r="G42">
        <v>3729.0262710000002</v>
      </c>
      <c r="H42">
        <v>100.9722154</v>
      </c>
      <c r="I42">
        <v>3.0076013540000002</v>
      </c>
      <c r="J42">
        <v>8.5466769819999993</v>
      </c>
      <c r="K42">
        <v>1.921948588</v>
      </c>
      <c r="L42">
        <v>257.6021811</v>
      </c>
      <c r="M42">
        <v>2.6176232060000002</v>
      </c>
      <c r="N42">
        <v>9583.9180620000006</v>
      </c>
      <c r="O42" s="1" t="s">
        <v>911</v>
      </c>
      <c r="P42" t="s">
        <v>299</v>
      </c>
      <c r="Q42" s="1" t="s">
        <v>1121</v>
      </c>
      <c r="R42" t="s">
        <v>1062</v>
      </c>
      <c r="S42" t="s">
        <v>1067</v>
      </c>
      <c r="T42" t="s">
        <v>1064</v>
      </c>
      <c r="U42" s="3">
        <v>29943</v>
      </c>
      <c r="V42" s="3">
        <v>43641</v>
      </c>
      <c r="W42">
        <f t="shared" si="4"/>
        <v>37</v>
      </c>
      <c r="X42" s="13">
        <v>0</v>
      </c>
      <c r="Y42" s="13">
        <v>3</v>
      </c>
      <c r="Z42" s="14">
        <v>1</v>
      </c>
      <c r="AA42" s="14">
        <v>0</v>
      </c>
      <c r="AB42">
        <v>2</v>
      </c>
      <c r="AC42" t="s">
        <v>1061</v>
      </c>
      <c r="AD42">
        <v>11409</v>
      </c>
      <c r="AE42">
        <v>10</v>
      </c>
      <c r="AF42" t="str">
        <f t="shared" si="5"/>
        <v>TRUE</v>
      </c>
    </row>
    <row r="43" spans="1:32">
      <c r="A43" t="s">
        <v>578</v>
      </c>
      <c r="B43">
        <v>3.6321672239999998</v>
      </c>
      <c r="C43" t="s">
        <v>34</v>
      </c>
      <c r="D43">
        <v>2.7637311480000002</v>
      </c>
      <c r="E43">
        <v>115.629119</v>
      </c>
      <c r="F43">
        <v>61.354372210000001</v>
      </c>
      <c r="G43" t="s">
        <v>35</v>
      </c>
      <c r="H43">
        <v>366.31301339999999</v>
      </c>
      <c r="I43">
        <v>4.2879239949999999</v>
      </c>
      <c r="J43">
        <v>9.7690133160000006</v>
      </c>
      <c r="K43">
        <v>1.599844984</v>
      </c>
      <c r="L43">
        <v>365.35673910000003</v>
      </c>
      <c r="M43">
        <v>0.96163869099999999</v>
      </c>
      <c r="N43">
        <v>8329.1165779999992</v>
      </c>
      <c r="O43" s="1" t="s">
        <v>913</v>
      </c>
      <c r="P43" t="s">
        <v>578</v>
      </c>
      <c r="Q43" s="1" t="s">
        <v>1124</v>
      </c>
      <c r="R43" t="s">
        <v>1062</v>
      </c>
      <c r="S43" t="s">
        <v>1067</v>
      </c>
      <c r="T43" t="s">
        <v>1068</v>
      </c>
      <c r="U43" s="3">
        <v>33760</v>
      </c>
      <c r="V43" s="3">
        <v>43815</v>
      </c>
      <c r="W43">
        <f t="shared" si="4"/>
        <v>27</v>
      </c>
      <c r="X43">
        <v>1</v>
      </c>
      <c r="Y43">
        <v>2</v>
      </c>
      <c r="Z43" s="9">
        <v>1</v>
      </c>
      <c r="AA43" s="9">
        <v>0</v>
      </c>
      <c r="AB43">
        <v>1</v>
      </c>
      <c r="AC43" t="s">
        <v>1061</v>
      </c>
      <c r="AD43">
        <v>704</v>
      </c>
      <c r="AE43">
        <v>10</v>
      </c>
      <c r="AF43" t="str">
        <f t="shared" si="5"/>
        <v>TRUE</v>
      </c>
    </row>
    <row r="44" spans="1:32">
      <c r="A44" t="s">
        <v>575</v>
      </c>
      <c r="B44">
        <v>4.8126752389999998</v>
      </c>
      <c r="C44" t="s">
        <v>34</v>
      </c>
      <c r="D44">
        <v>12.01609889</v>
      </c>
      <c r="E44">
        <v>98.654529870000005</v>
      </c>
      <c r="F44">
        <v>70.810456990000006</v>
      </c>
      <c r="G44">
        <v>4922.718108</v>
      </c>
      <c r="H44">
        <v>306.02505689999998</v>
      </c>
      <c r="I44">
        <v>7.60172559</v>
      </c>
      <c r="J44">
        <v>27.407950830000001</v>
      </c>
      <c r="K44">
        <v>4.3921099420000003</v>
      </c>
      <c r="L44">
        <v>442.61094910000003</v>
      </c>
      <c r="M44">
        <v>0.89319639200000001</v>
      </c>
      <c r="N44">
        <v>12974.044099999999</v>
      </c>
      <c r="O44" s="1" t="s">
        <v>915</v>
      </c>
      <c r="P44" t="s">
        <v>575</v>
      </c>
      <c r="Q44" s="1" t="s">
        <v>1124</v>
      </c>
      <c r="R44" t="s">
        <v>1062</v>
      </c>
      <c r="S44" t="s">
        <v>1067</v>
      </c>
      <c r="T44" t="s">
        <v>1068</v>
      </c>
      <c r="U44" s="3">
        <v>33760</v>
      </c>
      <c r="V44" s="3">
        <v>43830</v>
      </c>
      <c r="W44">
        <f t="shared" si="4"/>
        <v>27</v>
      </c>
      <c r="X44" s="13">
        <v>1</v>
      </c>
      <c r="Y44" s="13">
        <v>2</v>
      </c>
      <c r="Z44" s="14">
        <v>1</v>
      </c>
      <c r="AA44" s="14">
        <v>0</v>
      </c>
      <c r="AB44">
        <v>2</v>
      </c>
      <c r="AC44" t="s">
        <v>1061</v>
      </c>
      <c r="AD44">
        <v>29</v>
      </c>
      <c r="AE44">
        <v>0</v>
      </c>
      <c r="AF44" t="str">
        <f t="shared" si="5"/>
        <v>TRUE</v>
      </c>
    </row>
    <row r="45" spans="1:32">
      <c r="A45" t="s">
        <v>308</v>
      </c>
      <c r="B45">
        <v>2.5376499269999999</v>
      </c>
      <c r="C45" t="s">
        <v>34</v>
      </c>
      <c r="D45">
        <v>4.8456521820000003</v>
      </c>
      <c r="E45" t="s">
        <v>35</v>
      </c>
      <c r="F45">
        <v>75.612575320000005</v>
      </c>
      <c r="G45" t="s">
        <v>35</v>
      </c>
      <c r="H45">
        <v>141.69338759999999</v>
      </c>
      <c r="I45">
        <v>4.1529103559999996</v>
      </c>
      <c r="J45">
        <v>16.73520748</v>
      </c>
      <c r="K45">
        <v>0.45454037800000002</v>
      </c>
      <c r="L45">
        <v>479.89391970000003</v>
      </c>
      <c r="M45">
        <v>2.1406946520000001</v>
      </c>
      <c r="N45">
        <v>7620.1097380000001</v>
      </c>
      <c r="O45" s="1" t="s">
        <v>916</v>
      </c>
      <c r="P45" t="s">
        <v>308</v>
      </c>
      <c r="Q45" s="1" t="s">
        <v>1125</v>
      </c>
      <c r="R45" t="s">
        <v>1062</v>
      </c>
      <c r="S45" t="s">
        <v>1063</v>
      </c>
      <c r="T45" t="s">
        <v>1064</v>
      </c>
      <c r="U45" s="3">
        <v>23236</v>
      </c>
      <c r="V45" s="3">
        <v>43866</v>
      </c>
      <c r="W45">
        <f t="shared" si="4"/>
        <v>56</v>
      </c>
      <c r="X45">
        <v>0</v>
      </c>
      <c r="Y45">
        <v>3</v>
      </c>
      <c r="Z45" s="9">
        <v>0</v>
      </c>
      <c r="AA45" s="9">
        <v>0</v>
      </c>
      <c r="AB45">
        <v>1</v>
      </c>
      <c r="AC45" t="s">
        <v>1061</v>
      </c>
      <c r="AD45">
        <v>1854</v>
      </c>
      <c r="AE45">
        <v>14</v>
      </c>
      <c r="AF45" t="str">
        <f t="shared" si="5"/>
        <v>TRUE</v>
      </c>
    </row>
    <row r="46" spans="1:32">
      <c r="A46" t="s">
        <v>311</v>
      </c>
      <c r="B46">
        <v>9.061825207</v>
      </c>
      <c r="C46" t="s">
        <v>34</v>
      </c>
      <c r="D46">
        <v>13.57067105</v>
      </c>
      <c r="E46">
        <v>86.705597549999993</v>
      </c>
      <c r="F46">
        <v>67.273552719999998</v>
      </c>
      <c r="G46" t="s">
        <v>35</v>
      </c>
      <c r="H46">
        <v>283.10859729999999</v>
      </c>
      <c r="I46">
        <v>6.944564261</v>
      </c>
      <c r="J46">
        <v>21.39460115</v>
      </c>
      <c r="K46">
        <v>3.609184087</v>
      </c>
      <c r="L46">
        <v>477.47471539999998</v>
      </c>
      <c r="M46">
        <v>1.2007259539999999</v>
      </c>
      <c r="N46">
        <v>12460.21019</v>
      </c>
      <c r="O46" s="1" t="s">
        <v>918</v>
      </c>
      <c r="P46" t="s">
        <v>311</v>
      </c>
      <c r="Q46" s="1" t="s">
        <v>1125</v>
      </c>
      <c r="R46" t="s">
        <v>1062</v>
      </c>
      <c r="S46" t="s">
        <v>1063</v>
      </c>
      <c r="T46" t="s">
        <v>1064</v>
      </c>
      <c r="U46" s="3">
        <v>23236</v>
      </c>
      <c r="V46" s="3">
        <v>43905</v>
      </c>
      <c r="W46">
        <f t="shared" si="4"/>
        <v>56</v>
      </c>
      <c r="X46" s="13">
        <v>0</v>
      </c>
      <c r="Y46" s="13">
        <v>3</v>
      </c>
      <c r="Z46" s="14">
        <v>1</v>
      </c>
      <c r="AA46" s="14">
        <v>0</v>
      </c>
      <c r="AB46">
        <v>2</v>
      </c>
      <c r="AC46" t="s">
        <v>1061</v>
      </c>
      <c r="AD46">
        <v>373</v>
      </c>
      <c r="AE46">
        <v>7</v>
      </c>
      <c r="AF46" t="str">
        <f t="shared" si="5"/>
        <v>TRUE</v>
      </c>
    </row>
    <row r="47" spans="1:32">
      <c r="A47" t="s">
        <v>83</v>
      </c>
      <c r="B47">
        <v>11.7557814</v>
      </c>
      <c r="C47" t="s">
        <v>34</v>
      </c>
      <c r="D47">
        <v>13.0496187</v>
      </c>
      <c r="E47" t="s">
        <v>35</v>
      </c>
      <c r="F47">
        <v>59.70289416</v>
      </c>
      <c r="G47" t="s">
        <v>35</v>
      </c>
      <c r="H47">
        <v>186.6097173</v>
      </c>
      <c r="I47">
        <v>6.9722239149999998</v>
      </c>
      <c r="J47">
        <v>16.289696750000001</v>
      </c>
      <c r="K47">
        <v>5.7916412639999999</v>
      </c>
      <c r="L47">
        <v>371.77504709999999</v>
      </c>
      <c r="M47">
        <v>1.3394880499999999</v>
      </c>
      <c r="N47">
        <v>13983.06358</v>
      </c>
      <c r="O47" s="1" t="s">
        <v>1091</v>
      </c>
      <c r="P47" t="s">
        <v>83</v>
      </c>
      <c r="Q47" s="1" t="s">
        <v>1123</v>
      </c>
      <c r="R47" t="s">
        <v>1062</v>
      </c>
      <c r="S47" t="s">
        <v>1072</v>
      </c>
      <c r="T47" t="s">
        <v>1068</v>
      </c>
      <c r="U47" s="3">
        <v>34720</v>
      </c>
      <c r="V47" s="3">
        <v>43903</v>
      </c>
      <c r="W47">
        <f t="shared" si="4"/>
        <v>25</v>
      </c>
      <c r="X47" s="13">
        <v>0</v>
      </c>
      <c r="Y47" s="13">
        <v>1</v>
      </c>
      <c r="Z47" s="14">
        <v>0</v>
      </c>
      <c r="AA47" s="14">
        <v>1</v>
      </c>
      <c r="AB47">
        <v>2</v>
      </c>
      <c r="AC47" t="s">
        <v>1061</v>
      </c>
      <c r="AD47">
        <v>72</v>
      </c>
      <c r="AE47">
        <v>0</v>
      </c>
      <c r="AF47" t="str">
        <f t="shared" si="5"/>
        <v>TRUE</v>
      </c>
    </row>
    <row r="48" spans="1:32">
      <c r="A48" t="s">
        <v>302</v>
      </c>
      <c r="B48">
        <v>3.1060632830000001</v>
      </c>
      <c r="C48" t="s">
        <v>34</v>
      </c>
      <c r="D48">
        <v>5.1743322950000001</v>
      </c>
      <c r="E48" t="s">
        <v>35</v>
      </c>
      <c r="F48">
        <v>71.701552530000001</v>
      </c>
      <c r="G48" t="s">
        <v>35</v>
      </c>
      <c r="H48">
        <v>70.76357668</v>
      </c>
      <c r="I48">
        <v>5.6841255210000003</v>
      </c>
      <c r="J48">
        <v>13.05054041</v>
      </c>
      <c r="K48">
        <v>0.71136655599999998</v>
      </c>
      <c r="L48">
        <v>400.15812920000002</v>
      </c>
      <c r="M48">
        <v>2.4123099570000002</v>
      </c>
      <c r="N48">
        <v>5673.8427259999999</v>
      </c>
      <c r="O48" s="1" t="s">
        <v>920</v>
      </c>
      <c r="P48" t="s">
        <v>302</v>
      </c>
      <c r="Q48" s="1" t="s">
        <v>1126</v>
      </c>
      <c r="R48" t="s">
        <v>1062</v>
      </c>
      <c r="S48" t="s">
        <v>1063</v>
      </c>
      <c r="T48" t="s">
        <v>1064</v>
      </c>
      <c r="U48" s="3">
        <v>30355</v>
      </c>
      <c r="V48" s="3">
        <v>43854</v>
      </c>
      <c r="W48">
        <f t="shared" si="4"/>
        <v>36</v>
      </c>
      <c r="X48">
        <v>1</v>
      </c>
      <c r="Y48">
        <v>3</v>
      </c>
      <c r="Z48" s="9">
        <v>1</v>
      </c>
      <c r="AA48" s="9">
        <v>0</v>
      </c>
      <c r="AB48">
        <v>1</v>
      </c>
      <c r="AC48" t="s">
        <v>1065</v>
      </c>
      <c r="AD48">
        <v>2375</v>
      </c>
      <c r="AE48">
        <v>14</v>
      </c>
      <c r="AF48" t="str">
        <f t="shared" si="5"/>
        <v>TRUE</v>
      </c>
    </row>
    <row r="49" spans="1:32">
      <c r="A49" t="s">
        <v>209</v>
      </c>
      <c r="B49">
        <v>4.5079948989999998</v>
      </c>
      <c r="C49" t="s">
        <v>34</v>
      </c>
      <c r="D49">
        <v>6.0148937739999999</v>
      </c>
      <c r="E49" t="s">
        <v>35</v>
      </c>
      <c r="F49">
        <v>74.676024060000003</v>
      </c>
      <c r="G49" t="s">
        <v>35</v>
      </c>
      <c r="H49">
        <v>530.6888798</v>
      </c>
      <c r="I49">
        <v>8.0448144339999992</v>
      </c>
      <c r="J49">
        <v>15.77501859</v>
      </c>
      <c r="K49">
        <v>2.8349894959999999</v>
      </c>
      <c r="L49">
        <v>388.1016975</v>
      </c>
      <c r="M49">
        <v>1.6551603210000001</v>
      </c>
      <c r="N49">
        <v>9511.9629349999996</v>
      </c>
      <c r="O49" s="1" t="s">
        <v>922</v>
      </c>
      <c r="P49" t="s">
        <v>209</v>
      </c>
      <c r="Q49" s="1" t="s">
        <v>1127</v>
      </c>
      <c r="R49" t="s">
        <v>1062</v>
      </c>
      <c r="S49" t="s">
        <v>1067</v>
      </c>
      <c r="T49" t="s">
        <v>1068</v>
      </c>
      <c r="U49" s="3">
        <v>25518</v>
      </c>
      <c r="V49" s="3">
        <v>43864</v>
      </c>
      <c r="W49">
        <f t="shared" si="4"/>
        <v>50</v>
      </c>
      <c r="X49">
        <v>0</v>
      </c>
      <c r="Y49">
        <v>3</v>
      </c>
      <c r="Z49" s="9">
        <v>1</v>
      </c>
      <c r="AA49" s="9">
        <v>0</v>
      </c>
      <c r="AB49">
        <v>1</v>
      </c>
      <c r="AC49" t="s">
        <v>1065</v>
      </c>
      <c r="AD49">
        <v>1982</v>
      </c>
      <c r="AE49">
        <v>10</v>
      </c>
      <c r="AF49" t="str">
        <f t="shared" si="5"/>
        <v>TRUE</v>
      </c>
    </row>
    <row r="50" spans="1:32">
      <c r="A50" t="s">
        <v>206</v>
      </c>
      <c r="B50">
        <v>4.0232422720000001</v>
      </c>
      <c r="C50" t="s">
        <v>34</v>
      </c>
      <c r="D50">
        <v>4.2032156580000004</v>
      </c>
      <c r="E50" t="s">
        <v>35</v>
      </c>
      <c r="F50">
        <v>70.906929300000002</v>
      </c>
      <c r="G50" t="s">
        <v>35</v>
      </c>
      <c r="H50">
        <v>153.94163219999999</v>
      </c>
      <c r="I50">
        <v>6.1676982479999998</v>
      </c>
      <c r="J50">
        <v>20.14671967</v>
      </c>
      <c r="K50">
        <v>2.1735894980000001</v>
      </c>
      <c r="L50">
        <v>365.2852934</v>
      </c>
      <c r="M50">
        <v>1.4398923379999999</v>
      </c>
      <c r="N50">
        <v>11916.97322</v>
      </c>
      <c r="O50" s="1" t="s">
        <v>924</v>
      </c>
      <c r="P50" t="s">
        <v>206</v>
      </c>
      <c r="Q50" s="1" t="s">
        <v>1127</v>
      </c>
      <c r="R50" t="s">
        <v>1062</v>
      </c>
      <c r="S50" t="s">
        <v>1067</v>
      </c>
      <c r="T50" t="s">
        <v>1068</v>
      </c>
      <c r="U50" s="3">
        <v>25518</v>
      </c>
      <c r="V50" s="3">
        <v>43916</v>
      </c>
      <c r="W50">
        <f t="shared" si="4"/>
        <v>50</v>
      </c>
      <c r="X50" s="13">
        <v>0</v>
      </c>
      <c r="Y50" s="13">
        <v>3</v>
      </c>
      <c r="Z50" s="14">
        <v>0</v>
      </c>
      <c r="AA50" s="14">
        <v>0</v>
      </c>
      <c r="AB50">
        <v>2</v>
      </c>
      <c r="AC50" t="s">
        <v>1065</v>
      </c>
      <c r="AD50">
        <v>128</v>
      </c>
      <c r="AE50">
        <v>0</v>
      </c>
      <c r="AF50" t="str">
        <f t="shared" si="5"/>
        <v>TRUE</v>
      </c>
    </row>
    <row r="51" spans="1:32">
      <c r="A51" t="s">
        <v>377</v>
      </c>
      <c r="B51">
        <v>7.5655957860000003</v>
      </c>
      <c r="C51" t="s">
        <v>34</v>
      </c>
      <c r="D51">
        <v>8.9238363920000001</v>
      </c>
      <c r="E51" t="s">
        <v>35</v>
      </c>
      <c r="F51">
        <v>76.129301380000001</v>
      </c>
      <c r="G51" t="s">
        <v>35</v>
      </c>
      <c r="H51">
        <v>336.38857209999998</v>
      </c>
      <c r="I51">
        <v>7.1089071099999996</v>
      </c>
      <c r="J51">
        <v>11.292208540000001</v>
      </c>
      <c r="K51">
        <v>4.1474253489999997</v>
      </c>
      <c r="L51">
        <v>504.439347</v>
      </c>
      <c r="M51">
        <v>1.1461782819999999</v>
      </c>
      <c r="N51">
        <v>9791.5241850000002</v>
      </c>
      <c r="O51" s="1" t="s">
        <v>926</v>
      </c>
      <c r="P51" t="s">
        <v>377</v>
      </c>
      <c r="Q51" s="1" t="s">
        <v>1128</v>
      </c>
      <c r="R51" t="s">
        <v>1062</v>
      </c>
      <c r="S51" t="s">
        <v>1072</v>
      </c>
      <c r="T51" t="s">
        <v>1068</v>
      </c>
      <c r="U51" s="3">
        <v>21477</v>
      </c>
      <c r="V51" s="3">
        <v>44042</v>
      </c>
      <c r="W51">
        <f t="shared" si="4"/>
        <v>61</v>
      </c>
      <c r="X51">
        <v>0</v>
      </c>
      <c r="Y51">
        <v>2</v>
      </c>
      <c r="Z51" s="9">
        <v>0</v>
      </c>
      <c r="AA51" s="9">
        <v>1</v>
      </c>
      <c r="AB51">
        <v>1</v>
      </c>
      <c r="AC51" t="s">
        <v>1061</v>
      </c>
      <c r="AD51">
        <v>394</v>
      </c>
      <c r="AE51">
        <v>6</v>
      </c>
      <c r="AF51" t="str">
        <f t="shared" si="5"/>
        <v>TRUE</v>
      </c>
    </row>
    <row r="52" spans="1:32">
      <c r="A52" t="s">
        <v>671</v>
      </c>
      <c r="B52">
        <v>7.2989009569999999</v>
      </c>
      <c r="C52" t="s">
        <v>34</v>
      </c>
      <c r="D52">
        <v>6.9665412</v>
      </c>
      <c r="E52" t="s">
        <v>35</v>
      </c>
      <c r="F52">
        <v>87.374632120000001</v>
      </c>
      <c r="G52" t="s">
        <v>35</v>
      </c>
      <c r="H52">
        <v>228.9332173</v>
      </c>
      <c r="I52">
        <v>6.3477424019999997</v>
      </c>
      <c r="J52">
        <v>15.48308712</v>
      </c>
      <c r="K52">
        <v>1.515285558</v>
      </c>
      <c r="L52">
        <v>498.01884050000001</v>
      </c>
      <c r="M52">
        <v>2.6961709190000001</v>
      </c>
      <c r="N52">
        <v>11992.906999999999</v>
      </c>
      <c r="O52" s="1" t="s">
        <v>927</v>
      </c>
      <c r="P52" t="s">
        <v>671</v>
      </c>
      <c r="Q52" s="1" t="s">
        <v>1129</v>
      </c>
      <c r="R52" t="s">
        <v>1062</v>
      </c>
      <c r="S52" t="s">
        <v>1067</v>
      </c>
      <c r="T52" t="s">
        <v>1068</v>
      </c>
      <c r="U52" s="3">
        <v>36030</v>
      </c>
      <c r="V52" s="3">
        <v>44054</v>
      </c>
      <c r="W52">
        <f t="shared" si="4"/>
        <v>21</v>
      </c>
      <c r="X52">
        <v>1</v>
      </c>
      <c r="Y52">
        <v>2</v>
      </c>
      <c r="Z52" s="9">
        <v>1</v>
      </c>
      <c r="AA52" s="9">
        <v>0</v>
      </c>
      <c r="AB52">
        <v>1</v>
      </c>
      <c r="AC52" t="s">
        <v>1061</v>
      </c>
      <c r="AD52">
        <v>2208</v>
      </c>
      <c r="AE52">
        <v>5</v>
      </c>
      <c r="AF52" t="str">
        <f t="shared" si="5"/>
        <v>TRUE</v>
      </c>
    </row>
    <row r="53" spans="1:32">
      <c r="A53" t="s">
        <v>305</v>
      </c>
      <c r="B53">
        <v>6.3481855969999996</v>
      </c>
      <c r="C53" t="s">
        <v>34</v>
      </c>
      <c r="D53">
        <v>8.6182027730000001</v>
      </c>
      <c r="E53">
        <v>167.73988320000001</v>
      </c>
      <c r="F53">
        <v>156.63878199999999</v>
      </c>
      <c r="G53">
        <v>4987.172646</v>
      </c>
      <c r="H53">
        <v>196.509942</v>
      </c>
      <c r="I53">
        <v>13.40278451</v>
      </c>
      <c r="J53">
        <v>12.832073380000001</v>
      </c>
      <c r="K53">
        <v>1.5104653299999999</v>
      </c>
      <c r="L53">
        <v>800.111132</v>
      </c>
      <c r="M53">
        <v>3.581689414</v>
      </c>
      <c r="N53">
        <v>6538.754207</v>
      </c>
      <c r="O53" s="1" t="s">
        <v>928</v>
      </c>
      <c r="P53" t="s">
        <v>305</v>
      </c>
      <c r="Q53" s="1" t="s">
        <v>1126</v>
      </c>
      <c r="R53" t="s">
        <v>1062</v>
      </c>
      <c r="S53" t="s">
        <v>1063</v>
      </c>
      <c r="T53" t="s">
        <v>1064</v>
      </c>
      <c r="U53" s="3">
        <v>30355</v>
      </c>
      <c r="V53" s="3">
        <v>43978</v>
      </c>
      <c r="W53">
        <f t="shared" si="4"/>
        <v>37</v>
      </c>
      <c r="X53" s="13">
        <v>1</v>
      </c>
      <c r="Y53" s="13">
        <v>3</v>
      </c>
      <c r="Z53" s="14">
        <v>1</v>
      </c>
      <c r="AA53" s="14">
        <v>0</v>
      </c>
      <c r="AB53">
        <v>2</v>
      </c>
      <c r="AC53" t="s">
        <v>1065</v>
      </c>
      <c r="AD53">
        <v>3372</v>
      </c>
      <c r="AE53">
        <v>13</v>
      </c>
      <c r="AF53" t="str">
        <f t="shared" si="5"/>
        <v>TRUE</v>
      </c>
    </row>
    <row r="54" spans="1:32">
      <c r="A54" t="s">
        <v>710</v>
      </c>
      <c r="B54">
        <v>20.25235223</v>
      </c>
      <c r="C54">
        <v>4.6989716960000001</v>
      </c>
      <c r="D54">
        <v>7.8342237790000002</v>
      </c>
      <c r="E54">
        <v>192.8013311</v>
      </c>
      <c r="F54">
        <v>112.26346529999999</v>
      </c>
      <c r="G54" t="s">
        <v>35</v>
      </c>
      <c r="H54">
        <v>383.42229950000001</v>
      </c>
      <c r="I54">
        <v>9.5777517860000003</v>
      </c>
      <c r="J54">
        <v>10.93338994</v>
      </c>
      <c r="K54">
        <v>5.291087965</v>
      </c>
      <c r="L54">
        <v>379.03057940000002</v>
      </c>
      <c r="M54">
        <v>1.2481739460000001</v>
      </c>
      <c r="N54">
        <v>8719.3702269999994</v>
      </c>
      <c r="O54" s="1" t="s">
        <v>931</v>
      </c>
      <c r="P54" t="s">
        <v>710</v>
      </c>
      <c r="Q54" s="1" t="s">
        <v>1130</v>
      </c>
      <c r="R54" t="s">
        <v>1062</v>
      </c>
      <c r="S54" t="s">
        <v>1072</v>
      </c>
      <c r="T54" t="s">
        <v>1068</v>
      </c>
      <c r="U54" s="3">
        <v>33194</v>
      </c>
      <c r="V54" s="3">
        <v>44084</v>
      </c>
      <c r="W54">
        <f t="shared" si="4"/>
        <v>29</v>
      </c>
      <c r="X54">
        <v>1</v>
      </c>
      <c r="Y54">
        <v>2</v>
      </c>
      <c r="Z54" s="14">
        <v>1</v>
      </c>
      <c r="AA54" s="14">
        <v>0</v>
      </c>
      <c r="AB54">
        <v>1</v>
      </c>
      <c r="AC54" t="s">
        <v>1065</v>
      </c>
      <c r="AD54">
        <v>6689</v>
      </c>
      <c r="AE54">
        <v>4</v>
      </c>
      <c r="AF54" t="str">
        <f t="shared" si="5"/>
        <v>TRUE</v>
      </c>
    </row>
    <row r="55" spans="1:32">
      <c r="A55" t="s">
        <v>374</v>
      </c>
      <c r="B55">
        <v>5.8283311519999996</v>
      </c>
      <c r="C55" t="s">
        <v>34</v>
      </c>
      <c r="D55">
        <v>10.27434605</v>
      </c>
      <c r="E55">
        <v>139.71388049999999</v>
      </c>
      <c r="F55">
        <v>79.34885792</v>
      </c>
      <c r="G55" t="s">
        <v>35</v>
      </c>
      <c r="H55">
        <v>546.62329060000002</v>
      </c>
      <c r="I55">
        <v>9.4365232769999992</v>
      </c>
      <c r="J55">
        <v>17.369783569999999</v>
      </c>
      <c r="K55">
        <v>5.1298500880000004</v>
      </c>
      <c r="L55">
        <v>515.17438819999995</v>
      </c>
      <c r="M55">
        <v>1.264526531</v>
      </c>
      <c r="N55">
        <v>11140.058230000001</v>
      </c>
      <c r="O55" s="1" t="s">
        <v>934</v>
      </c>
      <c r="P55" t="s">
        <v>374</v>
      </c>
      <c r="Q55" s="1" t="s">
        <v>1128</v>
      </c>
      <c r="R55" t="s">
        <v>1062</v>
      </c>
      <c r="S55" t="s">
        <v>1072</v>
      </c>
      <c r="T55" t="s">
        <v>1068</v>
      </c>
      <c r="U55" s="3">
        <v>21477</v>
      </c>
      <c r="V55" s="3">
        <v>44098</v>
      </c>
      <c r="W55">
        <f t="shared" si="4"/>
        <v>61</v>
      </c>
      <c r="X55" s="13">
        <v>0</v>
      </c>
      <c r="Y55" s="13">
        <v>2</v>
      </c>
      <c r="Z55" s="14">
        <v>0</v>
      </c>
      <c r="AA55" s="14">
        <v>0</v>
      </c>
      <c r="AB55">
        <v>2</v>
      </c>
      <c r="AC55" t="s">
        <v>1061</v>
      </c>
      <c r="AD55">
        <v>66</v>
      </c>
      <c r="AE55">
        <v>1</v>
      </c>
      <c r="AF55" t="str">
        <f t="shared" si="5"/>
        <v>TRUE</v>
      </c>
    </row>
    <row r="56" spans="1:32">
      <c r="A56" t="s">
        <v>593</v>
      </c>
      <c r="B56">
        <v>4.9785751520000003</v>
      </c>
      <c r="C56" t="s">
        <v>34</v>
      </c>
      <c r="D56">
        <v>4.6138234799999998</v>
      </c>
      <c r="E56" t="s">
        <v>35</v>
      </c>
      <c r="F56">
        <v>50.234334079999996</v>
      </c>
      <c r="G56" t="s">
        <v>35</v>
      </c>
      <c r="H56">
        <v>211.6561706</v>
      </c>
      <c r="I56">
        <v>10.620465319999999</v>
      </c>
      <c r="J56">
        <v>10.94516761</v>
      </c>
      <c r="K56">
        <v>2.8828303050000001</v>
      </c>
      <c r="L56">
        <v>376.22834419999998</v>
      </c>
      <c r="M56">
        <v>1.1630192779999999</v>
      </c>
      <c r="N56">
        <v>11977.879849999999</v>
      </c>
      <c r="O56" s="1" t="s">
        <v>935</v>
      </c>
      <c r="P56" t="s">
        <v>593</v>
      </c>
      <c r="Q56" s="1" t="s">
        <v>1131</v>
      </c>
      <c r="R56" t="s">
        <v>1062</v>
      </c>
      <c r="S56" t="s">
        <v>1072</v>
      </c>
      <c r="T56" t="s">
        <v>1068</v>
      </c>
      <c r="U56" s="3">
        <v>29096</v>
      </c>
      <c r="V56" s="3">
        <v>44099</v>
      </c>
      <c r="W56">
        <f t="shared" si="4"/>
        <v>41</v>
      </c>
      <c r="X56">
        <v>0</v>
      </c>
      <c r="Y56">
        <v>1</v>
      </c>
      <c r="Z56" s="14">
        <v>1</v>
      </c>
      <c r="AA56" s="14">
        <v>0</v>
      </c>
      <c r="AB56">
        <v>1</v>
      </c>
      <c r="AC56" t="s">
        <v>1061</v>
      </c>
      <c r="AD56">
        <v>1897</v>
      </c>
      <c r="AE56">
        <v>13</v>
      </c>
      <c r="AF56" t="str">
        <f t="shared" si="5"/>
        <v>TRUE</v>
      </c>
    </row>
    <row r="57" spans="1:32">
      <c r="A57" t="s">
        <v>587</v>
      </c>
      <c r="B57">
        <v>4.9933779669999998</v>
      </c>
      <c r="C57" t="s">
        <v>34</v>
      </c>
      <c r="D57">
        <v>6.1170425829999999</v>
      </c>
      <c r="E57" t="s">
        <v>35</v>
      </c>
      <c r="F57">
        <v>74.154402070000003</v>
      </c>
      <c r="G57" t="s">
        <v>35</v>
      </c>
      <c r="H57">
        <v>193.2358807</v>
      </c>
      <c r="I57">
        <v>8.1505918170000005</v>
      </c>
      <c r="J57">
        <v>11.82290442</v>
      </c>
      <c r="K57">
        <v>1.5505833520000001</v>
      </c>
      <c r="L57">
        <v>452.44443710000002</v>
      </c>
      <c r="M57">
        <v>2.6410044890000002</v>
      </c>
      <c r="N57">
        <v>7203.860068</v>
      </c>
      <c r="O57" s="1" t="s">
        <v>936</v>
      </c>
      <c r="P57" t="s">
        <v>587</v>
      </c>
      <c r="Q57" s="1" t="s">
        <v>1132</v>
      </c>
      <c r="R57" t="s">
        <v>1062</v>
      </c>
      <c r="S57" t="s">
        <v>1067</v>
      </c>
      <c r="T57" t="s">
        <v>1064</v>
      </c>
      <c r="U57" s="3">
        <v>24431</v>
      </c>
      <c r="V57" s="3">
        <v>44099</v>
      </c>
      <c r="W57">
        <f t="shared" si="4"/>
        <v>53</v>
      </c>
      <c r="X57">
        <v>1</v>
      </c>
      <c r="Y57">
        <v>3</v>
      </c>
      <c r="Z57" s="14">
        <v>0</v>
      </c>
      <c r="AA57" s="14">
        <v>0</v>
      </c>
      <c r="AB57">
        <v>1</v>
      </c>
      <c r="AC57" t="s">
        <v>1065</v>
      </c>
      <c r="AD57">
        <v>1126</v>
      </c>
      <c r="AE57">
        <v>15</v>
      </c>
      <c r="AF57" t="str">
        <f t="shared" si="5"/>
        <v>TRUE</v>
      </c>
    </row>
    <row r="58" spans="1:32">
      <c r="A58" t="s">
        <v>110</v>
      </c>
      <c r="B58">
        <v>3.7586846309999999</v>
      </c>
      <c r="C58" t="s">
        <v>34</v>
      </c>
      <c r="D58">
        <v>5.6585857710000003</v>
      </c>
      <c r="E58">
        <v>118.89170009999999</v>
      </c>
      <c r="F58">
        <v>38.425963039999999</v>
      </c>
      <c r="G58" t="s">
        <v>35</v>
      </c>
      <c r="H58">
        <v>131.49744949999999</v>
      </c>
      <c r="I58">
        <v>5.2127034500000002</v>
      </c>
      <c r="J58">
        <v>17.566438980000001</v>
      </c>
      <c r="K58">
        <v>1.526440904</v>
      </c>
      <c r="L58">
        <v>309.46634189999997</v>
      </c>
      <c r="M58">
        <v>1.0154279690000001</v>
      </c>
      <c r="N58">
        <v>10330.39451</v>
      </c>
      <c r="O58" s="1" t="s">
        <v>938</v>
      </c>
      <c r="P58" t="s">
        <v>110</v>
      </c>
      <c r="Q58" s="1" t="s">
        <v>1133</v>
      </c>
      <c r="R58" t="s">
        <v>1062</v>
      </c>
      <c r="S58" t="s">
        <v>1067</v>
      </c>
      <c r="T58" t="s">
        <v>1068</v>
      </c>
      <c r="U58" s="3">
        <v>23988</v>
      </c>
      <c r="V58" s="3">
        <v>44104</v>
      </c>
      <c r="W58">
        <f t="shared" si="4"/>
        <v>55</v>
      </c>
      <c r="X58">
        <v>1</v>
      </c>
      <c r="Y58">
        <v>2</v>
      </c>
      <c r="Z58" s="9">
        <v>0</v>
      </c>
      <c r="AA58" s="9">
        <v>0</v>
      </c>
      <c r="AB58">
        <v>1</v>
      </c>
      <c r="AC58" t="s">
        <v>1065</v>
      </c>
      <c r="AD58">
        <v>4713</v>
      </c>
      <c r="AE58">
        <v>6</v>
      </c>
      <c r="AF58" t="str">
        <f t="shared" si="5"/>
        <v>TRUE</v>
      </c>
    </row>
    <row r="59" spans="1:32">
      <c r="A59" t="s">
        <v>200</v>
      </c>
      <c r="B59">
        <v>3.544797623</v>
      </c>
      <c r="C59" t="s">
        <v>34</v>
      </c>
      <c r="D59">
        <v>6.0153893590000003</v>
      </c>
      <c r="E59" t="s">
        <v>35</v>
      </c>
      <c r="F59">
        <v>200.11111320000001</v>
      </c>
      <c r="G59">
        <v>2891.1973710000002</v>
      </c>
      <c r="H59">
        <v>158.8337923</v>
      </c>
      <c r="I59">
        <v>8.9973246499999995</v>
      </c>
      <c r="J59">
        <v>22.16859402</v>
      </c>
      <c r="K59">
        <v>1.687196707</v>
      </c>
      <c r="L59">
        <v>607.47886140000003</v>
      </c>
      <c r="M59">
        <v>5.1200808289999999</v>
      </c>
      <c r="N59">
        <v>4653.3769190000003</v>
      </c>
      <c r="O59" s="1" t="s">
        <v>939</v>
      </c>
      <c r="P59" t="s">
        <v>200</v>
      </c>
      <c r="Q59" s="1" t="s">
        <v>1134</v>
      </c>
      <c r="R59" t="s">
        <v>1062</v>
      </c>
      <c r="S59" t="s">
        <v>1063</v>
      </c>
      <c r="T59" t="s">
        <v>1068</v>
      </c>
      <c r="U59" s="3">
        <v>16624</v>
      </c>
      <c r="V59" s="3">
        <v>44106</v>
      </c>
      <c r="W59">
        <f t="shared" si="4"/>
        <v>75</v>
      </c>
      <c r="X59">
        <v>1</v>
      </c>
      <c r="Y59">
        <v>2</v>
      </c>
      <c r="Z59" s="9">
        <v>1</v>
      </c>
      <c r="AA59" s="9">
        <v>0</v>
      </c>
      <c r="AB59">
        <v>1</v>
      </c>
      <c r="AC59" t="s">
        <v>1065</v>
      </c>
      <c r="AD59">
        <v>4146</v>
      </c>
      <c r="AE59">
        <v>6</v>
      </c>
      <c r="AF59" t="str">
        <f t="shared" si="5"/>
        <v>TRUE</v>
      </c>
    </row>
    <row r="60" spans="1:32">
      <c r="A60" t="s">
        <v>731</v>
      </c>
      <c r="B60">
        <v>8.0029116990000002</v>
      </c>
      <c r="C60" t="s">
        <v>34</v>
      </c>
      <c r="D60">
        <v>8.88430958</v>
      </c>
      <c r="E60" t="s">
        <v>35</v>
      </c>
      <c r="F60">
        <v>133.2315438</v>
      </c>
      <c r="G60" t="s">
        <v>35</v>
      </c>
      <c r="H60">
        <v>395.23969620000003</v>
      </c>
      <c r="I60">
        <v>15.15043</v>
      </c>
      <c r="J60">
        <v>58.7721108</v>
      </c>
      <c r="K60">
        <v>4.0944622280000003</v>
      </c>
      <c r="L60">
        <v>775.63392590000001</v>
      </c>
      <c r="M60">
        <v>1.5601976580000001</v>
      </c>
      <c r="N60">
        <v>12076.680189999999</v>
      </c>
      <c r="O60" s="1" t="s">
        <v>940</v>
      </c>
      <c r="P60" t="s">
        <v>731</v>
      </c>
      <c r="Q60" s="1" t="s">
        <v>1135</v>
      </c>
      <c r="R60" t="s">
        <v>1062</v>
      </c>
      <c r="S60" t="s">
        <v>1063</v>
      </c>
      <c r="T60" t="s">
        <v>1064</v>
      </c>
      <c r="U60" s="3">
        <v>33801</v>
      </c>
      <c r="V60" s="3">
        <v>44110</v>
      </c>
      <c r="W60">
        <f t="shared" si="4"/>
        <v>28</v>
      </c>
      <c r="X60">
        <v>0</v>
      </c>
      <c r="Y60">
        <v>2</v>
      </c>
      <c r="Z60" s="9">
        <v>1</v>
      </c>
      <c r="AA60" s="9">
        <v>0</v>
      </c>
      <c r="AB60">
        <v>1</v>
      </c>
      <c r="AC60" t="s">
        <v>1061</v>
      </c>
      <c r="AD60">
        <v>2363</v>
      </c>
      <c r="AE60">
        <v>9</v>
      </c>
      <c r="AF60" t="str">
        <f t="shared" si="5"/>
        <v>TRUE</v>
      </c>
    </row>
    <row r="61" spans="1:32">
      <c r="A61" t="s">
        <v>674</v>
      </c>
      <c r="B61">
        <v>26.871108230000001</v>
      </c>
      <c r="C61" t="s">
        <v>34</v>
      </c>
      <c r="D61">
        <v>38.952818479999998</v>
      </c>
      <c r="E61" t="s">
        <v>35</v>
      </c>
      <c r="F61">
        <v>109.26020579999999</v>
      </c>
      <c r="G61" t="s">
        <v>35</v>
      </c>
      <c r="H61">
        <v>285.88792230000001</v>
      </c>
      <c r="I61">
        <v>17.997154550000001</v>
      </c>
      <c r="J61">
        <v>10.628650629999999</v>
      </c>
      <c r="K61">
        <v>14.78879689</v>
      </c>
      <c r="L61">
        <v>641.96640249999996</v>
      </c>
      <c r="M61">
        <v>0.79428603099999995</v>
      </c>
      <c r="N61">
        <v>16583.47061</v>
      </c>
      <c r="O61" s="1" t="s">
        <v>946</v>
      </c>
      <c r="P61" t="s">
        <v>674</v>
      </c>
      <c r="Q61" s="1" t="s">
        <v>1129</v>
      </c>
      <c r="R61" t="s">
        <v>1062</v>
      </c>
      <c r="S61" t="s">
        <v>1067</v>
      </c>
      <c r="T61" t="s">
        <v>1068</v>
      </c>
      <c r="U61" s="3">
        <v>36030</v>
      </c>
      <c r="V61" s="3">
        <v>44134</v>
      </c>
      <c r="W61">
        <f t="shared" si="4"/>
        <v>22</v>
      </c>
      <c r="X61" s="13">
        <v>1</v>
      </c>
      <c r="Y61" s="13">
        <v>2</v>
      </c>
      <c r="Z61" s="14">
        <v>1</v>
      </c>
      <c r="AA61" s="14">
        <v>0</v>
      </c>
      <c r="AB61">
        <v>2</v>
      </c>
      <c r="AC61" t="s">
        <v>1061</v>
      </c>
      <c r="AD61">
        <v>73</v>
      </c>
      <c r="AE61">
        <v>0</v>
      </c>
      <c r="AF61" t="str">
        <f t="shared" si="5"/>
        <v>TRUE</v>
      </c>
    </row>
    <row r="62" spans="1:32">
      <c r="A62" t="s">
        <v>596</v>
      </c>
      <c r="B62">
        <v>5.5427839470000002</v>
      </c>
      <c r="C62" t="s">
        <v>34</v>
      </c>
      <c r="D62">
        <v>5.6375575089999996</v>
      </c>
      <c r="E62">
        <v>185.8999882</v>
      </c>
      <c r="F62">
        <v>74.041845780000003</v>
      </c>
      <c r="G62" t="s">
        <v>35</v>
      </c>
      <c r="H62">
        <v>136.53606730000001</v>
      </c>
      <c r="I62">
        <v>7.891951744</v>
      </c>
      <c r="J62">
        <v>7.8887794900000001</v>
      </c>
      <c r="K62">
        <v>2.6864091970000001</v>
      </c>
      <c r="L62">
        <v>330.72288880000002</v>
      </c>
      <c r="M62">
        <v>1.713500915</v>
      </c>
      <c r="N62">
        <v>9558.6118320000005</v>
      </c>
      <c r="O62" s="1" t="s">
        <v>948</v>
      </c>
      <c r="P62" t="s">
        <v>596</v>
      </c>
      <c r="Q62" s="1" t="s">
        <v>1131</v>
      </c>
      <c r="R62" t="s">
        <v>1062</v>
      </c>
      <c r="S62" t="s">
        <v>1072</v>
      </c>
      <c r="T62" t="s">
        <v>1068</v>
      </c>
      <c r="U62" s="3">
        <v>29096</v>
      </c>
      <c r="V62" s="3">
        <v>44148</v>
      </c>
      <c r="W62">
        <f t="shared" si="4"/>
        <v>41</v>
      </c>
      <c r="X62" s="13">
        <v>0</v>
      </c>
      <c r="Y62" s="13">
        <v>2</v>
      </c>
      <c r="Z62" s="14">
        <v>0</v>
      </c>
      <c r="AA62" s="14">
        <v>0</v>
      </c>
      <c r="AB62">
        <v>2</v>
      </c>
      <c r="AC62" t="s">
        <v>1061</v>
      </c>
      <c r="AD62">
        <v>55</v>
      </c>
      <c r="AE62">
        <v>1</v>
      </c>
      <c r="AF62" t="str">
        <f t="shared" si="5"/>
        <v>TRUE</v>
      </c>
    </row>
    <row r="63" spans="1:32">
      <c r="A63" t="s">
        <v>590</v>
      </c>
      <c r="B63">
        <v>5.7956250650000003</v>
      </c>
      <c r="C63" t="s">
        <v>34</v>
      </c>
      <c r="D63">
        <v>5.6760607690000002</v>
      </c>
      <c r="E63">
        <v>170.8243994</v>
      </c>
      <c r="F63">
        <v>84.265374679999994</v>
      </c>
      <c r="G63" t="s">
        <v>35</v>
      </c>
      <c r="H63">
        <v>314.84717389999997</v>
      </c>
      <c r="I63">
        <v>8.5231058149999992</v>
      </c>
      <c r="J63">
        <v>17.446223920000001</v>
      </c>
      <c r="K63">
        <v>2.282962012</v>
      </c>
      <c r="L63">
        <v>516.8300031</v>
      </c>
      <c r="M63">
        <v>2.1872568480000001</v>
      </c>
      <c r="N63">
        <v>12341.208570000001</v>
      </c>
      <c r="O63" s="1" t="s">
        <v>949</v>
      </c>
      <c r="P63" t="s">
        <v>590</v>
      </c>
      <c r="Q63" s="1" t="s">
        <v>1132</v>
      </c>
      <c r="R63" t="s">
        <v>1062</v>
      </c>
      <c r="S63" t="s">
        <v>1067</v>
      </c>
      <c r="T63" t="s">
        <v>1064</v>
      </c>
      <c r="U63" s="3">
        <v>24431</v>
      </c>
      <c r="V63" s="3">
        <v>44148</v>
      </c>
      <c r="W63">
        <f t="shared" si="4"/>
        <v>53</v>
      </c>
      <c r="X63" s="13">
        <v>1</v>
      </c>
      <c r="Y63" s="13">
        <v>3</v>
      </c>
      <c r="Z63" s="14">
        <v>1</v>
      </c>
      <c r="AA63" s="14">
        <v>0</v>
      </c>
      <c r="AB63">
        <v>2</v>
      </c>
      <c r="AC63" t="s">
        <v>1065</v>
      </c>
      <c r="AD63">
        <v>1780</v>
      </c>
      <c r="AE63">
        <v>5</v>
      </c>
      <c r="AF63" t="str">
        <f t="shared" si="5"/>
        <v>TRUE</v>
      </c>
    </row>
    <row r="64" spans="1:32">
      <c r="A64" t="s">
        <v>491</v>
      </c>
      <c r="B64">
        <v>17.328652559999998</v>
      </c>
      <c r="C64" t="s">
        <v>34</v>
      </c>
      <c r="D64">
        <v>13.90770843</v>
      </c>
      <c r="E64">
        <v>38.105782019999999</v>
      </c>
      <c r="F64">
        <v>69.154679770000001</v>
      </c>
      <c r="G64" t="s">
        <v>35</v>
      </c>
      <c r="H64">
        <v>496.1349778</v>
      </c>
      <c r="I64">
        <v>7.3270739259999997</v>
      </c>
      <c r="J64">
        <v>15.59452626</v>
      </c>
      <c r="K64">
        <v>9.2193722509999994</v>
      </c>
      <c r="L64">
        <v>330.90368960000001</v>
      </c>
      <c r="M64">
        <v>0.90561074600000002</v>
      </c>
      <c r="N64">
        <v>16932.586039999998</v>
      </c>
      <c r="O64" s="1" t="s">
        <v>950</v>
      </c>
      <c r="P64" t="s">
        <v>491</v>
      </c>
      <c r="Q64" s="1" t="s">
        <v>1136</v>
      </c>
      <c r="R64" t="s">
        <v>1062</v>
      </c>
      <c r="S64" t="s">
        <v>1067</v>
      </c>
      <c r="T64" t="s">
        <v>1064</v>
      </c>
      <c r="U64" s="3">
        <v>34311</v>
      </c>
      <c r="V64" s="3">
        <v>44148</v>
      </c>
      <c r="W64">
        <f t="shared" si="4"/>
        <v>26</v>
      </c>
      <c r="X64" s="5">
        <v>0</v>
      </c>
      <c r="Y64" s="5">
        <v>2</v>
      </c>
      <c r="Z64" s="10">
        <v>1</v>
      </c>
      <c r="AA64" s="10">
        <v>0</v>
      </c>
      <c r="AB64">
        <v>1</v>
      </c>
      <c r="AC64" t="s">
        <v>1061</v>
      </c>
      <c r="AD64">
        <v>1823</v>
      </c>
      <c r="AE64">
        <v>9</v>
      </c>
      <c r="AF64" t="str">
        <f t="shared" si="5"/>
        <v>TRUE</v>
      </c>
    </row>
    <row r="65" spans="1:32">
      <c r="A65" t="s">
        <v>317</v>
      </c>
      <c r="B65">
        <v>6.5543837759999999</v>
      </c>
      <c r="C65" t="s">
        <v>34</v>
      </c>
      <c r="D65">
        <v>11.65789532</v>
      </c>
      <c r="E65" t="s">
        <v>35</v>
      </c>
      <c r="F65">
        <v>63.258148380000002</v>
      </c>
      <c r="G65" t="s">
        <v>35</v>
      </c>
      <c r="H65">
        <v>272.93974040000001</v>
      </c>
      <c r="I65">
        <v>8.3763727200000009</v>
      </c>
      <c r="J65">
        <v>12.6826314</v>
      </c>
      <c r="K65">
        <v>4.2050332179999996</v>
      </c>
      <c r="L65">
        <v>289.1102707</v>
      </c>
      <c r="M65">
        <v>1.1360349860000001</v>
      </c>
      <c r="N65">
        <v>9916.0117210000008</v>
      </c>
      <c r="O65" s="1" t="s">
        <v>952</v>
      </c>
      <c r="P65" t="s">
        <v>317</v>
      </c>
      <c r="Q65" s="1" t="s">
        <v>1137</v>
      </c>
      <c r="R65" t="s">
        <v>1062</v>
      </c>
      <c r="S65" t="s">
        <v>1067</v>
      </c>
      <c r="T65" t="s">
        <v>1068</v>
      </c>
      <c r="U65" s="3">
        <v>33826</v>
      </c>
      <c r="V65" s="3">
        <v>44152</v>
      </c>
      <c r="W65">
        <f t="shared" si="4"/>
        <v>28</v>
      </c>
      <c r="X65" s="5">
        <v>0</v>
      </c>
      <c r="Y65" s="5">
        <v>2</v>
      </c>
      <c r="Z65" s="10">
        <v>1</v>
      </c>
      <c r="AA65" s="10">
        <v>0</v>
      </c>
      <c r="AB65">
        <v>1</v>
      </c>
      <c r="AC65" t="s">
        <v>1061</v>
      </c>
      <c r="AD65">
        <v>2210</v>
      </c>
      <c r="AE65">
        <v>10</v>
      </c>
      <c r="AF65" t="str">
        <f t="shared" si="5"/>
        <v>TRUE</v>
      </c>
    </row>
    <row r="66" spans="1:32">
      <c r="A66" t="s">
        <v>368</v>
      </c>
      <c r="B66">
        <v>4.3723782</v>
      </c>
      <c r="C66" t="s">
        <v>34</v>
      </c>
      <c r="D66">
        <v>5.3616286510000002</v>
      </c>
      <c r="E66">
        <v>111.47842470000001</v>
      </c>
      <c r="F66">
        <v>57.544749799999998</v>
      </c>
      <c r="G66">
        <v>3769.585736</v>
      </c>
      <c r="H66">
        <v>190.69046059999999</v>
      </c>
      <c r="I66">
        <v>6.633050968</v>
      </c>
      <c r="J66">
        <v>14.23755929</v>
      </c>
      <c r="K66">
        <v>1.748755845</v>
      </c>
      <c r="L66">
        <v>394.61297280000002</v>
      </c>
      <c r="M66">
        <v>1.6052943660000001</v>
      </c>
      <c r="N66">
        <v>11712.961289999999</v>
      </c>
      <c r="O66" s="1" t="s">
        <v>954</v>
      </c>
      <c r="P66" t="s">
        <v>368</v>
      </c>
      <c r="Q66" s="1" t="s">
        <v>1138</v>
      </c>
      <c r="R66" t="s">
        <v>1062</v>
      </c>
      <c r="S66" t="s">
        <v>1067</v>
      </c>
      <c r="T66" t="s">
        <v>1068</v>
      </c>
      <c r="U66" s="3">
        <v>35769</v>
      </c>
      <c r="V66" s="3">
        <v>44162</v>
      </c>
      <c r="W66">
        <f t="shared" si="4"/>
        <v>22</v>
      </c>
      <c r="X66" s="5">
        <v>1</v>
      </c>
      <c r="Y66" s="5">
        <v>2</v>
      </c>
      <c r="Z66" s="10">
        <v>1</v>
      </c>
      <c r="AA66" s="10">
        <v>0</v>
      </c>
      <c r="AB66">
        <v>1</v>
      </c>
      <c r="AC66" t="s">
        <v>1065</v>
      </c>
      <c r="AD66">
        <v>7900</v>
      </c>
      <c r="AE66">
        <v>13</v>
      </c>
      <c r="AF66" t="str">
        <f t="shared" si="5"/>
        <v>TRUE</v>
      </c>
    </row>
    <row r="67" spans="1:32">
      <c r="A67" t="s">
        <v>149</v>
      </c>
      <c r="B67">
        <v>7.6539570389999998</v>
      </c>
      <c r="C67" t="s">
        <v>34</v>
      </c>
      <c r="D67">
        <v>7.1245687269999998</v>
      </c>
      <c r="E67" t="s">
        <v>35</v>
      </c>
      <c r="F67">
        <v>52.792812159999997</v>
      </c>
      <c r="G67" t="s">
        <v>35</v>
      </c>
      <c r="H67">
        <v>340.75223720000002</v>
      </c>
      <c r="I67">
        <v>12.05985329</v>
      </c>
      <c r="J67">
        <v>10.71584015</v>
      </c>
      <c r="K67">
        <v>4.233185808</v>
      </c>
      <c r="L67">
        <v>387.44170860000003</v>
      </c>
      <c r="M67">
        <v>1.163503282</v>
      </c>
      <c r="N67">
        <v>11727.303449999999</v>
      </c>
      <c r="O67" s="1" t="s">
        <v>955</v>
      </c>
      <c r="P67" t="s">
        <v>149</v>
      </c>
      <c r="Q67" s="1" t="s">
        <v>1139</v>
      </c>
      <c r="R67" t="s">
        <v>1062</v>
      </c>
      <c r="S67" t="s">
        <v>1067</v>
      </c>
      <c r="T67" t="s">
        <v>1068</v>
      </c>
      <c r="U67" s="3">
        <v>28094</v>
      </c>
      <c r="V67" s="3">
        <v>44169</v>
      </c>
      <c r="W67">
        <f t="shared" si="4"/>
        <v>44</v>
      </c>
      <c r="X67" s="5">
        <v>1</v>
      </c>
      <c r="Y67" s="5">
        <v>2</v>
      </c>
      <c r="Z67" s="10">
        <v>1</v>
      </c>
      <c r="AA67" s="10">
        <v>0</v>
      </c>
      <c r="AB67">
        <v>1</v>
      </c>
      <c r="AC67" t="s">
        <v>1061</v>
      </c>
      <c r="AD67">
        <v>659</v>
      </c>
      <c r="AE67">
        <v>6</v>
      </c>
      <c r="AF67" t="str">
        <f t="shared" ref="AF67:AF73" si="6">IF(P67=A67, "TRUE", "FALSE")</f>
        <v>TRUE</v>
      </c>
    </row>
    <row r="68" spans="1:32">
      <c r="A68" t="s">
        <v>734</v>
      </c>
      <c r="B68">
        <v>15.438612279999999</v>
      </c>
      <c r="C68" t="s">
        <v>34</v>
      </c>
      <c r="D68">
        <v>11.605017910000001</v>
      </c>
      <c r="E68">
        <v>154.510447</v>
      </c>
      <c r="F68">
        <v>82.945657999999995</v>
      </c>
      <c r="G68">
        <v>4137.4644719999997</v>
      </c>
      <c r="H68">
        <v>363.52751760000001</v>
      </c>
      <c r="I68">
        <v>11.63001094</v>
      </c>
      <c r="J68">
        <v>8.9437401839999993</v>
      </c>
      <c r="K68">
        <v>6.9080848980000003</v>
      </c>
      <c r="L68">
        <v>549.78064099999995</v>
      </c>
      <c r="M68">
        <v>1.127779592</v>
      </c>
      <c r="N68">
        <v>11978.75122</v>
      </c>
      <c r="O68" s="1" t="s">
        <v>957</v>
      </c>
      <c r="P68" t="s">
        <v>734</v>
      </c>
      <c r="Q68" s="1" t="s">
        <v>1135</v>
      </c>
      <c r="R68" t="s">
        <v>1062</v>
      </c>
      <c r="S68" t="s">
        <v>1063</v>
      </c>
      <c r="T68" t="s">
        <v>1064</v>
      </c>
      <c r="U68" s="3">
        <v>33801</v>
      </c>
      <c r="V68" s="3">
        <v>44173</v>
      </c>
      <c r="W68">
        <f t="shared" si="4"/>
        <v>28</v>
      </c>
      <c r="X68" s="13">
        <v>0</v>
      </c>
      <c r="Y68" s="13">
        <v>2</v>
      </c>
      <c r="Z68" s="9">
        <v>1</v>
      </c>
      <c r="AA68" s="9">
        <v>0</v>
      </c>
      <c r="AB68">
        <v>2</v>
      </c>
      <c r="AC68" t="s">
        <v>1061</v>
      </c>
      <c r="AD68">
        <v>470</v>
      </c>
      <c r="AE68">
        <v>0</v>
      </c>
      <c r="AF68" t="str">
        <f t="shared" si="6"/>
        <v>TRUE</v>
      </c>
    </row>
    <row r="69" spans="1:32">
      <c r="A69" t="s">
        <v>371</v>
      </c>
      <c r="B69">
        <v>5.1315568689999997</v>
      </c>
      <c r="C69" t="s">
        <v>34</v>
      </c>
      <c r="D69">
        <v>5.5009350469999996</v>
      </c>
      <c r="E69">
        <v>93.361464380000001</v>
      </c>
      <c r="F69">
        <v>50.072115750000002</v>
      </c>
      <c r="G69" t="s">
        <v>35</v>
      </c>
      <c r="H69">
        <v>161.866637</v>
      </c>
      <c r="I69">
        <v>7.5728713330000001</v>
      </c>
      <c r="J69">
        <v>11.686853749999999</v>
      </c>
      <c r="K69">
        <v>1.646162269</v>
      </c>
      <c r="L69">
        <v>361.13429939999997</v>
      </c>
      <c r="M69">
        <v>1.189530443</v>
      </c>
      <c r="N69">
        <v>12273.745440000001</v>
      </c>
      <c r="O69" s="1" t="s">
        <v>960</v>
      </c>
      <c r="P69" t="s">
        <v>371</v>
      </c>
      <c r="Q69" s="1" t="s">
        <v>1138</v>
      </c>
      <c r="R69" t="s">
        <v>1062</v>
      </c>
      <c r="S69" t="s">
        <v>1067</v>
      </c>
      <c r="T69" t="s">
        <v>1068</v>
      </c>
      <c r="U69" s="3">
        <v>35769</v>
      </c>
      <c r="V69" s="3">
        <v>44182</v>
      </c>
      <c r="W69">
        <f t="shared" si="4"/>
        <v>23</v>
      </c>
      <c r="X69" s="13">
        <v>1</v>
      </c>
      <c r="Y69" s="13">
        <v>2</v>
      </c>
      <c r="Z69" s="14">
        <v>1</v>
      </c>
      <c r="AA69" s="14">
        <v>0</v>
      </c>
      <c r="AB69">
        <v>2</v>
      </c>
      <c r="AC69" t="s">
        <v>1065</v>
      </c>
      <c r="AD69">
        <v>200</v>
      </c>
      <c r="AE69">
        <v>1</v>
      </c>
      <c r="AF69" t="str">
        <f t="shared" si="6"/>
        <v>TRUE</v>
      </c>
    </row>
    <row r="70" spans="1:32">
      <c r="A70" t="s">
        <v>203</v>
      </c>
      <c r="B70">
        <v>4.8883884259999997</v>
      </c>
      <c r="C70" t="s">
        <v>34</v>
      </c>
      <c r="D70">
        <v>6.6846012940000001</v>
      </c>
      <c r="E70" t="s">
        <v>35</v>
      </c>
      <c r="F70">
        <v>148.56894030000001</v>
      </c>
      <c r="G70" t="s">
        <v>35</v>
      </c>
      <c r="H70">
        <v>325.06301439999999</v>
      </c>
      <c r="I70">
        <v>16.120907290000002</v>
      </c>
      <c r="J70">
        <v>75.200472070000004</v>
      </c>
      <c r="K70">
        <v>6.1001480160000003</v>
      </c>
      <c r="L70">
        <v>675.28923759999998</v>
      </c>
      <c r="M70">
        <v>2.9552246960000002</v>
      </c>
      <c r="N70">
        <v>6515.5746810000001</v>
      </c>
      <c r="O70" s="1" t="s">
        <v>963</v>
      </c>
      <c r="P70" t="s">
        <v>203</v>
      </c>
      <c r="Q70" s="1" t="s">
        <v>1134</v>
      </c>
      <c r="R70" t="s">
        <v>1062</v>
      </c>
      <c r="S70" t="s">
        <v>1063</v>
      </c>
      <c r="T70" t="s">
        <v>1068</v>
      </c>
      <c r="U70" s="3">
        <v>16624</v>
      </c>
      <c r="V70" s="3">
        <v>44172</v>
      </c>
      <c r="W70">
        <f t="shared" si="4"/>
        <v>75</v>
      </c>
      <c r="X70" s="13">
        <v>1</v>
      </c>
      <c r="Y70" s="13">
        <v>2</v>
      </c>
      <c r="Z70" s="14">
        <v>1</v>
      </c>
      <c r="AA70" s="14">
        <v>0</v>
      </c>
      <c r="AB70">
        <v>2</v>
      </c>
      <c r="AC70" t="s">
        <v>1065</v>
      </c>
      <c r="AD70">
        <v>124</v>
      </c>
      <c r="AE70">
        <v>0</v>
      </c>
      <c r="AF70" t="str">
        <f t="shared" si="6"/>
        <v>TRUE</v>
      </c>
    </row>
    <row r="71" spans="1:32">
      <c r="A71" t="s">
        <v>152</v>
      </c>
      <c r="B71">
        <v>8.5159038640000002</v>
      </c>
      <c r="C71" t="s">
        <v>34</v>
      </c>
      <c r="D71">
        <v>7.0207372079999999</v>
      </c>
      <c r="E71" t="s">
        <v>35</v>
      </c>
      <c r="F71">
        <v>43.872866770000002</v>
      </c>
      <c r="G71" t="s">
        <v>35</v>
      </c>
      <c r="H71">
        <v>283.95384439999998</v>
      </c>
      <c r="I71">
        <v>11.340289690000001</v>
      </c>
      <c r="J71">
        <v>11.15572057</v>
      </c>
      <c r="K71">
        <v>4.0666735469999997</v>
      </c>
      <c r="L71">
        <v>346.35943420000001</v>
      </c>
      <c r="M71">
        <v>1.1983687119999999</v>
      </c>
      <c r="N71">
        <v>10594.612090000001</v>
      </c>
      <c r="O71" s="1" t="s">
        <v>1034</v>
      </c>
      <c r="P71" t="s">
        <v>152</v>
      </c>
      <c r="Q71" s="1" t="s">
        <v>1139</v>
      </c>
      <c r="R71" t="s">
        <v>1062</v>
      </c>
      <c r="S71" t="s">
        <v>1067</v>
      </c>
      <c r="T71" t="s">
        <v>1068</v>
      </c>
      <c r="U71" s="3">
        <v>28094</v>
      </c>
      <c r="V71" s="3">
        <v>44251</v>
      </c>
      <c r="W71">
        <f t="shared" si="4"/>
        <v>44</v>
      </c>
      <c r="X71" s="13">
        <v>1</v>
      </c>
      <c r="Y71" s="13">
        <v>2</v>
      </c>
      <c r="Z71" s="14">
        <v>3</v>
      </c>
      <c r="AA71" s="14">
        <v>1</v>
      </c>
      <c r="AB71">
        <v>2</v>
      </c>
      <c r="AC71" t="s">
        <v>1061</v>
      </c>
      <c r="AD71">
        <v>20</v>
      </c>
      <c r="AE71">
        <v>0</v>
      </c>
      <c r="AF71" t="str">
        <f t="shared" si="6"/>
        <v>TRUE</v>
      </c>
    </row>
    <row r="72" spans="1:32">
      <c r="A72" t="s">
        <v>488</v>
      </c>
      <c r="B72">
        <v>12.737672269999999</v>
      </c>
      <c r="C72" t="s">
        <v>34</v>
      </c>
      <c r="D72">
        <v>15.57549187</v>
      </c>
      <c r="E72">
        <v>45.042158190000002</v>
      </c>
      <c r="F72">
        <v>76.873678200000001</v>
      </c>
      <c r="G72">
        <v>4806.8715609999999</v>
      </c>
      <c r="H72">
        <v>204.43507320000001</v>
      </c>
      <c r="I72">
        <v>6.3618294630000003</v>
      </c>
      <c r="J72">
        <v>8.2644838840000006</v>
      </c>
      <c r="K72">
        <v>7.4881019689999997</v>
      </c>
      <c r="L72">
        <v>350.68180760000001</v>
      </c>
      <c r="M72">
        <v>1.2910404310000001</v>
      </c>
      <c r="N72">
        <v>15503.49604</v>
      </c>
      <c r="O72" s="1" t="s">
        <v>1035</v>
      </c>
      <c r="P72" t="s">
        <v>488</v>
      </c>
      <c r="Q72" s="1" t="s">
        <v>1136</v>
      </c>
      <c r="R72" t="s">
        <v>1062</v>
      </c>
      <c r="S72" t="s">
        <v>1067</v>
      </c>
      <c r="T72" t="s">
        <v>1064</v>
      </c>
      <c r="U72" s="3">
        <v>34311</v>
      </c>
      <c r="V72" s="3">
        <v>44259</v>
      </c>
      <c r="W72">
        <f t="shared" si="4"/>
        <v>27</v>
      </c>
      <c r="X72" s="13">
        <v>0</v>
      </c>
      <c r="Y72" s="13">
        <v>2</v>
      </c>
      <c r="Z72" s="14">
        <v>1</v>
      </c>
      <c r="AA72" s="14">
        <v>0</v>
      </c>
      <c r="AB72">
        <v>2</v>
      </c>
      <c r="AC72" t="s">
        <v>1061</v>
      </c>
      <c r="AD72">
        <v>1826</v>
      </c>
      <c r="AE72">
        <v>6</v>
      </c>
      <c r="AF72" t="str">
        <f t="shared" si="6"/>
        <v>TRUE</v>
      </c>
    </row>
    <row r="73" spans="1:32">
      <c r="A73" t="s">
        <v>107</v>
      </c>
      <c r="B73">
        <v>2.8792242809999999</v>
      </c>
      <c r="C73" t="s">
        <v>34</v>
      </c>
      <c r="D73">
        <v>4.4815496939999999</v>
      </c>
      <c r="E73">
        <v>132.22148089999999</v>
      </c>
      <c r="F73">
        <v>34.079324200000002</v>
      </c>
      <c r="G73" t="s">
        <v>35</v>
      </c>
      <c r="H73">
        <v>146.09530050000001</v>
      </c>
      <c r="I73">
        <v>5.305795142</v>
      </c>
      <c r="J73">
        <v>86.177096259999999</v>
      </c>
      <c r="K73">
        <v>1.4793571169999999</v>
      </c>
      <c r="L73">
        <v>313.31025840000001</v>
      </c>
      <c r="M73">
        <v>1.0984118199999999</v>
      </c>
      <c r="N73">
        <v>11610.77794</v>
      </c>
      <c r="O73" s="1" t="s">
        <v>1036</v>
      </c>
      <c r="P73" t="s">
        <v>107</v>
      </c>
      <c r="Q73" s="1" t="s">
        <v>1133</v>
      </c>
      <c r="R73" t="s">
        <v>1062</v>
      </c>
      <c r="S73" t="s">
        <v>1067</v>
      </c>
      <c r="T73" t="s">
        <v>1068</v>
      </c>
      <c r="U73" s="3">
        <v>23988</v>
      </c>
      <c r="V73" s="3">
        <v>44264</v>
      </c>
      <c r="W73">
        <f t="shared" ref="W73" si="7">DATEDIF(U73,V73,"Y")</f>
        <v>55</v>
      </c>
      <c r="X73" s="13">
        <v>1</v>
      </c>
      <c r="Y73" s="13">
        <v>2</v>
      </c>
      <c r="Z73" s="14">
        <v>0</v>
      </c>
      <c r="AA73" s="14">
        <v>0</v>
      </c>
      <c r="AB73">
        <v>2</v>
      </c>
      <c r="AC73" t="s">
        <v>1065</v>
      </c>
      <c r="AD73">
        <v>57</v>
      </c>
      <c r="AE73">
        <v>1</v>
      </c>
      <c r="AF73" t="str">
        <f t="shared" si="6"/>
        <v>TRUE</v>
      </c>
    </row>
  </sheetData>
  <sortState xmlns:xlrd2="http://schemas.microsoft.com/office/spreadsheetml/2017/richdata2" ref="A4:AF72">
    <sortCondition ref="P3:P72"/>
  </sortState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8DFF98-0D59-7748-A210-0B7D25F37322}">
  <dimension ref="A1:AG79"/>
  <sheetViews>
    <sheetView workbookViewId="0">
      <pane ySplit="1" topLeftCell="A41" activePane="bottomLeft" state="frozen"/>
      <selection pane="bottomLeft" activeCell="P79" sqref="P79"/>
    </sheetView>
  </sheetViews>
  <sheetFormatPr defaultColWidth="11" defaultRowHeight="15.75"/>
  <sheetData>
    <row r="1" spans="1:33">
      <c r="A1" s="8" t="s">
        <v>4</v>
      </c>
      <c r="B1" s="8" t="s">
        <v>7</v>
      </c>
      <c r="C1" s="8" t="s">
        <v>8</v>
      </c>
      <c r="D1" s="8" t="s">
        <v>9</v>
      </c>
      <c r="E1" s="8" t="s">
        <v>10</v>
      </c>
      <c r="F1" s="8" t="s">
        <v>11</v>
      </c>
      <c r="G1" s="8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7" t="s">
        <v>1092</v>
      </c>
      <c r="P1" s="7" t="s">
        <v>1142</v>
      </c>
      <c r="Q1" s="7" t="s">
        <v>1093</v>
      </c>
      <c r="R1" s="7" t="s">
        <v>1081</v>
      </c>
      <c r="S1" s="7" t="s">
        <v>1082</v>
      </c>
      <c r="T1" s="1" t="s">
        <v>1083</v>
      </c>
      <c r="U1" s="1" t="s">
        <v>1084</v>
      </c>
      <c r="V1" s="1" t="s">
        <v>1085</v>
      </c>
      <c r="W1" s="1" t="s">
        <v>1086</v>
      </c>
      <c r="X1" s="8" t="s">
        <v>1098</v>
      </c>
      <c r="Y1" s="8" t="s">
        <v>1099</v>
      </c>
      <c r="Z1" s="8" t="s">
        <v>1100</v>
      </c>
      <c r="AA1" s="8" t="s">
        <v>1101</v>
      </c>
      <c r="AB1" s="1" t="s">
        <v>1087</v>
      </c>
      <c r="AC1" s="1" t="s">
        <v>1088</v>
      </c>
      <c r="AD1" s="1" t="s">
        <v>1089</v>
      </c>
      <c r="AE1" s="1" t="s">
        <v>1090</v>
      </c>
      <c r="AF1" s="1" t="s">
        <v>1095</v>
      </c>
      <c r="AG1" s="1" t="s">
        <v>1141</v>
      </c>
    </row>
    <row r="2" spans="1:33">
      <c r="A2" t="s">
        <v>185</v>
      </c>
      <c r="B2">
        <v>1.59998989</v>
      </c>
      <c r="C2" t="s">
        <v>34</v>
      </c>
      <c r="D2">
        <v>4.1531719320000002</v>
      </c>
      <c r="E2" t="s">
        <v>35</v>
      </c>
      <c r="F2">
        <v>21.42699979</v>
      </c>
      <c r="G2">
        <v>3884.6801409999998</v>
      </c>
      <c r="H2">
        <v>150.17395550000001</v>
      </c>
      <c r="I2">
        <v>4.8796547419999996</v>
      </c>
      <c r="J2">
        <v>27.208377760000001</v>
      </c>
      <c r="K2">
        <v>0.66118464700000001</v>
      </c>
      <c r="L2">
        <v>260.52168719999997</v>
      </c>
      <c r="M2">
        <v>1.4580179129999999</v>
      </c>
      <c r="N2">
        <v>9096.4791920000007</v>
      </c>
      <c r="O2" s="1" t="s">
        <v>887</v>
      </c>
      <c r="P2" s="1" t="s">
        <v>1120</v>
      </c>
      <c r="Q2" t="s">
        <v>185</v>
      </c>
      <c r="R2" t="s">
        <v>1062</v>
      </c>
      <c r="S2" t="s">
        <v>1063</v>
      </c>
      <c r="T2" t="s">
        <v>1064</v>
      </c>
      <c r="U2" s="3">
        <v>34403</v>
      </c>
      <c r="V2" s="3">
        <v>43627</v>
      </c>
      <c r="W2">
        <f>DATEDIF(U2,V2,"Y")</f>
        <v>25</v>
      </c>
      <c r="X2">
        <v>0</v>
      </c>
      <c r="Y2" s="13">
        <v>1</v>
      </c>
      <c r="Z2">
        <v>0</v>
      </c>
      <c r="AA2">
        <v>1</v>
      </c>
      <c r="AB2">
        <v>1</v>
      </c>
      <c r="AC2" t="s">
        <v>1065</v>
      </c>
      <c r="AD2">
        <v>667</v>
      </c>
      <c r="AE2">
        <v>6</v>
      </c>
      <c r="AF2" t="s">
        <v>1096</v>
      </c>
      <c r="AG2" t="str">
        <f t="shared" ref="AG2:AG33" si="0">IF(Q2=A2, "TRUE", "FALSE")</f>
        <v>TRUE</v>
      </c>
    </row>
    <row r="3" spans="1:33">
      <c r="A3" t="s">
        <v>173</v>
      </c>
      <c r="B3">
        <v>1.559993</v>
      </c>
      <c r="C3" t="s">
        <v>34</v>
      </c>
      <c r="D3">
        <v>1.9998392</v>
      </c>
      <c r="E3" t="s">
        <v>35</v>
      </c>
      <c r="F3">
        <v>22.554523459999999</v>
      </c>
      <c r="G3">
        <v>4212.2602880000004</v>
      </c>
      <c r="H3">
        <v>154.0656936</v>
      </c>
      <c r="I3">
        <v>1.4104709740000001</v>
      </c>
      <c r="J3">
        <v>35.202416149999998</v>
      </c>
      <c r="K3">
        <v>0.3999998233</v>
      </c>
      <c r="L3">
        <v>125.11640250000001</v>
      </c>
      <c r="M3">
        <v>1.497820581</v>
      </c>
      <c r="N3">
        <v>3542.9325739999999</v>
      </c>
      <c r="O3" s="1" t="s">
        <v>888</v>
      </c>
      <c r="P3" s="1" t="s">
        <v>1120</v>
      </c>
      <c r="Q3" t="s">
        <v>173</v>
      </c>
      <c r="R3" t="s">
        <v>1062</v>
      </c>
      <c r="S3" t="s">
        <v>1063</v>
      </c>
      <c r="T3" t="s">
        <v>1064</v>
      </c>
      <c r="U3" s="3">
        <v>34403</v>
      </c>
      <c r="V3" s="3">
        <v>43637</v>
      </c>
      <c r="W3">
        <v>25</v>
      </c>
      <c r="X3">
        <v>0</v>
      </c>
      <c r="Y3" s="13">
        <v>1</v>
      </c>
      <c r="Z3">
        <v>0</v>
      </c>
      <c r="AA3">
        <v>1</v>
      </c>
      <c r="AB3">
        <v>2</v>
      </c>
      <c r="AC3" t="s">
        <v>1065</v>
      </c>
      <c r="AD3" t="s">
        <v>1060</v>
      </c>
      <c r="AE3">
        <v>5</v>
      </c>
      <c r="AG3" t="str">
        <f t="shared" si="0"/>
        <v>TRUE</v>
      </c>
    </row>
    <row r="4" spans="1:33">
      <c r="A4" t="s">
        <v>197</v>
      </c>
      <c r="B4">
        <v>1.559993</v>
      </c>
      <c r="C4" t="s">
        <v>34</v>
      </c>
      <c r="D4">
        <v>5.6805820310000001</v>
      </c>
      <c r="E4" t="s">
        <v>35</v>
      </c>
      <c r="F4">
        <v>44.549775760000003</v>
      </c>
      <c r="G4">
        <v>3402.5319920000002</v>
      </c>
      <c r="H4">
        <v>141.8454644</v>
      </c>
      <c r="I4">
        <v>4.2331054750000003</v>
      </c>
      <c r="J4">
        <v>31.177785239999999</v>
      </c>
      <c r="K4">
        <v>0.432323925</v>
      </c>
      <c r="L4">
        <v>316.02022849999997</v>
      </c>
      <c r="M4">
        <v>2.023814191</v>
      </c>
      <c r="N4">
        <v>9909.2963990000007</v>
      </c>
      <c r="O4" s="1" t="s">
        <v>896</v>
      </c>
      <c r="P4" s="1" t="s">
        <v>1120</v>
      </c>
      <c r="Q4" t="s">
        <v>197</v>
      </c>
      <c r="R4" t="s">
        <v>1062</v>
      </c>
      <c r="S4" t="s">
        <v>1063</v>
      </c>
      <c r="T4" t="s">
        <v>1064</v>
      </c>
      <c r="U4" s="3">
        <v>34403</v>
      </c>
      <c r="V4" s="3">
        <v>43655</v>
      </c>
      <c r="W4">
        <v>25</v>
      </c>
      <c r="X4">
        <v>0</v>
      </c>
      <c r="Y4" s="13">
        <v>1</v>
      </c>
      <c r="Z4">
        <v>0</v>
      </c>
      <c r="AA4">
        <v>1</v>
      </c>
      <c r="AB4">
        <v>4</v>
      </c>
      <c r="AC4" t="s">
        <v>1065</v>
      </c>
      <c r="AD4" t="s">
        <v>1060</v>
      </c>
      <c r="AE4">
        <v>5</v>
      </c>
      <c r="AG4" t="str">
        <f t="shared" si="0"/>
        <v>TRUE</v>
      </c>
    </row>
    <row r="5" spans="1:33">
      <c r="A5" t="s">
        <v>194</v>
      </c>
      <c r="B5">
        <v>2.9807101980000001</v>
      </c>
      <c r="C5" t="s">
        <v>34</v>
      </c>
      <c r="D5">
        <v>4.1781791139999997</v>
      </c>
      <c r="E5" t="s">
        <v>35</v>
      </c>
      <c r="F5">
        <v>37.601129589999999</v>
      </c>
      <c r="G5">
        <v>2911.4383800000001</v>
      </c>
      <c r="H5">
        <v>512.08878279999999</v>
      </c>
      <c r="I5">
        <v>4.7382931519999998</v>
      </c>
      <c r="J5">
        <v>35.723464219999997</v>
      </c>
      <c r="K5">
        <v>0.60025695099999998</v>
      </c>
      <c r="L5">
        <v>290.07758239999998</v>
      </c>
      <c r="M5">
        <v>2.7927146060000001</v>
      </c>
      <c r="N5">
        <v>9264.9227989999999</v>
      </c>
      <c r="O5" s="1" t="s">
        <v>898</v>
      </c>
      <c r="P5" s="1" t="s">
        <v>1120</v>
      </c>
      <c r="Q5" t="s">
        <v>194</v>
      </c>
      <c r="R5" t="s">
        <v>1062</v>
      </c>
      <c r="S5" t="s">
        <v>1063</v>
      </c>
      <c r="T5" t="s">
        <v>1064</v>
      </c>
      <c r="U5" s="3">
        <v>34403</v>
      </c>
      <c r="V5" s="3">
        <v>43664</v>
      </c>
      <c r="W5">
        <v>25</v>
      </c>
      <c r="X5">
        <v>0</v>
      </c>
      <c r="Y5" s="13">
        <v>1</v>
      </c>
      <c r="Z5">
        <v>0</v>
      </c>
      <c r="AA5">
        <v>1</v>
      </c>
      <c r="AB5">
        <v>5</v>
      </c>
      <c r="AC5" t="s">
        <v>1065</v>
      </c>
      <c r="AD5">
        <v>312</v>
      </c>
      <c r="AE5">
        <v>3</v>
      </c>
      <c r="AG5" t="str">
        <f t="shared" si="0"/>
        <v>TRUE</v>
      </c>
    </row>
    <row r="6" spans="1:33">
      <c r="A6" t="s">
        <v>182</v>
      </c>
      <c r="B6">
        <v>1.671986602</v>
      </c>
      <c r="C6" t="s">
        <v>34</v>
      </c>
      <c r="D6">
        <v>5.6445825169999999</v>
      </c>
      <c r="E6" t="s">
        <v>35</v>
      </c>
      <c r="F6">
        <v>58.847334330000002</v>
      </c>
      <c r="G6">
        <v>3039.9553770000002</v>
      </c>
      <c r="H6">
        <v>1000.111122211</v>
      </c>
      <c r="I6">
        <v>4.233210251</v>
      </c>
      <c r="J6">
        <v>22.008981200000001</v>
      </c>
      <c r="K6">
        <v>0.39999432200000001</v>
      </c>
      <c r="L6">
        <v>438.74006900000001</v>
      </c>
      <c r="M6">
        <v>2.7002412850000002</v>
      </c>
      <c r="N6">
        <v>8868.369385</v>
      </c>
      <c r="O6" s="1" t="s">
        <v>969</v>
      </c>
      <c r="P6" s="1" t="s">
        <v>1120</v>
      </c>
      <c r="Q6" t="s">
        <v>182</v>
      </c>
      <c r="R6" t="s">
        <v>1062</v>
      </c>
      <c r="S6" t="s">
        <v>1063</v>
      </c>
      <c r="T6" t="s">
        <v>1064</v>
      </c>
      <c r="U6" s="3">
        <v>34403</v>
      </c>
      <c r="V6" s="3">
        <v>43690</v>
      </c>
      <c r="W6">
        <f t="shared" ref="W6:W21" si="1">DATEDIF(U6,V6,"Y")</f>
        <v>25</v>
      </c>
      <c r="X6">
        <v>0</v>
      </c>
      <c r="Y6" s="13">
        <v>1</v>
      </c>
      <c r="Z6">
        <v>0</v>
      </c>
      <c r="AA6">
        <v>1</v>
      </c>
      <c r="AB6">
        <v>6</v>
      </c>
      <c r="AC6" t="s">
        <v>1065</v>
      </c>
      <c r="AD6">
        <v>3772</v>
      </c>
      <c r="AE6">
        <v>7</v>
      </c>
      <c r="AG6" t="str">
        <f t="shared" si="0"/>
        <v>TRUE</v>
      </c>
    </row>
    <row r="7" spans="1:33">
      <c r="A7" t="s">
        <v>170</v>
      </c>
      <c r="B7">
        <v>1.7424027689999999</v>
      </c>
      <c r="C7" t="s">
        <v>34</v>
      </c>
      <c r="D7">
        <v>3.2544665629999998</v>
      </c>
      <c r="E7" t="s">
        <v>35</v>
      </c>
      <c r="F7">
        <v>25.190394919999999</v>
      </c>
      <c r="G7">
        <v>3119.5230959999999</v>
      </c>
      <c r="H7">
        <v>349.20756649999998</v>
      </c>
      <c r="I7">
        <v>4.2636056609999997</v>
      </c>
      <c r="J7">
        <v>19.975892330000001</v>
      </c>
      <c r="K7">
        <v>0.51196327100000005</v>
      </c>
      <c r="L7">
        <v>235.8230514</v>
      </c>
      <c r="M7">
        <v>2.0594414169999999</v>
      </c>
      <c r="N7">
        <v>6775.0969439999999</v>
      </c>
      <c r="O7" s="1" t="s">
        <v>977</v>
      </c>
      <c r="P7" s="1" t="s">
        <v>1120</v>
      </c>
      <c r="Q7" t="s">
        <v>170</v>
      </c>
      <c r="R7" t="s">
        <v>1062</v>
      </c>
      <c r="S7" t="s">
        <v>1063</v>
      </c>
      <c r="T7" t="s">
        <v>1064</v>
      </c>
      <c r="U7" s="3">
        <v>34403</v>
      </c>
      <c r="V7" s="3">
        <v>43718</v>
      </c>
      <c r="W7">
        <f t="shared" si="1"/>
        <v>25</v>
      </c>
      <c r="X7">
        <v>0</v>
      </c>
      <c r="Y7" s="13">
        <v>1</v>
      </c>
      <c r="Z7">
        <v>0</v>
      </c>
      <c r="AA7">
        <v>1</v>
      </c>
      <c r="AB7">
        <v>7</v>
      </c>
      <c r="AC7" t="s">
        <v>1065</v>
      </c>
      <c r="AD7">
        <v>904</v>
      </c>
      <c r="AE7">
        <v>5</v>
      </c>
      <c r="AG7" t="str">
        <f t="shared" si="0"/>
        <v>TRUE</v>
      </c>
    </row>
    <row r="8" spans="1:33">
      <c r="A8" t="s">
        <v>299</v>
      </c>
      <c r="B8">
        <v>3.967712466</v>
      </c>
      <c r="C8" t="s">
        <v>34</v>
      </c>
      <c r="D8">
        <v>10.625454879999999</v>
      </c>
      <c r="E8">
        <v>178.3700422</v>
      </c>
      <c r="F8">
        <v>65.023873179999995</v>
      </c>
      <c r="G8">
        <v>3729.0262710000002</v>
      </c>
      <c r="H8">
        <v>100.9722154</v>
      </c>
      <c r="I8">
        <v>3.0076013540000002</v>
      </c>
      <c r="J8">
        <v>8.5466769819999993</v>
      </c>
      <c r="K8">
        <v>1.921948588</v>
      </c>
      <c r="L8">
        <v>257.6021811</v>
      </c>
      <c r="M8">
        <v>2.6176232060000002</v>
      </c>
      <c r="N8">
        <v>9583.9180620000006</v>
      </c>
      <c r="O8" s="1" t="s">
        <v>911</v>
      </c>
      <c r="P8" s="1" t="s">
        <v>1121</v>
      </c>
      <c r="Q8" t="s">
        <v>299</v>
      </c>
      <c r="R8" t="s">
        <v>1062</v>
      </c>
      <c r="S8" t="s">
        <v>1067</v>
      </c>
      <c r="T8" t="s">
        <v>1064</v>
      </c>
      <c r="U8" s="3">
        <v>29943</v>
      </c>
      <c r="V8" s="3">
        <v>43733</v>
      </c>
      <c r="W8">
        <f t="shared" si="1"/>
        <v>37</v>
      </c>
      <c r="X8">
        <v>0</v>
      </c>
      <c r="Y8" s="13">
        <v>3</v>
      </c>
      <c r="Z8">
        <v>1</v>
      </c>
      <c r="AA8">
        <v>0</v>
      </c>
      <c r="AB8">
        <v>1</v>
      </c>
      <c r="AC8" t="s">
        <v>1061</v>
      </c>
      <c r="AD8">
        <v>11409</v>
      </c>
      <c r="AE8">
        <v>10</v>
      </c>
      <c r="AF8" t="s">
        <v>1096</v>
      </c>
      <c r="AG8" t="str">
        <f t="shared" si="0"/>
        <v>TRUE</v>
      </c>
    </row>
    <row r="9" spans="1:33">
      <c r="A9" t="s">
        <v>290</v>
      </c>
      <c r="B9">
        <v>7.3093879739999998</v>
      </c>
      <c r="C9" t="s">
        <v>34</v>
      </c>
      <c r="D9">
        <v>11.868419729999999</v>
      </c>
      <c r="E9">
        <v>104.1570244</v>
      </c>
      <c r="F9">
        <v>105.9266403</v>
      </c>
      <c r="G9" t="s">
        <v>35</v>
      </c>
      <c r="H9">
        <v>266.72406960000001</v>
      </c>
      <c r="I9">
        <v>18.75352397</v>
      </c>
      <c r="J9">
        <v>7.5005594670000004</v>
      </c>
      <c r="K9">
        <v>7.6383482310000002</v>
      </c>
      <c r="L9">
        <v>636.49771480000004</v>
      </c>
      <c r="M9">
        <v>2.4613271229999998</v>
      </c>
      <c r="N9">
        <v>13913.48811</v>
      </c>
      <c r="O9" s="1" t="s">
        <v>1015</v>
      </c>
      <c r="P9" s="1" t="s">
        <v>1121</v>
      </c>
      <c r="Q9" t="s">
        <v>290</v>
      </c>
      <c r="R9" t="s">
        <v>1062</v>
      </c>
      <c r="S9" t="s">
        <v>1067</v>
      </c>
      <c r="T9" t="s">
        <v>1068</v>
      </c>
      <c r="U9" s="3">
        <v>29943</v>
      </c>
      <c r="V9" s="3">
        <v>43865</v>
      </c>
      <c r="W9">
        <f t="shared" si="1"/>
        <v>38</v>
      </c>
      <c r="X9">
        <v>0</v>
      </c>
      <c r="Y9" s="13">
        <v>3</v>
      </c>
      <c r="Z9">
        <v>1</v>
      </c>
      <c r="AA9">
        <v>0</v>
      </c>
      <c r="AB9">
        <v>2</v>
      </c>
      <c r="AC9" t="s">
        <v>1061</v>
      </c>
      <c r="AD9" t="s">
        <v>1060</v>
      </c>
      <c r="AE9">
        <v>8</v>
      </c>
      <c r="AG9" t="str">
        <f t="shared" si="0"/>
        <v>TRUE</v>
      </c>
    </row>
    <row r="10" spans="1:33">
      <c r="A10" t="s">
        <v>278</v>
      </c>
      <c r="B10">
        <v>4.721281973</v>
      </c>
      <c r="C10" t="s">
        <v>34</v>
      </c>
      <c r="D10">
        <v>9.4043614229999992</v>
      </c>
      <c r="E10" t="s">
        <v>35</v>
      </c>
      <c r="F10">
        <v>106.7059604</v>
      </c>
      <c r="G10" t="s">
        <v>35</v>
      </c>
      <c r="H10">
        <v>169.94251840000001</v>
      </c>
      <c r="I10">
        <v>12.50086413</v>
      </c>
      <c r="J10">
        <v>7.8216109969999996</v>
      </c>
      <c r="K10">
        <v>4.2802517770000001</v>
      </c>
      <c r="L10">
        <v>564.55047309999998</v>
      </c>
      <c r="M10">
        <v>1.896865502</v>
      </c>
      <c r="N10">
        <v>11474.8516</v>
      </c>
      <c r="O10" s="1" t="s">
        <v>1016</v>
      </c>
      <c r="P10" s="1" t="s">
        <v>1121</v>
      </c>
      <c r="Q10" t="s">
        <v>278</v>
      </c>
      <c r="R10" t="s">
        <v>1062</v>
      </c>
      <c r="S10" t="s">
        <v>1067</v>
      </c>
      <c r="T10" t="s">
        <v>1068</v>
      </c>
      <c r="U10" s="3">
        <v>29943</v>
      </c>
      <c r="V10" s="3">
        <v>43882</v>
      </c>
      <c r="W10">
        <f t="shared" si="1"/>
        <v>38</v>
      </c>
      <c r="X10">
        <v>0</v>
      </c>
      <c r="Y10" s="13">
        <v>3</v>
      </c>
      <c r="Z10">
        <v>1</v>
      </c>
      <c r="AA10">
        <v>0</v>
      </c>
      <c r="AB10">
        <v>3</v>
      </c>
      <c r="AC10" t="s">
        <v>1061</v>
      </c>
      <c r="AD10" t="s">
        <v>1060</v>
      </c>
      <c r="AE10">
        <v>11</v>
      </c>
      <c r="AG10" t="str">
        <f t="shared" si="0"/>
        <v>TRUE</v>
      </c>
    </row>
    <row r="11" spans="1:33">
      <c r="A11" t="s">
        <v>281</v>
      </c>
      <c r="B11">
        <v>9.3836612739999996</v>
      </c>
      <c r="C11" t="s">
        <v>34</v>
      </c>
      <c r="D11">
        <v>12.12698492</v>
      </c>
      <c r="E11" t="s">
        <v>35</v>
      </c>
      <c r="F11">
        <v>108.8601384</v>
      </c>
      <c r="G11" t="s">
        <v>35</v>
      </c>
      <c r="H11">
        <v>278.42332579999999</v>
      </c>
      <c r="I11">
        <v>15.42470138</v>
      </c>
      <c r="J11">
        <v>8.3658406509999992</v>
      </c>
      <c r="K11">
        <v>6.2423783259999999</v>
      </c>
      <c r="L11">
        <v>544.76923020000004</v>
      </c>
      <c r="M11">
        <v>1.9921225810000001</v>
      </c>
      <c r="N11">
        <v>10091.63048</v>
      </c>
      <c r="O11" s="1" t="s">
        <v>1017</v>
      </c>
      <c r="P11" s="1" t="s">
        <v>1121</v>
      </c>
      <c r="Q11" t="s">
        <v>281</v>
      </c>
      <c r="R11" t="s">
        <v>1062</v>
      </c>
      <c r="S11" t="s">
        <v>1067</v>
      </c>
      <c r="T11" t="s">
        <v>1064</v>
      </c>
      <c r="U11" s="3">
        <v>29943</v>
      </c>
      <c r="V11" s="3">
        <v>43889</v>
      </c>
      <c r="W11">
        <f t="shared" si="1"/>
        <v>38</v>
      </c>
      <c r="X11">
        <v>0</v>
      </c>
      <c r="Y11" s="13">
        <v>3</v>
      </c>
      <c r="Z11">
        <v>1</v>
      </c>
      <c r="AA11">
        <v>0</v>
      </c>
      <c r="AB11">
        <v>4</v>
      </c>
      <c r="AC11" t="s">
        <v>1061</v>
      </c>
      <c r="AD11" t="s">
        <v>1060</v>
      </c>
      <c r="AE11">
        <v>10</v>
      </c>
      <c r="AG11" t="str">
        <f t="shared" si="0"/>
        <v>TRUE</v>
      </c>
    </row>
    <row r="12" spans="1:33">
      <c r="A12" t="s">
        <v>293</v>
      </c>
      <c r="B12">
        <v>2.8603906860000001</v>
      </c>
      <c r="C12" t="s">
        <v>34</v>
      </c>
      <c r="D12">
        <v>6.387228951</v>
      </c>
      <c r="E12">
        <v>177.57097390000001</v>
      </c>
      <c r="F12">
        <v>69.866631420000004</v>
      </c>
      <c r="G12" t="s">
        <v>35</v>
      </c>
      <c r="H12">
        <v>187.9156969</v>
      </c>
      <c r="I12">
        <v>5.5353321209999997</v>
      </c>
      <c r="J12">
        <v>14.02591209</v>
      </c>
      <c r="K12">
        <v>1.5471575900000001</v>
      </c>
      <c r="L12">
        <v>456.4076245</v>
      </c>
      <c r="M12">
        <v>2.16094177</v>
      </c>
      <c r="N12">
        <v>14491.351430000001</v>
      </c>
      <c r="O12" s="1" t="s">
        <v>1018</v>
      </c>
      <c r="P12" s="1" t="s">
        <v>1121</v>
      </c>
      <c r="Q12" t="s">
        <v>293</v>
      </c>
      <c r="R12" t="s">
        <v>1062</v>
      </c>
      <c r="S12" t="s">
        <v>1067</v>
      </c>
      <c r="T12" t="s">
        <v>1064</v>
      </c>
      <c r="U12" s="3">
        <v>29943</v>
      </c>
      <c r="V12" s="3">
        <v>43896</v>
      </c>
      <c r="W12">
        <f t="shared" si="1"/>
        <v>38</v>
      </c>
      <c r="X12">
        <v>0</v>
      </c>
      <c r="Y12" s="13">
        <v>3</v>
      </c>
      <c r="Z12">
        <v>1</v>
      </c>
      <c r="AA12">
        <v>0</v>
      </c>
      <c r="AB12">
        <v>4</v>
      </c>
      <c r="AC12" t="s">
        <v>1061</v>
      </c>
      <c r="AD12">
        <v>1144</v>
      </c>
      <c r="AE12">
        <v>5</v>
      </c>
      <c r="AG12" t="str">
        <f t="shared" si="0"/>
        <v>TRUE</v>
      </c>
    </row>
    <row r="13" spans="1:33">
      <c r="A13" t="s">
        <v>284</v>
      </c>
      <c r="B13">
        <v>6.1465562739999999</v>
      </c>
      <c r="C13" t="s">
        <v>34</v>
      </c>
      <c r="D13">
        <v>6.9592856420000002</v>
      </c>
      <c r="E13">
        <v>106.1214894</v>
      </c>
      <c r="F13">
        <v>54.514540859999997</v>
      </c>
      <c r="G13" t="s">
        <v>35</v>
      </c>
      <c r="H13">
        <v>121.95117380000001</v>
      </c>
      <c r="I13">
        <v>16.969078549999999</v>
      </c>
      <c r="J13">
        <v>21.053649050000001</v>
      </c>
      <c r="K13">
        <v>6.2397291719999997</v>
      </c>
      <c r="L13">
        <v>259.59800000000001</v>
      </c>
      <c r="M13">
        <v>1.071602078</v>
      </c>
      <c r="N13">
        <v>8383.9368489999997</v>
      </c>
      <c r="O13" s="1" t="s">
        <v>1021</v>
      </c>
      <c r="P13" s="1" t="s">
        <v>1121</v>
      </c>
      <c r="Q13" t="s">
        <v>284</v>
      </c>
      <c r="R13" t="s">
        <v>1062</v>
      </c>
      <c r="S13" t="s">
        <v>1067</v>
      </c>
      <c r="T13" t="s">
        <v>1064</v>
      </c>
      <c r="U13" s="3">
        <v>29943</v>
      </c>
      <c r="V13" s="3">
        <v>44011</v>
      </c>
      <c r="W13">
        <f t="shared" si="1"/>
        <v>38</v>
      </c>
      <c r="X13">
        <v>0</v>
      </c>
      <c r="Y13" s="13">
        <v>3</v>
      </c>
      <c r="Z13">
        <v>1</v>
      </c>
      <c r="AA13">
        <v>0</v>
      </c>
      <c r="AB13">
        <v>7</v>
      </c>
      <c r="AC13" t="s">
        <v>1061</v>
      </c>
      <c r="AD13" s="5">
        <v>20</v>
      </c>
      <c r="AE13" s="5">
        <v>0</v>
      </c>
      <c r="AG13" t="str">
        <f t="shared" si="0"/>
        <v>TRUE</v>
      </c>
    </row>
    <row r="14" spans="1:33">
      <c r="A14" t="s">
        <v>776</v>
      </c>
      <c r="B14">
        <v>6.0334510259999998</v>
      </c>
      <c r="C14" t="s">
        <v>34</v>
      </c>
      <c r="D14">
        <v>5.2233500770000001</v>
      </c>
      <c r="E14">
        <v>91.739495969999993</v>
      </c>
      <c r="F14">
        <v>61.730145239999999</v>
      </c>
      <c r="G14" t="s">
        <v>35</v>
      </c>
      <c r="H14">
        <v>156.78041820000001</v>
      </c>
      <c r="I14">
        <v>8.6619386919999997</v>
      </c>
      <c r="J14">
        <v>15.49389309</v>
      </c>
      <c r="K14">
        <v>2.0930060269999999</v>
      </c>
      <c r="L14">
        <v>534.62962400000004</v>
      </c>
      <c r="M14">
        <v>1.5976852770000001</v>
      </c>
      <c r="N14">
        <v>11249.742</v>
      </c>
      <c r="O14" s="1" t="s">
        <v>899</v>
      </c>
      <c r="P14" s="1" t="s">
        <v>1143</v>
      </c>
      <c r="Q14" t="s">
        <v>776</v>
      </c>
      <c r="R14" t="s">
        <v>1069</v>
      </c>
      <c r="S14" t="s">
        <v>1070</v>
      </c>
      <c r="T14" t="s">
        <v>1068</v>
      </c>
      <c r="U14" s="3">
        <v>22293</v>
      </c>
      <c r="V14" s="3">
        <v>43657</v>
      </c>
      <c r="W14">
        <f t="shared" si="1"/>
        <v>58</v>
      </c>
      <c r="X14">
        <v>1</v>
      </c>
      <c r="Y14">
        <v>2</v>
      </c>
      <c r="Z14" s="15">
        <v>1</v>
      </c>
      <c r="AA14" s="15">
        <v>0</v>
      </c>
      <c r="AB14">
        <v>1</v>
      </c>
      <c r="AC14" t="s">
        <v>1065</v>
      </c>
      <c r="AD14">
        <v>1013</v>
      </c>
      <c r="AE14">
        <v>8</v>
      </c>
      <c r="AF14" t="s">
        <v>1096</v>
      </c>
      <c r="AG14" t="str">
        <f t="shared" si="0"/>
        <v>TRUE</v>
      </c>
    </row>
    <row r="15" spans="1:33">
      <c r="A15" t="s">
        <v>770</v>
      </c>
      <c r="B15">
        <v>4.56196761</v>
      </c>
      <c r="C15" t="s">
        <v>34</v>
      </c>
      <c r="D15">
        <v>6.2164444110000003</v>
      </c>
      <c r="E15">
        <v>132.17423400000001</v>
      </c>
      <c r="F15">
        <v>94.227918399999993</v>
      </c>
      <c r="G15" t="s">
        <v>35</v>
      </c>
      <c r="H15">
        <v>302.68281969999998</v>
      </c>
      <c r="I15">
        <v>5.9062012450000001</v>
      </c>
      <c r="J15">
        <v>13.738105040000001</v>
      </c>
      <c r="K15">
        <v>1.124002433</v>
      </c>
      <c r="L15">
        <v>592.30468819999999</v>
      </c>
      <c r="M15">
        <v>2.5246820130000001</v>
      </c>
      <c r="N15">
        <v>12589.81979</v>
      </c>
      <c r="O15" s="1" t="s">
        <v>987</v>
      </c>
      <c r="P15" s="1" t="s">
        <v>1143</v>
      </c>
      <c r="Q15" s="5" t="s">
        <v>770</v>
      </c>
      <c r="R15" t="s">
        <v>1069</v>
      </c>
      <c r="S15" t="s">
        <v>1070</v>
      </c>
      <c r="T15" t="s">
        <v>1068</v>
      </c>
      <c r="U15" s="3">
        <v>22293</v>
      </c>
      <c r="V15" s="3">
        <v>43741</v>
      </c>
      <c r="W15">
        <f t="shared" si="1"/>
        <v>58</v>
      </c>
      <c r="X15">
        <v>1</v>
      </c>
      <c r="Y15">
        <v>2</v>
      </c>
      <c r="Z15" s="15">
        <v>1</v>
      </c>
      <c r="AA15" s="15">
        <v>0</v>
      </c>
      <c r="AB15">
        <v>3</v>
      </c>
      <c r="AC15" t="s">
        <v>1065</v>
      </c>
      <c r="AD15" t="s">
        <v>1060</v>
      </c>
      <c r="AE15">
        <v>1</v>
      </c>
      <c r="AG15" t="str">
        <f t="shared" si="0"/>
        <v>TRUE</v>
      </c>
    </row>
    <row r="16" spans="1:33">
      <c r="A16" t="s">
        <v>761</v>
      </c>
      <c r="B16">
        <v>7.5833667030000003</v>
      </c>
      <c r="C16" t="s">
        <v>34</v>
      </c>
      <c r="D16">
        <v>10.06817466</v>
      </c>
      <c r="E16">
        <v>191.6873047</v>
      </c>
      <c r="F16">
        <v>84.018105370000001</v>
      </c>
      <c r="G16" t="s">
        <v>35</v>
      </c>
      <c r="H16">
        <v>350.18183909999999</v>
      </c>
      <c r="I16">
        <v>13.38676519</v>
      </c>
      <c r="J16">
        <v>13.91668836</v>
      </c>
      <c r="K16">
        <v>3.6803033850000002</v>
      </c>
      <c r="L16">
        <v>565.41227579999997</v>
      </c>
      <c r="M16">
        <v>1.705807222</v>
      </c>
      <c r="N16">
        <v>11617.11692</v>
      </c>
      <c r="O16" s="1" t="s">
        <v>988</v>
      </c>
      <c r="P16" s="1" t="s">
        <v>1143</v>
      </c>
      <c r="Q16" t="s">
        <v>761</v>
      </c>
      <c r="R16" t="s">
        <v>1069</v>
      </c>
      <c r="S16" t="s">
        <v>1070</v>
      </c>
      <c r="T16" t="s">
        <v>1068</v>
      </c>
      <c r="U16" s="3">
        <v>22293</v>
      </c>
      <c r="V16" s="3">
        <v>43748</v>
      </c>
      <c r="W16">
        <f t="shared" si="1"/>
        <v>58</v>
      </c>
      <c r="X16">
        <v>1</v>
      </c>
      <c r="Y16">
        <v>2</v>
      </c>
      <c r="Z16" s="15">
        <v>1</v>
      </c>
      <c r="AA16" s="15">
        <v>0</v>
      </c>
      <c r="AB16">
        <v>4</v>
      </c>
      <c r="AC16" t="s">
        <v>1065</v>
      </c>
      <c r="AD16" t="s">
        <v>1060</v>
      </c>
      <c r="AE16">
        <v>1</v>
      </c>
      <c r="AG16" t="str">
        <f t="shared" si="0"/>
        <v>TRUE</v>
      </c>
    </row>
    <row r="17" spans="1:33">
      <c r="A17" t="s">
        <v>764</v>
      </c>
      <c r="B17">
        <v>10.26793784</v>
      </c>
      <c r="C17" t="s">
        <v>34</v>
      </c>
      <c r="D17">
        <v>12.27972845</v>
      </c>
      <c r="E17" t="s">
        <v>35</v>
      </c>
      <c r="F17">
        <v>74.301432129999995</v>
      </c>
      <c r="G17" t="s">
        <v>35</v>
      </c>
      <c r="H17">
        <v>383.67986509999997</v>
      </c>
      <c r="I17">
        <v>12.9452962</v>
      </c>
      <c r="J17">
        <v>11.243932819999999</v>
      </c>
      <c r="K17">
        <v>4.5072057299999999</v>
      </c>
      <c r="L17">
        <v>560.1698136</v>
      </c>
      <c r="M17">
        <v>1.31082718</v>
      </c>
      <c r="N17">
        <v>14374.34519</v>
      </c>
      <c r="O17" s="1" t="s">
        <v>990</v>
      </c>
      <c r="P17" s="1" t="s">
        <v>1143</v>
      </c>
      <c r="Q17" t="s">
        <v>764</v>
      </c>
      <c r="R17" t="s">
        <v>1069</v>
      </c>
      <c r="S17" t="s">
        <v>1070</v>
      </c>
      <c r="T17" t="s">
        <v>1068</v>
      </c>
      <c r="U17" s="3">
        <v>22293</v>
      </c>
      <c r="V17" s="3">
        <v>43754</v>
      </c>
      <c r="W17">
        <f t="shared" si="1"/>
        <v>58</v>
      </c>
      <c r="X17">
        <v>1</v>
      </c>
      <c r="Y17">
        <v>2</v>
      </c>
      <c r="Z17" s="15">
        <v>1</v>
      </c>
      <c r="AA17" s="15">
        <v>0</v>
      </c>
      <c r="AB17">
        <v>5</v>
      </c>
      <c r="AC17" t="s">
        <v>1065</v>
      </c>
      <c r="AD17">
        <v>254</v>
      </c>
      <c r="AE17">
        <v>2</v>
      </c>
      <c r="AG17" t="str">
        <f t="shared" si="0"/>
        <v>TRUE</v>
      </c>
    </row>
    <row r="18" spans="1:33">
      <c r="A18" t="s">
        <v>773</v>
      </c>
      <c r="B18">
        <v>4.5834858360000004</v>
      </c>
      <c r="C18" t="s">
        <v>34</v>
      </c>
      <c r="D18">
        <v>7.6428640190000001</v>
      </c>
      <c r="E18">
        <v>187.37151750000001</v>
      </c>
      <c r="F18">
        <v>60.531537210000003</v>
      </c>
      <c r="G18" t="s">
        <v>35</v>
      </c>
      <c r="H18">
        <v>175.63411690000001</v>
      </c>
      <c r="I18">
        <v>12.0097123</v>
      </c>
      <c r="J18">
        <v>11.917823840000001</v>
      </c>
      <c r="K18">
        <v>3.6735185420000001</v>
      </c>
      <c r="L18">
        <v>455.97067390000001</v>
      </c>
      <c r="M18">
        <v>1.457518506</v>
      </c>
      <c r="N18">
        <v>12145.007310000001</v>
      </c>
      <c r="O18" s="1" t="s">
        <v>993</v>
      </c>
      <c r="P18" s="1" t="s">
        <v>1143</v>
      </c>
      <c r="Q18" t="s">
        <v>773</v>
      </c>
      <c r="R18" t="s">
        <v>1069</v>
      </c>
      <c r="S18" t="s">
        <v>1070</v>
      </c>
      <c r="T18" t="s">
        <v>1068</v>
      </c>
      <c r="U18" s="3">
        <v>22293</v>
      </c>
      <c r="V18" s="3">
        <v>43788</v>
      </c>
      <c r="W18">
        <f t="shared" si="1"/>
        <v>58</v>
      </c>
      <c r="X18">
        <v>1</v>
      </c>
      <c r="Y18">
        <v>2</v>
      </c>
      <c r="Z18" s="15">
        <v>1</v>
      </c>
      <c r="AA18" s="15">
        <v>0</v>
      </c>
      <c r="AB18">
        <v>6</v>
      </c>
      <c r="AC18" t="s">
        <v>1065</v>
      </c>
      <c r="AD18">
        <v>467</v>
      </c>
      <c r="AE18">
        <v>1</v>
      </c>
      <c r="AG18" t="str">
        <f t="shared" si="0"/>
        <v>TRUE</v>
      </c>
    </row>
    <row r="19" spans="1:33">
      <c r="A19" t="s">
        <v>758</v>
      </c>
      <c r="B19">
        <v>7.3335071599999999</v>
      </c>
      <c r="C19" t="s">
        <v>34</v>
      </c>
      <c r="D19">
        <v>9.9338353010000002</v>
      </c>
      <c r="E19">
        <v>122.4309854</v>
      </c>
      <c r="F19">
        <v>65.060106750000003</v>
      </c>
      <c r="G19" t="s">
        <v>35</v>
      </c>
      <c r="H19">
        <v>228.87512670000001</v>
      </c>
      <c r="I19">
        <v>14.80914342</v>
      </c>
      <c r="J19">
        <v>13.907317490000001</v>
      </c>
      <c r="K19">
        <v>4.3465003290000004</v>
      </c>
      <c r="L19">
        <v>485.08772520000002</v>
      </c>
      <c r="M19">
        <v>1.4624663179999999</v>
      </c>
      <c r="N19">
        <v>11928.15885</v>
      </c>
      <c r="O19" s="1" t="s">
        <v>1003</v>
      </c>
      <c r="P19" s="1" t="s">
        <v>1143</v>
      </c>
      <c r="Q19" t="s">
        <v>758</v>
      </c>
      <c r="R19" t="s">
        <v>1069</v>
      </c>
      <c r="S19" t="s">
        <v>1070</v>
      </c>
      <c r="T19" t="s">
        <v>1068</v>
      </c>
      <c r="U19" s="3">
        <v>22293</v>
      </c>
      <c r="V19" s="3">
        <v>43816</v>
      </c>
      <c r="W19">
        <f t="shared" si="1"/>
        <v>58</v>
      </c>
      <c r="X19">
        <v>1</v>
      </c>
      <c r="Y19">
        <v>2</v>
      </c>
      <c r="Z19" s="15">
        <v>1</v>
      </c>
      <c r="AA19" s="15">
        <v>0</v>
      </c>
      <c r="AB19">
        <v>7</v>
      </c>
      <c r="AC19" t="s">
        <v>1065</v>
      </c>
      <c r="AD19">
        <v>653</v>
      </c>
      <c r="AE19">
        <v>0</v>
      </c>
      <c r="AG19" t="str">
        <f t="shared" si="0"/>
        <v>TRUE</v>
      </c>
    </row>
    <row r="20" spans="1:33">
      <c r="A20" t="s">
        <v>767</v>
      </c>
      <c r="B20">
        <v>10.059183730000001</v>
      </c>
      <c r="C20" t="s">
        <v>34</v>
      </c>
      <c r="D20">
        <v>13.67153375</v>
      </c>
      <c r="E20">
        <v>146.40084580000001</v>
      </c>
      <c r="F20">
        <v>77.710753249999996</v>
      </c>
      <c r="G20" t="s">
        <v>35</v>
      </c>
      <c r="H20">
        <v>385.99464280000001</v>
      </c>
      <c r="I20">
        <v>10.602203729999999</v>
      </c>
      <c r="J20">
        <v>17.362586010000001</v>
      </c>
      <c r="K20">
        <v>3.416387297</v>
      </c>
      <c r="L20">
        <v>509.26901199999998</v>
      </c>
      <c r="M20">
        <v>1.4588174410000001</v>
      </c>
      <c r="N20">
        <v>13076.451370000001</v>
      </c>
      <c r="O20" s="1" t="s">
        <v>984</v>
      </c>
      <c r="P20" s="1" t="s">
        <v>1143</v>
      </c>
      <c r="Q20" t="s">
        <v>767</v>
      </c>
      <c r="R20" t="s">
        <v>1069</v>
      </c>
      <c r="S20" t="s">
        <v>1070</v>
      </c>
      <c r="T20" t="s">
        <v>1068</v>
      </c>
      <c r="U20" s="3">
        <v>22293</v>
      </c>
      <c r="V20" s="3">
        <v>43733</v>
      </c>
      <c r="W20">
        <f t="shared" si="1"/>
        <v>58</v>
      </c>
      <c r="X20">
        <v>1</v>
      </c>
      <c r="Y20">
        <v>2</v>
      </c>
      <c r="Z20" s="15">
        <v>1</v>
      </c>
      <c r="AA20" s="15">
        <v>0</v>
      </c>
      <c r="AB20">
        <v>2</v>
      </c>
      <c r="AC20" t="s">
        <v>1065</v>
      </c>
      <c r="AD20" t="s">
        <v>1060</v>
      </c>
      <c r="AE20">
        <v>4</v>
      </c>
      <c r="AG20" t="str">
        <f t="shared" si="0"/>
        <v>TRUE</v>
      </c>
    </row>
    <row r="21" spans="1:33">
      <c r="A21" t="s">
        <v>335</v>
      </c>
      <c r="B21">
        <v>10.74600541</v>
      </c>
      <c r="C21" t="s">
        <v>34</v>
      </c>
      <c r="D21">
        <v>13.85928322</v>
      </c>
      <c r="E21">
        <v>50.082199840000001</v>
      </c>
      <c r="F21">
        <v>50.852330760000001</v>
      </c>
      <c r="G21" t="s">
        <v>35</v>
      </c>
      <c r="H21">
        <v>170.26826819999999</v>
      </c>
      <c r="I21">
        <v>7.8270801160000003</v>
      </c>
      <c r="J21">
        <v>11.70262733</v>
      </c>
      <c r="K21">
        <v>4.1386019709999999</v>
      </c>
      <c r="L21">
        <v>246.446957</v>
      </c>
      <c r="M21">
        <v>0.79471583999999995</v>
      </c>
      <c r="N21">
        <v>8615.4960279999996</v>
      </c>
      <c r="O21" s="1" t="s">
        <v>897</v>
      </c>
      <c r="P21" s="1" t="s">
        <v>1144</v>
      </c>
      <c r="Q21" t="s">
        <v>335</v>
      </c>
      <c r="R21" t="s">
        <v>1062</v>
      </c>
      <c r="S21" t="s">
        <v>1063</v>
      </c>
      <c r="T21" t="s">
        <v>1068</v>
      </c>
      <c r="U21" s="3">
        <v>23568</v>
      </c>
      <c r="V21" s="3">
        <v>43658</v>
      </c>
      <c r="W21">
        <f t="shared" si="1"/>
        <v>55</v>
      </c>
      <c r="X21">
        <v>0</v>
      </c>
      <c r="Y21" s="13">
        <v>2</v>
      </c>
      <c r="Z21">
        <v>1</v>
      </c>
      <c r="AA21">
        <v>0</v>
      </c>
      <c r="AB21">
        <v>1</v>
      </c>
      <c r="AC21" t="s">
        <v>1061</v>
      </c>
      <c r="AD21">
        <v>4750</v>
      </c>
      <c r="AE21">
        <v>10</v>
      </c>
      <c r="AF21" t="s">
        <v>1096</v>
      </c>
      <c r="AG21" t="str">
        <f t="shared" si="0"/>
        <v>TRUE</v>
      </c>
    </row>
    <row r="22" spans="1:33">
      <c r="A22" t="s">
        <v>326</v>
      </c>
      <c r="B22">
        <v>11.48604797</v>
      </c>
      <c r="C22" t="s">
        <v>34</v>
      </c>
      <c r="D22">
        <v>9.3000136540000007</v>
      </c>
      <c r="E22">
        <v>43.99317044</v>
      </c>
      <c r="F22">
        <v>32.854328500000001</v>
      </c>
      <c r="G22" t="s">
        <v>35</v>
      </c>
      <c r="H22">
        <v>487.63201129999999</v>
      </c>
      <c r="I22">
        <v>8.8032489359999992</v>
      </c>
      <c r="J22">
        <v>12.380582410000001</v>
      </c>
      <c r="K22">
        <v>5.1034974899999996</v>
      </c>
      <c r="L22">
        <v>224.7745309</v>
      </c>
      <c r="M22">
        <v>0.92982366400000005</v>
      </c>
      <c r="N22">
        <v>7155.3370729999997</v>
      </c>
      <c r="O22" s="1" t="s">
        <v>971</v>
      </c>
      <c r="P22" s="1" t="s">
        <v>1144</v>
      </c>
      <c r="Q22" t="s">
        <v>326</v>
      </c>
      <c r="R22" t="s">
        <v>1062</v>
      </c>
      <c r="S22" t="s">
        <v>1063</v>
      </c>
      <c r="T22" t="s">
        <v>1068</v>
      </c>
      <c r="U22" s="3">
        <v>23568</v>
      </c>
      <c r="V22" s="3">
        <v>43686</v>
      </c>
      <c r="W22">
        <v>55</v>
      </c>
      <c r="X22">
        <v>0</v>
      </c>
      <c r="Y22" s="13">
        <v>2</v>
      </c>
      <c r="Z22">
        <v>1</v>
      </c>
      <c r="AA22">
        <v>0</v>
      </c>
      <c r="AB22">
        <v>3</v>
      </c>
      <c r="AC22" t="s">
        <v>1061</v>
      </c>
      <c r="AD22" t="s">
        <v>1060</v>
      </c>
      <c r="AE22">
        <v>5</v>
      </c>
      <c r="AG22" t="str">
        <f t="shared" si="0"/>
        <v>TRUE</v>
      </c>
    </row>
    <row r="23" spans="1:33">
      <c r="A23" t="s">
        <v>332</v>
      </c>
      <c r="B23">
        <v>11.50627222</v>
      </c>
      <c r="C23" t="s">
        <v>34</v>
      </c>
      <c r="D23">
        <v>8.8223487679999995</v>
      </c>
      <c r="E23">
        <v>30.75535202</v>
      </c>
      <c r="F23">
        <v>34.39109594</v>
      </c>
      <c r="G23" t="s">
        <v>35</v>
      </c>
      <c r="H23">
        <v>262.49598420000001</v>
      </c>
      <c r="I23">
        <v>9.8352065660000001</v>
      </c>
      <c r="J23">
        <v>9.8085670100000009</v>
      </c>
      <c r="K23">
        <v>5.0733338359999998</v>
      </c>
      <c r="L23">
        <v>215.99539189999999</v>
      </c>
      <c r="M23">
        <v>0.78999625299999998</v>
      </c>
      <c r="N23">
        <v>7529.4062080000003</v>
      </c>
      <c r="O23" s="1" t="s">
        <v>973</v>
      </c>
      <c r="P23" s="1" t="s">
        <v>1144</v>
      </c>
      <c r="Q23" t="s">
        <v>332</v>
      </c>
      <c r="R23" t="s">
        <v>1062</v>
      </c>
      <c r="S23" t="s">
        <v>1063</v>
      </c>
      <c r="T23" t="s">
        <v>1068</v>
      </c>
      <c r="U23" s="3">
        <v>23568</v>
      </c>
      <c r="V23" s="3">
        <v>43692</v>
      </c>
      <c r="W23">
        <f>DATEDIF(U23,V23,"Y")</f>
        <v>55</v>
      </c>
      <c r="X23">
        <v>0</v>
      </c>
      <c r="Y23" s="13">
        <v>2</v>
      </c>
      <c r="Z23">
        <v>1</v>
      </c>
      <c r="AA23">
        <v>0</v>
      </c>
      <c r="AB23">
        <v>4</v>
      </c>
      <c r="AC23" t="s">
        <v>1061</v>
      </c>
      <c r="AD23" t="s">
        <v>1060</v>
      </c>
      <c r="AE23">
        <v>6</v>
      </c>
      <c r="AG23" t="str">
        <f t="shared" si="0"/>
        <v>TRUE</v>
      </c>
    </row>
    <row r="24" spans="1:33">
      <c r="A24" t="s">
        <v>338</v>
      </c>
      <c r="B24">
        <v>10.39733638</v>
      </c>
      <c r="C24" t="s">
        <v>34</v>
      </c>
      <c r="D24">
        <v>6.6626998090000003</v>
      </c>
      <c r="E24">
        <v>25.427639840000001</v>
      </c>
      <c r="F24">
        <v>40.112672150000002</v>
      </c>
      <c r="G24" t="s">
        <v>35</v>
      </c>
      <c r="H24">
        <v>326.65030289999999</v>
      </c>
      <c r="I24">
        <v>9.3550416330000008</v>
      </c>
      <c r="J24">
        <v>9.0156640410000009</v>
      </c>
      <c r="K24">
        <v>5.2321245059999999</v>
      </c>
      <c r="L24">
        <v>271.7090129</v>
      </c>
      <c r="M24">
        <v>0.88930114199999999</v>
      </c>
      <c r="N24">
        <v>9398.044339</v>
      </c>
      <c r="O24" s="1" t="s">
        <v>975</v>
      </c>
      <c r="P24" s="1" t="s">
        <v>1144</v>
      </c>
      <c r="Q24" t="s">
        <v>338</v>
      </c>
      <c r="R24" t="s">
        <v>1062</v>
      </c>
      <c r="S24" t="s">
        <v>1063</v>
      </c>
      <c r="T24" t="s">
        <v>1068</v>
      </c>
      <c r="U24" s="3">
        <v>23568</v>
      </c>
      <c r="V24" s="3">
        <v>43699</v>
      </c>
      <c r="W24">
        <f>DATEDIF(U24,V24,"Y")</f>
        <v>55</v>
      </c>
      <c r="X24">
        <v>0</v>
      </c>
      <c r="Y24" s="13">
        <v>2</v>
      </c>
      <c r="Z24">
        <v>1</v>
      </c>
      <c r="AA24">
        <v>0</v>
      </c>
      <c r="AB24">
        <v>5</v>
      </c>
      <c r="AC24" t="s">
        <v>1061</v>
      </c>
      <c r="AD24">
        <v>57</v>
      </c>
      <c r="AE24">
        <v>4</v>
      </c>
      <c r="AG24" t="str">
        <f t="shared" si="0"/>
        <v>TRUE</v>
      </c>
    </row>
    <row r="25" spans="1:33">
      <c r="A25" t="s">
        <v>341</v>
      </c>
      <c r="B25">
        <v>8.3338840249999997</v>
      </c>
      <c r="C25" t="s">
        <v>34</v>
      </c>
      <c r="D25">
        <v>7.5156070030000004</v>
      </c>
      <c r="E25">
        <v>43.249083419999998</v>
      </c>
      <c r="F25">
        <v>89.967829769999994</v>
      </c>
      <c r="G25">
        <v>3864.1896099999999</v>
      </c>
      <c r="H25">
        <v>194.9515566</v>
      </c>
      <c r="I25">
        <v>7.362215741</v>
      </c>
      <c r="J25">
        <v>18.76644945</v>
      </c>
      <c r="K25">
        <v>2.233432536</v>
      </c>
      <c r="L25">
        <v>438.61935349999999</v>
      </c>
      <c r="M25">
        <v>1.461322376</v>
      </c>
      <c r="N25">
        <v>10275.217699999999</v>
      </c>
      <c r="O25" s="1" t="s">
        <v>982</v>
      </c>
      <c r="P25" s="1" t="s">
        <v>1144</v>
      </c>
      <c r="Q25" t="s">
        <v>341</v>
      </c>
      <c r="R25" t="s">
        <v>1062</v>
      </c>
      <c r="S25" t="s">
        <v>1063</v>
      </c>
      <c r="T25" t="s">
        <v>1068</v>
      </c>
      <c r="U25" s="3">
        <v>23568</v>
      </c>
      <c r="V25" s="3">
        <v>43728</v>
      </c>
      <c r="W25">
        <f>DATEDIF(U25,V25,"Y")</f>
        <v>55</v>
      </c>
      <c r="X25">
        <v>0</v>
      </c>
      <c r="Y25" s="13">
        <v>2</v>
      </c>
      <c r="Z25">
        <v>1</v>
      </c>
      <c r="AA25">
        <v>0</v>
      </c>
      <c r="AB25">
        <v>6</v>
      </c>
      <c r="AC25" t="s">
        <v>1061</v>
      </c>
      <c r="AD25">
        <v>15</v>
      </c>
      <c r="AE25">
        <v>3</v>
      </c>
      <c r="AG25" t="str">
        <f t="shared" si="0"/>
        <v>TRUE</v>
      </c>
    </row>
    <row r="26" spans="1:33">
      <c r="A26" t="s">
        <v>329</v>
      </c>
      <c r="B26">
        <v>7.6157314769999997</v>
      </c>
      <c r="C26">
        <v>4.0097560149999998</v>
      </c>
      <c r="D26">
        <v>5.419932373</v>
      </c>
      <c r="E26">
        <v>48.121164280000002</v>
      </c>
      <c r="F26">
        <v>132.46436940000001</v>
      </c>
      <c r="G26" t="s">
        <v>35</v>
      </c>
      <c r="H26">
        <v>230.1114001</v>
      </c>
      <c r="I26">
        <v>7.1328603619999997</v>
      </c>
      <c r="J26">
        <v>12.479302280000001</v>
      </c>
      <c r="K26">
        <v>1.894449212</v>
      </c>
      <c r="L26">
        <v>449.42746510000001</v>
      </c>
      <c r="M26">
        <v>1.1155996989999999</v>
      </c>
      <c r="N26">
        <v>12740.09791</v>
      </c>
      <c r="O26" s="1" t="s">
        <v>1028</v>
      </c>
      <c r="P26" s="1" t="s">
        <v>1144</v>
      </c>
      <c r="Q26" t="s">
        <v>329</v>
      </c>
      <c r="R26" t="s">
        <v>1062</v>
      </c>
      <c r="S26" t="s">
        <v>1063</v>
      </c>
      <c r="T26" t="s">
        <v>1068</v>
      </c>
      <c r="U26" s="3">
        <v>23568</v>
      </c>
      <c r="V26" s="3">
        <v>43756</v>
      </c>
      <c r="W26">
        <f>DATEDIF(U26,V26,"Y")</f>
        <v>55</v>
      </c>
      <c r="X26">
        <v>0</v>
      </c>
      <c r="Y26" s="13">
        <v>2</v>
      </c>
      <c r="Z26">
        <v>1</v>
      </c>
      <c r="AA26">
        <v>0</v>
      </c>
      <c r="AB26">
        <v>7</v>
      </c>
      <c r="AC26" t="s">
        <v>1061</v>
      </c>
      <c r="AD26">
        <v>51</v>
      </c>
      <c r="AE26">
        <v>2</v>
      </c>
      <c r="AG26" t="str">
        <f t="shared" si="0"/>
        <v>TRUE</v>
      </c>
    </row>
    <row r="27" spans="1:33">
      <c r="A27" t="s">
        <v>323</v>
      </c>
      <c r="B27">
        <v>17.16293263</v>
      </c>
      <c r="C27" t="s">
        <v>34</v>
      </c>
      <c r="D27">
        <v>11.17053069</v>
      </c>
      <c r="E27">
        <v>39.300049399999999</v>
      </c>
      <c r="F27">
        <v>39.648561919999999</v>
      </c>
      <c r="G27" t="s">
        <v>35</v>
      </c>
      <c r="H27">
        <v>340.47966339999999</v>
      </c>
      <c r="I27">
        <v>10.33540837</v>
      </c>
      <c r="J27">
        <v>16.221363920000002</v>
      </c>
      <c r="K27">
        <v>5.2170366369999996</v>
      </c>
      <c r="L27">
        <v>235.1354571</v>
      </c>
      <c r="M27">
        <v>0.79601183900000005</v>
      </c>
      <c r="N27">
        <v>9906.6318279999996</v>
      </c>
      <c r="O27" s="1" t="s">
        <v>966</v>
      </c>
      <c r="P27" s="1" t="s">
        <v>1144</v>
      </c>
      <c r="Q27" t="s">
        <v>323</v>
      </c>
      <c r="R27" t="s">
        <v>1062</v>
      </c>
      <c r="S27" t="s">
        <v>1063</v>
      </c>
      <c r="T27" t="s">
        <v>1068</v>
      </c>
      <c r="U27" s="3">
        <v>23568</v>
      </c>
      <c r="V27" s="3">
        <v>43679</v>
      </c>
      <c r="W27">
        <v>55</v>
      </c>
      <c r="X27">
        <v>0</v>
      </c>
      <c r="Y27" s="13">
        <v>2</v>
      </c>
      <c r="Z27">
        <v>1</v>
      </c>
      <c r="AA27">
        <v>0</v>
      </c>
      <c r="AB27">
        <v>2</v>
      </c>
      <c r="AC27" t="s">
        <v>1061</v>
      </c>
      <c r="AD27" t="s">
        <v>1060</v>
      </c>
      <c r="AE27">
        <v>6</v>
      </c>
      <c r="AG27" t="str">
        <f t="shared" si="0"/>
        <v>TRUE</v>
      </c>
    </row>
    <row r="28" spans="1:33">
      <c r="A28" t="s">
        <v>512</v>
      </c>
      <c r="B28">
        <v>6.2822241769999998</v>
      </c>
      <c r="C28" t="s">
        <v>34</v>
      </c>
      <c r="D28">
        <v>11.305498890000001</v>
      </c>
      <c r="E28">
        <v>160.41303009999999</v>
      </c>
      <c r="F28">
        <v>162.58300199999999</v>
      </c>
      <c r="G28">
        <v>4191.7805200000003</v>
      </c>
      <c r="H28">
        <v>295.17560520000001</v>
      </c>
      <c r="I28">
        <v>13.70153945</v>
      </c>
      <c r="J28">
        <v>19.991725710000001</v>
      </c>
      <c r="K28">
        <v>2.8308874880000001</v>
      </c>
      <c r="L28">
        <v>800.11122121211997</v>
      </c>
      <c r="M28">
        <v>2.8087369029999998</v>
      </c>
      <c r="N28">
        <v>13424.936540000001</v>
      </c>
      <c r="O28" s="1" t="s">
        <v>965</v>
      </c>
      <c r="P28" s="1" t="s">
        <v>1145</v>
      </c>
      <c r="Q28" t="s">
        <v>512</v>
      </c>
      <c r="R28" t="s">
        <v>1069</v>
      </c>
      <c r="S28" t="s">
        <v>1077</v>
      </c>
      <c r="T28" t="s">
        <v>1068</v>
      </c>
      <c r="U28" s="3">
        <v>19925</v>
      </c>
      <c r="V28" s="3">
        <v>43677</v>
      </c>
      <c r="W28">
        <f t="shared" ref="W28:W49" si="2">DATEDIF(U28,V28,"Y")</f>
        <v>65</v>
      </c>
      <c r="X28">
        <v>1</v>
      </c>
      <c r="Y28">
        <v>3</v>
      </c>
      <c r="Z28">
        <v>1</v>
      </c>
      <c r="AA28">
        <v>0</v>
      </c>
      <c r="AB28">
        <v>1</v>
      </c>
      <c r="AC28" t="s">
        <v>1065</v>
      </c>
      <c r="AD28">
        <v>329</v>
      </c>
      <c r="AE28">
        <v>2</v>
      </c>
      <c r="AF28" t="s">
        <v>1097</v>
      </c>
      <c r="AG28" t="str">
        <f t="shared" si="0"/>
        <v>TRUE</v>
      </c>
    </row>
    <row r="29" spans="1:33">
      <c r="A29" t="s">
        <v>497</v>
      </c>
      <c r="B29">
        <v>6.423085092</v>
      </c>
      <c r="C29" t="s">
        <v>34</v>
      </c>
      <c r="D29">
        <v>14.712336430000001</v>
      </c>
      <c r="E29">
        <v>140.4757261</v>
      </c>
      <c r="F29">
        <v>117.619957</v>
      </c>
      <c r="G29">
        <v>4975.141552</v>
      </c>
      <c r="H29">
        <v>208.70136020000001</v>
      </c>
      <c r="I29">
        <v>16.838657919999999</v>
      </c>
      <c r="J29">
        <v>19.603472310000001</v>
      </c>
      <c r="K29">
        <v>5.4759089469999997</v>
      </c>
      <c r="L29">
        <v>783.40708080000002</v>
      </c>
      <c r="M29">
        <v>2.437158132</v>
      </c>
      <c r="N29">
        <v>18152.501209999999</v>
      </c>
      <c r="O29" s="1" t="s">
        <v>970</v>
      </c>
      <c r="P29" s="1" t="s">
        <v>1145</v>
      </c>
      <c r="Q29" t="s">
        <v>497</v>
      </c>
      <c r="R29" t="s">
        <v>1069</v>
      </c>
      <c r="S29" t="s">
        <v>1077</v>
      </c>
      <c r="T29" t="s">
        <v>1068</v>
      </c>
      <c r="U29" s="3">
        <v>19925</v>
      </c>
      <c r="V29" s="3">
        <v>43691</v>
      </c>
      <c r="W29">
        <f t="shared" si="2"/>
        <v>65</v>
      </c>
      <c r="X29">
        <v>1</v>
      </c>
      <c r="Y29">
        <v>3</v>
      </c>
      <c r="Z29">
        <v>1</v>
      </c>
      <c r="AA29">
        <v>0</v>
      </c>
      <c r="AB29">
        <v>3</v>
      </c>
      <c r="AC29" t="s">
        <v>1065</v>
      </c>
      <c r="AD29" t="s">
        <v>1060</v>
      </c>
      <c r="AE29">
        <v>2</v>
      </c>
      <c r="AG29" t="str">
        <f t="shared" si="0"/>
        <v>TRUE</v>
      </c>
    </row>
    <row r="30" spans="1:33">
      <c r="A30" t="s">
        <v>506</v>
      </c>
      <c r="B30">
        <v>3.7612231719999998</v>
      </c>
      <c r="C30" t="s">
        <v>34</v>
      </c>
      <c r="D30">
        <v>8.4745268530000004</v>
      </c>
      <c r="E30">
        <v>169.68253870000001</v>
      </c>
      <c r="F30">
        <v>90.370861660000003</v>
      </c>
      <c r="G30">
        <v>4885.4446589999998</v>
      </c>
      <c r="H30">
        <v>282.10968869999999</v>
      </c>
      <c r="I30">
        <v>10.616958410000001</v>
      </c>
      <c r="J30">
        <v>16.07693828</v>
      </c>
      <c r="K30">
        <v>2.6060512309999999</v>
      </c>
      <c r="L30">
        <v>631.65953850000005</v>
      </c>
      <c r="M30">
        <v>2.3537682069999999</v>
      </c>
      <c r="N30">
        <v>10881.54441</v>
      </c>
      <c r="O30" s="1" t="s">
        <v>972</v>
      </c>
      <c r="P30" s="1" t="s">
        <v>1145</v>
      </c>
      <c r="Q30" t="s">
        <v>506</v>
      </c>
      <c r="R30" t="s">
        <v>1069</v>
      </c>
      <c r="S30" t="s">
        <v>1077</v>
      </c>
      <c r="T30" t="s">
        <v>1068</v>
      </c>
      <c r="U30" s="3">
        <v>19925</v>
      </c>
      <c r="V30" s="3">
        <v>43698</v>
      </c>
      <c r="W30">
        <f t="shared" si="2"/>
        <v>65</v>
      </c>
      <c r="X30">
        <v>1</v>
      </c>
      <c r="Y30">
        <v>3</v>
      </c>
      <c r="Z30">
        <v>1</v>
      </c>
      <c r="AA30">
        <v>0</v>
      </c>
      <c r="AB30">
        <v>4</v>
      </c>
      <c r="AC30" t="s">
        <v>1065</v>
      </c>
      <c r="AD30" t="s">
        <v>1060</v>
      </c>
      <c r="AE30">
        <v>1</v>
      </c>
      <c r="AG30" t="str">
        <f t="shared" si="0"/>
        <v>TRUE</v>
      </c>
    </row>
    <row r="31" spans="1:33">
      <c r="A31" t="s">
        <v>503</v>
      </c>
      <c r="B31">
        <v>4.7528143409999997</v>
      </c>
      <c r="C31" t="s">
        <v>34</v>
      </c>
      <c r="D31">
        <v>10.692198940000001</v>
      </c>
      <c r="E31">
        <v>166.5290564</v>
      </c>
      <c r="F31">
        <v>116.95133970000001</v>
      </c>
      <c r="G31">
        <v>4997.0294649999996</v>
      </c>
      <c r="H31">
        <v>312.0697073</v>
      </c>
      <c r="I31">
        <v>12.254662639999999</v>
      </c>
      <c r="J31">
        <v>18.674160149999999</v>
      </c>
      <c r="K31">
        <v>2.2465542510000001</v>
      </c>
      <c r="L31">
        <v>777.63959639999996</v>
      </c>
      <c r="M31">
        <v>2.1428406249999998</v>
      </c>
      <c r="N31">
        <v>13298.10816</v>
      </c>
      <c r="O31" s="1" t="s">
        <v>991</v>
      </c>
      <c r="P31" s="1" t="s">
        <v>1145</v>
      </c>
      <c r="Q31" t="s">
        <v>503</v>
      </c>
      <c r="R31" t="s">
        <v>1069</v>
      </c>
      <c r="S31" t="s">
        <v>1077</v>
      </c>
      <c r="T31" t="s">
        <v>1068</v>
      </c>
      <c r="U31" s="3">
        <v>19925</v>
      </c>
      <c r="V31" s="3">
        <v>43705</v>
      </c>
      <c r="W31">
        <f t="shared" si="2"/>
        <v>65</v>
      </c>
      <c r="X31">
        <v>1</v>
      </c>
      <c r="Y31">
        <v>3</v>
      </c>
      <c r="Z31">
        <v>1</v>
      </c>
      <c r="AA31">
        <v>0</v>
      </c>
      <c r="AB31">
        <v>5</v>
      </c>
      <c r="AC31" t="s">
        <v>1065</v>
      </c>
      <c r="AD31">
        <v>122</v>
      </c>
      <c r="AE31">
        <v>2</v>
      </c>
      <c r="AG31" t="str">
        <f t="shared" si="0"/>
        <v>TRUE</v>
      </c>
    </row>
    <row r="32" spans="1:33">
      <c r="A32" t="s">
        <v>494</v>
      </c>
      <c r="B32">
        <v>7.2423533649999996</v>
      </c>
      <c r="C32" t="s">
        <v>34</v>
      </c>
      <c r="D32">
        <v>9.8632311149999996</v>
      </c>
      <c r="E32">
        <v>132.1328383</v>
      </c>
      <c r="F32">
        <v>127.1144237</v>
      </c>
      <c r="G32" t="s">
        <v>35</v>
      </c>
      <c r="H32">
        <v>325.9743158</v>
      </c>
      <c r="I32">
        <v>15.38449891</v>
      </c>
      <c r="J32">
        <v>20.845088969999999</v>
      </c>
      <c r="K32">
        <v>3.405613679</v>
      </c>
      <c r="L32">
        <v>800.11122143</v>
      </c>
      <c r="M32">
        <v>1.9667766820000001</v>
      </c>
      <c r="N32">
        <v>15303.330959999999</v>
      </c>
      <c r="O32" s="1" t="s">
        <v>985</v>
      </c>
      <c r="P32" s="1" t="s">
        <v>1145</v>
      </c>
      <c r="Q32" s="5" t="s">
        <v>494</v>
      </c>
      <c r="R32" t="s">
        <v>1069</v>
      </c>
      <c r="S32" t="s">
        <v>1077</v>
      </c>
      <c r="T32" t="s">
        <v>1068</v>
      </c>
      <c r="U32" s="3">
        <v>19925</v>
      </c>
      <c r="V32" s="3">
        <v>43733</v>
      </c>
      <c r="W32">
        <f t="shared" si="2"/>
        <v>65</v>
      </c>
      <c r="X32">
        <v>1</v>
      </c>
      <c r="Y32">
        <v>3</v>
      </c>
      <c r="Z32">
        <v>1</v>
      </c>
      <c r="AA32">
        <v>0</v>
      </c>
      <c r="AB32">
        <v>6</v>
      </c>
      <c r="AC32" t="s">
        <v>1065</v>
      </c>
      <c r="AD32">
        <v>220</v>
      </c>
      <c r="AE32">
        <v>2</v>
      </c>
      <c r="AG32" t="str">
        <f t="shared" si="0"/>
        <v>TRUE</v>
      </c>
    </row>
    <row r="33" spans="1:33">
      <c r="A33" t="s">
        <v>500</v>
      </c>
      <c r="B33">
        <v>10.73952675</v>
      </c>
      <c r="C33" t="s">
        <v>34</v>
      </c>
      <c r="D33">
        <v>13.66343533</v>
      </c>
      <c r="E33">
        <v>147.0408199</v>
      </c>
      <c r="F33">
        <v>153.71696900000001</v>
      </c>
      <c r="G33" t="s">
        <v>35</v>
      </c>
      <c r="H33">
        <v>447.52722670000003</v>
      </c>
      <c r="I33">
        <v>19.687452480000001</v>
      </c>
      <c r="J33">
        <v>23.460805579999999</v>
      </c>
      <c r="K33">
        <v>5.9891219160000002</v>
      </c>
      <c r="L33">
        <v>798.81128850000005</v>
      </c>
      <c r="M33">
        <v>2.5799466670000002</v>
      </c>
      <c r="N33">
        <v>12759.575129999999</v>
      </c>
      <c r="O33" s="1" t="s">
        <v>1022</v>
      </c>
      <c r="P33" s="1" t="s">
        <v>1145</v>
      </c>
      <c r="Q33" t="s">
        <v>500</v>
      </c>
      <c r="R33" t="s">
        <v>1069</v>
      </c>
      <c r="S33" t="s">
        <v>1077</v>
      </c>
      <c r="T33" t="s">
        <v>1068</v>
      </c>
      <c r="U33" s="3">
        <v>19925</v>
      </c>
      <c r="V33" s="3">
        <v>43768</v>
      </c>
      <c r="W33">
        <f t="shared" si="2"/>
        <v>65</v>
      </c>
      <c r="X33">
        <v>1</v>
      </c>
      <c r="Y33">
        <v>3</v>
      </c>
      <c r="Z33">
        <v>1</v>
      </c>
      <c r="AA33">
        <v>0</v>
      </c>
      <c r="AB33">
        <v>7</v>
      </c>
      <c r="AC33" t="s">
        <v>1065</v>
      </c>
      <c r="AD33">
        <v>157</v>
      </c>
      <c r="AE33">
        <v>3</v>
      </c>
      <c r="AG33" t="str">
        <f t="shared" si="0"/>
        <v>TRUE</v>
      </c>
    </row>
    <row r="34" spans="1:33">
      <c r="A34" t="s">
        <v>509</v>
      </c>
      <c r="B34">
        <v>7.6652352459999999</v>
      </c>
      <c r="C34" t="s">
        <v>34</v>
      </c>
      <c r="D34">
        <v>14.17216691</v>
      </c>
      <c r="E34">
        <v>147.01690099999999</v>
      </c>
      <c r="F34">
        <v>122.94757319999999</v>
      </c>
      <c r="G34">
        <v>4391.94661</v>
      </c>
      <c r="H34">
        <v>364.92962679999999</v>
      </c>
      <c r="I34">
        <v>13.75957987</v>
      </c>
      <c r="J34">
        <v>20.412948140000001</v>
      </c>
      <c r="K34">
        <v>5.347863641</v>
      </c>
      <c r="L34">
        <v>678.65490360000001</v>
      </c>
      <c r="M34">
        <v>2.5333547639999998</v>
      </c>
      <c r="N34">
        <v>13550.593769999999</v>
      </c>
      <c r="O34" s="1" t="s">
        <v>967</v>
      </c>
      <c r="P34" s="1" t="s">
        <v>1145</v>
      </c>
      <c r="Q34" t="s">
        <v>509</v>
      </c>
      <c r="R34" t="s">
        <v>1069</v>
      </c>
      <c r="S34" t="s">
        <v>1077</v>
      </c>
      <c r="T34" t="s">
        <v>1068</v>
      </c>
      <c r="U34" s="3">
        <v>19925</v>
      </c>
      <c r="V34" s="3">
        <v>43684</v>
      </c>
      <c r="W34">
        <f t="shared" si="2"/>
        <v>65</v>
      </c>
      <c r="X34">
        <v>1</v>
      </c>
      <c r="Y34">
        <v>3</v>
      </c>
      <c r="Z34">
        <v>1</v>
      </c>
      <c r="AA34">
        <v>0</v>
      </c>
      <c r="AB34">
        <v>2</v>
      </c>
      <c r="AC34" t="s">
        <v>1065</v>
      </c>
      <c r="AD34" t="s">
        <v>1060</v>
      </c>
      <c r="AE34">
        <v>1</v>
      </c>
      <c r="AG34" t="str">
        <f t="shared" ref="AG34:AG65" si="3">IF(Q34=A34, "TRUE", "FALSE")</f>
        <v>TRUE</v>
      </c>
    </row>
    <row r="35" spans="1:33">
      <c r="A35" t="s">
        <v>188</v>
      </c>
      <c r="B35">
        <v>4.184326854</v>
      </c>
      <c r="C35" t="s">
        <v>34</v>
      </c>
      <c r="D35">
        <v>4.5189291880000004</v>
      </c>
      <c r="E35" t="s">
        <v>35</v>
      </c>
      <c r="F35">
        <v>44.196404149999999</v>
      </c>
      <c r="G35" t="s">
        <v>35</v>
      </c>
      <c r="H35">
        <v>164.9276639</v>
      </c>
      <c r="I35">
        <v>6.111785008</v>
      </c>
      <c r="J35">
        <v>11.977726880000001</v>
      </c>
      <c r="K35">
        <v>2.109393485</v>
      </c>
      <c r="L35">
        <v>304.4387625</v>
      </c>
      <c r="M35">
        <v>0.90922938799999997</v>
      </c>
      <c r="N35">
        <v>11142.826929999999</v>
      </c>
      <c r="O35" s="1" t="s">
        <v>888</v>
      </c>
      <c r="P35" s="1" t="s">
        <v>1120</v>
      </c>
      <c r="Q35" t="s">
        <v>188</v>
      </c>
      <c r="R35" t="s">
        <v>1062</v>
      </c>
      <c r="S35" t="s">
        <v>1063</v>
      </c>
      <c r="T35" t="s">
        <v>1064</v>
      </c>
      <c r="U35" s="3">
        <v>34403</v>
      </c>
      <c r="V35" s="3">
        <v>43647</v>
      </c>
      <c r="W35">
        <f t="shared" si="2"/>
        <v>25</v>
      </c>
      <c r="X35">
        <v>0</v>
      </c>
      <c r="Y35" s="13">
        <v>1</v>
      </c>
      <c r="Z35">
        <v>0</v>
      </c>
      <c r="AA35">
        <v>1</v>
      </c>
      <c r="AB35">
        <v>3</v>
      </c>
      <c r="AC35" t="s">
        <v>1065</v>
      </c>
      <c r="AD35" t="s">
        <v>1060</v>
      </c>
      <c r="AE35">
        <v>5</v>
      </c>
      <c r="AG35" t="str">
        <f t="shared" si="3"/>
        <v>TRUE</v>
      </c>
    </row>
    <row r="36" spans="1:33">
      <c r="A36" t="s">
        <v>239</v>
      </c>
      <c r="B36">
        <v>6.29315845</v>
      </c>
      <c r="C36" t="s">
        <v>34</v>
      </c>
      <c r="D36">
        <v>9.1674817999999991</v>
      </c>
      <c r="E36">
        <v>143.58889590000001</v>
      </c>
      <c r="F36">
        <v>37.765848759999997</v>
      </c>
      <c r="G36">
        <v>3432.3323690000002</v>
      </c>
      <c r="H36">
        <v>160.72736269999999</v>
      </c>
      <c r="I36">
        <v>6.1071770519999999</v>
      </c>
      <c r="J36">
        <v>12.37892796</v>
      </c>
      <c r="K36">
        <v>4.3891738629999999</v>
      </c>
      <c r="L36">
        <v>277.20047749999998</v>
      </c>
      <c r="M36">
        <v>1.5289015029999999</v>
      </c>
      <c r="N36">
        <v>10993.894770000001</v>
      </c>
      <c r="O36" s="1" t="s">
        <v>968</v>
      </c>
      <c r="P36" s="1" t="s">
        <v>1146</v>
      </c>
      <c r="Q36" t="s">
        <v>239</v>
      </c>
      <c r="R36" t="s">
        <v>1062</v>
      </c>
      <c r="S36" t="s">
        <v>1063</v>
      </c>
      <c r="T36" t="s">
        <v>1068</v>
      </c>
      <c r="U36" s="3">
        <v>34948</v>
      </c>
      <c r="V36" s="3">
        <v>43690</v>
      </c>
      <c r="W36">
        <f t="shared" si="2"/>
        <v>23</v>
      </c>
      <c r="X36">
        <v>0</v>
      </c>
      <c r="Y36" s="13">
        <v>2</v>
      </c>
      <c r="Z36">
        <v>1</v>
      </c>
      <c r="AA36">
        <v>0</v>
      </c>
      <c r="AB36">
        <v>1</v>
      </c>
      <c r="AC36" t="s">
        <v>1065</v>
      </c>
      <c r="AD36">
        <v>7699</v>
      </c>
      <c r="AE36">
        <v>6</v>
      </c>
      <c r="AF36" t="s">
        <v>1097</v>
      </c>
      <c r="AG36" t="str">
        <f t="shared" si="3"/>
        <v>TRUE</v>
      </c>
    </row>
    <row r="37" spans="1:33">
      <c r="A37" t="s">
        <v>233</v>
      </c>
      <c r="B37">
        <v>7.2739981440000001</v>
      </c>
      <c r="C37" t="s">
        <v>34</v>
      </c>
      <c r="D37">
        <v>12.85635319</v>
      </c>
      <c r="E37">
        <v>77.044595709999996</v>
      </c>
      <c r="F37">
        <v>35.441462399999999</v>
      </c>
      <c r="G37">
        <v>3127.1468159999999</v>
      </c>
      <c r="H37">
        <v>158.07862399999999</v>
      </c>
      <c r="I37">
        <v>8.6915202790000006</v>
      </c>
      <c r="J37">
        <v>13.565573669999999</v>
      </c>
      <c r="K37">
        <v>6.7356474589999999</v>
      </c>
      <c r="L37">
        <v>288.2625984</v>
      </c>
      <c r="M37">
        <v>1.7078509909999999</v>
      </c>
      <c r="N37">
        <v>10760.752860000001</v>
      </c>
      <c r="O37" s="1" t="s">
        <v>976</v>
      </c>
      <c r="P37" s="1" t="s">
        <v>1146</v>
      </c>
      <c r="Q37" t="s">
        <v>233</v>
      </c>
      <c r="R37" t="s">
        <v>1062</v>
      </c>
      <c r="S37" t="s">
        <v>1063</v>
      </c>
      <c r="T37" t="s">
        <v>1068</v>
      </c>
      <c r="U37" s="3">
        <v>34948</v>
      </c>
      <c r="V37" s="3">
        <v>43705</v>
      </c>
      <c r="W37">
        <f t="shared" si="2"/>
        <v>23</v>
      </c>
      <c r="X37">
        <v>0</v>
      </c>
      <c r="Y37" s="13">
        <v>2</v>
      </c>
      <c r="Z37">
        <v>1</v>
      </c>
      <c r="AA37">
        <v>0</v>
      </c>
      <c r="AB37">
        <v>3</v>
      </c>
      <c r="AC37" t="s">
        <v>1065</v>
      </c>
      <c r="AD37" t="s">
        <v>1060</v>
      </c>
      <c r="AE37">
        <v>4</v>
      </c>
      <c r="AG37" t="str">
        <f t="shared" si="3"/>
        <v>TRUE</v>
      </c>
    </row>
    <row r="38" spans="1:33">
      <c r="A38" t="s">
        <v>242</v>
      </c>
      <c r="B38">
        <v>6.5561308939999998</v>
      </c>
      <c r="C38" t="s">
        <v>34</v>
      </c>
      <c r="D38">
        <v>10.73589316</v>
      </c>
      <c r="E38">
        <v>131.02562040000001</v>
      </c>
      <c r="F38">
        <v>43.172876119999998</v>
      </c>
      <c r="G38">
        <v>3120.0868869999999</v>
      </c>
      <c r="H38">
        <v>241.46298770000001</v>
      </c>
      <c r="I38">
        <v>12.30213217</v>
      </c>
      <c r="J38">
        <v>11.696719420000001</v>
      </c>
      <c r="K38">
        <v>6.7245156279999998</v>
      </c>
      <c r="L38">
        <v>335.64841439999998</v>
      </c>
      <c r="M38">
        <v>2.1769409479999999</v>
      </c>
      <c r="N38">
        <v>14141.811180000001</v>
      </c>
      <c r="O38" s="1" t="s">
        <v>979</v>
      </c>
      <c r="P38" s="1" t="s">
        <v>1146</v>
      </c>
      <c r="Q38" t="s">
        <v>242</v>
      </c>
      <c r="R38" t="s">
        <v>1062</v>
      </c>
      <c r="S38" t="s">
        <v>1063</v>
      </c>
      <c r="T38" t="s">
        <v>1068</v>
      </c>
      <c r="U38" s="3">
        <v>34948</v>
      </c>
      <c r="V38" s="3">
        <v>43713</v>
      </c>
      <c r="W38">
        <f t="shared" si="2"/>
        <v>23</v>
      </c>
      <c r="X38">
        <v>0</v>
      </c>
      <c r="Y38" s="13">
        <v>2</v>
      </c>
      <c r="Z38">
        <v>1</v>
      </c>
      <c r="AA38">
        <v>0</v>
      </c>
      <c r="AB38">
        <v>4</v>
      </c>
      <c r="AC38" t="s">
        <v>1065</v>
      </c>
      <c r="AD38" t="s">
        <v>1060</v>
      </c>
      <c r="AE38">
        <v>3</v>
      </c>
      <c r="AG38" t="str">
        <f t="shared" si="3"/>
        <v>TRUE</v>
      </c>
    </row>
    <row r="39" spans="1:33">
      <c r="A39" t="s">
        <v>236</v>
      </c>
      <c r="B39">
        <v>6.0187250690000003</v>
      </c>
      <c r="C39" t="s">
        <v>34</v>
      </c>
      <c r="D39">
        <v>13.249569340000001</v>
      </c>
      <c r="E39">
        <v>153.23477639999999</v>
      </c>
      <c r="F39">
        <v>35.884960270000001</v>
      </c>
      <c r="G39">
        <v>3635.991974</v>
      </c>
      <c r="H39">
        <v>161.6419784</v>
      </c>
      <c r="I39">
        <v>9.4551558040000003</v>
      </c>
      <c r="J39">
        <v>16.992781430000001</v>
      </c>
      <c r="K39">
        <v>9.0787220219999991</v>
      </c>
      <c r="L39">
        <v>302.26585660000001</v>
      </c>
      <c r="M39">
        <v>1.49345635</v>
      </c>
      <c r="N39">
        <v>8978.3202959999999</v>
      </c>
      <c r="O39" s="1" t="s">
        <v>981</v>
      </c>
      <c r="P39" s="1" t="s">
        <v>1146</v>
      </c>
      <c r="Q39" t="s">
        <v>236</v>
      </c>
      <c r="R39" t="s">
        <v>1062</v>
      </c>
      <c r="S39" t="s">
        <v>1063</v>
      </c>
      <c r="T39" t="s">
        <v>1068</v>
      </c>
      <c r="U39" s="3">
        <v>34948</v>
      </c>
      <c r="V39" s="3">
        <v>43719</v>
      </c>
      <c r="W39">
        <f t="shared" si="2"/>
        <v>24</v>
      </c>
      <c r="X39">
        <v>0</v>
      </c>
      <c r="Y39" s="13">
        <v>2</v>
      </c>
      <c r="Z39">
        <v>1</v>
      </c>
      <c r="AA39">
        <v>0</v>
      </c>
      <c r="AB39">
        <v>5</v>
      </c>
      <c r="AC39" t="s">
        <v>1065</v>
      </c>
      <c r="AD39">
        <v>251</v>
      </c>
      <c r="AE39">
        <v>4</v>
      </c>
      <c r="AG39" t="str">
        <f t="shared" si="3"/>
        <v>TRUE</v>
      </c>
    </row>
    <row r="40" spans="1:33">
      <c r="A40" t="s">
        <v>245</v>
      </c>
      <c r="B40">
        <v>5.0756111439999998</v>
      </c>
      <c r="C40" t="s">
        <v>34</v>
      </c>
      <c r="D40">
        <v>10.444081369999999</v>
      </c>
      <c r="E40">
        <v>39.108166779999998</v>
      </c>
      <c r="F40">
        <v>66.194015449999995</v>
      </c>
      <c r="G40">
        <v>3609.0936190000002</v>
      </c>
      <c r="H40">
        <v>192.1168648</v>
      </c>
      <c r="I40">
        <v>9.2843353450000006</v>
      </c>
      <c r="J40">
        <v>6.5296640119999996</v>
      </c>
      <c r="K40">
        <v>6.4491339720000003</v>
      </c>
      <c r="L40">
        <v>371.71703009999999</v>
      </c>
      <c r="M40">
        <v>2.2547106220000002</v>
      </c>
      <c r="N40">
        <v>10855.75669</v>
      </c>
      <c r="O40" s="1" t="s">
        <v>989</v>
      </c>
      <c r="P40" s="1" t="s">
        <v>1146</v>
      </c>
      <c r="Q40" t="s">
        <v>245</v>
      </c>
      <c r="R40" t="s">
        <v>1062</v>
      </c>
      <c r="S40" t="s">
        <v>1063</v>
      </c>
      <c r="T40" t="s">
        <v>1068</v>
      </c>
      <c r="U40" s="3">
        <v>34948</v>
      </c>
      <c r="V40" s="3">
        <v>43755</v>
      </c>
      <c r="W40">
        <f t="shared" si="2"/>
        <v>24</v>
      </c>
      <c r="X40">
        <v>0</v>
      </c>
      <c r="Y40" s="13">
        <v>2</v>
      </c>
      <c r="Z40">
        <v>1</v>
      </c>
      <c r="AA40">
        <v>0</v>
      </c>
      <c r="AB40">
        <v>6</v>
      </c>
      <c r="AC40" t="s">
        <v>1065</v>
      </c>
      <c r="AD40">
        <v>15</v>
      </c>
      <c r="AE40">
        <v>1</v>
      </c>
      <c r="AG40" t="str">
        <f t="shared" si="3"/>
        <v>TRUE</v>
      </c>
    </row>
    <row r="41" spans="1:33">
      <c r="A41" t="s">
        <v>230</v>
      </c>
      <c r="B41">
        <v>3.2018348919999999</v>
      </c>
      <c r="C41" t="s">
        <v>34</v>
      </c>
      <c r="D41">
        <v>8.0842501339999995</v>
      </c>
      <c r="E41">
        <v>21.158948070000001</v>
      </c>
      <c r="F41">
        <v>45.155011340000001</v>
      </c>
      <c r="G41">
        <v>3595.613167</v>
      </c>
      <c r="H41">
        <v>140.8175569</v>
      </c>
      <c r="I41">
        <v>4.8478032779999998</v>
      </c>
      <c r="J41">
        <v>4.6950268739999999</v>
      </c>
      <c r="K41">
        <v>4.1710320420000002</v>
      </c>
      <c r="L41">
        <v>249.20146220000001</v>
      </c>
      <c r="M41">
        <v>1.3538246279999999</v>
      </c>
      <c r="N41">
        <v>11083.043240000001</v>
      </c>
      <c r="O41" s="1" t="s">
        <v>1025</v>
      </c>
      <c r="P41" s="1" t="s">
        <v>1146</v>
      </c>
      <c r="Q41" t="s">
        <v>230</v>
      </c>
      <c r="R41" t="s">
        <v>1062</v>
      </c>
      <c r="S41" t="s">
        <v>1063</v>
      </c>
      <c r="T41" t="s">
        <v>1068</v>
      </c>
      <c r="U41" s="3">
        <v>34948</v>
      </c>
      <c r="V41" s="3">
        <v>43788</v>
      </c>
      <c r="W41">
        <f t="shared" si="2"/>
        <v>24</v>
      </c>
      <c r="X41">
        <v>0</v>
      </c>
      <c r="Y41" s="13">
        <v>2</v>
      </c>
      <c r="Z41">
        <v>1</v>
      </c>
      <c r="AA41">
        <v>0</v>
      </c>
      <c r="AB41">
        <v>7</v>
      </c>
      <c r="AC41" t="s">
        <v>1065</v>
      </c>
      <c r="AD41">
        <v>61</v>
      </c>
      <c r="AE41">
        <v>1</v>
      </c>
      <c r="AG41" t="str">
        <f t="shared" si="3"/>
        <v>TRUE</v>
      </c>
    </row>
    <row r="42" spans="1:33">
      <c r="A42" t="s">
        <v>248</v>
      </c>
      <c r="B42">
        <v>7.1222215379999998</v>
      </c>
      <c r="C42" t="s">
        <v>34</v>
      </c>
      <c r="D42">
        <v>13.13377828</v>
      </c>
      <c r="E42">
        <v>85.983918669999994</v>
      </c>
      <c r="F42">
        <v>42.639094329999999</v>
      </c>
      <c r="G42">
        <v>3078.3707380000001</v>
      </c>
      <c r="H42">
        <v>247.5980792</v>
      </c>
      <c r="I42">
        <v>10.21299687</v>
      </c>
      <c r="J42">
        <v>12.326708979999999</v>
      </c>
      <c r="K42">
        <v>6.4624690530000004</v>
      </c>
      <c r="L42">
        <v>369.11585919999999</v>
      </c>
      <c r="M42">
        <v>1.9240003109999999</v>
      </c>
      <c r="N42">
        <v>9514.4158160000006</v>
      </c>
      <c r="O42" s="1" t="s">
        <v>974</v>
      </c>
      <c r="P42" s="1" t="s">
        <v>1146</v>
      </c>
      <c r="Q42" t="s">
        <v>248</v>
      </c>
      <c r="R42" t="s">
        <v>1062</v>
      </c>
      <c r="S42" t="s">
        <v>1063</v>
      </c>
      <c r="T42" t="s">
        <v>1068</v>
      </c>
      <c r="U42" s="3">
        <v>34948</v>
      </c>
      <c r="V42" s="3">
        <v>43698</v>
      </c>
      <c r="W42">
        <f t="shared" si="2"/>
        <v>23</v>
      </c>
      <c r="X42">
        <v>0</v>
      </c>
      <c r="Y42" s="13">
        <v>2</v>
      </c>
      <c r="Z42">
        <v>1</v>
      </c>
      <c r="AA42">
        <v>0</v>
      </c>
      <c r="AB42">
        <v>2</v>
      </c>
      <c r="AC42" t="s">
        <v>1065</v>
      </c>
      <c r="AD42" t="s">
        <v>1060</v>
      </c>
      <c r="AE42">
        <v>4</v>
      </c>
      <c r="AG42" t="str">
        <f t="shared" si="3"/>
        <v>TRUE</v>
      </c>
    </row>
    <row r="43" spans="1:33">
      <c r="A43" t="s">
        <v>623</v>
      </c>
      <c r="B43">
        <v>4.6375261160000001</v>
      </c>
      <c r="C43" t="s">
        <v>34</v>
      </c>
      <c r="D43">
        <v>5.5427857950000003</v>
      </c>
      <c r="E43" t="s">
        <v>35</v>
      </c>
      <c r="F43">
        <v>72.123737849999998</v>
      </c>
      <c r="G43">
        <v>4881.7282939999996</v>
      </c>
      <c r="H43">
        <v>297.22103620000001</v>
      </c>
      <c r="I43">
        <v>4.595246414</v>
      </c>
      <c r="J43">
        <v>13.0653875</v>
      </c>
      <c r="K43">
        <v>0.86378378700000003</v>
      </c>
      <c r="L43">
        <v>420.15139099999999</v>
      </c>
      <c r="M43">
        <v>1.7694565760000001</v>
      </c>
      <c r="N43">
        <v>11116.246639999999</v>
      </c>
      <c r="O43" s="1" t="s">
        <v>992</v>
      </c>
      <c r="P43" s="1" t="s">
        <v>1147</v>
      </c>
      <c r="Q43" t="s">
        <v>623</v>
      </c>
      <c r="R43" t="s">
        <v>1069</v>
      </c>
      <c r="S43" t="s">
        <v>1073</v>
      </c>
      <c r="T43" t="s">
        <v>1064</v>
      </c>
      <c r="U43" s="3">
        <v>31009</v>
      </c>
      <c r="V43" s="3">
        <v>43699</v>
      </c>
      <c r="W43">
        <f t="shared" si="2"/>
        <v>34</v>
      </c>
      <c r="X43">
        <v>1</v>
      </c>
      <c r="Y43">
        <v>2</v>
      </c>
      <c r="Z43">
        <v>1</v>
      </c>
      <c r="AA43">
        <v>0</v>
      </c>
      <c r="AB43">
        <v>1</v>
      </c>
      <c r="AC43" t="s">
        <v>1061</v>
      </c>
      <c r="AD43">
        <v>2000</v>
      </c>
      <c r="AE43">
        <v>10</v>
      </c>
      <c r="AF43" t="s">
        <v>1096</v>
      </c>
      <c r="AG43" t="str">
        <f t="shared" si="3"/>
        <v>TRUE</v>
      </c>
    </row>
    <row r="44" spans="1:33">
      <c r="A44" t="s">
        <v>617</v>
      </c>
      <c r="B44">
        <v>5.750393775</v>
      </c>
      <c r="C44" t="s">
        <v>34</v>
      </c>
      <c r="D44">
        <v>8.1985420569999992</v>
      </c>
      <c r="E44" t="s">
        <v>35</v>
      </c>
      <c r="F44">
        <v>56.659825589999997</v>
      </c>
      <c r="G44" t="s">
        <v>35</v>
      </c>
      <c r="H44">
        <v>190.55094109999999</v>
      </c>
      <c r="I44">
        <v>5.134120426</v>
      </c>
      <c r="J44">
        <v>9.9755924030000003</v>
      </c>
      <c r="K44">
        <v>1.9862692209999999</v>
      </c>
      <c r="L44">
        <v>390.18967559999999</v>
      </c>
      <c r="M44">
        <v>1.3959448510000001</v>
      </c>
      <c r="N44">
        <v>8450.9803090000005</v>
      </c>
      <c r="O44" s="1" t="s">
        <v>1029</v>
      </c>
      <c r="P44" s="1" t="s">
        <v>1147</v>
      </c>
      <c r="Q44" t="s">
        <v>617</v>
      </c>
      <c r="R44" t="s">
        <v>1069</v>
      </c>
      <c r="S44" t="s">
        <v>1073</v>
      </c>
      <c r="T44" t="s">
        <v>1064</v>
      </c>
      <c r="U44" s="3">
        <v>31009</v>
      </c>
      <c r="V44" s="3">
        <v>43763</v>
      </c>
      <c r="W44">
        <f t="shared" si="2"/>
        <v>34</v>
      </c>
      <c r="X44">
        <v>1</v>
      </c>
      <c r="Y44">
        <v>2</v>
      </c>
      <c r="Z44">
        <v>1</v>
      </c>
      <c r="AA44">
        <v>0</v>
      </c>
      <c r="AB44">
        <v>3</v>
      </c>
      <c r="AC44" t="s">
        <v>1061</v>
      </c>
      <c r="AD44">
        <v>445</v>
      </c>
      <c r="AE44">
        <v>2</v>
      </c>
      <c r="AG44" t="str">
        <f t="shared" si="3"/>
        <v>TRUE</v>
      </c>
    </row>
    <row r="45" spans="1:33">
      <c r="A45" t="s">
        <v>611</v>
      </c>
      <c r="B45">
        <v>3.1825728049999999</v>
      </c>
      <c r="C45" t="s">
        <v>34</v>
      </c>
      <c r="D45">
        <v>5.4550448249999999</v>
      </c>
      <c r="E45" t="s">
        <v>35</v>
      </c>
      <c r="F45">
        <v>52.055494600000003</v>
      </c>
      <c r="G45" t="s">
        <v>35</v>
      </c>
      <c r="H45">
        <v>195.78243209999999</v>
      </c>
      <c r="I45">
        <v>4.043928835</v>
      </c>
      <c r="J45">
        <v>7.9091270859999998</v>
      </c>
      <c r="K45">
        <v>1.2610657890000001</v>
      </c>
      <c r="L45">
        <v>385.3118422</v>
      </c>
      <c r="M45">
        <v>1.333770407</v>
      </c>
      <c r="N45">
        <v>7735.7513989999998</v>
      </c>
      <c r="O45" s="1" t="s">
        <v>1030</v>
      </c>
      <c r="P45" s="1" t="s">
        <v>1147</v>
      </c>
      <c r="Q45" t="s">
        <v>611</v>
      </c>
      <c r="R45" t="s">
        <v>1069</v>
      </c>
      <c r="S45" t="s">
        <v>1073</v>
      </c>
      <c r="T45" t="s">
        <v>1064</v>
      </c>
      <c r="U45" s="3">
        <v>31009</v>
      </c>
      <c r="V45" s="3">
        <v>43769</v>
      </c>
      <c r="W45">
        <f t="shared" si="2"/>
        <v>34</v>
      </c>
      <c r="X45">
        <v>1</v>
      </c>
      <c r="Y45">
        <v>2</v>
      </c>
      <c r="Z45">
        <v>1</v>
      </c>
      <c r="AA45">
        <v>0</v>
      </c>
      <c r="AB45">
        <v>4</v>
      </c>
      <c r="AC45" t="s">
        <v>1061</v>
      </c>
      <c r="AD45" t="s">
        <v>1060</v>
      </c>
      <c r="AE45">
        <v>5</v>
      </c>
      <c r="AG45" t="str">
        <f t="shared" si="3"/>
        <v>TRUE</v>
      </c>
    </row>
    <row r="46" spans="1:33">
      <c r="A46" t="s">
        <v>626</v>
      </c>
      <c r="B46">
        <v>4.883791145</v>
      </c>
      <c r="C46" t="s">
        <v>34</v>
      </c>
      <c r="D46">
        <v>6.0112171500000002</v>
      </c>
      <c r="E46" t="s">
        <v>35</v>
      </c>
      <c r="F46">
        <v>47.754904060000001</v>
      </c>
      <c r="G46" t="s">
        <v>35</v>
      </c>
      <c r="H46">
        <v>171.26439629999999</v>
      </c>
      <c r="I46">
        <v>4.3311839680000004</v>
      </c>
      <c r="J46">
        <v>14.51584618</v>
      </c>
      <c r="K46">
        <v>1.3180676870000001</v>
      </c>
      <c r="L46">
        <v>378.99588449999999</v>
      </c>
      <c r="M46">
        <v>1.332214394</v>
      </c>
      <c r="N46">
        <v>8285.043619</v>
      </c>
      <c r="O46" s="1" t="s">
        <v>1031</v>
      </c>
      <c r="P46" s="1" t="s">
        <v>1147</v>
      </c>
      <c r="Q46" t="s">
        <v>626</v>
      </c>
      <c r="R46" t="s">
        <v>1069</v>
      </c>
      <c r="S46" t="s">
        <v>1073</v>
      </c>
      <c r="T46" t="s">
        <v>1064</v>
      </c>
      <c r="U46" s="3">
        <v>31009</v>
      </c>
      <c r="V46" s="3">
        <v>43775</v>
      </c>
      <c r="W46">
        <f t="shared" si="2"/>
        <v>34</v>
      </c>
      <c r="X46">
        <v>1</v>
      </c>
      <c r="Y46">
        <v>2</v>
      </c>
      <c r="Z46">
        <v>1</v>
      </c>
      <c r="AA46">
        <v>0</v>
      </c>
      <c r="AB46">
        <v>5</v>
      </c>
      <c r="AC46" t="s">
        <v>1061</v>
      </c>
      <c r="AD46">
        <v>843</v>
      </c>
      <c r="AE46">
        <v>5</v>
      </c>
      <c r="AG46" t="str">
        <f t="shared" si="3"/>
        <v>TRUE</v>
      </c>
    </row>
    <row r="47" spans="1:33">
      <c r="A47" t="s">
        <v>620</v>
      </c>
      <c r="B47">
        <v>4.3175117930000004</v>
      </c>
      <c r="C47" t="s">
        <v>34</v>
      </c>
      <c r="D47">
        <v>4.8195516249999999</v>
      </c>
      <c r="E47" t="s">
        <v>35</v>
      </c>
      <c r="F47">
        <v>52.418485689999997</v>
      </c>
      <c r="G47" t="s">
        <v>35</v>
      </c>
      <c r="H47">
        <v>372.47654540000002</v>
      </c>
      <c r="I47">
        <v>5.2282848389999996</v>
      </c>
      <c r="J47">
        <v>18.25287865</v>
      </c>
      <c r="K47">
        <v>1.66367273</v>
      </c>
      <c r="L47">
        <v>397.81516010000001</v>
      </c>
      <c r="M47">
        <v>1.1872721509999999</v>
      </c>
      <c r="N47">
        <v>10120.0021</v>
      </c>
      <c r="O47" s="1" t="s">
        <v>1001</v>
      </c>
      <c r="P47" s="1" t="s">
        <v>1147</v>
      </c>
      <c r="Q47" t="s">
        <v>620</v>
      </c>
      <c r="R47" t="s">
        <v>1069</v>
      </c>
      <c r="S47" t="s">
        <v>1073</v>
      </c>
      <c r="T47" t="s">
        <v>1064</v>
      </c>
      <c r="U47" s="3">
        <v>31009</v>
      </c>
      <c r="V47" s="3">
        <v>43812</v>
      </c>
      <c r="W47">
        <f t="shared" si="2"/>
        <v>35</v>
      </c>
      <c r="X47">
        <v>1</v>
      </c>
      <c r="Y47">
        <v>2</v>
      </c>
      <c r="Z47">
        <v>1</v>
      </c>
      <c r="AA47">
        <v>0</v>
      </c>
      <c r="AB47">
        <v>5</v>
      </c>
      <c r="AC47" t="s">
        <v>1061</v>
      </c>
      <c r="AD47">
        <v>545</v>
      </c>
      <c r="AE47">
        <v>4</v>
      </c>
      <c r="AG47" t="str">
        <f t="shared" si="3"/>
        <v>TRUE</v>
      </c>
    </row>
    <row r="48" spans="1:33">
      <c r="A48" t="s">
        <v>614</v>
      </c>
      <c r="B48">
        <v>3.0863774350000002</v>
      </c>
      <c r="C48" t="s">
        <v>34</v>
      </c>
      <c r="D48">
        <v>4.5204259850000001</v>
      </c>
      <c r="E48" t="s">
        <v>35</v>
      </c>
      <c r="F48">
        <v>64.135730440000003</v>
      </c>
      <c r="G48" t="s">
        <v>35</v>
      </c>
      <c r="H48">
        <v>269.69375129999997</v>
      </c>
      <c r="I48">
        <v>3.1750614399999999</v>
      </c>
      <c r="J48">
        <v>23.261864760000002</v>
      </c>
      <c r="K48">
        <v>0.79128856599999997</v>
      </c>
      <c r="L48">
        <v>329.6916976</v>
      </c>
      <c r="M48">
        <v>4.5862107109999997</v>
      </c>
      <c r="N48">
        <v>8548.7869169999994</v>
      </c>
      <c r="O48" s="1" t="s">
        <v>1027</v>
      </c>
      <c r="P48" s="1" t="s">
        <v>1147</v>
      </c>
      <c r="Q48" t="s">
        <v>614</v>
      </c>
      <c r="R48" t="s">
        <v>1069</v>
      </c>
      <c r="S48" t="s">
        <v>1073</v>
      </c>
      <c r="T48" t="s">
        <v>1064</v>
      </c>
      <c r="U48" s="3">
        <v>31009</v>
      </c>
      <c r="V48" s="3">
        <v>43756</v>
      </c>
      <c r="W48">
        <f t="shared" si="2"/>
        <v>34</v>
      </c>
      <c r="X48">
        <v>1</v>
      </c>
      <c r="Y48">
        <v>2</v>
      </c>
      <c r="Z48">
        <v>1</v>
      </c>
      <c r="AA48">
        <v>0</v>
      </c>
      <c r="AB48">
        <v>2</v>
      </c>
      <c r="AC48" t="s">
        <v>1061</v>
      </c>
      <c r="AD48" t="s">
        <v>1060</v>
      </c>
      <c r="AE48">
        <v>3</v>
      </c>
      <c r="AG48" t="str">
        <f t="shared" si="3"/>
        <v>TRUE</v>
      </c>
    </row>
    <row r="49" spans="1:33">
      <c r="A49" t="s">
        <v>62</v>
      </c>
      <c r="B49">
        <v>12.801451670000001</v>
      </c>
      <c r="C49" t="s">
        <v>34</v>
      </c>
      <c r="D49">
        <v>7.427214846</v>
      </c>
      <c r="E49">
        <v>157.97314510000001</v>
      </c>
      <c r="F49">
        <v>95.658021629999993</v>
      </c>
      <c r="G49" t="s">
        <v>35</v>
      </c>
      <c r="H49">
        <v>368.91404590000002</v>
      </c>
      <c r="I49">
        <v>21.275454719999999</v>
      </c>
      <c r="J49">
        <v>20.758905949999999</v>
      </c>
      <c r="K49">
        <v>8.189066403</v>
      </c>
      <c r="L49">
        <v>446.90966839999999</v>
      </c>
      <c r="M49">
        <v>4.2191698090000003</v>
      </c>
      <c r="N49">
        <v>8679.5260020000005</v>
      </c>
      <c r="O49" s="1" t="s">
        <v>978</v>
      </c>
      <c r="P49" s="1" t="s">
        <v>1148</v>
      </c>
      <c r="Q49" t="s">
        <v>62</v>
      </c>
      <c r="R49" t="s">
        <v>1069</v>
      </c>
      <c r="S49" t="s">
        <v>1076</v>
      </c>
      <c r="T49" t="s">
        <v>1064</v>
      </c>
      <c r="U49" s="3">
        <v>18937</v>
      </c>
      <c r="V49" s="3">
        <v>43711</v>
      </c>
      <c r="W49">
        <f t="shared" si="2"/>
        <v>67</v>
      </c>
      <c r="X49">
        <v>1</v>
      </c>
      <c r="Y49">
        <v>3</v>
      </c>
      <c r="Z49">
        <v>1</v>
      </c>
      <c r="AA49">
        <v>0</v>
      </c>
      <c r="AB49">
        <v>1</v>
      </c>
      <c r="AC49" t="s">
        <v>1061</v>
      </c>
      <c r="AD49">
        <v>715</v>
      </c>
      <c r="AE49">
        <v>5</v>
      </c>
      <c r="AF49" t="s">
        <v>1097</v>
      </c>
      <c r="AG49" t="str">
        <f t="shared" si="3"/>
        <v>TRUE</v>
      </c>
    </row>
    <row r="50" spans="1:33">
      <c r="A50" t="s">
        <v>59</v>
      </c>
      <c r="B50">
        <v>8.7699645430000004</v>
      </c>
      <c r="C50" t="s">
        <v>34</v>
      </c>
      <c r="D50">
        <v>5.6612924619999996</v>
      </c>
      <c r="E50">
        <v>131.05547630000001</v>
      </c>
      <c r="F50">
        <v>138.18989790000001</v>
      </c>
      <c r="G50" t="s">
        <v>35</v>
      </c>
      <c r="H50">
        <v>313.89510469999999</v>
      </c>
      <c r="I50">
        <v>18.573060590000001</v>
      </c>
      <c r="J50">
        <v>27.905186789999998</v>
      </c>
      <c r="K50">
        <v>4.9208792309999998</v>
      </c>
      <c r="L50">
        <v>539.82893260000003</v>
      </c>
      <c r="M50">
        <v>4.6954855330000003</v>
      </c>
      <c r="N50">
        <v>9665.4510709999995</v>
      </c>
      <c r="O50" s="1" t="s">
        <v>983</v>
      </c>
      <c r="P50" s="1" t="s">
        <v>1148</v>
      </c>
      <c r="Q50" t="s">
        <v>59</v>
      </c>
      <c r="R50" t="s">
        <v>1069</v>
      </c>
      <c r="S50" t="s">
        <v>1076</v>
      </c>
      <c r="T50" t="s">
        <v>1064</v>
      </c>
      <c r="U50" s="3">
        <v>18937</v>
      </c>
      <c r="V50" s="3">
        <v>43728</v>
      </c>
      <c r="W50">
        <v>67</v>
      </c>
      <c r="X50">
        <v>1</v>
      </c>
      <c r="Y50">
        <v>3</v>
      </c>
      <c r="Z50">
        <v>1</v>
      </c>
      <c r="AA50">
        <v>0</v>
      </c>
      <c r="AB50">
        <v>3</v>
      </c>
      <c r="AC50" t="s">
        <v>1061</v>
      </c>
      <c r="AD50" t="s">
        <v>1060</v>
      </c>
      <c r="AE50">
        <v>0</v>
      </c>
      <c r="AG50" t="str">
        <f t="shared" si="3"/>
        <v>TRUE</v>
      </c>
    </row>
    <row r="51" spans="1:33">
      <c r="A51" t="s">
        <v>65</v>
      </c>
      <c r="B51">
        <v>11.036828659999999</v>
      </c>
      <c r="C51" t="s">
        <v>34</v>
      </c>
      <c r="D51">
        <v>21.425609999999999</v>
      </c>
      <c r="E51">
        <v>90.639021959999994</v>
      </c>
      <c r="F51">
        <v>200.11222122109999</v>
      </c>
      <c r="G51">
        <v>2124.5504599999999</v>
      </c>
      <c r="H51">
        <v>159.68666020000001</v>
      </c>
      <c r="I51">
        <v>33.322145089999999</v>
      </c>
      <c r="J51">
        <v>30.751028600000001</v>
      </c>
      <c r="K51">
        <v>7.8869310080000004</v>
      </c>
      <c r="L51">
        <v>800.11122121200003</v>
      </c>
      <c r="M51">
        <v>20.11122121</v>
      </c>
      <c r="N51">
        <v>5771.1890880000001</v>
      </c>
      <c r="O51" s="1" t="s">
        <v>986</v>
      </c>
      <c r="P51" s="1" t="s">
        <v>1148</v>
      </c>
      <c r="Q51" s="5" t="s">
        <v>65</v>
      </c>
      <c r="R51" t="s">
        <v>1069</v>
      </c>
      <c r="S51" t="s">
        <v>1076</v>
      </c>
      <c r="T51" t="s">
        <v>1064</v>
      </c>
      <c r="U51" s="3">
        <v>18937</v>
      </c>
      <c r="V51" s="3">
        <v>43735</v>
      </c>
      <c r="W51">
        <v>67</v>
      </c>
      <c r="X51">
        <v>1</v>
      </c>
      <c r="Y51">
        <v>3</v>
      </c>
      <c r="Z51">
        <v>1</v>
      </c>
      <c r="AA51">
        <v>0</v>
      </c>
      <c r="AB51">
        <v>4</v>
      </c>
      <c r="AC51" t="s">
        <v>1061</v>
      </c>
      <c r="AD51" t="s">
        <v>1060</v>
      </c>
      <c r="AE51">
        <v>9</v>
      </c>
      <c r="AG51" t="str">
        <f t="shared" si="3"/>
        <v>TRUE</v>
      </c>
    </row>
    <row r="52" spans="1:33">
      <c r="A52" t="s">
        <v>53</v>
      </c>
      <c r="B52">
        <v>7.0755467120000004</v>
      </c>
      <c r="C52" t="s">
        <v>34</v>
      </c>
      <c r="D52">
        <v>8.1268170499999997</v>
      </c>
      <c r="E52">
        <v>138.90179549999999</v>
      </c>
      <c r="F52">
        <v>122.2314087</v>
      </c>
      <c r="G52" t="s">
        <v>35</v>
      </c>
      <c r="H52">
        <v>337.3605154</v>
      </c>
      <c r="I52">
        <v>23.725285230000001</v>
      </c>
      <c r="J52">
        <v>14.973786369999999</v>
      </c>
      <c r="K52">
        <v>7.9989175829999999</v>
      </c>
      <c r="L52">
        <v>555.67926790000001</v>
      </c>
      <c r="M52">
        <v>2.6302687310000001</v>
      </c>
      <c r="N52">
        <v>11448.7863</v>
      </c>
      <c r="O52" s="1" t="s">
        <v>997</v>
      </c>
      <c r="P52" s="1" t="s">
        <v>1148</v>
      </c>
      <c r="Q52" t="s">
        <v>53</v>
      </c>
      <c r="R52" t="s">
        <v>1069</v>
      </c>
      <c r="S52" t="s">
        <v>1076</v>
      </c>
      <c r="T52" t="s">
        <v>1064</v>
      </c>
      <c r="U52" s="3">
        <v>18937</v>
      </c>
      <c r="V52" s="3">
        <v>43802</v>
      </c>
      <c r="W52">
        <v>68</v>
      </c>
      <c r="X52">
        <v>1</v>
      </c>
      <c r="Y52">
        <v>3</v>
      </c>
      <c r="Z52">
        <v>1</v>
      </c>
      <c r="AA52">
        <v>0</v>
      </c>
      <c r="AB52">
        <v>7</v>
      </c>
      <c r="AC52" t="s">
        <v>1061</v>
      </c>
      <c r="AD52">
        <v>2388</v>
      </c>
      <c r="AE52">
        <v>6</v>
      </c>
      <c r="AG52" t="str">
        <f t="shared" si="3"/>
        <v>TRUE</v>
      </c>
    </row>
    <row r="53" spans="1:33">
      <c r="A53" t="s">
        <v>56</v>
      </c>
      <c r="B53">
        <v>10.91425935</v>
      </c>
      <c r="C53" t="s">
        <v>34</v>
      </c>
      <c r="D53">
        <v>4.773243312</v>
      </c>
      <c r="E53">
        <v>110.5103561</v>
      </c>
      <c r="F53">
        <v>104.22116389999999</v>
      </c>
      <c r="G53" t="s">
        <v>35</v>
      </c>
      <c r="H53">
        <v>248.20615530000001</v>
      </c>
      <c r="I53">
        <v>22.926883610000001</v>
      </c>
      <c r="J53">
        <v>26.21808716</v>
      </c>
      <c r="K53">
        <v>6.4161147730000003</v>
      </c>
      <c r="L53">
        <v>420.1511873</v>
      </c>
      <c r="M53">
        <v>3.6920393859999998</v>
      </c>
      <c r="N53">
        <v>8285.7217970000002</v>
      </c>
      <c r="O53" s="1" t="s">
        <v>980</v>
      </c>
      <c r="P53" s="1" t="s">
        <v>1148</v>
      </c>
      <c r="Q53" t="s">
        <v>56</v>
      </c>
      <c r="R53" t="s">
        <v>1069</v>
      </c>
      <c r="S53" t="s">
        <v>1076</v>
      </c>
      <c r="T53" t="s">
        <v>1064</v>
      </c>
      <c r="U53" s="3">
        <v>18937</v>
      </c>
      <c r="V53" s="3">
        <v>43721</v>
      </c>
      <c r="W53">
        <v>67</v>
      </c>
      <c r="X53">
        <v>1</v>
      </c>
      <c r="Y53">
        <v>3</v>
      </c>
      <c r="Z53">
        <v>1</v>
      </c>
      <c r="AA53">
        <v>0</v>
      </c>
      <c r="AB53">
        <v>2</v>
      </c>
      <c r="AC53" t="s">
        <v>1061</v>
      </c>
      <c r="AD53" t="s">
        <v>1060</v>
      </c>
      <c r="AE53">
        <v>0</v>
      </c>
      <c r="AG53" t="str">
        <f t="shared" si="3"/>
        <v>TRUE</v>
      </c>
    </row>
    <row r="54" spans="1:33">
      <c r="A54" t="s">
        <v>221</v>
      </c>
      <c r="B54">
        <v>1.5999083999999999</v>
      </c>
      <c r="C54" t="s">
        <v>34</v>
      </c>
      <c r="D54">
        <v>2.3711511440000002</v>
      </c>
      <c r="E54" t="s">
        <v>35</v>
      </c>
      <c r="F54">
        <v>35.629410810000003</v>
      </c>
      <c r="G54" t="s">
        <v>35</v>
      </c>
      <c r="H54">
        <v>114.45651169999999</v>
      </c>
      <c r="I54">
        <v>1.462456814</v>
      </c>
      <c r="J54">
        <v>23.04016987</v>
      </c>
      <c r="K54">
        <v>0.39999922319999998</v>
      </c>
      <c r="L54">
        <v>185.02275230000001</v>
      </c>
      <c r="M54">
        <v>3.1957901660000001</v>
      </c>
      <c r="N54">
        <v>3012.421789</v>
      </c>
      <c r="O54" s="1" t="s">
        <v>912</v>
      </c>
      <c r="P54" s="1" t="s">
        <v>1149</v>
      </c>
      <c r="Q54" t="s">
        <v>221</v>
      </c>
      <c r="R54" t="s">
        <v>1069</v>
      </c>
      <c r="S54" t="s">
        <v>1078</v>
      </c>
      <c r="T54" t="s">
        <v>1064</v>
      </c>
      <c r="U54" s="3">
        <v>21300</v>
      </c>
      <c r="V54" s="3">
        <v>43741</v>
      </c>
      <c r="W54">
        <f t="shared" ref="W54:W64" si="4">DATEDIF(U54,V54,"Y")</f>
        <v>61</v>
      </c>
      <c r="X54">
        <v>0</v>
      </c>
      <c r="Y54">
        <v>1</v>
      </c>
      <c r="Z54">
        <v>0</v>
      </c>
      <c r="AA54">
        <v>1</v>
      </c>
      <c r="AB54">
        <v>1</v>
      </c>
      <c r="AC54" t="s">
        <v>1065</v>
      </c>
      <c r="AD54">
        <v>1217</v>
      </c>
      <c r="AE54">
        <v>8</v>
      </c>
      <c r="AF54" t="s">
        <v>1096</v>
      </c>
      <c r="AG54" t="str">
        <f t="shared" si="3"/>
        <v>TRUE</v>
      </c>
    </row>
    <row r="55" spans="1:33">
      <c r="A55" t="s">
        <v>215</v>
      </c>
      <c r="B55">
        <v>1.5999080843</v>
      </c>
      <c r="C55" t="s">
        <v>34</v>
      </c>
      <c r="D55">
        <v>2.1233393469999999</v>
      </c>
      <c r="E55" t="s">
        <v>35</v>
      </c>
      <c r="F55">
        <v>25.808535719999998</v>
      </c>
      <c r="G55" t="s">
        <v>35</v>
      </c>
      <c r="H55">
        <v>301.18961710000002</v>
      </c>
      <c r="I55">
        <v>1.211374715</v>
      </c>
      <c r="J55">
        <v>12.873714680000001</v>
      </c>
      <c r="K55">
        <v>0.39998743930000002</v>
      </c>
      <c r="L55">
        <v>144.97404090000001</v>
      </c>
      <c r="M55">
        <v>3.3625572560000001</v>
      </c>
      <c r="N55">
        <v>4467.1925339999998</v>
      </c>
      <c r="O55" s="1" t="s">
        <v>1024</v>
      </c>
      <c r="P55" s="1" t="s">
        <v>1149</v>
      </c>
      <c r="Q55" t="s">
        <v>215</v>
      </c>
      <c r="R55" t="s">
        <v>1069</v>
      </c>
      <c r="S55" t="s">
        <v>1078</v>
      </c>
      <c r="T55" t="s">
        <v>1064</v>
      </c>
      <c r="U55" s="3">
        <v>21300</v>
      </c>
      <c r="V55" s="3">
        <v>43784</v>
      </c>
      <c r="W55">
        <f t="shared" si="4"/>
        <v>61</v>
      </c>
      <c r="X55">
        <v>0</v>
      </c>
      <c r="Y55">
        <v>1</v>
      </c>
      <c r="Z55">
        <v>0</v>
      </c>
      <c r="AA55">
        <v>1</v>
      </c>
      <c r="AB55">
        <v>3</v>
      </c>
      <c r="AC55" t="s">
        <v>1065</v>
      </c>
      <c r="AD55" t="s">
        <v>1060</v>
      </c>
      <c r="AE55">
        <v>10</v>
      </c>
      <c r="AG55" t="str">
        <f t="shared" si="3"/>
        <v>TRUE</v>
      </c>
    </row>
    <row r="56" spans="1:33">
      <c r="A56" t="s">
        <v>218</v>
      </c>
      <c r="B56">
        <v>3.4872988130000002</v>
      </c>
      <c r="C56" t="s">
        <v>34</v>
      </c>
      <c r="D56">
        <v>4.8609890609999997</v>
      </c>
      <c r="E56" t="s">
        <v>35</v>
      </c>
      <c r="F56">
        <v>54.517578710000002</v>
      </c>
      <c r="G56">
        <v>3028.1353509999999</v>
      </c>
      <c r="H56">
        <v>50.12013013</v>
      </c>
      <c r="I56">
        <v>4.3139441380000001</v>
      </c>
      <c r="J56">
        <v>15.27087878</v>
      </c>
      <c r="K56">
        <v>0.84361743700000003</v>
      </c>
      <c r="L56">
        <v>251.2254973</v>
      </c>
      <c r="M56">
        <v>3.0455685830000001</v>
      </c>
      <c r="N56">
        <v>3776.081259</v>
      </c>
      <c r="O56" s="1" t="s">
        <v>1033</v>
      </c>
      <c r="P56" s="1" t="s">
        <v>1149</v>
      </c>
      <c r="Q56" t="s">
        <v>218</v>
      </c>
      <c r="R56" t="s">
        <v>1069</v>
      </c>
      <c r="S56" t="s">
        <v>1078</v>
      </c>
      <c r="T56" t="s">
        <v>1064</v>
      </c>
      <c r="U56" s="3">
        <v>21300</v>
      </c>
      <c r="V56" s="3">
        <v>43791</v>
      </c>
      <c r="W56">
        <f t="shared" si="4"/>
        <v>61</v>
      </c>
      <c r="X56">
        <v>0</v>
      </c>
      <c r="Y56">
        <v>1</v>
      </c>
      <c r="Z56">
        <v>0</v>
      </c>
      <c r="AA56">
        <v>1</v>
      </c>
      <c r="AB56">
        <v>4</v>
      </c>
      <c r="AC56" t="s">
        <v>1065</v>
      </c>
      <c r="AD56">
        <v>784</v>
      </c>
      <c r="AE56">
        <v>6</v>
      </c>
      <c r="AG56" t="str">
        <f t="shared" si="3"/>
        <v>TRUE</v>
      </c>
    </row>
    <row r="57" spans="1:33">
      <c r="A57" t="s">
        <v>212</v>
      </c>
      <c r="B57">
        <v>1.5999932789</v>
      </c>
      <c r="C57" t="s">
        <v>34</v>
      </c>
      <c r="D57">
        <v>2.737282693</v>
      </c>
      <c r="E57" t="s">
        <v>35</v>
      </c>
      <c r="F57">
        <v>29.27061621</v>
      </c>
      <c r="G57" t="s">
        <v>35</v>
      </c>
      <c r="H57">
        <v>97.289722990000001</v>
      </c>
      <c r="I57">
        <v>3.0012668370000002</v>
      </c>
      <c r="J57">
        <v>13.58286562</v>
      </c>
      <c r="K57">
        <v>0.39999898</v>
      </c>
      <c r="L57">
        <v>196.4928251</v>
      </c>
      <c r="M57">
        <v>3.930961237</v>
      </c>
      <c r="N57">
        <v>3895.6578589999999</v>
      </c>
      <c r="O57" s="1" t="s">
        <v>1023</v>
      </c>
      <c r="P57" s="1" t="s">
        <v>1149</v>
      </c>
      <c r="Q57" t="s">
        <v>212</v>
      </c>
      <c r="R57" t="s">
        <v>1069</v>
      </c>
      <c r="S57" t="s">
        <v>1078</v>
      </c>
      <c r="T57" t="s">
        <v>1064</v>
      </c>
      <c r="U57" s="3">
        <v>21300</v>
      </c>
      <c r="V57" s="3">
        <v>43770</v>
      </c>
      <c r="W57">
        <f t="shared" si="4"/>
        <v>61</v>
      </c>
      <c r="X57">
        <v>0</v>
      </c>
      <c r="Y57">
        <v>1</v>
      </c>
      <c r="Z57">
        <v>0</v>
      </c>
      <c r="AA57">
        <v>1</v>
      </c>
      <c r="AB57">
        <v>2</v>
      </c>
      <c r="AC57" t="s">
        <v>1065</v>
      </c>
      <c r="AD57">
        <v>921</v>
      </c>
      <c r="AE57">
        <v>12</v>
      </c>
      <c r="AG57" t="str">
        <f t="shared" si="3"/>
        <v>TRUE</v>
      </c>
    </row>
    <row r="58" spans="1:33">
      <c r="A58" t="s">
        <v>131</v>
      </c>
      <c r="B58">
        <v>6.3680300609999998</v>
      </c>
      <c r="C58" t="s">
        <v>34</v>
      </c>
      <c r="D58">
        <v>11.84705634</v>
      </c>
      <c r="E58" t="s">
        <v>35</v>
      </c>
      <c r="F58">
        <v>37.458973030000003</v>
      </c>
      <c r="G58" t="s">
        <v>35</v>
      </c>
      <c r="H58">
        <v>237.5721375</v>
      </c>
      <c r="I58">
        <v>7.0916125059999997</v>
      </c>
      <c r="J58">
        <v>21.016173559999999</v>
      </c>
      <c r="K58">
        <v>3.1604591160000002</v>
      </c>
      <c r="L58">
        <v>318.26473399999998</v>
      </c>
      <c r="M58">
        <v>1.228538656</v>
      </c>
      <c r="N58">
        <v>15748.75208</v>
      </c>
      <c r="O58" s="1" t="s">
        <v>1032</v>
      </c>
      <c r="P58" s="1" t="s">
        <v>1150</v>
      </c>
      <c r="Q58" t="s">
        <v>131</v>
      </c>
      <c r="R58" t="s">
        <v>1069</v>
      </c>
      <c r="S58" t="s">
        <v>1073</v>
      </c>
      <c r="T58" t="s">
        <v>1068</v>
      </c>
      <c r="U58" s="3">
        <v>29371</v>
      </c>
      <c r="V58" s="3">
        <v>43784</v>
      </c>
      <c r="W58">
        <f t="shared" si="4"/>
        <v>39</v>
      </c>
      <c r="X58">
        <v>1</v>
      </c>
      <c r="Y58">
        <v>2</v>
      </c>
      <c r="Z58">
        <v>1</v>
      </c>
      <c r="AA58">
        <v>0</v>
      </c>
      <c r="AB58">
        <v>1</v>
      </c>
      <c r="AC58" t="s">
        <v>1065</v>
      </c>
      <c r="AD58">
        <v>3792</v>
      </c>
      <c r="AE58">
        <v>8</v>
      </c>
      <c r="AF58" t="s">
        <v>1096</v>
      </c>
      <c r="AG58" t="str">
        <f t="shared" si="3"/>
        <v>TRUE</v>
      </c>
    </row>
    <row r="59" spans="1:33">
      <c r="A59" t="s">
        <v>122</v>
      </c>
      <c r="B59">
        <v>4.5779386899999999</v>
      </c>
      <c r="C59" t="s">
        <v>34</v>
      </c>
      <c r="D59">
        <v>8.2110648180000005</v>
      </c>
      <c r="E59" t="s">
        <v>35</v>
      </c>
      <c r="F59">
        <v>34.419377930000003</v>
      </c>
      <c r="G59" t="s">
        <v>35</v>
      </c>
      <c r="H59">
        <v>246.4057085</v>
      </c>
      <c r="I59">
        <v>5.0317060930000004</v>
      </c>
      <c r="J59">
        <v>13.44940984</v>
      </c>
      <c r="K59">
        <v>2.112079305</v>
      </c>
      <c r="L59">
        <v>287.93966399999999</v>
      </c>
      <c r="M59">
        <v>1.0758672419999999</v>
      </c>
      <c r="N59">
        <v>17857.365549999999</v>
      </c>
      <c r="O59" s="1" t="s">
        <v>995</v>
      </c>
      <c r="P59" s="1" t="s">
        <v>1150</v>
      </c>
      <c r="Q59" t="s">
        <v>122</v>
      </c>
      <c r="R59" t="s">
        <v>1069</v>
      </c>
      <c r="S59" t="s">
        <v>1073</v>
      </c>
      <c r="T59" t="s">
        <v>1068</v>
      </c>
      <c r="U59" s="3">
        <v>29371</v>
      </c>
      <c r="V59" s="3">
        <v>43798</v>
      </c>
      <c r="W59">
        <f t="shared" si="4"/>
        <v>39</v>
      </c>
      <c r="X59">
        <v>1</v>
      </c>
      <c r="Y59">
        <v>2</v>
      </c>
      <c r="Z59">
        <v>1</v>
      </c>
      <c r="AA59">
        <v>0</v>
      </c>
      <c r="AB59">
        <v>3</v>
      </c>
      <c r="AC59" t="s">
        <v>1065</v>
      </c>
      <c r="AD59" t="s">
        <v>1060</v>
      </c>
      <c r="AE59">
        <v>5</v>
      </c>
      <c r="AG59" t="str">
        <f t="shared" si="3"/>
        <v>TRUE</v>
      </c>
    </row>
    <row r="60" spans="1:33">
      <c r="A60" t="s">
        <v>116</v>
      </c>
      <c r="B60">
        <v>6.8343320790000002</v>
      </c>
      <c r="C60" t="s">
        <v>34</v>
      </c>
      <c r="D60">
        <v>18.854173150000001</v>
      </c>
      <c r="E60" t="s">
        <v>35</v>
      </c>
      <c r="F60">
        <v>40.227596009999999</v>
      </c>
      <c r="G60" t="s">
        <v>35</v>
      </c>
      <c r="H60">
        <v>282.576483</v>
      </c>
      <c r="I60">
        <v>7.0947151359999996</v>
      </c>
      <c r="J60">
        <v>30.945807850000001</v>
      </c>
      <c r="K60">
        <v>3.9320680160000001</v>
      </c>
      <c r="L60">
        <v>263.02751840000002</v>
      </c>
      <c r="M60">
        <v>1.1568512630000001</v>
      </c>
      <c r="N60">
        <v>12431.62844</v>
      </c>
      <c r="O60" s="1" t="s">
        <v>998</v>
      </c>
      <c r="P60" s="1" t="s">
        <v>1150</v>
      </c>
      <c r="Q60" t="s">
        <v>116</v>
      </c>
      <c r="R60" t="s">
        <v>1069</v>
      </c>
      <c r="S60" t="s">
        <v>1073</v>
      </c>
      <c r="T60" t="s">
        <v>1068</v>
      </c>
      <c r="U60" s="3">
        <v>29371</v>
      </c>
      <c r="V60" s="3">
        <v>43805</v>
      </c>
      <c r="W60">
        <f t="shared" si="4"/>
        <v>39</v>
      </c>
      <c r="X60">
        <v>1</v>
      </c>
      <c r="Y60">
        <v>2</v>
      </c>
      <c r="Z60">
        <v>1</v>
      </c>
      <c r="AA60">
        <v>0</v>
      </c>
      <c r="AB60">
        <v>4</v>
      </c>
      <c r="AC60" t="s">
        <v>1065</v>
      </c>
      <c r="AD60" t="s">
        <v>1060</v>
      </c>
      <c r="AE60">
        <v>4</v>
      </c>
      <c r="AG60" t="str">
        <f t="shared" si="3"/>
        <v>TRUE</v>
      </c>
    </row>
    <row r="61" spans="1:33">
      <c r="A61" t="s">
        <v>119</v>
      </c>
      <c r="B61">
        <v>11.357535990000001</v>
      </c>
      <c r="C61" t="s">
        <v>34</v>
      </c>
      <c r="D61">
        <v>15.300217630000001</v>
      </c>
      <c r="E61">
        <v>194.43165379999999</v>
      </c>
      <c r="F61">
        <v>40.162406259999997</v>
      </c>
      <c r="G61" t="s">
        <v>35</v>
      </c>
      <c r="H61">
        <v>207.58346090000001</v>
      </c>
      <c r="I61">
        <v>8.6779756920000004</v>
      </c>
      <c r="J61">
        <v>11.26482852</v>
      </c>
      <c r="K61">
        <v>4.1162888979999996</v>
      </c>
      <c r="L61">
        <v>225.8594362</v>
      </c>
      <c r="M61">
        <v>0.69216221499999997</v>
      </c>
      <c r="N61">
        <v>9588.9064350000008</v>
      </c>
      <c r="O61" s="1" t="s">
        <v>1002</v>
      </c>
      <c r="P61" s="1" t="s">
        <v>1150</v>
      </c>
      <c r="Q61" t="s">
        <v>119</v>
      </c>
      <c r="R61" t="s">
        <v>1069</v>
      </c>
      <c r="S61" t="s">
        <v>1073</v>
      </c>
      <c r="T61" t="s">
        <v>1068</v>
      </c>
      <c r="U61" s="3">
        <v>29371</v>
      </c>
      <c r="V61" s="3">
        <v>43812</v>
      </c>
      <c r="W61">
        <f t="shared" si="4"/>
        <v>39</v>
      </c>
      <c r="X61">
        <v>1</v>
      </c>
      <c r="Y61">
        <v>2</v>
      </c>
      <c r="Z61">
        <v>1</v>
      </c>
      <c r="AA61">
        <v>0</v>
      </c>
      <c r="AB61">
        <v>5</v>
      </c>
      <c r="AC61" t="s">
        <v>1065</v>
      </c>
      <c r="AD61">
        <v>45</v>
      </c>
      <c r="AE61">
        <v>2</v>
      </c>
      <c r="AG61" t="str">
        <f t="shared" si="3"/>
        <v>TRUE</v>
      </c>
    </row>
    <row r="62" spans="1:33">
      <c r="A62" t="s">
        <v>125</v>
      </c>
      <c r="B62">
        <v>4.793478307</v>
      </c>
      <c r="C62" t="s">
        <v>34</v>
      </c>
      <c r="D62">
        <v>13.229198370000001</v>
      </c>
      <c r="E62" t="s">
        <v>35</v>
      </c>
      <c r="F62">
        <v>42.995678310000002</v>
      </c>
      <c r="G62" t="s">
        <v>35</v>
      </c>
      <c r="H62">
        <v>218.96337349999999</v>
      </c>
      <c r="I62">
        <v>7.4581658729999996</v>
      </c>
      <c r="J62">
        <v>8.6222006150000006</v>
      </c>
      <c r="K62">
        <v>2.5256719080000001</v>
      </c>
      <c r="L62">
        <v>328.93790669999998</v>
      </c>
      <c r="M62">
        <v>1.4807237369999999</v>
      </c>
      <c r="N62">
        <v>9550.9339889999992</v>
      </c>
      <c r="O62" s="1" t="s">
        <v>1005</v>
      </c>
      <c r="P62" s="1" t="s">
        <v>1150</v>
      </c>
      <c r="Q62" t="s">
        <v>125</v>
      </c>
      <c r="R62" t="s">
        <v>1069</v>
      </c>
      <c r="S62" t="s">
        <v>1073</v>
      </c>
      <c r="T62" t="s">
        <v>1068</v>
      </c>
      <c r="U62" s="3">
        <v>29371</v>
      </c>
      <c r="V62" s="3">
        <v>43840</v>
      </c>
      <c r="W62">
        <f t="shared" si="4"/>
        <v>39</v>
      </c>
      <c r="X62">
        <v>1</v>
      </c>
      <c r="Y62">
        <v>2</v>
      </c>
      <c r="Z62">
        <v>1</v>
      </c>
      <c r="AA62">
        <v>0</v>
      </c>
      <c r="AB62">
        <v>6</v>
      </c>
      <c r="AC62" t="s">
        <v>1065</v>
      </c>
      <c r="AD62">
        <v>29</v>
      </c>
      <c r="AE62">
        <v>2</v>
      </c>
      <c r="AG62" t="str">
        <f t="shared" si="3"/>
        <v>TRUE</v>
      </c>
    </row>
    <row r="63" spans="1:33">
      <c r="A63" t="s">
        <v>134</v>
      </c>
      <c r="B63">
        <v>8.3826318840000003</v>
      </c>
      <c r="C63" t="s">
        <v>34</v>
      </c>
      <c r="D63">
        <v>9.9288170779999998</v>
      </c>
      <c r="E63">
        <v>147.9574274</v>
      </c>
      <c r="F63">
        <v>53.561382129999998</v>
      </c>
      <c r="G63" t="s">
        <v>35</v>
      </c>
      <c r="H63">
        <v>274.3762893</v>
      </c>
      <c r="I63">
        <v>12.82325629</v>
      </c>
      <c r="J63">
        <v>13.416765180000001</v>
      </c>
      <c r="K63">
        <v>6.3322019320000003</v>
      </c>
      <c r="L63">
        <v>357.72522459999999</v>
      </c>
      <c r="M63">
        <v>1.1216224589999999</v>
      </c>
      <c r="N63">
        <v>12496.1806</v>
      </c>
      <c r="O63" s="1" t="s">
        <v>1019</v>
      </c>
      <c r="P63" s="1" t="s">
        <v>1150</v>
      </c>
      <c r="Q63" t="s">
        <v>134</v>
      </c>
      <c r="R63" t="s">
        <v>1069</v>
      </c>
      <c r="S63" t="s">
        <v>1073</v>
      </c>
      <c r="T63" t="s">
        <v>1068</v>
      </c>
      <c r="U63" s="3">
        <v>29371</v>
      </c>
      <c r="V63" s="3">
        <v>43896</v>
      </c>
      <c r="W63">
        <f t="shared" si="4"/>
        <v>39</v>
      </c>
      <c r="X63">
        <v>1</v>
      </c>
      <c r="Y63">
        <v>2</v>
      </c>
      <c r="Z63">
        <v>1</v>
      </c>
      <c r="AA63">
        <v>0</v>
      </c>
      <c r="AB63">
        <v>7</v>
      </c>
      <c r="AC63" t="s">
        <v>1065</v>
      </c>
      <c r="AD63">
        <v>1822</v>
      </c>
      <c r="AE63">
        <v>3</v>
      </c>
      <c r="AG63" t="str">
        <f t="shared" si="3"/>
        <v>TRUE</v>
      </c>
    </row>
    <row r="64" spans="1:33">
      <c r="A64" t="s">
        <v>128</v>
      </c>
      <c r="B64">
        <v>3.6067866999999998</v>
      </c>
      <c r="C64" t="s">
        <v>34</v>
      </c>
      <c r="D64">
        <v>7.3953771770000003</v>
      </c>
      <c r="E64" t="s">
        <v>35</v>
      </c>
      <c r="F64">
        <v>29.05757826</v>
      </c>
      <c r="G64" t="s">
        <v>35</v>
      </c>
      <c r="H64">
        <v>310.79271699999998</v>
      </c>
      <c r="I64">
        <v>5.0079380440000003</v>
      </c>
      <c r="J64">
        <v>10.829731880000001</v>
      </c>
      <c r="K64">
        <v>1.8496176259999999</v>
      </c>
      <c r="L64">
        <v>247.22463310000001</v>
      </c>
      <c r="M64">
        <v>1.119033282</v>
      </c>
      <c r="N64">
        <v>12572.71175</v>
      </c>
      <c r="O64" s="1" t="s">
        <v>994</v>
      </c>
      <c r="P64" s="1" t="s">
        <v>1150</v>
      </c>
      <c r="Q64" t="s">
        <v>128</v>
      </c>
      <c r="R64" t="s">
        <v>1069</v>
      </c>
      <c r="S64" t="s">
        <v>1073</v>
      </c>
      <c r="T64" t="s">
        <v>1068</v>
      </c>
      <c r="U64" s="3">
        <v>29371</v>
      </c>
      <c r="V64" s="3">
        <v>43791</v>
      </c>
      <c r="W64">
        <f t="shared" si="4"/>
        <v>39</v>
      </c>
      <c r="X64">
        <v>1</v>
      </c>
      <c r="Y64">
        <v>2</v>
      </c>
      <c r="Z64">
        <v>1</v>
      </c>
      <c r="AA64">
        <v>0</v>
      </c>
      <c r="AB64">
        <v>2</v>
      </c>
      <c r="AC64" t="s">
        <v>1065</v>
      </c>
      <c r="AD64" t="s">
        <v>1060</v>
      </c>
      <c r="AE64">
        <v>5</v>
      </c>
      <c r="AG64" t="str">
        <f t="shared" si="3"/>
        <v>TRUE</v>
      </c>
    </row>
    <row r="65" spans="1:33">
      <c r="A65" t="s">
        <v>791</v>
      </c>
      <c r="B65">
        <v>7.6042649840000003</v>
      </c>
      <c r="C65">
        <v>11.692842069999999</v>
      </c>
      <c r="D65">
        <v>8.6462217789999993</v>
      </c>
      <c r="E65">
        <v>20.681291099999999</v>
      </c>
      <c r="F65">
        <v>87.153768830000004</v>
      </c>
      <c r="G65">
        <v>4824.9238260000002</v>
      </c>
      <c r="H65">
        <v>697.49754710000002</v>
      </c>
      <c r="I65">
        <v>6.8583718229999997</v>
      </c>
      <c r="J65">
        <v>8.4604841549999996</v>
      </c>
      <c r="K65">
        <v>5.602079925</v>
      </c>
      <c r="L65">
        <v>385.40114610000001</v>
      </c>
      <c r="M65">
        <v>1.7151370699999999</v>
      </c>
      <c r="N65">
        <v>9149.0652809999992</v>
      </c>
      <c r="O65" s="1" t="s">
        <v>1026</v>
      </c>
      <c r="P65" s="1" t="s">
        <v>1151</v>
      </c>
      <c r="Q65" t="s">
        <v>791</v>
      </c>
      <c r="R65" t="s">
        <v>1069</v>
      </c>
      <c r="S65" t="s">
        <v>1070</v>
      </c>
      <c r="T65" t="s">
        <v>1068</v>
      </c>
      <c r="U65" s="3">
        <v>33023</v>
      </c>
      <c r="V65" s="3">
        <v>43788</v>
      </c>
      <c r="W65">
        <v>29</v>
      </c>
      <c r="X65">
        <v>0</v>
      </c>
      <c r="Y65">
        <v>2</v>
      </c>
      <c r="Z65">
        <v>0</v>
      </c>
      <c r="AA65">
        <v>0</v>
      </c>
      <c r="AB65">
        <v>1</v>
      </c>
      <c r="AC65" t="s">
        <v>1061</v>
      </c>
      <c r="AD65">
        <v>1213</v>
      </c>
      <c r="AE65">
        <v>7</v>
      </c>
      <c r="AF65" t="s">
        <v>1097</v>
      </c>
      <c r="AG65" t="str">
        <f t="shared" si="3"/>
        <v>TRUE</v>
      </c>
    </row>
    <row r="66" spans="1:33">
      <c r="A66" t="s">
        <v>788</v>
      </c>
      <c r="B66">
        <v>9.614466578</v>
      </c>
      <c r="C66" t="s">
        <v>34</v>
      </c>
      <c r="D66">
        <v>12.68179497</v>
      </c>
      <c r="E66">
        <v>21.132794010000001</v>
      </c>
      <c r="F66">
        <v>104.27768260000001</v>
      </c>
      <c r="G66" t="s">
        <v>35</v>
      </c>
      <c r="H66">
        <v>435.94818579999998</v>
      </c>
      <c r="I66">
        <v>8.8372842009999992</v>
      </c>
      <c r="J66">
        <v>9.3602206199999998</v>
      </c>
      <c r="K66">
        <v>10.54277222</v>
      </c>
      <c r="L66">
        <v>321.04982310000003</v>
      </c>
      <c r="M66">
        <v>1.5439529789999999</v>
      </c>
      <c r="N66">
        <v>10952.93492</v>
      </c>
      <c r="O66" s="1" t="s">
        <v>999</v>
      </c>
      <c r="P66" s="1" t="s">
        <v>1151</v>
      </c>
      <c r="Q66" t="s">
        <v>788</v>
      </c>
      <c r="R66" t="s">
        <v>1069</v>
      </c>
      <c r="S66" t="s">
        <v>1070</v>
      </c>
      <c r="T66" t="s">
        <v>1068</v>
      </c>
      <c r="U66" s="3">
        <v>33023</v>
      </c>
      <c r="V66" s="3">
        <v>43805</v>
      </c>
      <c r="W66">
        <v>29</v>
      </c>
      <c r="X66">
        <v>0</v>
      </c>
      <c r="Y66">
        <v>2</v>
      </c>
      <c r="Z66">
        <v>0</v>
      </c>
      <c r="AA66">
        <v>0</v>
      </c>
      <c r="AB66">
        <v>3</v>
      </c>
      <c r="AC66" t="s">
        <v>1061</v>
      </c>
      <c r="AD66" t="s">
        <v>1060</v>
      </c>
      <c r="AE66">
        <v>6</v>
      </c>
      <c r="AG66" t="str">
        <f t="shared" ref="AG66:AG79" si="5">IF(Q66=A66, "TRUE", "FALSE")</f>
        <v>TRUE</v>
      </c>
    </row>
    <row r="67" spans="1:33">
      <c r="A67" t="s">
        <v>785</v>
      </c>
      <c r="B67">
        <v>3.8974342310000001</v>
      </c>
      <c r="C67" t="s">
        <v>34</v>
      </c>
      <c r="D67">
        <v>6.3218305130000001</v>
      </c>
      <c r="E67">
        <v>23.979671060000001</v>
      </c>
      <c r="F67">
        <v>80.94870813</v>
      </c>
      <c r="G67">
        <v>3621.353443</v>
      </c>
      <c r="H67">
        <v>282.25007090000003</v>
      </c>
      <c r="I67">
        <v>5.6398056260000002</v>
      </c>
      <c r="J67">
        <v>39.265330130000002</v>
      </c>
      <c r="K67">
        <v>3.5491290879999999</v>
      </c>
      <c r="L67">
        <v>331.18790369999999</v>
      </c>
      <c r="M67">
        <v>1.618349662</v>
      </c>
      <c r="N67">
        <v>9549.5503399999998</v>
      </c>
      <c r="O67" s="1" t="s">
        <v>1000</v>
      </c>
      <c r="P67" s="1" t="s">
        <v>1151</v>
      </c>
      <c r="Q67" t="s">
        <v>785</v>
      </c>
      <c r="R67" t="s">
        <v>1069</v>
      </c>
      <c r="S67" t="s">
        <v>1070</v>
      </c>
      <c r="T67" t="s">
        <v>1068</v>
      </c>
      <c r="U67" s="3">
        <v>33023</v>
      </c>
      <c r="V67" s="3">
        <v>43812</v>
      </c>
      <c r="W67">
        <v>29</v>
      </c>
      <c r="X67">
        <v>0</v>
      </c>
      <c r="Y67">
        <v>2</v>
      </c>
      <c r="Z67">
        <v>0</v>
      </c>
      <c r="AA67">
        <v>0</v>
      </c>
      <c r="AB67">
        <v>4</v>
      </c>
      <c r="AC67" t="s">
        <v>1061</v>
      </c>
      <c r="AD67" t="s">
        <v>1060</v>
      </c>
      <c r="AE67">
        <v>6</v>
      </c>
      <c r="AG67" t="str">
        <f t="shared" si="5"/>
        <v>TRUE</v>
      </c>
    </row>
    <row r="68" spans="1:33">
      <c r="A68" t="s">
        <v>782</v>
      </c>
      <c r="B68">
        <v>6.0189625089999996</v>
      </c>
      <c r="C68" t="s">
        <v>34</v>
      </c>
      <c r="D68">
        <v>11.5573867</v>
      </c>
      <c r="E68">
        <v>22.305496059999999</v>
      </c>
      <c r="F68">
        <v>99.465424940000005</v>
      </c>
      <c r="G68">
        <v>4478.7581410000003</v>
      </c>
      <c r="H68">
        <v>288.0217561</v>
      </c>
      <c r="I68">
        <v>8.4808032769999997</v>
      </c>
      <c r="J68">
        <v>10.13013366</v>
      </c>
      <c r="K68">
        <v>9.8771598639999993</v>
      </c>
      <c r="L68">
        <v>309.80273510000001</v>
      </c>
      <c r="M68">
        <v>1.6925745379999999</v>
      </c>
      <c r="N68">
        <v>10857.43093</v>
      </c>
      <c r="O68" s="1" t="s">
        <v>1004</v>
      </c>
      <c r="P68" s="1" t="s">
        <v>1151</v>
      </c>
      <c r="Q68" t="s">
        <v>782</v>
      </c>
      <c r="R68" t="s">
        <v>1069</v>
      </c>
      <c r="S68" t="s">
        <v>1070</v>
      </c>
      <c r="T68" t="s">
        <v>1068</v>
      </c>
      <c r="U68" s="3">
        <v>33023</v>
      </c>
      <c r="V68" s="3">
        <v>43817</v>
      </c>
      <c r="W68">
        <v>29</v>
      </c>
      <c r="X68">
        <v>0</v>
      </c>
      <c r="Y68">
        <v>2</v>
      </c>
      <c r="Z68">
        <v>0</v>
      </c>
      <c r="AA68">
        <v>0</v>
      </c>
      <c r="AB68">
        <v>5</v>
      </c>
      <c r="AC68" t="s">
        <v>1061</v>
      </c>
      <c r="AD68">
        <v>368</v>
      </c>
      <c r="AE68">
        <v>7</v>
      </c>
      <c r="AG68" t="str">
        <f t="shared" si="5"/>
        <v>TRUE</v>
      </c>
    </row>
    <row r="69" spans="1:33">
      <c r="A69" t="s">
        <v>797</v>
      </c>
      <c r="B69">
        <v>5.8653301249999998</v>
      </c>
      <c r="C69" t="s">
        <v>34</v>
      </c>
      <c r="D69">
        <v>8.3978493000000007</v>
      </c>
      <c r="E69">
        <v>28.75596058</v>
      </c>
      <c r="F69">
        <v>101.540865</v>
      </c>
      <c r="G69" t="s">
        <v>35</v>
      </c>
      <c r="H69">
        <v>253.54590020000001</v>
      </c>
      <c r="I69">
        <v>6.774147138</v>
      </c>
      <c r="J69">
        <v>8.7986410579999994</v>
      </c>
      <c r="K69">
        <v>6.0742336239999997</v>
      </c>
      <c r="L69">
        <v>301.7006844</v>
      </c>
      <c r="M69">
        <v>1.53294291</v>
      </c>
      <c r="N69">
        <v>10193.32123</v>
      </c>
      <c r="O69" s="1" t="s">
        <v>1006</v>
      </c>
      <c r="P69" s="1" t="s">
        <v>1151</v>
      </c>
      <c r="Q69" t="s">
        <v>797</v>
      </c>
      <c r="R69" t="s">
        <v>1069</v>
      </c>
      <c r="S69" t="s">
        <v>1070</v>
      </c>
      <c r="T69" t="s">
        <v>1068</v>
      </c>
      <c r="U69" s="3">
        <v>33023</v>
      </c>
      <c r="V69" s="3">
        <v>43847</v>
      </c>
      <c r="W69">
        <v>29</v>
      </c>
      <c r="X69">
        <v>0</v>
      </c>
      <c r="Y69">
        <v>2</v>
      </c>
      <c r="Z69">
        <v>0</v>
      </c>
      <c r="AA69">
        <v>0</v>
      </c>
      <c r="AB69">
        <v>6</v>
      </c>
      <c r="AC69" t="s">
        <v>1061</v>
      </c>
      <c r="AD69">
        <v>426</v>
      </c>
      <c r="AE69">
        <v>3</v>
      </c>
      <c r="AG69" t="str">
        <f t="shared" si="5"/>
        <v>TRUE</v>
      </c>
    </row>
    <row r="70" spans="1:33">
      <c r="A70" t="s">
        <v>794</v>
      </c>
      <c r="B70">
        <v>7.9318903460000003</v>
      </c>
      <c r="C70" t="s">
        <v>34</v>
      </c>
      <c r="D70">
        <v>7.9561385900000001</v>
      </c>
      <c r="E70">
        <v>35.218173110000002</v>
      </c>
      <c r="F70">
        <v>70.944026179999994</v>
      </c>
      <c r="G70" t="s">
        <v>35</v>
      </c>
      <c r="H70">
        <v>288.74643809999998</v>
      </c>
      <c r="I70">
        <v>5.2191964500000001</v>
      </c>
      <c r="J70">
        <v>11.47366768</v>
      </c>
      <c r="K70">
        <v>2.9859594079999998</v>
      </c>
      <c r="L70">
        <v>300.68793979999998</v>
      </c>
      <c r="M70">
        <v>1.18338535</v>
      </c>
      <c r="N70">
        <v>10866.566860000001</v>
      </c>
      <c r="O70" s="1" t="s">
        <v>1009</v>
      </c>
      <c r="P70" s="1" t="s">
        <v>1151</v>
      </c>
      <c r="Q70" t="s">
        <v>794</v>
      </c>
      <c r="R70" t="s">
        <v>1069</v>
      </c>
      <c r="S70" t="s">
        <v>1070</v>
      </c>
      <c r="T70" t="s">
        <v>1068</v>
      </c>
      <c r="U70" s="3">
        <v>33023</v>
      </c>
      <c r="V70" s="3">
        <v>43875</v>
      </c>
      <c r="W70">
        <v>29</v>
      </c>
      <c r="X70">
        <v>0</v>
      </c>
      <c r="Y70">
        <v>2</v>
      </c>
      <c r="Z70">
        <v>0</v>
      </c>
      <c r="AA70">
        <v>0</v>
      </c>
      <c r="AB70">
        <v>7</v>
      </c>
      <c r="AC70" t="s">
        <v>1061</v>
      </c>
      <c r="AD70">
        <v>391</v>
      </c>
      <c r="AE70">
        <v>2</v>
      </c>
      <c r="AG70" t="str">
        <f t="shared" si="5"/>
        <v>TRUE</v>
      </c>
    </row>
    <row r="71" spans="1:33">
      <c r="A71" t="s">
        <v>779</v>
      </c>
      <c r="B71">
        <v>17.937510150000001</v>
      </c>
      <c r="C71" t="s">
        <v>34</v>
      </c>
      <c r="D71">
        <v>23.88238827</v>
      </c>
      <c r="E71">
        <v>24.536543829999999</v>
      </c>
      <c r="F71">
        <v>165.97196020000001</v>
      </c>
      <c r="G71" t="s">
        <v>35</v>
      </c>
      <c r="H71">
        <v>684.91579490000004</v>
      </c>
      <c r="I71">
        <v>12.695021150000001</v>
      </c>
      <c r="J71">
        <v>11.306287599999999</v>
      </c>
      <c r="K71">
        <v>20.223544929999999</v>
      </c>
      <c r="L71">
        <v>564.38282160000006</v>
      </c>
      <c r="M71">
        <v>1.4192785699999999</v>
      </c>
      <c r="N71">
        <v>16560.79638</v>
      </c>
      <c r="O71" s="1" t="s">
        <v>996</v>
      </c>
      <c r="P71" s="1" t="s">
        <v>1151</v>
      </c>
      <c r="Q71" t="s">
        <v>779</v>
      </c>
      <c r="R71" t="s">
        <v>1069</v>
      </c>
      <c r="S71" t="s">
        <v>1070</v>
      </c>
      <c r="T71" t="s">
        <v>1068</v>
      </c>
      <c r="U71" s="3">
        <v>33023</v>
      </c>
      <c r="V71" s="3">
        <v>43798</v>
      </c>
      <c r="W71">
        <v>29</v>
      </c>
      <c r="X71">
        <v>0</v>
      </c>
      <c r="Y71">
        <v>2</v>
      </c>
      <c r="Z71">
        <v>0</v>
      </c>
      <c r="AA71">
        <v>0</v>
      </c>
      <c r="AB71">
        <v>2</v>
      </c>
      <c r="AC71" t="s">
        <v>1061</v>
      </c>
      <c r="AD71" t="s">
        <v>1060</v>
      </c>
      <c r="AE71">
        <v>3</v>
      </c>
      <c r="AG71" t="str">
        <f t="shared" si="5"/>
        <v>TRUE</v>
      </c>
    </row>
    <row r="72" spans="1:33">
      <c r="A72" t="s">
        <v>539</v>
      </c>
      <c r="B72">
        <v>7.4722535609999996</v>
      </c>
      <c r="C72" t="s">
        <v>34</v>
      </c>
      <c r="D72">
        <v>9.2588765530000003</v>
      </c>
      <c r="E72">
        <v>116.6964627</v>
      </c>
      <c r="F72">
        <v>67.607316569999995</v>
      </c>
      <c r="G72" t="s">
        <v>35</v>
      </c>
      <c r="H72">
        <v>382.0525586</v>
      </c>
      <c r="I72">
        <v>11.92194795</v>
      </c>
      <c r="J72">
        <v>13.9784115</v>
      </c>
      <c r="K72">
        <v>5.2718753019999998</v>
      </c>
      <c r="L72">
        <v>461.24796579999997</v>
      </c>
      <c r="M72">
        <v>1.3213287899999999</v>
      </c>
      <c r="N72">
        <v>11803.21825</v>
      </c>
      <c r="O72" s="1" t="s">
        <v>1007</v>
      </c>
      <c r="P72" s="1" t="s">
        <v>1152</v>
      </c>
      <c r="Q72" t="s">
        <v>539</v>
      </c>
      <c r="R72" t="s">
        <v>1062</v>
      </c>
      <c r="S72" t="s">
        <v>1067</v>
      </c>
      <c r="T72" t="s">
        <v>1068</v>
      </c>
      <c r="U72" s="3">
        <v>29354</v>
      </c>
      <c r="V72" s="3">
        <v>43868</v>
      </c>
      <c r="W72">
        <f t="shared" ref="W72:W79" si="6">DATEDIF(U72,V72,"Y")</f>
        <v>39</v>
      </c>
      <c r="X72">
        <v>1</v>
      </c>
      <c r="Y72" s="13">
        <v>2</v>
      </c>
      <c r="Z72" s="15">
        <v>1</v>
      </c>
      <c r="AA72" s="15">
        <v>0</v>
      </c>
      <c r="AB72">
        <v>1</v>
      </c>
      <c r="AC72" t="s">
        <v>1061</v>
      </c>
      <c r="AD72">
        <v>11611</v>
      </c>
      <c r="AE72">
        <v>10</v>
      </c>
      <c r="AF72" t="s">
        <v>1096</v>
      </c>
      <c r="AG72" t="str">
        <f t="shared" si="5"/>
        <v>TRUE</v>
      </c>
    </row>
    <row r="73" spans="1:33">
      <c r="A73" t="s">
        <v>545</v>
      </c>
      <c r="B73">
        <v>6.0979461690000001</v>
      </c>
      <c r="C73" t="s">
        <v>34</v>
      </c>
      <c r="D73">
        <v>10.975985379999999</v>
      </c>
      <c r="E73" t="s">
        <v>35</v>
      </c>
      <c r="F73">
        <v>59.18160134</v>
      </c>
      <c r="G73" t="s">
        <v>35</v>
      </c>
      <c r="H73">
        <v>279.95265760000001</v>
      </c>
      <c r="I73">
        <v>10.88262868</v>
      </c>
      <c r="J73">
        <v>10.45781519</v>
      </c>
      <c r="K73">
        <v>4.5732057890000002</v>
      </c>
      <c r="L73">
        <v>408.51719960000003</v>
      </c>
      <c r="M73">
        <v>1.5504883389999999</v>
      </c>
      <c r="N73">
        <v>14099.08489</v>
      </c>
      <c r="O73" s="1" t="s">
        <v>1010</v>
      </c>
      <c r="P73" s="1" t="s">
        <v>1152</v>
      </c>
      <c r="Q73" t="s">
        <v>545</v>
      </c>
      <c r="R73" t="s">
        <v>1062</v>
      </c>
      <c r="S73" t="s">
        <v>1067</v>
      </c>
      <c r="T73" t="s">
        <v>1068</v>
      </c>
      <c r="U73" s="3">
        <v>29354</v>
      </c>
      <c r="V73" s="3">
        <v>43882</v>
      </c>
      <c r="W73">
        <f t="shared" si="6"/>
        <v>39</v>
      </c>
      <c r="X73">
        <v>1</v>
      </c>
      <c r="Y73" s="13">
        <v>2</v>
      </c>
      <c r="Z73" s="15">
        <v>1</v>
      </c>
      <c r="AA73" s="15">
        <v>0</v>
      </c>
      <c r="AB73">
        <v>3</v>
      </c>
      <c r="AC73" t="s">
        <v>1061</v>
      </c>
      <c r="AD73" t="s">
        <v>1060</v>
      </c>
      <c r="AE73">
        <v>6</v>
      </c>
      <c r="AG73" t="str">
        <f t="shared" si="5"/>
        <v>TRUE</v>
      </c>
    </row>
    <row r="74" spans="1:33">
      <c r="A74" t="s">
        <v>536</v>
      </c>
      <c r="B74">
        <v>6.0602215519999998</v>
      </c>
      <c r="C74" t="s">
        <v>34</v>
      </c>
      <c r="D74">
        <v>8.7348856339999994</v>
      </c>
      <c r="E74">
        <v>119.5846233</v>
      </c>
      <c r="F74">
        <v>62.263987010000001</v>
      </c>
      <c r="G74" t="s">
        <v>35</v>
      </c>
      <c r="H74">
        <v>457.7952679</v>
      </c>
      <c r="I74">
        <v>9.3665393019999996</v>
      </c>
      <c r="J74">
        <v>11.030041239999999</v>
      </c>
      <c r="K74">
        <v>3.3138519899999999</v>
      </c>
      <c r="L74">
        <v>455.7140119</v>
      </c>
      <c r="M74">
        <v>1.2939023409999999</v>
      </c>
      <c r="N74">
        <v>11473.338309999999</v>
      </c>
      <c r="O74" s="1" t="s">
        <v>1012</v>
      </c>
      <c r="P74" s="1" t="s">
        <v>1152</v>
      </c>
      <c r="Q74" t="s">
        <v>536</v>
      </c>
      <c r="R74" t="s">
        <v>1062</v>
      </c>
      <c r="S74" t="s">
        <v>1067</v>
      </c>
      <c r="T74" t="s">
        <v>1068</v>
      </c>
      <c r="U74" s="3">
        <v>29354</v>
      </c>
      <c r="V74" s="3">
        <v>43889</v>
      </c>
      <c r="W74">
        <f t="shared" si="6"/>
        <v>39</v>
      </c>
      <c r="X74">
        <v>1</v>
      </c>
      <c r="Y74" s="13">
        <v>2</v>
      </c>
      <c r="Z74" s="15">
        <v>1</v>
      </c>
      <c r="AA74" s="15">
        <v>0</v>
      </c>
      <c r="AB74">
        <v>4</v>
      </c>
      <c r="AC74" t="s">
        <v>1061</v>
      </c>
      <c r="AD74" t="s">
        <v>1060</v>
      </c>
      <c r="AE74">
        <v>8</v>
      </c>
      <c r="AG74" t="str">
        <f t="shared" si="5"/>
        <v>TRUE</v>
      </c>
    </row>
    <row r="75" spans="1:33">
      <c r="A75" t="s">
        <v>548</v>
      </c>
      <c r="B75">
        <v>4.949928237</v>
      </c>
      <c r="C75" t="s">
        <v>34</v>
      </c>
      <c r="D75">
        <v>8.5680271589999997</v>
      </c>
      <c r="E75">
        <v>124.3947203</v>
      </c>
      <c r="F75">
        <v>105.3707564</v>
      </c>
      <c r="G75">
        <v>4928.6884369999998</v>
      </c>
      <c r="H75">
        <v>340.6151936</v>
      </c>
      <c r="I75">
        <v>10.93925932</v>
      </c>
      <c r="J75">
        <v>9.8116330919999992</v>
      </c>
      <c r="K75">
        <v>3.9518735010000001</v>
      </c>
      <c r="L75">
        <v>568.6391509</v>
      </c>
      <c r="M75">
        <v>3.5635566330000001</v>
      </c>
      <c r="N75">
        <v>10348.803910000001</v>
      </c>
      <c r="O75" s="1" t="s">
        <v>1014</v>
      </c>
      <c r="P75" s="1" t="s">
        <v>1152</v>
      </c>
      <c r="Q75" t="s">
        <v>548</v>
      </c>
      <c r="R75" t="s">
        <v>1062</v>
      </c>
      <c r="S75" t="s">
        <v>1067</v>
      </c>
      <c r="T75" t="s">
        <v>1068</v>
      </c>
      <c r="U75" s="3">
        <v>29354</v>
      </c>
      <c r="V75" s="3">
        <v>43894</v>
      </c>
      <c r="W75">
        <f t="shared" si="6"/>
        <v>39</v>
      </c>
      <c r="X75">
        <v>1</v>
      </c>
      <c r="Y75" s="13">
        <v>2</v>
      </c>
      <c r="Z75" s="15">
        <v>1</v>
      </c>
      <c r="AA75" s="15">
        <v>0</v>
      </c>
      <c r="AB75">
        <v>5</v>
      </c>
      <c r="AC75" t="s">
        <v>1061</v>
      </c>
      <c r="AD75">
        <v>4033</v>
      </c>
      <c r="AE75">
        <v>8</v>
      </c>
      <c r="AG75" t="str">
        <f t="shared" si="5"/>
        <v>TRUE</v>
      </c>
    </row>
    <row r="76" spans="1:33">
      <c r="A76" t="s">
        <v>551</v>
      </c>
      <c r="B76">
        <v>5.902193832</v>
      </c>
      <c r="C76" t="s">
        <v>34</v>
      </c>
      <c r="D76">
        <v>7.9537636090000001</v>
      </c>
      <c r="E76">
        <v>111.36548430000001</v>
      </c>
      <c r="F76">
        <v>57.626557079999998</v>
      </c>
      <c r="G76" t="s">
        <v>35</v>
      </c>
      <c r="H76">
        <v>263.20576929999999</v>
      </c>
      <c r="I76">
        <v>14.367861080000001</v>
      </c>
      <c r="J76">
        <v>12.77482915</v>
      </c>
      <c r="K76">
        <v>5.0798234320000004</v>
      </c>
      <c r="L76">
        <v>339.2030403</v>
      </c>
      <c r="M76">
        <v>1.4270969899999999</v>
      </c>
      <c r="N76">
        <v>9183.7010150000006</v>
      </c>
      <c r="O76" s="1" t="s">
        <v>1020</v>
      </c>
      <c r="P76" s="1" t="s">
        <v>1152</v>
      </c>
      <c r="Q76" t="s">
        <v>551</v>
      </c>
      <c r="R76" t="s">
        <v>1062</v>
      </c>
      <c r="S76" t="s">
        <v>1067</v>
      </c>
      <c r="T76" t="s">
        <v>1068</v>
      </c>
      <c r="U76" s="3">
        <v>29354</v>
      </c>
      <c r="V76" s="3">
        <v>44007</v>
      </c>
      <c r="W76">
        <f t="shared" si="6"/>
        <v>40</v>
      </c>
      <c r="X76">
        <v>1</v>
      </c>
      <c r="Y76" s="13">
        <v>2</v>
      </c>
      <c r="Z76" s="15">
        <v>1</v>
      </c>
      <c r="AA76" s="15">
        <v>0</v>
      </c>
      <c r="AB76">
        <v>7</v>
      </c>
      <c r="AC76" t="s">
        <v>1061</v>
      </c>
      <c r="AD76">
        <v>43</v>
      </c>
      <c r="AE76">
        <v>2</v>
      </c>
      <c r="AG76" t="str">
        <f t="shared" si="5"/>
        <v>TRUE</v>
      </c>
    </row>
    <row r="77" spans="1:33">
      <c r="A77" t="s">
        <v>542</v>
      </c>
      <c r="B77">
        <v>6.3083267540000003</v>
      </c>
      <c r="C77" t="s">
        <v>34</v>
      </c>
      <c r="D77">
        <v>10.339641719999999</v>
      </c>
      <c r="E77">
        <v>183.38101259999999</v>
      </c>
      <c r="F77">
        <v>65.213577849999993</v>
      </c>
      <c r="G77" t="s">
        <v>35</v>
      </c>
      <c r="H77">
        <v>453.55795010000003</v>
      </c>
      <c r="I77">
        <v>11.424562079999999</v>
      </c>
      <c r="J77">
        <v>8.2756105469999994</v>
      </c>
      <c r="K77">
        <v>3.6899990730000001</v>
      </c>
      <c r="L77">
        <v>529.76491920000001</v>
      </c>
      <c r="M77">
        <v>1.2862698969999999</v>
      </c>
      <c r="N77">
        <v>11642.67353</v>
      </c>
      <c r="O77" s="1" t="s">
        <v>1008</v>
      </c>
      <c r="P77" s="1" t="s">
        <v>1152</v>
      </c>
      <c r="Q77" t="s">
        <v>542</v>
      </c>
      <c r="R77" t="s">
        <v>1062</v>
      </c>
      <c r="S77" t="s">
        <v>1067</v>
      </c>
      <c r="T77" t="s">
        <v>1068</v>
      </c>
      <c r="U77" s="3">
        <v>29354</v>
      </c>
      <c r="V77" s="3">
        <v>43875</v>
      </c>
      <c r="W77">
        <f t="shared" si="6"/>
        <v>39</v>
      </c>
      <c r="X77">
        <v>1</v>
      </c>
      <c r="Y77" s="13">
        <v>2</v>
      </c>
      <c r="Z77" s="15">
        <v>1</v>
      </c>
      <c r="AA77" s="15">
        <v>0</v>
      </c>
      <c r="AB77">
        <v>2</v>
      </c>
      <c r="AC77" t="s">
        <v>1061</v>
      </c>
      <c r="AD77" t="s">
        <v>1060</v>
      </c>
      <c r="AE77">
        <v>10</v>
      </c>
      <c r="AG77" t="str">
        <f t="shared" si="5"/>
        <v>TRUE</v>
      </c>
    </row>
    <row r="78" spans="1:33">
      <c r="A78" t="s">
        <v>752</v>
      </c>
      <c r="B78">
        <v>4.5629106930000001</v>
      </c>
      <c r="C78" t="s">
        <v>34</v>
      </c>
      <c r="D78">
        <v>5.9529699340000004</v>
      </c>
      <c r="E78">
        <v>51.759768540000003</v>
      </c>
      <c r="F78">
        <v>55.425899880000003</v>
      </c>
      <c r="G78" t="s">
        <v>35</v>
      </c>
      <c r="H78">
        <v>195.3799052</v>
      </c>
      <c r="I78">
        <v>10.4281986</v>
      </c>
      <c r="J78">
        <v>6.0552150960000004</v>
      </c>
      <c r="K78">
        <v>2.0751521959999999</v>
      </c>
      <c r="L78">
        <v>376.16087900000002</v>
      </c>
      <c r="M78">
        <v>1.5069741560000001</v>
      </c>
      <c r="N78">
        <v>8902.9033689999997</v>
      </c>
      <c r="O78" s="1" t="s">
        <v>1013</v>
      </c>
      <c r="P78" s="1" t="s">
        <v>1153</v>
      </c>
      <c r="Q78" t="s">
        <v>752</v>
      </c>
      <c r="R78" t="s">
        <v>1069</v>
      </c>
      <c r="S78" t="s">
        <v>1077</v>
      </c>
      <c r="T78" t="s">
        <v>1064</v>
      </c>
      <c r="U78" s="3">
        <v>26203</v>
      </c>
      <c r="V78" s="3">
        <v>43892</v>
      </c>
      <c r="W78">
        <f t="shared" si="6"/>
        <v>48</v>
      </c>
      <c r="X78">
        <v>0</v>
      </c>
      <c r="Y78">
        <v>3</v>
      </c>
      <c r="Z78" s="15">
        <v>1</v>
      </c>
      <c r="AA78" s="15">
        <v>0</v>
      </c>
      <c r="AB78">
        <v>2</v>
      </c>
      <c r="AC78" t="s">
        <v>1065</v>
      </c>
      <c r="AD78" t="s">
        <v>1060</v>
      </c>
      <c r="AE78">
        <v>5</v>
      </c>
      <c r="AG78" t="str">
        <f t="shared" si="5"/>
        <v>TRUE</v>
      </c>
    </row>
    <row r="79" spans="1:33">
      <c r="A79" t="s">
        <v>749</v>
      </c>
      <c r="B79">
        <v>8.2224323290000001</v>
      </c>
      <c r="C79" t="s">
        <v>34</v>
      </c>
      <c r="D79">
        <v>6.2534319280000004</v>
      </c>
      <c r="E79">
        <v>117.9701082</v>
      </c>
      <c r="F79">
        <v>70.606274459999995</v>
      </c>
      <c r="G79" t="s">
        <v>35</v>
      </c>
      <c r="H79">
        <v>243.1871586</v>
      </c>
      <c r="I79">
        <v>8.8438021130000006</v>
      </c>
      <c r="J79">
        <v>9.3711885450000008</v>
      </c>
      <c r="K79">
        <v>2.957918163</v>
      </c>
      <c r="L79">
        <v>521.13182919999997</v>
      </c>
      <c r="M79">
        <v>1.3688390930000001</v>
      </c>
      <c r="N79">
        <v>11563.860720000001</v>
      </c>
      <c r="O79" s="1" t="s">
        <v>1011</v>
      </c>
      <c r="P79" s="1" t="s">
        <v>1153</v>
      </c>
      <c r="Q79" t="s">
        <v>749</v>
      </c>
      <c r="R79" t="s">
        <v>1069</v>
      </c>
      <c r="S79" t="s">
        <v>1077</v>
      </c>
      <c r="T79" t="s">
        <v>1064</v>
      </c>
      <c r="U79" s="3">
        <v>26203</v>
      </c>
      <c r="V79" s="3">
        <v>43885</v>
      </c>
      <c r="W79">
        <f t="shared" si="6"/>
        <v>48</v>
      </c>
      <c r="X79">
        <v>0</v>
      </c>
      <c r="Y79">
        <v>3</v>
      </c>
      <c r="Z79" s="15">
        <v>1</v>
      </c>
      <c r="AA79" s="15">
        <v>0</v>
      </c>
      <c r="AB79">
        <v>1</v>
      </c>
      <c r="AC79" t="s">
        <v>1065</v>
      </c>
      <c r="AD79">
        <v>247</v>
      </c>
      <c r="AE79">
        <v>6</v>
      </c>
      <c r="AF79" t="s">
        <v>1097</v>
      </c>
      <c r="AG79" t="str">
        <f t="shared" si="5"/>
        <v>TRUE</v>
      </c>
    </row>
  </sheetData>
  <sortState xmlns:xlrd2="http://schemas.microsoft.com/office/spreadsheetml/2017/richdata2" ref="A2:AG80">
    <sortCondition ref="O1:O80"/>
  </sortState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edited_IBD-UC Serum Tryptophan </vt:lpstr>
      <vt:lpstr>Edited_master</vt:lpstr>
      <vt:lpstr>Inception cohort</vt:lpstr>
      <vt:lpstr>5ASA cohort</vt:lpstr>
      <vt:lpstr>Thiopurine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Mohanaruban, Aruchuna</dc:creator>
  <cp:lastModifiedBy>Cindy</cp:lastModifiedBy>
  <dcterms:created xsi:type="dcterms:W3CDTF">2022-04-25T09:21:15Z</dcterms:created>
  <dcterms:modified xsi:type="dcterms:W3CDTF">2023-01-08T18:52:52Z</dcterms:modified>
</cp:coreProperties>
</file>