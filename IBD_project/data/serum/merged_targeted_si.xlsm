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mss20_ic_ac_uk/Documents/Desktop/IBD_project/data/serum/"/>
    </mc:Choice>
  </mc:AlternateContent>
  <xr:revisionPtr revIDLastSave="9" documentId="8_{0679942C-AEE1-614E-9E73-065AD2276A0C}" xr6:coauthVersionLast="47" xr6:coauthVersionMax="47" xr10:uidLastSave="{2D4A3399-E2CD-4D6A-A7EB-70ABE6C84FA2}"/>
  <bookViews>
    <workbookView xWindow="1935" yWindow="1995" windowWidth="13380" windowHeight="6000" activeTab="4" xr2:uid="{00000000-000D-0000-FFFF-FFFF00000000}"/>
  </bookViews>
  <sheets>
    <sheet name="IBD-UC Serum BileAcids LC-QqQ_c" sheetId="1" r:id="rId1"/>
    <sheet name="edited" sheetId="2" r:id="rId2"/>
    <sheet name="Final_metadata" sheetId="3" r:id="rId3"/>
    <sheet name="Trimmed metadata" sheetId="5" r:id="rId4"/>
    <sheet name="Inception cohort" sheetId="4" r:id="rId5"/>
    <sheet name="5ASA" sheetId="6" r:id="rId6"/>
    <sheet name="Thiopurine" sheetId="7" r:id="rId7"/>
  </sheets>
  <definedNames>
    <definedName name="_xlnm._FilterDatabase" localSheetId="5" hidden="1">'5ASA'!$J$1:$J$71</definedName>
    <definedName name="_xlnm._FilterDatabase" localSheetId="4" hidden="1">'Inception cohort'!$A$1:$AU$102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75" i="7" l="1"/>
  <c r="U76" i="7"/>
  <c r="S72" i="6"/>
  <c r="I72" i="6"/>
  <c r="AH279" i="5"/>
  <c r="AI279" i="5"/>
  <c r="AJ279" i="5"/>
  <c r="AD279" i="5"/>
  <c r="AE279" i="5"/>
  <c r="AF279" i="5"/>
  <c r="AG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N279" i="5"/>
  <c r="U56" i="7"/>
  <c r="U57" i="7"/>
  <c r="U58" i="7"/>
  <c r="U59" i="7"/>
  <c r="U60" i="7"/>
  <c r="U61" i="7"/>
  <c r="U62" i="7"/>
  <c r="K56" i="7"/>
  <c r="U48" i="7"/>
  <c r="U49" i="7"/>
  <c r="U50" i="7"/>
  <c r="U51" i="7"/>
  <c r="U52" i="7"/>
  <c r="U53" i="7"/>
  <c r="U54" i="7"/>
  <c r="U55" i="7"/>
  <c r="U63" i="7"/>
  <c r="U64" i="7"/>
  <c r="U65" i="7"/>
  <c r="U66" i="7"/>
  <c r="U67" i="7"/>
  <c r="U68" i="7"/>
  <c r="U69" i="7"/>
  <c r="U70" i="7"/>
  <c r="U71" i="7"/>
  <c r="U72" i="7"/>
  <c r="U73" i="7"/>
  <c r="U74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2" i="7"/>
  <c r="S2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R36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2" i="4"/>
  <c r="K55" i="7" l="1"/>
  <c r="K63" i="7"/>
  <c r="K57" i="7"/>
  <c r="K54" i="7"/>
  <c r="K52" i="7"/>
  <c r="K51" i="7"/>
  <c r="K62" i="7"/>
  <c r="K49" i="7"/>
  <c r="K47" i="7"/>
  <c r="K43" i="7"/>
  <c r="K40" i="7"/>
  <c r="K39" i="7"/>
  <c r="K75" i="7"/>
  <c r="K76" i="7"/>
  <c r="K67" i="7"/>
  <c r="K66" i="7"/>
  <c r="K10" i="7"/>
  <c r="K24" i="7"/>
  <c r="K46" i="7"/>
  <c r="K74" i="7"/>
  <c r="K73" i="7"/>
  <c r="K72" i="7"/>
  <c r="K70" i="7"/>
  <c r="K37" i="7"/>
  <c r="K68" i="7"/>
  <c r="K34" i="7"/>
  <c r="K27" i="7"/>
  <c r="K25" i="7"/>
  <c r="K22" i="7"/>
  <c r="K20" i="7"/>
  <c r="K14" i="7"/>
  <c r="K65" i="7"/>
  <c r="K31" i="7"/>
  <c r="K36" i="7"/>
  <c r="K18" i="7"/>
  <c r="K16" i="7"/>
  <c r="K13" i="7"/>
  <c r="K11" i="7"/>
  <c r="K71" i="7"/>
  <c r="K28" i="7"/>
  <c r="K21" i="7"/>
  <c r="K19" i="7"/>
  <c r="K6" i="7"/>
  <c r="K38" i="7"/>
  <c r="K35" i="7"/>
  <c r="K33" i="7"/>
  <c r="K30" i="7"/>
  <c r="K8" i="7"/>
  <c r="K64" i="7"/>
  <c r="K61" i="7"/>
  <c r="K60" i="7"/>
  <c r="K59" i="7"/>
  <c r="K58" i="7"/>
  <c r="K9" i="7"/>
  <c r="K23" i="7"/>
  <c r="K15" i="7"/>
  <c r="K4" i="7"/>
  <c r="K2" i="7"/>
  <c r="I61" i="6"/>
  <c r="I54" i="6"/>
  <c r="I46" i="6"/>
  <c r="I35" i="6"/>
  <c r="I66" i="6"/>
  <c r="I65" i="6"/>
  <c r="I64" i="6"/>
  <c r="I58" i="6"/>
  <c r="I14" i="6"/>
  <c r="I69" i="6"/>
  <c r="I38" i="6"/>
  <c r="I57" i="6"/>
  <c r="I55" i="6"/>
  <c r="I53" i="6"/>
  <c r="I51" i="6"/>
  <c r="I50" i="6"/>
  <c r="I37" i="6"/>
  <c r="I48" i="6"/>
  <c r="I36" i="6"/>
  <c r="I42" i="6"/>
  <c r="I40" i="6"/>
  <c r="I34" i="6"/>
  <c r="I29" i="6"/>
  <c r="I24" i="6"/>
  <c r="I33" i="6"/>
  <c r="I32" i="6"/>
  <c r="I67" i="6"/>
  <c r="I52" i="6"/>
  <c r="I16" i="6"/>
  <c r="I45" i="6"/>
  <c r="I30" i="6"/>
  <c r="I8" i="6"/>
  <c r="I70" i="6"/>
  <c r="I68" i="6"/>
  <c r="I60" i="6"/>
  <c r="I49" i="6"/>
  <c r="I43" i="6"/>
  <c r="I39" i="6"/>
  <c r="I15" i="6"/>
  <c r="I28" i="6"/>
  <c r="I13" i="6"/>
  <c r="I12" i="6"/>
  <c r="I10" i="6"/>
  <c r="I23" i="6"/>
  <c r="I20" i="6"/>
  <c r="I9" i="6"/>
  <c r="I19" i="6"/>
  <c r="I18" i="6"/>
  <c r="I71" i="6"/>
  <c r="I7" i="6"/>
  <c r="I6" i="6"/>
  <c r="I5" i="6"/>
  <c r="I62" i="6"/>
  <c r="I4" i="6"/>
  <c r="I63" i="6"/>
  <c r="I59" i="6"/>
  <c r="I56" i="6"/>
  <c r="I47" i="6"/>
  <c r="I41" i="6"/>
  <c r="I44" i="6"/>
  <c r="I27" i="6"/>
  <c r="I26" i="6"/>
  <c r="I25" i="6"/>
  <c r="I3" i="6"/>
  <c r="I2" i="6"/>
  <c r="C254" i="5" l="1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S265" i="3"/>
  <c r="R268" i="3"/>
  <c r="S268" i="3"/>
  <c r="T268" i="3"/>
  <c r="U268" i="3"/>
  <c r="V268" i="3"/>
  <c r="W268" i="3"/>
  <c r="X268" i="3"/>
  <c r="Y268" i="3"/>
  <c r="Z268" i="3"/>
  <c r="AA268" i="3"/>
  <c r="AB268" i="3"/>
  <c r="AC268" i="3"/>
  <c r="AD268" i="3"/>
  <c r="AE268" i="3"/>
  <c r="AF268" i="3"/>
  <c r="AG268" i="3"/>
  <c r="AH268" i="3"/>
  <c r="AI268" i="3"/>
  <c r="AJ268" i="3"/>
  <c r="AK268" i="3"/>
  <c r="AL268" i="3"/>
  <c r="AM268" i="3"/>
  <c r="AN268" i="3"/>
  <c r="AO268" i="3"/>
  <c r="AP268" i="3"/>
  <c r="Q268" i="3"/>
  <c r="Q265" i="3"/>
  <c r="R265" i="3"/>
  <c r="T265" i="3"/>
  <c r="U265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AJ265" i="3"/>
  <c r="AK265" i="3"/>
  <c r="AL265" i="3"/>
  <c r="AM265" i="3"/>
  <c r="AN265" i="3"/>
  <c r="AO265" i="3"/>
  <c r="AP265" i="3"/>
  <c r="P265" i="3"/>
  <c r="AG264" i="3"/>
  <c r="AH264" i="3"/>
  <c r="AI264" i="3"/>
  <c r="AJ264" i="3"/>
  <c r="AK264" i="3"/>
  <c r="AL264" i="3"/>
  <c r="AM264" i="3"/>
  <c r="AN264" i="3"/>
  <c r="AO264" i="3"/>
  <c r="AP264" i="3"/>
  <c r="W264" i="3"/>
  <c r="X264" i="3"/>
  <c r="Y264" i="3"/>
  <c r="Z264" i="3"/>
  <c r="AA264" i="3"/>
  <c r="AB264" i="3"/>
  <c r="AC264" i="3"/>
  <c r="AD264" i="3"/>
  <c r="AE264" i="3"/>
  <c r="AF264" i="3"/>
  <c r="S264" i="3"/>
  <c r="T264" i="3"/>
  <c r="U264" i="3"/>
  <c r="V264" i="3"/>
  <c r="O265" i="3"/>
  <c r="R264" i="3"/>
  <c r="Q264" i="3"/>
  <c r="P268" i="3"/>
  <c r="P264" i="3"/>
  <c r="O268" i="3"/>
  <c r="O264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C0E73EB3-A33D-E944-BB02-2C93DD22B0C0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9CCF0AE4-8F5F-AB40-9F9D-DD51F1486736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5A6F4184-5D3A-9B49-95B7-997FC860A1AC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<sst xmlns="http://schemas.openxmlformats.org/spreadsheetml/2006/main" count="29250" uniqueCount="1158">
  <si>
    <t>Sample File Name</t>
  </si>
  <si>
    <t>Sample Name</t>
  </si>
  <si>
    <t>Metadata Available</t>
  </si>
  <si>
    <t>Acquired Time</t>
  </si>
  <si>
    <t>Run Order</t>
  </si>
  <si>
    <t>Batch</t>
  </si>
  <si>
    <t>Correction Batch</t>
  </si>
  <si>
    <t>Exclusion Details</t>
  </si>
  <si>
    <t>Sample ID</t>
  </si>
  <si>
    <t>TargetLynx Sample Type</t>
  </si>
  <si>
    <t>SampleType</t>
  </si>
  <si>
    <t>Dilution</t>
  </si>
  <si>
    <t>Feature Name</t>
  </si>
  <si>
    <t>Ursocholanic Acid</t>
  </si>
  <si>
    <t>Lithocholenic Acid</t>
  </si>
  <si>
    <t>5-Cholenic Acid-3-beta-ol</t>
  </si>
  <si>
    <t>3-Ketocholanic Acid</t>
  </si>
  <si>
    <t>Lithocholic Acid</t>
  </si>
  <si>
    <t>Isolithocholic Acid</t>
  </si>
  <si>
    <t>Isoallolithocholic Acid</t>
  </si>
  <si>
    <t>3-alpha,12-alpha, 23-Nordeoxycholic Acid</t>
  </si>
  <si>
    <t>9(11), (5-beta)-Cholenic Acid-3-alpha-ol-12-one</t>
  </si>
  <si>
    <t>5-alpha-Cholanic Acid-3, 6-dione</t>
  </si>
  <si>
    <t>3,6-Diketocholanic Acid | 3,7-Diketocholanic Acid | 3,12-Diketocholanic Acid</t>
  </si>
  <si>
    <t>8(14),(5-beta)-Cholenic Acid-3-alpha,12-alpha-diol</t>
  </si>
  <si>
    <t>5-beta-Cholenic Acid-7-alpha-ol-3-one</t>
  </si>
  <si>
    <t>5-alpha-Cholanic Acid-3-alpha-ol-6-one</t>
  </si>
  <si>
    <t>3-alpha-Hydroxy-7 Ketolithocholic Acid</t>
  </si>
  <si>
    <t>3-alpha-Hydroxy-12 Ketolithocholic Acid</t>
  </si>
  <si>
    <t>Murocholic Acid</t>
  </si>
  <si>
    <t>Isodeoxycholic Acid</t>
  </si>
  <si>
    <t>5-beta-Cholanic Acid-3-beta, 12-alpha-diol</t>
  </si>
  <si>
    <t>Deoxycholic Acid</t>
  </si>
  <si>
    <t>Chenodeoxycholic Acid</t>
  </si>
  <si>
    <t>Hyodeoxycholic Acid</t>
  </si>
  <si>
    <t>3,7,12-Dehydrocholic Acid</t>
  </si>
  <si>
    <t>3-alpha-Hydroxy-7,12-Diketocholanic Acid</t>
  </si>
  <si>
    <t>3-alpha-Hydroxy-6,7-Diketocholanic Acid</t>
  </si>
  <si>
    <t>5-beta-Cholanic Acid-3-alpha, 6-alpha-diol-7-one</t>
  </si>
  <si>
    <t>3-Dehydrocholic Acid</t>
  </si>
  <si>
    <t>12-Dehydrocholic Acid</t>
  </si>
  <si>
    <t>Ursodeoxycholic Acid</t>
  </si>
  <si>
    <t>omega-Muricholic Acid</t>
  </si>
  <si>
    <t>beta-Muricholic Acid</t>
  </si>
  <si>
    <t>Cholic Acid</t>
  </si>
  <si>
    <t>Hyocholic Acid</t>
  </si>
  <si>
    <t>alpha-Muricholic Acid</t>
  </si>
  <si>
    <t>Glycoursocholanic Acid</t>
  </si>
  <si>
    <t>Glycolithocholic Acid</t>
  </si>
  <si>
    <t>Glycohyodeoxycholic Acid</t>
  </si>
  <si>
    <t>Glycochenodeoxycholic Acid</t>
  </si>
  <si>
    <t>Glycodeoxycholic Acid</t>
  </si>
  <si>
    <t>Glycoursodeoxycholic Acid</t>
  </si>
  <si>
    <t>3,7,12-Glycodehydrocholic Acid</t>
  </si>
  <si>
    <t>Glycocholic Acid</t>
  </si>
  <si>
    <t>Tauroursocholanic Acid</t>
  </si>
  <si>
    <t>Taurolithocholic Acid</t>
  </si>
  <si>
    <t>Glycohyocholic Acid</t>
  </si>
  <si>
    <t>Tauroursodeoxycholic Acid</t>
  </si>
  <si>
    <t>Taurohyodeoxycholic Acid</t>
  </si>
  <si>
    <t>Taurochenodeoxycholic Acid</t>
  </si>
  <si>
    <t>Taurodeoxycholic Acid</t>
  </si>
  <si>
    <t>3,7,12-Taurodehydrocholic Acid</t>
  </si>
  <si>
    <t>Taurohyocholic Acid</t>
  </si>
  <si>
    <t>Tauro-beta-Muricholic Acid | Tauro-alpha-Muricholic Acid | Tauro-omega-Muricholic Acid</t>
  </si>
  <si>
    <t>Taurocholic Acid</t>
  </si>
  <si>
    <t>Taurolithocholic Acid 3-Sulfate</t>
  </si>
  <si>
    <t>Lithocholic Acid 3-Sulfate</t>
  </si>
  <si>
    <t>Cholic Acid 7-Sulfate</t>
  </si>
  <si>
    <t>Cholic Acid 3-Sulfate</t>
  </si>
  <si>
    <t>Deoxycholic Acid 3-Sulfate</t>
  </si>
  <si>
    <t>Chenodeoxycholic Acid 3-Sulfate</t>
  </si>
  <si>
    <t>Ursodeoxycholic Acid 3-Sulfate</t>
  </si>
  <si>
    <t>Glycochenodeoxycholic Acid 3-Sulfate</t>
  </si>
  <si>
    <t>Taurochenodeoxycholic Acid 3-Sulfate</t>
  </si>
  <si>
    <t>Glycocholic Acid 3-Sulfate</t>
  </si>
  <si>
    <t>Glycolithocholic Acid 3-Sulfate</t>
  </si>
  <si>
    <t>Taurodeoxycholic Acid 3-Sulfate</t>
  </si>
  <si>
    <t>Tauroursodeoxycholic Acid 3-Sulfate</t>
  </si>
  <si>
    <t>Glycoursodeoxycholic Acid 3-Sulfate</t>
  </si>
  <si>
    <t>Glycodeoxycholic Acid 3-Sulfate</t>
  </si>
  <si>
    <t>Taurocholic Acid-3-Sulfate</t>
  </si>
  <si>
    <t>calibrationMethod</t>
  </si>
  <si>
    <t>Backcalculated with Internal Standard</t>
  </si>
  <si>
    <t>quantificationType</t>
  </si>
  <si>
    <t>Quantified and validated with alternative labeled analogue</t>
  </si>
  <si>
    <t>Quantified and validated with own labeled analogue</t>
  </si>
  <si>
    <t>Unit</t>
  </si>
  <si>
    <t>nM</t>
  </si>
  <si>
    <t>LLOQ</t>
  </si>
  <si>
    <t>ULOQ</t>
  </si>
  <si>
    <t>IBD_UC_Serum_TQ05_BileAcids_Plate_2B_021</t>
  </si>
  <si>
    <t>2021-10-10T20:45:55</t>
  </si>
  <si>
    <t>B026</t>
  </si>
  <si>
    <t>Analyte</t>
  </si>
  <si>
    <t>Study Sample</t>
  </si>
  <si>
    <t>&lt;LLOQ</t>
  </si>
  <si>
    <t>IBD_UC_Serum_TQ05_BileAcids_Plate_2B_022</t>
  </si>
  <si>
    <t>2021-10-10T21:01:33</t>
  </si>
  <si>
    <t>B031</t>
  </si>
  <si>
    <t>IBD_UC_Serum_TQ05_BileAcids_Plate_2B_023</t>
  </si>
  <si>
    <t>2021-10-10T21:17:02</t>
  </si>
  <si>
    <t>B028</t>
  </si>
  <si>
    <t>IBD_UC_Serum_TQ05_BileAcids_Plate_2B_024</t>
  </si>
  <si>
    <t>2021-10-10T21:32:31</t>
  </si>
  <si>
    <t>B030</t>
  </si>
  <si>
    <t>IBD_UC_Serum_TQ05_BileAcids_Plate_2B_025</t>
  </si>
  <si>
    <t>2021-10-10T21:48:00</t>
  </si>
  <si>
    <t>B014</t>
  </si>
  <si>
    <t>IBD_UC_Serum_TQ05_BileAcids_Plate_2B_026</t>
  </si>
  <si>
    <t>2021-10-10T22:03:30</t>
  </si>
  <si>
    <t>B078</t>
  </si>
  <si>
    <t>IBD_UC_Serum_TQ05_BileAcids_Plate_2B_027</t>
  </si>
  <si>
    <t>2021-10-10T22:18:59</t>
  </si>
  <si>
    <t>B102</t>
  </si>
  <si>
    <t>IBD_UC_Serum_TQ05_BileAcids_Plate_2B_028</t>
  </si>
  <si>
    <t>2021-10-10T22:34:29</t>
  </si>
  <si>
    <t>B072</t>
  </si>
  <si>
    <t>IBD_UC_Serum_TQ05_BileAcids_Plate_2B_029</t>
  </si>
  <si>
    <t>2021-10-10T22:49:58</t>
  </si>
  <si>
    <t>B125</t>
  </si>
  <si>
    <t>IBD_UC_Serum_TQ05_BileAcids_Plate_2B_030</t>
  </si>
  <si>
    <t>2021-10-10T23:05:27</t>
  </si>
  <si>
    <t>B109</t>
  </si>
  <si>
    <t>IBD_UC_Serum_TQ05_BileAcids_Plate_2B_033</t>
  </si>
  <si>
    <t>2021-10-10T23:51:55</t>
  </si>
  <si>
    <t>B143</t>
  </si>
  <si>
    <t>IBD_UC_Serum_TQ05_BileAcids_Plate_2B_034</t>
  </si>
  <si>
    <t>2021-10-11T00:07:24</t>
  </si>
  <si>
    <t>B240</t>
  </si>
  <si>
    <t>IBD_UC_Serum_TQ05_BileAcids_Plate_2B_035</t>
  </si>
  <si>
    <t>2021-10-11T00:22:53</t>
  </si>
  <si>
    <t>B004</t>
  </si>
  <si>
    <t>&gt;ULOQ</t>
  </si>
  <si>
    <t>IBD_UC_Serum_TQ05_BileAcids_Plate_2B_036</t>
  </si>
  <si>
    <t>2021-10-11T00:38:23</t>
  </si>
  <si>
    <t>B002</t>
  </si>
  <si>
    <t>IBD_UC_Serum_TQ05_BileAcids_Plate_2B_037</t>
  </si>
  <si>
    <t>2021-10-11T00:54:00</t>
  </si>
  <si>
    <t>B133</t>
  </si>
  <si>
    <t>IBD_UC_Serum_TQ05_BileAcids_Plate_2B_038</t>
  </si>
  <si>
    <t>2021-10-11T01:09:29</t>
  </si>
  <si>
    <t>B123</t>
  </si>
  <si>
    <t>IBD_UC_Serum_TQ05_BileAcids_Plate_2B_039</t>
  </si>
  <si>
    <t>2021-10-11T01:24:59</t>
  </si>
  <si>
    <t>B152</t>
  </si>
  <si>
    <t>IBD_UC_Serum_TQ05_BileAcids_Plate_2B_040</t>
  </si>
  <si>
    <t>2021-10-11T01:40:28</t>
  </si>
  <si>
    <t>B066</t>
  </si>
  <si>
    <t>IBD_UC_Serum_TQ05_BileAcids_Plate_2B_041</t>
  </si>
  <si>
    <t>2021-10-11T01:55:57</t>
  </si>
  <si>
    <t>B010</t>
  </si>
  <si>
    <t>IBD_UC_Serum_TQ05_BileAcids_Plate_2B_042</t>
  </si>
  <si>
    <t>2021-10-11T02:11:27</t>
  </si>
  <si>
    <t>B238</t>
  </si>
  <si>
    <t>IBD_UC_Serum_TQ05_BileAcids_Plate_2B_045</t>
  </si>
  <si>
    <t>2021-10-11T02:57:54</t>
  </si>
  <si>
    <t>B252</t>
  </si>
  <si>
    <t>IBD_UC_Serum_TQ05_BileAcids_Plate_2B_046</t>
  </si>
  <si>
    <t>2021-10-11T03:13:24</t>
  </si>
  <si>
    <t>B013</t>
  </si>
  <si>
    <t>IBD_UC_Serum_TQ05_BileAcids_Plate_2B_047</t>
  </si>
  <si>
    <t>2021-10-11T03:28:53</t>
  </si>
  <si>
    <t>B035</t>
  </si>
  <si>
    <t>IBD_UC_Serum_TQ05_BileAcids_Plate_2B_048</t>
  </si>
  <si>
    <t>2021-10-11T03:44:22</t>
  </si>
  <si>
    <t>B018</t>
  </si>
  <si>
    <t>IBD_UC_Serum_TQ05_BileAcids_Plate_2B_049</t>
  </si>
  <si>
    <t>2021-10-11T03:59:52</t>
  </si>
  <si>
    <t>B048</t>
  </si>
  <si>
    <t>IBD_UC_Serum_TQ05_BileAcids_Plate_2B_050</t>
  </si>
  <si>
    <t>2021-10-11T04:15:21</t>
  </si>
  <si>
    <t>B074</t>
  </si>
  <si>
    <t>IBD_UC_Serum_TQ05_BileAcids_Plate_2B_051</t>
  </si>
  <si>
    <t>2021-10-11T04:30:51</t>
  </si>
  <si>
    <t>B045</t>
  </si>
  <si>
    <t>IBD_UC_Serum_TQ05_BileAcids_Plate_2B_052</t>
  </si>
  <si>
    <t>2021-10-11T04:46:28</t>
  </si>
  <si>
    <t>B005</t>
  </si>
  <si>
    <t>IBD_UC_Serum_TQ05_BileAcids_Plate_2B_053</t>
  </si>
  <si>
    <t>2021-10-11T05:01:57</t>
  </si>
  <si>
    <t>B093</t>
  </si>
  <si>
    <t>IBD_UC_Serum_TQ05_BileAcids_Plate_2B_054</t>
  </si>
  <si>
    <t>2021-10-11T05:17:27</t>
  </si>
  <si>
    <t>B103</t>
  </si>
  <si>
    <t>IBD_UC_Serum_TQ05_BileAcids_Plate_2B_057</t>
  </si>
  <si>
    <t>2021-10-11T06:03:54</t>
  </si>
  <si>
    <t>B021</t>
  </si>
  <si>
    <t>IBD_UC_Serum_TQ05_BileAcids_Plate_2B_058</t>
  </si>
  <si>
    <t>2021-10-11T06:19:24</t>
  </si>
  <si>
    <t>B236</t>
  </si>
  <si>
    <t>IBD_UC_Serum_TQ05_BileAcids_Plate_2B_059</t>
  </si>
  <si>
    <t>2021-10-11T06:34:53</t>
  </si>
  <si>
    <t>B151</t>
  </si>
  <si>
    <t>IBD_UC_Serum_TQ05_BileAcids_Plate_2B_060</t>
  </si>
  <si>
    <t>2021-10-11T06:50:22</t>
  </si>
  <si>
    <t>B186</t>
  </si>
  <si>
    <t>IBD_UC_Serum_TQ05_BileAcids_Plate_2B_061</t>
  </si>
  <si>
    <t>2021-10-11T07:05:52</t>
  </si>
  <si>
    <t>B171</t>
  </si>
  <si>
    <t>IBD_UC_Serum_TQ05_BileAcids_Plate_2B_062</t>
  </si>
  <si>
    <t>2021-10-11T07:21:21</t>
  </si>
  <si>
    <t>B223</t>
  </si>
  <si>
    <t>IBD_UC_Serum_TQ05_BileAcids_Plate_2B_063</t>
  </si>
  <si>
    <t>2021-10-11T07:36:50</t>
  </si>
  <si>
    <t>B192</t>
  </si>
  <si>
    <t>IBD_UC_Serum_TQ05_BileAcids_Plate_2B_064</t>
  </si>
  <si>
    <t>2021-10-11T07:52:19</t>
  </si>
  <si>
    <t>B173</t>
  </si>
  <si>
    <t>IBD_UC_Serum_TQ05_BileAcids_Plate_2B_065</t>
  </si>
  <si>
    <t>2021-10-11T08:07:49</t>
  </si>
  <si>
    <t>B168</t>
  </si>
  <si>
    <t>IBD_UC_Serum_TQ05_BileAcids_Plate_2B_066</t>
  </si>
  <si>
    <t>2021-10-11T08:23:18</t>
  </si>
  <si>
    <t>B166</t>
  </si>
  <si>
    <t>IBD_UC_Serum_TQ05_BileAcids_Plate_1B_021</t>
  </si>
  <si>
    <t>2021-10-08T23:49:56</t>
  </si>
  <si>
    <t>B071</t>
  </si>
  <si>
    <t>IBD_UC_Serum_TQ05_BileAcids_Plate_1B_022</t>
  </si>
  <si>
    <t>2021-10-09T00:05:26</t>
  </si>
  <si>
    <t>B042</t>
  </si>
  <si>
    <t>IBD_UC_Serum_TQ05_BileAcids_Plate_1B_023</t>
  </si>
  <si>
    <t>2021-10-09T00:20:55</t>
  </si>
  <si>
    <t>B051</t>
  </si>
  <si>
    <t>IBD_UC_Serum_TQ05_BileAcids_Plate_1B_024</t>
  </si>
  <si>
    <t>2021-10-09T00:36:24</t>
  </si>
  <si>
    <t>B249</t>
  </si>
  <si>
    <t>IBD_UC_Serum_TQ05_BileAcids_Plate_1B_025</t>
  </si>
  <si>
    <t>2021-10-09T00:51:54</t>
  </si>
  <si>
    <t>B121</t>
  </si>
  <si>
    <t>IBD_UC_Serum_TQ05_BileAcids_Plate_1B_026</t>
  </si>
  <si>
    <t>2021-10-09T01:07:32</t>
  </si>
  <si>
    <t>B178</t>
  </si>
  <si>
    <t>IBD_UC_Serum_TQ05_BileAcids_Plate_1B_027</t>
  </si>
  <si>
    <t>2021-10-09T01:23:01</t>
  </si>
  <si>
    <t>B087</t>
  </si>
  <si>
    <t>IBD_UC_Serum_TQ05_BileAcids_Plate_1B_028</t>
  </si>
  <si>
    <t>2021-10-09T01:38:30</t>
  </si>
  <si>
    <t>B062</t>
  </si>
  <si>
    <t>IBD_UC_Serum_TQ05_BileAcids_Plate_1B_029</t>
  </si>
  <si>
    <t>2021-10-09T01:54:00</t>
  </si>
  <si>
    <t>B065</t>
  </si>
  <si>
    <t>IBD_UC_Serum_TQ05_BileAcids_Plate_1B_030</t>
  </si>
  <si>
    <t>2021-10-09T02:09:29</t>
  </si>
  <si>
    <t>B170</t>
  </si>
  <si>
    <t>IBD_UC_Serum_TQ05_BileAcids_Plate_1B_033</t>
  </si>
  <si>
    <t>2021-10-09T02:55:57</t>
  </si>
  <si>
    <t>B086</t>
  </si>
  <si>
    <t>IBD_UC_Serum_TQ05_BileAcids_Plate_1B_034</t>
  </si>
  <si>
    <t>2021-10-09T03:11:26</t>
  </si>
  <si>
    <t>B088</t>
  </si>
  <si>
    <t>IBD_UC_Serum_TQ05_BileAcids_Plate_1B_035</t>
  </si>
  <si>
    <t>2021-10-09T03:26:55</t>
  </si>
  <si>
    <t>B076</t>
  </si>
  <si>
    <t>IBD_UC_Serum_TQ05_BileAcids_Plate_1B_036</t>
  </si>
  <si>
    <t>2021-10-09T03:42:25</t>
  </si>
  <si>
    <t>B098</t>
  </si>
  <si>
    <t>IBD_UC_Serum_TQ05_BileAcids_Plate_1B_037</t>
  </si>
  <si>
    <t>2021-10-09T03:57:54</t>
  </si>
  <si>
    <t>B096</t>
  </si>
  <si>
    <t>IBD_UC_Serum_TQ05_BileAcids_Plate_1B_038</t>
  </si>
  <si>
    <t>2021-10-09T04:13:23</t>
  </si>
  <si>
    <t>B140</t>
  </si>
  <si>
    <t>IBD_UC_Serum_TQ05_BileAcids_Plate_1B_039</t>
  </si>
  <si>
    <t>2021-10-09T04:28:53</t>
  </si>
  <si>
    <t>B164</t>
  </si>
  <si>
    <t>IBD_UC_Serum_TQ05_BileAcids_Plate_1B_040</t>
  </si>
  <si>
    <t>2021-10-09T04:44:22</t>
  </si>
  <si>
    <t>B124</t>
  </si>
  <si>
    <t>IBD_UC_Serum_TQ05_BileAcids_Plate_1B_041</t>
  </si>
  <si>
    <t>2021-10-09T04:59:51</t>
  </si>
  <si>
    <t>B122</t>
  </si>
  <si>
    <t>IBD_UC_Serum_TQ05_BileAcids_Plate_1B_042</t>
  </si>
  <si>
    <t>2021-10-09T05:15:20</t>
  </si>
  <si>
    <t>B224</t>
  </si>
  <si>
    <t>IBD_UC_Serum_TQ05_BileAcids_Plate_1B_045</t>
  </si>
  <si>
    <t>2021-10-09T06:01:48</t>
  </si>
  <si>
    <t>B225</t>
  </si>
  <si>
    <t>IBD_UC_Serum_TQ05_BileAcids_Plate_1B_046</t>
  </si>
  <si>
    <t>2021-10-09T06:17:18</t>
  </si>
  <si>
    <t>B234</t>
  </si>
  <si>
    <t>IBD_UC_Serum_TQ05_BileAcids_Plate_1B_047</t>
  </si>
  <si>
    <t>2021-10-09T06:32:47</t>
  </si>
  <si>
    <t>B112</t>
  </si>
  <si>
    <t>IBD_UC_Serum_TQ05_BileAcids_Plate_1B_048</t>
  </si>
  <si>
    <t>2021-10-09T06:48:16</t>
  </si>
  <si>
    <t>B244</t>
  </si>
  <si>
    <t>IBD_UC_Serum_TQ05_BileAcids_Plate_1B_049</t>
  </si>
  <si>
    <t>2021-10-09T07:03:46</t>
  </si>
  <si>
    <t>B251</t>
  </si>
  <si>
    <t>IBD_UC_Serum_TQ05_BileAcids_Plate_1B_050</t>
  </si>
  <si>
    <t>2021-10-09T07:19:15</t>
  </si>
  <si>
    <t>B226</t>
  </si>
  <si>
    <t>IBD_UC_Serum_TQ05_BileAcids_Plate_1B_051</t>
  </si>
  <si>
    <t>2021-10-09T07:34:44</t>
  </si>
  <si>
    <t>B177</t>
  </si>
  <si>
    <t>IBD_UC_Serum_TQ05_BileAcids_Plate_1B_052</t>
  </si>
  <si>
    <t>2021-10-09T07:50:13</t>
  </si>
  <si>
    <t>B182</t>
  </si>
  <si>
    <t>IBD_UC_Serum_TQ05_BileAcids_Plate_1B_053</t>
  </si>
  <si>
    <t>2021-10-09T08:05:43</t>
  </si>
  <si>
    <t>B169</t>
  </si>
  <si>
    <t>IBD_UC_Serum_TQ05_BileAcids_Plate_1B_054</t>
  </si>
  <si>
    <t>2021-10-09T08:21:12</t>
  </si>
  <si>
    <t>B180</t>
  </si>
  <si>
    <t>IBD_UC_Serum_TQ05_BileAcids_Plate_1B_057</t>
  </si>
  <si>
    <t>2021-10-09T09:07:40</t>
  </si>
  <si>
    <t>B190</t>
  </si>
  <si>
    <t>IBD_UC_Serum_TQ05_BileAcids_Plate_1B_058</t>
  </si>
  <si>
    <t>2021-10-09T09:23:10</t>
  </si>
  <si>
    <t>B175</t>
  </si>
  <si>
    <t>IBD_UC_Serum_TQ05_BileAcids_Plate_1B_059</t>
  </si>
  <si>
    <t>2021-10-09T09:38:39</t>
  </si>
  <si>
    <t>B085</t>
  </si>
  <si>
    <t>IBD_UC_Serum_TQ05_BileAcids_Plate_1B_060</t>
  </si>
  <si>
    <t>2021-10-09T09:54:09</t>
  </si>
  <si>
    <t>B061</t>
  </si>
  <si>
    <t>IBD_UC_Serum_TQ05_BileAcids_Plate_1B_061</t>
  </si>
  <si>
    <t>2021-10-09T10:09:38</t>
  </si>
  <si>
    <t>B038</t>
  </si>
  <si>
    <t>IBD_UC_Serum_TQ05_BileAcids_Plate_1B_062</t>
  </si>
  <si>
    <t>2021-10-09T10:25:07</t>
  </si>
  <si>
    <t>B016</t>
  </si>
  <si>
    <t>IBD_UC_Serum_TQ05_BileAcids_Plate_1B_063</t>
  </si>
  <si>
    <t>2021-10-09T10:40:36</t>
  </si>
  <si>
    <t>B040</t>
  </si>
  <si>
    <t>IBD_UC_Serum_TQ05_BileAcids_Plate_1B_064</t>
  </si>
  <si>
    <t>2021-10-09T10:56:06</t>
  </si>
  <si>
    <t>B073</t>
  </si>
  <si>
    <t>IBD_UC_Serum_TQ05_BileAcids_Plate_1B_065</t>
  </si>
  <si>
    <t>2021-10-09T11:11:35</t>
  </si>
  <si>
    <t>B044</t>
  </si>
  <si>
    <t>IBD_UC_Serum_TQ05_BileAcids_Plate_1B_066</t>
  </si>
  <si>
    <t>2021-10-09T11:27:04</t>
  </si>
  <si>
    <t>B107</t>
  </si>
  <si>
    <t>IBD_UC_Serum_TQ05_BileAcids_Plate_2A_021</t>
  </si>
  <si>
    <t>2021-10-09T22:17:44</t>
  </si>
  <si>
    <t>B034</t>
  </si>
  <si>
    <t>IBD_UC_Serum_TQ05_BileAcids_Plate_2A_022</t>
  </si>
  <si>
    <t>2021-10-09T22:33:13</t>
  </si>
  <si>
    <t>B217</t>
  </si>
  <si>
    <t>IBD_UC_Serum_TQ05_BileAcids_Plate_2A_023</t>
  </si>
  <si>
    <t>2021-10-09T22:48:43</t>
  </si>
  <si>
    <t>B218</t>
  </si>
  <si>
    <t>IBD_UC_Serum_TQ05_BileAcids_Plate_2A_024</t>
  </si>
  <si>
    <t>2021-10-09T23:04:12</t>
  </si>
  <si>
    <t>B222</t>
  </si>
  <si>
    <t>IBD_UC_Serum_TQ05_BileAcids_Plate_2A_025</t>
  </si>
  <si>
    <t>2021-10-09T23:19:41</t>
  </si>
  <si>
    <t>B068</t>
  </si>
  <si>
    <t>IBD_UC_Serum_TQ05_BileAcids_Plate_2A_026</t>
  </si>
  <si>
    <t>2021-10-09T23:35:11</t>
  </si>
  <si>
    <t>B216</t>
  </si>
  <si>
    <t>IBD_UC_Serum_TQ05_BileAcids_Plate_2A_027</t>
  </si>
  <si>
    <t>2021-10-09T23:50:40</t>
  </si>
  <si>
    <t>B219</t>
  </si>
  <si>
    <t>IBD_UC_Serum_TQ05_BileAcids_Plate_2A_028</t>
  </si>
  <si>
    <t>2021-10-10T00:06:09</t>
  </si>
  <si>
    <t>B082</t>
  </si>
  <si>
    <t>IBD_UC_Serum_TQ05_BileAcids_Plate_2A_029</t>
  </si>
  <si>
    <t>2021-10-10T00:21:38</t>
  </si>
  <si>
    <t>B111</t>
  </si>
  <si>
    <t>IBD_UC_Serum_TQ05_BileAcids_Plate_2A_030</t>
  </si>
  <si>
    <t>2021-10-10T00:37:08</t>
  </si>
  <si>
    <t>B120</t>
  </si>
  <si>
    <t>IBD_UC_Serum_TQ05_BileAcids_Plate_2A_033</t>
  </si>
  <si>
    <t>2021-10-10T01:23:36</t>
  </si>
  <si>
    <t>B128</t>
  </si>
  <si>
    <t>IBD_UC_Serum_TQ05_BileAcids_Plate_2A_034</t>
  </si>
  <si>
    <t>2021-10-10T01:39:05</t>
  </si>
  <si>
    <t>B116</t>
  </si>
  <si>
    <t>IBD_UC_Serum_TQ05_BileAcids_Plate_2A_035</t>
  </si>
  <si>
    <t>2021-10-10T01:54:34</t>
  </si>
  <si>
    <t>B118</t>
  </si>
  <si>
    <t>IBD_UC_Serum_TQ05_BileAcids_Plate_2A_036</t>
  </si>
  <si>
    <t>2021-10-10T02:10:04</t>
  </si>
  <si>
    <t>B243</t>
  </si>
  <si>
    <t>IBD_UC_Serum_TQ05_BileAcids_Plate_2A_037</t>
  </si>
  <si>
    <t>2021-10-10T02:25:33</t>
  </si>
  <si>
    <t>B153</t>
  </si>
  <si>
    <t>IBD_UC_Serum_TQ05_BileAcids_Plate_2A_038</t>
  </si>
  <si>
    <t>2021-10-10T02:41:02</t>
  </si>
  <si>
    <t>B017</t>
  </si>
  <si>
    <t>IBD_UC_Serum_TQ05_BileAcids_Plate_2A_039</t>
  </si>
  <si>
    <t>2021-10-10T02:56:32</t>
  </si>
  <si>
    <t>B167</t>
  </si>
  <si>
    <t>IBD_UC_Serum_TQ05_BileAcids_Plate_2A_040</t>
  </si>
  <si>
    <t>2021-10-10T03:12:01</t>
  </si>
  <si>
    <t>B172</t>
  </si>
  <si>
    <t>IBD_UC_Serum_TQ05_BileAcids_Plate_2A_041</t>
  </si>
  <si>
    <t>2021-10-10T03:27:30</t>
  </si>
  <si>
    <t>B229</t>
  </si>
  <si>
    <t>IBD_UC_Serum_TQ05_BileAcids_Plate_2A_042</t>
  </si>
  <si>
    <t>2021-10-10T03:43:00</t>
  </si>
  <si>
    <t>B174</t>
  </si>
  <si>
    <t>IBD_UC_Serum_TQ05_BileAcids_Plate_2A_045</t>
  </si>
  <si>
    <t>2021-10-10T04:29:28</t>
  </si>
  <si>
    <t>B097</t>
  </si>
  <si>
    <t>IBD_UC_Serum_TQ05_BileAcids_Plate_2A_046</t>
  </si>
  <si>
    <t>2021-10-10T04:44:57</t>
  </si>
  <si>
    <t>B176</t>
  </si>
  <si>
    <t>IBD_UC_Serum_TQ05_BileAcids_Plate_2A_047</t>
  </si>
  <si>
    <t>2021-10-10T05:00:26</t>
  </si>
  <si>
    <t>B183</t>
  </si>
  <si>
    <t>IBD_UC_Serum_TQ05_BileAcids_Plate_2A_048</t>
  </si>
  <si>
    <t>2021-10-10T05:15:56</t>
  </si>
  <si>
    <t>B020</t>
  </si>
  <si>
    <t>IBD_UC_Serum_TQ05_BileAcids_Plate_2A_049</t>
  </si>
  <si>
    <t>2021-10-10T05:31:25</t>
  </si>
  <si>
    <t>B067</t>
  </si>
  <si>
    <t>IBD_UC_Serum_TQ05_BileAcids_Plate_2A_050</t>
  </si>
  <si>
    <t>2021-10-10T05:46:54</t>
  </si>
  <si>
    <t>B008</t>
  </si>
  <si>
    <t>IBD_UC_Serum_TQ05_BileAcids_Plate_2A_051</t>
  </si>
  <si>
    <t>2021-10-10T06:02:24</t>
  </si>
  <si>
    <t>B039</t>
  </si>
  <si>
    <t>IBD_UC_Serum_TQ05_BileAcids_Plate_2A_052</t>
  </si>
  <si>
    <t>2021-10-10T06:17:53</t>
  </si>
  <si>
    <t>B081</t>
  </si>
  <si>
    <t>IBD_UC_Serum_TQ05_BileAcids_Plate_2A_053</t>
  </si>
  <si>
    <t>2021-10-10T06:33:22</t>
  </si>
  <si>
    <t>B024</t>
  </si>
  <si>
    <t>IBD_UC_Serum_TQ05_BileAcids_Plate_2A_054</t>
  </si>
  <si>
    <t>2021-10-10T06:48:51</t>
  </si>
  <si>
    <t>B053</t>
  </si>
  <si>
    <t>IBD_UC_Serum_TQ05_BileAcids_Plate_2A_057</t>
  </si>
  <si>
    <t>2021-10-10T07:35:20</t>
  </si>
  <si>
    <t>B001</t>
  </si>
  <si>
    <t>IBD_UC_Serum_TQ05_BileAcids_Plate_2A_058</t>
  </si>
  <si>
    <t>2021-10-10T07:50:49</t>
  </si>
  <si>
    <t>B155</t>
  </si>
  <si>
    <t>IBD_UC_Serum_TQ05_BileAcids_Plate_2A_059</t>
  </si>
  <si>
    <t>2021-10-10T08:06:19</t>
  </si>
  <si>
    <t>B161</t>
  </si>
  <si>
    <t>IBD_UC_Serum_TQ05_BileAcids_Plate_2A_060</t>
  </si>
  <si>
    <t>2021-10-10T08:21:48</t>
  </si>
  <si>
    <t>B135</t>
  </si>
  <si>
    <t>IBD_UC_Serum_TQ05_BileAcids_Plate_2A_061</t>
  </si>
  <si>
    <t>2021-10-10T08:37:17</t>
  </si>
  <si>
    <t>B126</t>
  </si>
  <si>
    <t>IBD_UC_Serum_TQ05_BileAcids_Plate_2A_062</t>
  </si>
  <si>
    <t>2021-10-10T08:52:46</t>
  </si>
  <si>
    <t>B131</t>
  </si>
  <si>
    <t>IBD_UC_Serum_TQ05_BileAcids_Plate_2A_063</t>
  </si>
  <si>
    <t>2021-10-10T09:08:16</t>
  </si>
  <si>
    <t>B050</t>
  </si>
  <si>
    <t>IBD_UC_Serum_TQ05_BileAcids_Plate_2A_064</t>
  </si>
  <si>
    <t>2021-10-10T09:23:45</t>
  </si>
  <si>
    <t>B003</t>
  </si>
  <si>
    <t>IBD_UC_Serum_TQ05_BileAcids_Plate_2A_065</t>
  </si>
  <si>
    <t>2021-10-10T09:39:14</t>
  </si>
  <si>
    <t>B019</t>
  </si>
  <si>
    <t>IBD_UC_Serum_TQ05_BileAcids_Plate_2A_066</t>
  </si>
  <si>
    <t>2021-10-10T09:54:44</t>
  </si>
  <si>
    <t>B055</t>
  </si>
  <si>
    <t>IBD_UC_Serum_TQ05_BileAcids_Plate_1A_021</t>
  </si>
  <si>
    <t>2021-10-08T01:22:17</t>
  </si>
  <si>
    <t>B148</t>
  </si>
  <si>
    <t>IBD_UC_Serum_TQ05_BileAcids_Plate_1A_022</t>
  </si>
  <si>
    <t>2021-10-08T01:37:46</t>
  </si>
  <si>
    <t>B165</t>
  </si>
  <si>
    <t>IBD_UC_Serum_TQ05_BileAcids_Plate_1A_023</t>
  </si>
  <si>
    <t>2021-10-08T01:53:15</t>
  </si>
  <si>
    <t>B049</t>
  </si>
  <si>
    <t>IBD_UC_Serum_TQ05_BileAcids_Plate_1A_024</t>
  </si>
  <si>
    <t>2021-10-08T02:08:45</t>
  </si>
  <si>
    <t>B069</t>
  </si>
  <si>
    <t>IBD_UC_Serum_TQ05_BileAcids_Plate_1A_025</t>
  </si>
  <si>
    <t>2021-10-08T02:24:14</t>
  </si>
  <si>
    <t>B095</t>
  </si>
  <si>
    <t>IBD_UC_Serum_TQ05_BileAcids_Plate_1A_026</t>
  </si>
  <si>
    <t>2021-10-08T02:39:43</t>
  </si>
  <si>
    <t>B146</t>
  </si>
  <si>
    <t>IBD_UC_Serum_TQ05_BileAcids_Plate_1A_027</t>
  </si>
  <si>
    <t>2021-10-08T02:55:13</t>
  </si>
  <si>
    <t>B198</t>
  </si>
  <si>
    <t>IBD_UC_Serum_TQ05_BileAcids_Plate_1A_028</t>
  </si>
  <si>
    <t>2021-10-08T03:10:42</t>
  </si>
  <si>
    <t>B181</t>
  </si>
  <si>
    <t>IBD_UC_Serum_TQ05_BileAcids_Plate_1A_029</t>
  </si>
  <si>
    <t>2021-10-08T03:26:12</t>
  </si>
  <si>
    <t>B184</t>
  </si>
  <si>
    <t>IBD_UC_Serum_TQ05_BileAcids_Plate_1A_030</t>
  </si>
  <si>
    <t>2021-10-08T03:41:41</t>
  </si>
  <si>
    <t>B179</t>
  </si>
  <si>
    <t>IBD_UC_Serum_TQ05_BileAcids_Plate_1A_033</t>
  </si>
  <si>
    <t>2021-10-08T04:28:09</t>
  </si>
  <si>
    <t>B187</t>
  </si>
  <si>
    <t>IBD_UC_Serum_TQ05_BileAcids_Plate_1A_034</t>
  </si>
  <si>
    <t>2021-10-08T04:43:38</t>
  </si>
  <si>
    <t>B162</t>
  </si>
  <si>
    <t>IBD_UC_Serum_TQ05_BileAcids_Plate_1A_035</t>
  </si>
  <si>
    <t>2021-10-08T04:59:07</t>
  </si>
  <si>
    <t>B106</t>
  </si>
  <si>
    <t>IBD_UC_Serum_TQ05_BileAcids_Plate_1A_036</t>
  </si>
  <si>
    <t>2021-10-08T05:14:37</t>
  </si>
  <si>
    <t>B033</t>
  </si>
  <si>
    <t>IBD_UC_Serum_TQ05_BileAcids_Plate_1A_037</t>
  </si>
  <si>
    <t>2021-10-08T05:30:06</t>
  </si>
  <si>
    <t>B022</t>
  </si>
  <si>
    <t>IBD_UC_Serum_TQ05_BileAcids_Plate_1A_038</t>
  </si>
  <si>
    <t>2021-10-08T05:45:35</t>
  </si>
  <si>
    <t>B047</t>
  </si>
  <si>
    <t>IBD_UC_Serum_TQ05_BileAcids_Plate_1A_039</t>
  </si>
  <si>
    <t>2021-10-08T06:01:05</t>
  </si>
  <si>
    <t>B119</t>
  </si>
  <si>
    <t>IBD_UC_Serum_TQ05_BileAcids_Plate_1A_040</t>
  </si>
  <si>
    <t>2021-10-08T06:16:34</t>
  </si>
  <si>
    <t>B108</t>
  </si>
  <si>
    <t>IBD_UC_Serum_TQ05_BileAcids_Plate_1A_041</t>
  </si>
  <si>
    <t>2021-10-08T06:32:04</t>
  </si>
  <si>
    <t>B114</t>
  </si>
  <si>
    <t>IBD_UC_Serum_TQ05_BileAcids_Plate_1A_042</t>
  </si>
  <si>
    <t>2021-10-08T06:47:33</t>
  </si>
  <si>
    <t>B032</t>
  </si>
  <si>
    <t>IBD_UC_Serum_TQ05_BileAcids_Plate_1A_045</t>
  </si>
  <si>
    <t>2021-10-08T07:34:01</t>
  </si>
  <si>
    <t>B041</t>
  </si>
  <si>
    <t>IBD_UC_Serum_TQ05_BileAcids_Plate_1A_046</t>
  </si>
  <si>
    <t>2021-10-08T07:49:30</t>
  </si>
  <si>
    <t>B138</t>
  </si>
  <si>
    <t>IBD_UC_Serum_TQ05_BileAcids_Plate_1A_047</t>
  </si>
  <si>
    <t>2021-10-08T08:05:00</t>
  </si>
  <si>
    <t>B163</t>
  </si>
  <si>
    <t>IBD_UC_Serum_TQ05_BileAcids_Plate_1A_048</t>
  </si>
  <si>
    <t>2021-10-08T08:20:29</t>
  </si>
  <si>
    <t>B129</t>
  </si>
  <si>
    <t>IBD_UC_Serum_TQ05_BileAcids_Plate_1A_049</t>
  </si>
  <si>
    <t>2021-10-08T08:35:58</t>
  </si>
  <si>
    <t>B237</t>
  </si>
  <si>
    <t>IBD_UC_Serum_TQ05_BileAcids_Plate_1A_050</t>
  </si>
  <si>
    <t>2021-10-08T08:51:28</t>
  </si>
  <si>
    <t>B139</t>
  </si>
  <si>
    <t>IBD_UC_Serum_TQ05_BileAcids_Plate_1A_051</t>
  </si>
  <si>
    <t>2021-10-08T09:06:58</t>
  </si>
  <si>
    <t>B239</t>
  </si>
  <si>
    <t>IBD_UC_Serum_TQ05_BileAcids_Plate_1A_052</t>
  </si>
  <si>
    <t>2021-10-08T09:22:27</t>
  </si>
  <si>
    <t>B199</t>
  </si>
  <si>
    <t>IBD_UC_Serum_TQ05_BileAcids_Plate_1A_053</t>
  </si>
  <si>
    <t>2021-10-08T09:37:56</t>
  </si>
  <si>
    <t>B203</t>
  </si>
  <si>
    <t>IBD_UC_Serum_TQ05_BileAcids_Plate_1A_054</t>
  </si>
  <si>
    <t>2021-10-08T09:53:25</t>
  </si>
  <si>
    <t>B196</t>
  </si>
  <si>
    <t>IBD_UC_Serum_TQ05_BileAcids_Plate_1A_057</t>
  </si>
  <si>
    <t>2021-10-08T10:39:53</t>
  </si>
  <si>
    <t>B206</t>
  </si>
  <si>
    <t>IBD_UC_Serum_TQ05_BileAcids_Plate_1A_058</t>
  </si>
  <si>
    <t>2021-10-08T10:55:22</t>
  </si>
  <si>
    <t>B195</t>
  </si>
  <si>
    <t>IBD_UC_Serum_TQ05_BileAcids_Plate_1A_059</t>
  </si>
  <si>
    <t>2021-10-08T11:10:52</t>
  </si>
  <si>
    <t>B233</t>
  </si>
  <si>
    <t>IBD_UC_Serum_TQ05_BileAcids_Plate_1A_060</t>
  </si>
  <si>
    <t>2021-10-08T11:26:21</t>
  </si>
  <si>
    <t>B220</t>
  </si>
  <si>
    <t>IBD_UC_Serum_TQ05_BileAcids_Plate_1A_061</t>
  </si>
  <si>
    <t>2021-10-08T11:41:50</t>
  </si>
  <si>
    <t>B043</t>
  </si>
  <si>
    <t>IBD_UC_Serum_TQ05_BileAcids_Plate_1A_062</t>
  </si>
  <si>
    <t>2021-10-08T11:57:20</t>
  </si>
  <si>
    <t>B036</t>
  </si>
  <si>
    <t>IBD_UC_Serum_TQ05_BileAcids_Plate_1A_063</t>
  </si>
  <si>
    <t>2021-10-08T12:12:50</t>
  </si>
  <si>
    <t>B105</t>
  </si>
  <si>
    <t>IBD_UC_Serum_TQ05_BileAcids_Plate_1A_064</t>
  </si>
  <si>
    <t>2021-10-08T12:28:18</t>
  </si>
  <si>
    <t>B075</t>
  </si>
  <si>
    <t>IBD_UC_Serum_TQ05_BileAcids_Plate_1A_065</t>
  </si>
  <si>
    <t>2021-10-08T12:43:48</t>
  </si>
  <si>
    <t>B156</t>
  </si>
  <si>
    <t>IBD_UC_Serum_TQ05_BileAcids_Plate_1A_066</t>
  </si>
  <si>
    <t>2021-10-08T12:59:17</t>
  </si>
  <si>
    <t>B235</t>
  </si>
  <si>
    <t>IBD_UC_Serum_TQ05_BileAcids_Plate_3A_021</t>
  </si>
  <si>
    <t>2021-10-11T23:23:08</t>
  </si>
  <si>
    <t>B257</t>
  </si>
  <si>
    <t>IBD_UC_Serum_TQ05_BileAcids_Plate_3A_022</t>
  </si>
  <si>
    <t>2021-10-11T23:38:37</t>
  </si>
  <si>
    <t>B011</t>
  </si>
  <si>
    <t>IBD_UC_Serum_TQ05_BileAcids_Plate_3A_023</t>
  </si>
  <si>
    <t>2021-10-11T23:54:07</t>
  </si>
  <si>
    <t>B091</t>
  </si>
  <si>
    <t>IBD_UC_Serum_TQ05_BileAcids_Plate_3A_024</t>
  </si>
  <si>
    <t>2021-10-12T00:09:36</t>
  </si>
  <si>
    <t>B089</t>
  </si>
  <si>
    <t>IBD_UC_Serum_TQ05_BileAcids_Plate_3A_025</t>
  </si>
  <si>
    <t>2021-10-12T00:25:05</t>
  </si>
  <si>
    <t>B101</t>
  </si>
  <si>
    <t>IBD_UC_Serum_TQ05_BileAcids_Plate_3A_026</t>
  </si>
  <si>
    <t>2021-10-12T00:40:34</t>
  </si>
  <si>
    <t>B079</t>
  </si>
  <si>
    <t>IBD_UC_Serum_TQ05_BileAcids_Plate_3A_027</t>
  </si>
  <si>
    <t>2021-10-12T00:56:04</t>
  </si>
  <si>
    <t>B058</t>
  </si>
  <si>
    <t>IBD_UC_Serum_TQ05_BileAcids_Plate_3A_028</t>
  </si>
  <si>
    <t>2021-10-12T01:11:33</t>
  </si>
  <si>
    <t>B213</t>
  </si>
  <si>
    <t>IBD_UC_Serum_TQ05_BileAcids_Plate_3A_029</t>
  </si>
  <si>
    <t>2021-10-12T01:27:02</t>
  </si>
  <si>
    <t>B208</t>
  </si>
  <si>
    <t>IBD_UC_Serum_TQ05_BileAcids_Plate_3A_030</t>
  </si>
  <si>
    <t>2021-10-12T01:42:31</t>
  </si>
  <si>
    <t>B209</t>
  </si>
  <si>
    <t>IBD_UC_Serum_TQ05_BileAcids_Plate_3A_033</t>
  </si>
  <si>
    <t>2021-10-12T02:28:59</t>
  </si>
  <si>
    <t>B211</t>
  </si>
  <si>
    <t>IBD_UC_Serum_TQ05_BileAcids_Plate_3A_034</t>
  </si>
  <si>
    <t>2021-10-12T02:44:29</t>
  </si>
  <si>
    <t>B215</t>
  </si>
  <si>
    <t>IBD_UC_Serum_TQ05_BileAcids_Plate_3A_035</t>
  </si>
  <si>
    <t>2021-10-12T02:59:58</t>
  </si>
  <si>
    <t>B221</t>
  </si>
  <si>
    <t>IBD_UC_Serum_TQ05_BileAcids_Plate_3A_036</t>
  </si>
  <si>
    <t>2021-10-12T03:15:27</t>
  </si>
  <si>
    <t>B057</t>
  </si>
  <si>
    <t>IBD_UC_Serum_TQ05_BileAcids_Plate_3A_037</t>
  </si>
  <si>
    <t>2021-10-12T03:30:57</t>
  </si>
  <si>
    <t>B083</t>
  </si>
  <si>
    <t>IBD_UC_Serum_TQ05_BileAcids_Plate_3A_038</t>
  </si>
  <si>
    <t>2021-10-12T03:46:26</t>
  </si>
  <si>
    <t>B090</t>
  </si>
  <si>
    <t>IBD_UC_Serum_TQ05_BileAcids_Plate_3A_039</t>
  </si>
  <si>
    <t>2021-10-12T04:01:55</t>
  </si>
  <si>
    <t>B241</t>
  </si>
  <si>
    <t>IBD_UC_Serum_TQ05_BileAcids_Plate_3A_040</t>
  </si>
  <si>
    <t>2021-10-12T04:17:25</t>
  </si>
  <si>
    <t>B110</t>
  </si>
  <si>
    <t>IBD_UC_Serum_TQ05_BileAcids_Plate_3A_041</t>
  </si>
  <si>
    <t>2021-10-12T04:32:54</t>
  </si>
  <si>
    <t>B160</t>
  </si>
  <si>
    <t>IBD_UC_Serum_TQ05_BileAcids_Plate_3A_042</t>
  </si>
  <si>
    <t>2021-10-12T04:48:23</t>
  </si>
  <si>
    <t>B144</t>
  </si>
  <si>
    <t>IBD_UC_Serum_TQ05_BileAcids_Plate_3A_045</t>
  </si>
  <si>
    <t>2021-10-12T05:34:51</t>
  </si>
  <si>
    <t>B115</t>
  </si>
  <si>
    <t>IBD_UC_Serum_TQ05_BileAcids_Plate_3A_046</t>
  </si>
  <si>
    <t>2021-10-12T05:50:20</t>
  </si>
  <si>
    <t>B113</t>
  </si>
  <si>
    <t>IBD_UC_Serum_TQ05_BileAcids_Plate_3A_047</t>
  </si>
  <si>
    <t>2021-10-12T06:05:50</t>
  </si>
  <si>
    <t>B246</t>
  </si>
  <si>
    <t>IBD_UC_Serum_TQ05_BileAcids_Plate_3A_048</t>
  </si>
  <si>
    <t>2021-10-12T06:21:19</t>
  </si>
  <si>
    <t>B253</t>
  </si>
  <si>
    <t>IBD_UC_Serum_TQ05_BileAcids_Plate_3A_049</t>
  </si>
  <si>
    <t>2021-10-12T06:36:49</t>
  </si>
  <si>
    <t>B137</t>
  </si>
  <si>
    <t>IBD_UC_Serum_TQ05_BileAcids_Plate_3A_050</t>
  </si>
  <si>
    <t>2021-10-12T06:52:18</t>
  </si>
  <si>
    <t>B150</t>
  </si>
  <si>
    <t>IBD_UC_Serum_TQ05_BileAcids_Plate_3A_051</t>
  </si>
  <si>
    <t>2021-10-12T07:07:47</t>
  </si>
  <si>
    <t>B136</t>
  </si>
  <si>
    <t>IBD_UC_Serum_TQ05_BileAcids_Plate_3A_052</t>
  </si>
  <si>
    <t>2021-10-12T07:23:16</t>
  </si>
  <si>
    <t>B149</t>
  </si>
  <si>
    <t>IBD_UC_Serum_TQ05_BileAcids_Plate_3A_053</t>
  </si>
  <si>
    <t>2021-10-12T07:38:46</t>
  </si>
  <si>
    <t>B027</t>
  </si>
  <si>
    <t>IBD_UC_Serum_TQ05_BileAcids_Plate_3A_054</t>
  </si>
  <si>
    <t>2021-10-12T07:54:15</t>
  </si>
  <si>
    <t>B056</t>
  </si>
  <si>
    <t>IBD_UC_Serum_TQ05_BileAcids_Plate_3A_057</t>
  </si>
  <si>
    <t>2021-10-12T08:40:43</t>
  </si>
  <si>
    <t>B159</t>
  </si>
  <si>
    <t>IBD_UC_Serum_TQ05_BileAcids_Plate_3A_058</t>
  </si>
  <si>
    <t>2021-10-12T08:56:12</t>
  </si>
  <si>
    <t>B145</t>
  </si>
  <si>
    <t>IBD_UC_Serum_TQ05_BileAcids_Plate_3A_059</t>
  </si>
  <si>
    <t>2021-10-12T09:11:42</t>
  </si>
  <si>
    <t>B231</t>
  </si>
  <si>
    <t>IBD_UC_Serum_TQ05_BileAcids_Plate_3A_060</t>
  </si>
  <si>
    <t>2021-10-12T09:27:12</t>
  </si>
  <si>
    <t>B228</t>
  </si>
  <si>
    <t>IBD_UC_Serum_TQ05_BileAcids_Plate_3A_061</t>
  </si>
  <si>
    <t>2021-10-12T09:42:41</t>
  </si>
  <si>
    <t>B230</t>
  </si>
  <si>
    <t>IBD_UC_Serum_TQ05_BileAcids_Plate_3A_062</t>
  </si>
  <si>
    <t>2021-10-12T09:58:10</t>
  </si>
  <si>
    <t>B202</t>
  </si>
  <si>
    <t>IBD_UC_Serum_TQ05_BileAcids_Plate_3A_063</t>
  </si>
  <si>
    <t>2021-10-12T10:13:39</t>
  </si>
  <si>
    <t>B193</t>
  </si>
  <si>
    <t>IBD_UC_Serum_TQ05_BileAcids_Plate_3A_064</t>
  </si>
  <si>
    <t>2021-10-12T10:29:09</t>
  </si>
  <si>
    <t>B232</t>
  </si>
  <si>
    <t>IBD_UC_Serum_TQ05_BileAcids_Plate_3A_065</t>
  </si>
  <si>
    <t>2021-10-12T10:44:38</t>
  </si>
  <si>
    <t>B080</t>
  </si>
  <si>
    <t>IBD_UC_Serum_TQ05_BileAcids_Plate_3A_066</t>
  </si>
  <si>
    <t>2021-10-12T11:00:07</t>
  </si>
  <si>
    <t>B059</t>
  </si>
  <si>
    <t>IBD_UC_Serum_TQ05_BileAcids_Plate_3B_021</t>
  </si>
  <si>
    <t>2021-10-12T21:50:48</t>
  </si>
  <si>
    <t>B063</t>
  </si>
  <si>
    <t>IBD_UC_Serum_TQ05_BileAcids_Plate_3B_022</t>
  </si>
  <si>
    <t>2021-10-12T22:06:17</t>
  </si>
  <si>
    <t>B023</t>
  </si>
  <si>
    <t>IBD_UC_Serum_TQ05_BileAcids_Plate_3B_023</t>
  </si>
  <si>
    <t>2021-10-12T22:21:46</t>
  </si>
  <si>
    <t>B092</t>
  </si>
  <si>
    <t>IBD_UC_Serum_TQ05_BileAcids_Plate_3B_024</t>
  </si>
  <si>
    <t>2021-10-12T22:37:16</t>
  </si>
  <si>
    <t>B012</t>
  </si>
  <si>
    <t>IBD_UC_Serum_TQ05_BileAcids_Plate_3B_025</t>
  </si>
  <si>
    <t>2021-10-12T22:52:45</t>
  </si>
  <si>
    <t>B250</t>
  </si>
  <si>
    <t>IBD_UC_Serum_TQ05_BileAcids_Plate_3B_026</t>
  </si>
  <si>
    <t>2021-10-12T23:08:14</t>
  </si>
  <si>
    <t>B134</t>
  </si>
  <si>
    <t>IBD_UC_Serum_TQ05_BileAcids_Plate_3B_027</t>
  </si>
  <si>
    <t>2021-10-12T23:23:44</t>
  </si>
  <si>
    <t>B046</t>
  </si>
  <si>
    <t>IBD_UC_Serum_TQ05_BileAcids_Plate_3B_028</t>
  </si>
  <si>
    <t>2021-10-12T23:39:13</t>
  </si>
  <si>
    <t>B007</t>
  </si>
  <si>
    <t>IBD_UC_Serum_TQ05_BileAcids_Plate_3B_029</t>
  </si>
  <si>
    <t>2021-10-12T23:54:42</t>
  </si>
  <si>
    <t>B077</t>
  </si>
  <si>
    <t>IBD_UC_Serum_TQ05_BileAcids_Plate_3B_030</t>
  </si>
  <si>
    <t>2021-10-13T00:10:12</t>
  </si>
  <si>
    <t>B054</t>
  </si>
  <si>
    <t>IBD_UC_Serum_TQ05_BileAcids_Plate_3B_033</t>
  </si>
  <si>
    <t>2021-10-13T00:56:39</t>
  </si>
  <si>
    <t>B025</t>
  </si>
  <si>
    <t>IBD_UC_Serum_TQ05_BileAcids_Plate_3B_034</t>
  </si>
  <si>
    <t>2021-10-13T01:12:09</t>
  </si>
  <si>
    <t>B009</t>
  </si>
  <si>
    <t>IBD_UC_Serum_TQ05_BileAcids_Plate_3B_035</t>
  </si>
  <si>
    <t>2021-10-13T01:27:38</t>
  </si>
  <si>
    <t>B127</t>
  </si>
  <si>
    <t>IBD_UC_Serum_TQ05_BileAcids_Plate_3B_036</t>
  </si>
  <si>
    <t>2021-10-13T01:43:07</t>
  </si>
  <si>
    <t>B147</t>
  </si>
  <si>
    <t>IBD_UC_Serum_TQ05_BileAcids_Plate_3B_037</t>
  </si>
  <si>
    <t>2021-10-13T01:58:37</t>
  </si>
  <si>
    <t>B247</t>
  </si>
  <si>
    <t>IBD_UC_Serum_TQ05_BileAcids_Plate_3B_038</t>
  </si>
  <si>
    <t>2021-10-13T02:14:06</t>
  </si>
  <si>
    <t>B064</t>
  </si>
  <si>
    <t>IBD_UC_Serum_TQ05_BileAcids_Plate_3B_039</t>
  </si>
  <si>
    <t>2021-10-13T02:29:35</t>
  </si>
  <si>
    <t>B029</t>
  </si>
  <si>
    <t>IBD_UC_Serum_TQ05_BileAcids_Plate_3B_040</t>
  </si>
  <si>
    <t>2021-10-13T02:45:05</t>
  </si>
  <si>
    <t>B006</t>
  </si>
  <si>
    <t>IBD_UC_Serum_TQ05_BileAcids_Plate_3B_041</t>
  </si>
  <si>
    <t>2021-10-13T03:00:34</t>
  </si>
  <si>
    <t>B154</t>
  </si>
  <si>
    <t>IBD_UC_Serum_TQ05_BileAcids_Plate_3B_042</t>
  </si>
  <si>
    <t>2021-10-13T03:16:03</t>
  </si>
  <si>
    <t>B104</t>
  </si>
  <si>
    <t>IBD_UC_Serum_TQ05_BileAcids_Plate_3B_045</t>
  </si>
  <si>
    <t>2021-10-13T04:02:31</t>
  </si>
  <si>
    <t>B130</t>
  </si>
  <si>
    <t>IBD_UC_Serum_TQ05_BileAcids_Plate_3B_046</t>
  </si>
  <si>
    <t>2021-10-13T04:18:00</t>
  </si>
  <si>
    <t>B070</t>
  </si>
  <si>
    <t>IBD_UC_Serum_TQ05_BileAcids_Plate_3B_047</t>
  </si>
  <si>
    <t>2021-10-13T04:33:30</t>
  </si>
  <si>
    <t>B052</t>
  </si>
  <si>
    <t>IBD_UC_Serum_TQ05_BileAcids_Plate_3B_048</t>
  </si>
  <si>
    <t>2021-10-13T04:48:59</t>
  </si>
  <si>
    <t>B015</t>
  </si>
  <si>
    <t>IBD_UC_Serum_TQ05_BileAcids_Plate_3B_049</t>
  </si>
  <si>
    <t>2021-10-13T05:04:28</t>
  </si>
  <si>
    <t>B242</t>
  </si>
  <si>
    <t>IBD_UC_Serum_TQ05_BileAcids_Plate_3B_050</t>
  </si>
  <si>
    <t>2021-10-13T05:19:57</t>
  </si>
  <si>
    <t>B157</t>
  </si>
  <si>
    <t>IBD_UC_Serum_TQ05_BileAcids_Plate_3B_051</t>
  </si>
  <si>
    <t>2021-10-13T05:35:27</t>
  </si>
  <si>
    <t>B132</t>
  </si>
  <si>
    <t>IBD_UC_Serum_TQ05_BileAcids_Plate_3B_052</t>
  </si>
  <si>
    <t>2021-10-13T05:50:56</t>
  </si>
  <si>
    <t>B100</t>
  </si>
  <si>
    <t>IBD_UC_Serum_TQ05_BileAcids_Plate_3B_053</t>
  </si>
  <si>
    <t>2021-10-13T06:06:25</t>
  </si>
  <si>
    <t>B248</t>
  </si>
  <si>
    <t>IBD_UC_Serum_TQ05_BileAcids_Plate_3B_054</t>
  </si>
  <si>
    <t>2021-10-13T06:21:55</t>
  </si>
  <si>
    <t>B255</t>
  </si>
  <si>
    <t>IBD_UC_Serum_TQ05_BileAcids_Plate_3B_057</t>
  </si>
  <si>
    <t>2021-10-13T07:08:23</t>
  </si>
  <si>
    <t>B256</t>
  </si>
  <si>
    <t>IBD_UC_Serum_TQ05_BileAcids_Plate_3B_058</t>
  </si>
  <si>
    <t>2021-10-13T07:23:52</t>
  </si>
  <si>
    <t>B142</t>
  </si>
  <si>
    <t>IBD_UC_Serum_TQ05_BileAcids_Plate_3B_059</t>
  </si>
  <si>
    <t>2021-10-13T07:39:22</t>
  </si>
  <si>
    <t>B117</t>
  </si>
  <si>
    <t>IBD_UC_Serum_TQ05_BileAcids_Plate_3B_060</t>
  </si>
  <si>
    <t>2021-10-13T07:54:50</t>
  </si>
  <si>
    <t>B141</t>
  </si>
  <si>
    <t>IBD_UC_Serum_TQ05_BileAcids_Plate_3B_061</t>
  </si>
  <si>
    <t>2021-10-13T08:10:20</t>
  </si>
  <si>
    <t>B158</t>
  </si>
  <si>
    <t>IBD_UC_Serum_TQ05_BileAcids_Plate_3B_062</t>
  </si>
  <si>
    <t>2021-10-13T08:25:49</t>
  </si>
  <si>
    <t>B060</t>
  </si>
  <si>
    <t>IBD_UC_Serum_TQ05_BileAcids_Plate_3B_063</t>
  </si>
  <si>
    <t>2021-10-13T08:41:19</t>
  </si>
  <si>
    <t>B037</t>
  </si>
  <si>
    <t>IBD_UC_Serum_TQ05_BileAcids_Plate_3B_064</t>
  </si>
  <si>
    <t>2021-10-13T08:56:48</t>
  </si>
  <si>
    <t>B094</t>
  </si>
  <si>
    <t>IBD_UC_Serum_TQ05_BileAcids_Plate_3B_065</t>
  </si>
  <si>
    <t>2021-10-13T09:12:17</t>
  </si>
  <si>
    <t>B245</t>
  </si>
  <si>
    <t>IBD_UC_Serum_TQ05_BileAcids_Plate_3B_066</t>
  </si>
  <si>
    <t>2021-10-13T09:27:46</t>
  </si>
  <si>
    <t>B212</t>
  </si>
  <si>
    <t>IBD_UC_Serum_TQ05_BileAcids_Plate_4A_025</t>
  </si>
  <si>
    <t>2021-10-13T21:20:56</t>
  </si>
  <si>
    <t>B191</t>
  </si>
  <si>
    <t>IBD_UC_Serum_TQ05_BileAcids_Plate_4A_026</t>
  </si>
  <si>
    <t>2021-10-13T21:36:25</t>
  </si>
  <si>
    <t>B185</t>
  </si>
  <si>
    <t>IBD_UC_Serum_TQ05_BileAcids_Plate_4A_027</t>
  </si>
  <si>
    <t>2021-10-13T21:51:54</t>
  </si>
  <si>
    <t>B188</t>
  </si>
  <si>
    <t>IBD_UC_Serum_TQ05_BileAcids_Plate_4A_028</t>
  </si>
  <si>
    <t>2021-10-13T22:07:24</t>
  </si>
  <si>
    <t>B194</t>
  </si>
  <si>
    <t>IBD_UC_Serum_TQ05_BileAcids_Plate_4A_029</t>
  </si>
  <si>
    <t>2021-10-13T22:23:01</t>
  </si>
  <si>
    <t>B099</t>
  </si>
  <si>
    <t>IBD_UC_Serum_TQ05_BileAcids_Plate_4A_030</t>
  </si>
  <si>
    <t>2021-10-13T22:38:31</t>
  </si>
  <si>
    <t>B197</t>
  </si>
  <si>
    <t>IBD_UC_Serum_TQ05_BileAcids_Plate_4A_033</t>
  </si>
  <si>
    <t>2021-10-13T23:24:59</t>
  </si>
  <si>
    <t>B205</t>
  </si>
  <si>
    <t>IBD_UC_Serum_TQ05_BileAcids_Plate_4A_034</t>
  </si>
  <si>
    <t>2021-10-13T23:40:28</t>
  </si>
  <si>
    <t>B201</t>
  </si>
  <si>
    <t>IBD_UC_Serum_TQ05_BileAcids_Plate_4A_035</t>
  </si>
  <si>
    <t>2021-10-13T23:55:57</t>
  </si>
  <si>
    <t>B200</t>
  </si>
  <si>
    <t>IBD_UC_Serum_TQ05_BileAcids_Plate_4A_036</t>
  </si>
  <si>
    <t>2021-10-14T00:11:27</t>
  </si>
  <si>
    <t>B227</t>
  </si>
  <si>
    <t>IBD_UC_Serum_TQ05_BileAcids_Plate_4A_037</t>
  </si>
  <si>
    <t>2021-10-14T00:26:56</t>
  </si>
  <si>
    <t>B210</t>
  </si>
  <si>
    <t>IBD_UC_Serum_TQ05_BileAcids_Plate_4A_038</t>
  </si>
  <si>
    <t>2021-10-14T00:42:25</t>
  </si>
  <si>
    <t>B207</t>
  </si>
  <si>
    <t>IBD_UC_Serum_TQ05_BileAcids_Plate_4A_039</t>
  </si>
  <si>
    <t>2021-10-14T00:58:03</t>
  </si>
  <si>
    <t>B254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</si>
  <si>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</si>
  <si>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</si>
  <si>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</si>
  <si>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</si>
  <si>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</si>
  <si>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</si>
  <si>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</si>
  <si>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</si>
  <si>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</si>
  <si>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</si>
  <si>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</si>
  <si>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</si>
  <si>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</si>
  <si>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</si>
  <si>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</si>
  <si>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</si>
  <si>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</si>
  <si>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</si>
  <si>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</si>
  <si>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</si>
  <si>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</si>
  <si>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</si>
  <si>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</si>
  <si>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</si>
  <si>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</si>
  <si>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</si>
  <si>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</si>
  <si>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</si>
  <si>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</si>
  <si>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</si>
  <si>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</si>
  <si>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Healthy control</t>
  </si>
  <si>
    <t>healthy control</t>
  </si>
  <si>
    <t>SampleID</t>
  </si>
  <si>
    <t>Missing data</t>
  </si>
  <si>
    <t>Primary ID</t>
  </si>
  <si>
    <t>Unique Sample ID</t>
  </si>
  <si>
    <t>Date of sampling</t>
  </si>
  <si>
    <t>Patient</t>
  </si>
  <si>
    <t>Hypermethylator at baseline</t>
  </si>
  <si>
    <t>SMH 261_B1-3</t>
  </si>
  <si>
    <t>SMH265_B1-4</t>
  </si>
  <si>
    <t>SMH302_B1-6</t>
  </si>
  <si>
    <t>SMH305_B7-12</t>
  </si>
  <si>
    <t>SMH307_B1-6</t>
  </si>
  <si>
    <t>SMH332_B1-6</t>
  </si>
  <si>
    <t>SMH307_B13-18</t>
  </si>
  <si>
    <t>SMH329_B1-6</t>
  </si>
  <si>
    <t>SMH345_B1-6</t>
  </si>
  <si>
    <t>SMH349_B1-6</t>
  </si>
  <si>
    <t>SMH355_B1-6</t>
  </si>
  <si>
    <t>SMH272_B1-6</t>
  </si>
  <si>
    <t>SMH345_B7-12</t>
  </si>
  <si>
    <t>SMH274_B1-6</t>
  </si>
  <si>
    <t>SMH279_B1-6</t>
  </si>
  <si>
    <t>SMH280_B9-14</t>
  </si>
  <si>
    <t>SMH355_B7-12</t>
  </si>
  <si>
    <t>SMH272_B7-12</t>
  </si>
  <si>
    <t>SMH274_B7-12</t>
  </si>
  <si>
    <t>SMH286_B1-6</t>
  </si>
  <si>
    <t>SMH288_B13-18</t>
  </si>
  <si>
    <t>SMH292_B7-12</t>
  </si>
  <si>
    <t>SMH288_B1-6</t>
  </si>
  <si>
    <t>SMH291_B1-4</t>
  </si>
  <si>
    <t>SMH292_B1-6</t>
  </si>
  <si>
    <t>SMH294_B1-6</t>
  </si>
  <si>
    <t>SMH301_B7-12</t>
  </si>
  <si>
    <t>SMH296_B1-6</t>
  </si>
  <si>
    <t>SMH294_B25 - 30</t>
  </si>
  <si>
    <t>SMH328_B7-12</t>
  </si>
  <si>
    <t>SMH331_B7-12</t>
  </si>
  <si>
    <t>SMH338_B7-12</t>
  </si>
  <si>
    <t>SMH358_B7-12</t>
  </si>
  <si>
    <t>SMH359_B7-12</t>
  </si>
  <si>
    <t>SMH265_B7-12</t>
  </si>
  <si>
    <t>SMH305_B13-18</t>
  </si>
  <si>
    <t>SMH302_B7-12</t>
  </si>
  <si>
    <t>SMH332_B7-12</t>
  </si>
  <si>
    <t>SMH297_B1-6</t>
  </si>
  <si>
    <t>SMH329_B7-12</t>
  </si>
  <si>
    <t>SMH295_B7-12</t>
  </si>
  <si>
    <t>SMH349_B7-12</t>
  </si>
  <si>
    <t>SMH301_B1-6</t>
  </si>
  <si>
    <t>SMH297_B13-18</t>
  </si>
  <si>
    <t>SMH304_B13-18</t>
  </si>
  <si>
    <t>SMH304_B1-6</t>
  </si>
  <si>
    <t>SMH308_B1-6</t>
  </si>
  <si>
    <t>SMH279_B19-24</t>
  </si>
  <si>
    <t>SMH327_B1-6</t>
  </si>
  <si>
    <t>SMH328_B1-6</t>
  </si>
  <si>
    <t>SMH308_B13-18</t>
  </si>
  <si>
    <t>SMH331_B1-6</t>
  </si>
  <si>
    <t>SMH286_B13-18</t>
  </si>
  <si>
    <t>SMH337_B1-6</t>
  </si>
  <si>
    <t>SMH338_B1-6</t>
  </si>
  <si>
    <t>SMH343_B1-6</t>
  </si>
  <si>
    <t>SMH344_B1-6</t>
  </si>
  <si>
    <t>SMH347_B1-6</t>
  </si>
  <si>
    <t>SMH295_B19-24</t>
  </si>
  <si>
    <t>SMH348_B7-13</t>
  </si>
  <si>
    <t>SMH280_B15-20</t>
  </si>
  <si>
    <t>SMH348_B1-6</t>
  </si>
  <si>
    <t>SMH356_B1-6</t>
  </si>
  <si>
    <t>SMH358_B1-5</t>
  </si>
  <si>
    <t>SMH359_B1-6</t>
  </si>
  <si>
    <t>SMH291_B11-16</t>
  </si>
  <si>
    <t>SMH296_B13-18</t>
  </si>
  <si>
    <t>SMH327_B13-18</t>
  </si>
  <si>
    <t>SMH337_B7-12</t>
  </si>
  <si>
    <t>SMH344_B7-12</t>
  </si>
  <si>
    <t>SMH305_B19-24</t>
  </si>
  <si>
    <t>SMH305</t>
  </si>
  <si>
    <t>SMH305_B25-30</t>
  </si>
  <si>
    <t>other</t>
  </si>
  <si>
    <t>SMH305_B31-36</t>
  </si>
  <si>
    <t>SMH305_B37-42</t>
  </si>
  <si>
    <t>SMH305_B43-48</t>
  </si>
  <si>
    <t>SMH305_B49-54</t>
  </si>
  <si>
    <t>SMH305_B55-60</t>
  </si>
  <si>
    <t>SMH307</t>
  </si>
  <si>
    <t>SMH307_B19-24</t>
  </si>
  <si>
    <t>SMH307_B25-30</t>
  </si>
  <si>
    <t>SMH307_B31-36</t>
  </si>
  <si>
    <t>SMH307_B37-42</t>
  </si>
  <si>
    <t>SMH307_B43-48</t>
  </si>
  <si>
    <t>SMH312_B1-6</t>
  </si>
  <si>
    <t>SMH312</t>
  </si>
  <si>
    <t>SMH312_B7-10</t>
  </si>
  <si>
    <t>SMH312_B11-16</t>
  </si>
  <si>
    <t>SMH312_B23-28</t>
  </si>
  <si>
    <t>SMH312_B29-34</t>
  </si>
  <si>
    <t>SMH313_B1-6</t>
  </si>
  <si>
    <t>SMH313</t>
  </si>
  <si>
    <t>SMH313_B7-12</t>
  </si>
  <si>
    <t>SMH313_B13-18</t>
  </si>
  <si>
    <t>SMH313_B19-24</t>
  </si>
  <si>
    <t>SMH313_B25-30</t>
  </si>
  <si>
    <t>SMH313_B31-36</t>
  </si>
  <si>
    <t>SMH313_B37-42</t>
  </si>
  <si>
    <t>SMH315_B1-6</t>
  </si>
  <si>
    <t>SMH315</t>
  </si>
  <si>
    <t>SMH315_B7-12</t>
  </si>
  <si>
    <t>SMH315_B13-18</t>
  </si>
  <si>
    <t>SMH315_B19-24</t>
  </si>
  <si>
    <t>SMH315_B25-30</t>
  </si>
  <si>
    <t>SMH315_B31-36</t>
  </si>
  <si>
    <t>SMH315_B37-42</t>
  </si>
  <si>
    <t>SMH317_B1-6</t>
  </si>
  <si>
    <t>SMH317</t>
  </si>
  <si>
    <t>SMH317_B7-12</t>
  </si>
  <si>
    <t>SMH317_B13-18</t>
  </si>
  <si>
    <t>SMH317_B19-24</t>
  </si>
  <si>
    <t>SMH317_B25-30</t>
  </si>
  <si>
    <t>SMH317_B31-36</t>
  </si>
  <si>
    <t>SMH317_B37-42</t>
  </si>
  <si>
    <t>SMH318_B1-6</t>
  </si>
  <si>
    <t>SMH318</t>
  </si>
  <si>
    <t>SMH318_B7-12</t>
  </si>
  <si>
    <t>SMH318_B13-18</t>
  </si>
  <si>
    <t>SMH318_B19-21</t>
  </si>
  <si>
    <t>SMH318_B22-27</t>
  </si>
  <si>
    <t>SMH318_B28-33</t>
  </si>
  <si>
    <t>SMH320_B1-6</t>
  </si>
  <si>
    <t>SMH320</t>
  </si>
  <si>
    <t>SMH320_B7-12</t>
  </si>
  <si>
    <t>SMH320_B13-18</t>
  </si>
  <si>
    <t>SMH320_B19-24</t>
  </si>
  <si>
    <t>SMH320_B25-30</t>
  </si>
  <si>
    <t>SMH322_B1-6</t>
  </si>
  <si>
    <t>SMH322</t>
  </si>
  <si>
    <t>SMH322_B7-12</t>
  </si>
  <si>
    <t>SMH322_B13-18</t>
  </si>
  <si>
    <t>SMH322_B19-24</t>
  </si>
  <si>
    <t>SMH324_B1-6</t>
  </si>
  <si>
    <t>SMH324</t>
  </si>
  <si>
    <t>SMH324_B7-12</t>
  </si>
  <si>
    <t>SMH324_B13 - 18</t>
  </si>
  <si>
    <t>SMH324_B19-24</t>
  </si>
  <si>
    <t>SMH324_B25-30</t>
  </si>
  <si>
    <t>SMH324_B31-36</t>
  </si>
  <si>
    <t>SMH324_B37-42</t>
  </si>
  <si>
    <t>SMH325_B1-6</t>
  </si>
  <si>
    <t>SMH325</t>
  </si>
  <si>
    <t>SMH325_B7-12</t>
  </si>
  <si>
    <t>SMH325_B13-18</t>
  </si>
  <si>
    <t>SMH325_B19-24</t>
  </si>
  <si>
    <t>SMH325_B25-30</t>
  </si>
  <si>
    <t>SMH325_B31-36</t>
  </si>
  <si>
    <t>SMH325_B37-42</t>
  </si>
  <si>
    <t>SMH333_B1-6</t>
  </si>
  <si>
    <t>SMH333</t>
  </si>
  <si>
    <t>SMH333_B7-12</t>
  </si>
  <si>
    <t>SMH333_B13-18</t>
  </si>
  <si>
    <t>SMH333_B24-29</t>
  </si>
  <si>
    <t>SMH333_B30-35</t>
  </si>
  <si>
    <t>SMH335_B1-6</t>
  </si>
  <si>
    <t>SMH335</t>
  </si>
  <si>
    <t>Tru/false</t>
  </si>
  <si>
    <t>SMH333_B19-23</t>
  </si>
  <si>
    <t>Sex M(1) or F(0)</t>
  </si>
  <si>
    <t>BMI</t>
  </si>
  <si>
    <t>Meat</t>
  </si>
  <si>
    <t>Vegetarian</t>
  </si>
  <si>
    <t>Patient ID</t>
  </si>
  <si>
    <t>SMH260_B1-3</t>
  </si>
  <si>
    <t>SMH267_B (1-6)</t>
  </si>
  <si>
    <t>SMH273_B (1-6)</t>
  </si>
  <si>
    <t>SMH269_B1-6</t>
  </si>
  <si>
    <t>SMH277_B1-8</t>
  </si>
  <si>
    <t>SMH278_B1-6</t>
  </si>
  <si>
    <t>SMH280_B1-8</t>
  </si>
  <si>
    <t>SMH281_B1-6</t>
  </si>
  <si>
    <t>SMH282_B (1-8</t>
  </si>
  <si>
    <t>SMH283_B1-6</t>
  </si>
  <si>
    <t>SMH284_B1-6</t>
  </si>
  <si>
    <t>SMH285_B1-6</t>
  </si>
  <si>
    <t>SMH289_B (1-6)</t>
  </si>
  <si>
    <t>SMH290_B1-6</t>
  </si>
  <si>
    <t>SMH295_B1-6</t>
  </si>
  <si>
    <t>SMH293_B7-10</t>
  </si>
  <si>
    <t>SMH298_B1-6</t>
  </si>
  <si>
    <t>SMH299_B1-6</t>
  </si>
  <si>
    <t>SMH300_B1-6</t>
  </si>
  <si>
    <t>SMH303_B1-6</t>
  </si>
  <si>
    <t>SMH305_B1-6</t>
  </si>
  <si>
    <t>SMH306_B1-6</t>
  </si>
  <si>
    <t>SMH316_B1-6</t>
  </si>
  <si>
    <t>SMH319_B1-6</t>
  </si>
  <si>
    <t>SMH321_B1-6</t>
  </si>
  <si>
    <t>SMH323_B1-6</t>
  </si>
  <si>
    <t>SMH326_B1-6</t>
  </si>
  <si>
    <t>SMH334_B1-6</t>
  </si>
  <si>
    <t>SMH330_B1-6</t>
  </si>
  <si>
    <t>SMH341_B1-6</t>
  </si>
  <si>
    <t>SMH339_B1-6</t>
  </si>
  <si>
    <t>SMH340_B1-6</t>
  </si>
  <si>
    <t>SMH336_B7-12</t>
  </si>
  <si>
    <t>SMH342_B1-6</t>
  </si>
  <si>
    <t>SMH346_B1-6</t>
  </si>
  <si>
    <t>SMH350_B1-6</t>
  </si>
  <si>
    <t>SMH351_B1-6</t>
  </si>
  <si>
    <t>SMH352_B1-6</t>
  </si>
  <si>
    <t>SMH353_B1-6</t>
  </si>
  <si>
    <t>SMH354_B1-6</t>
  </si>
  <si>
    <t>SMH360_B1-6</t>
  </si>
  <si>
    <t>SMH361_B1-6</t>
  </si>
  <si>
    <t>SMH262_B1-6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</si>
  <si>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</si>
  <si>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</si>
  <si>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</si>
  <si>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</si>
  <si>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</si>
  <si>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</si>
  <si>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</si>
  <si>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</si>
  <si>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</si>
  <si>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</si>
  <si>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</si>
  <si>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</si>
  <si>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</si>
  <si>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</si>
  <si>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</si>
  <si>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</si>
  <si>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</si>
  <si>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</si>
  <si>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</si>
  <si>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</si>
  <si>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SMH276_B1-2</t>
  </si>
  <si>
    <t>SMH347_B7-12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</si>
  <si>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</si>
  <si>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</si>
  <si>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</si>
  <si>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</si>
  <si>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</si>
  <si>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</si>
  <si>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</si>
  <si>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</si>
  <si>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</si>
  <si>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</si>
  <si>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</si>
  <si>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SMH296</t>
  </si>
  <si>
    <t>SMH297</t>
  </si>
  <si>
    <t>SMH295</t>
  </si>
  <si>
    <t>SMH301</t>
  </si>
  <si>
    <t>SMH304</t>
  </si>
  <si>
    <t>SMH302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</si>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</sst>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theme="1"/>
      <name val="Helvetica Neue"/>
      <family val="2"/>
    </font>
    <font>
      <b/>
      <sz val="13"/>
      <color theme="1"/>
      <name val="Helvetica Neue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33" borderId="0" xfId="0" applyFill="1"/>
    <xf numFmtId="0" fontId="18" fillId="0" borderId="0" xfId="0" applyFont="1"/>
    <xf numFmtId="14" fontId="18" fillId="0" borderId="0" xfId="0" applyNumberFormat="1" applyFont="1"/>
    <xf numFmtId="0" fontId="18" fillId="34" borderId="0" xfId="0" applyFont="1" applyFill="1"/>
    <xf numFmtId="2" fontId="19" fillId="0" borderId="0" xfId="0" applyNumberFormat="1" applyFont="1" applyAlignment="1">
      <alignment horizontal="right"/>
    </xf>
    <xf numFmtId="0" fontId="20" fillId="0" borderId="0" xfId="0" applyFont="1"/>
    <xf numFmtId="14" fontId="0" fillId="0" borderId="0" xfId="0" applyNumberForma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16" fillId="33" borderId="0" xfId="0" applyFont="1" applyFill="1"/>
    <xf numFmtId="0" fontId="23" fillId="0" borderId="0" xfId="0" applyFont="1"/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/>
    <xf numFmtId="0" fontId="23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260"/>
  <sheetViews>
    <sheetView topLeftCell="A162" workbookViewId="0">
      <selection activeCell="J273" sqref="J273"/>
    </sheetView>
  </sheetViews>
  <sheetFormatPr defaultColWidth="8.85546875" defaultRowHeight="15"/>
  <cols>
    <col min="14" max="15" width="8.85546875" style="1"/>
    <col min="17" max="25" width="8.85546875" style="1"/>
    <col min="27" max="27" width="8.85546875" style="1"/>
    <col min="31" max="31" width="8.85546875" style="1"/>
    <col min="35" max="40" width="8.85546875" style="1"/>
    <col min="43" max="44" width="8.85546875" style="1"/>
    <col min="47" max="48" width="8.85546875" style="1"/>
    <col min="50" max="50" width="8.85546875" style="1"/>
    <col min="54" max="54" width="8.85546875" style="1"/>
    <col min="56" max="57" width="8.85546875" style="1"/>
    <col min="59" max="60" width="8.85546875" style="1"/>
    <col min="63" max="64" width="8.85546875" style="1"/>
    <col min="69" max="73" width="8.85546875" style="1"/>
    <col min="76" max="76" width="8.85546875" style="1"/>
    <col min="79" max="79" width="8.85546875" style="1"/>
    <col min="82" max="82" width="8.85546875" style="1"/>
  </cols>
  <sheetData>
    <row r="1" spans="1:8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s="1">
        <v>0</v>
      </c>
      <c r="O1" s="1">
        <v>1</v>
      </c>
      <c r="P1">
        <v>2</v>
      </c>
      <c r="Q1" s="1">
        <v>3</v>
      </c>
      <c r="R1" s="1">
        <v>4</v>
      </c>
      <c r="S1" s="1">
        <v>5</v>
      </c>
      <c r="T1" s="1">
        <v>6</v>
      </c>
      <c r="U1" s="1">
        <v>7</v>
      </c>
      <c r="V1" s="1">
        <v>8</v>
      </c>
      <c r="W1" s="1">
        <v>9</v>
      </c>
      <c r="X1" s="1">
        <v>10</v>
      </c>
      <c r="Y1" s="1">
        <v>11</v>
      </c>
      <c r="Z1">
        <v>12</v>
      </c>
      <c r="AA1" s="1">
        <v>13</v>
      </c>
      <c r="AB1">
        <v>14</v>
      </c>
      <c r="AC1">
        <v>15</v>
      </c>
      <c r="AD1">
        <v>16</v>
      </c>
      <c r="AE1" s="1">
        <v>17</v>
      </c>
      <c r="AF1">
        <v>18</v>
      </c>
      <c r="AG1">
        <v>19</v>
      </c>
      <c r="AH1">
        <v>20</v>
      </c>
      <c r="AI1" s="1">
        <v>21</v>
      </c>
      <c r="AJ1" s="1">
        <v>22</v>
      </c>
      <c r="AK1" s="1">
        <v>23</v>
      </c>
      <c r="AL1" s="1">
        <v>24</v>
      </c>
      <c r="AM1" s="1">
        <v>25</v>
      </c>
      <c r="AN1" s="1">
        <v>26</v>
      </c>
      <c r="AO1">
        <v>27</v>
      </c>
      <c r="AP1">
        <v>28</v>
      </c>
      <c r="AQ1" s="1">
        <v>29</v>
      </c>
      <c r="AR1" s="1">
        <v>30</v>
      </c>
      <c r="AS1">
        <v>31</v>
      </c>
      <c r="AT1">
        <v>32</v>
      </c>
      <c r="AU1" s="1">
        <v>33</v>
      </c>
      <c r="AV1" s="1">
        <v>34</v>
      </c>
      <c r="AW1">
        <v>35</v>
      </c>
      <c r="AX1" s="1">
        <v>36</v>
      </c>
      <c r="AY1">
        <v>37</v>
      </c>
      <c r="AZ1">
        <v>38</v>
      </c>
      <c r="BA1">
        <v>39</v>
      </c>
      <c r="BB1" s="1">
        <v>40</v>
      </c>
      <c r="BC1">
        <v>41</v>
      </c>
      <c r="BD1" s="1">
        <v>42</v>
      </c>
      <c r="BE1" s="1">
        <v>43</v>
      </c>
      <c r="BF1">
        <v>44</v>
      </c>
      <c r="BG1" s="1">
        <v>45</v>
      </c>
      <c r="BH1" s="1">
        <v>46</v>
      </c>
      <c r="BI1">
        <v>47</v>
      </c>
      <c r="BJ1">
        <v>48</v>
      </c>
      <c r="BK1" s="1">
        <v>49</v>
      </c>
      <c r="BL1" s="1">
        <v>50</v>
      </c>
      <c r="BM1">
        <v>51</v>
      </c>
      <c r="BN1">
        <v>52</v>
      </c>
      <c r="BO1">
        <v>53</v>
      </c>
      <c r="BP1">
        <v>54</v>
      </c>
      <c r="BQ1" s="1">
        <v>55</v>
      </c>
      <c r="BR1" s="1">
        <v>56</v>
      </c>
      <c r="BS1" s="1">
        <v>57</v>
      </c>
      <c r="BT1" s="1">
        <v>58</v>
      </c>
      <c r="BU1" s="1">
        <v>59</v>
      </c>
      <c r="BV1">
        <v>60</v>
      </c>
      <c r="BW1">
        <v>61</v>
      </c>
      <c r="BX1" s="1">
        <v>62</v>
      </c>
      <c r="BY1">
        <v>63</v>
      </c>
      <c r="BZ1">
        <v>64</v>
      </c>
      <c r="CA1" s="1">
        <v>65</v>
      </c>
      <c r="CB1">
        <v>66</v>
      </c>
      <c r="CC1">
        <v>67</v>
      </c>
      <c r="CD1" s="1">
        <v>68</v>
      </c>
    </row>
    <row r="2" spans="1:82">
      <c r="A2">
        <v>110</v>
      </c>
      <c r="B2" t="s">
        <v>425</v>
      </c>
      <c r="D2" t="b">
        <v>1</v>
      </c>
      <c r="E2" t="s">
        <v>426</v>
      </c>
      <c r="F2">
        <v>163</v>
      </c>
      <c r="G2">
        <v>3</v>
      </c>
      <c r="J2" t="s">
        <v>427</v>
      </c>
      <c r="K2" t="s">
        <v>94</v>
      </c>
      <c r="L2" t="s">
        <v>95</v>
      </c>
      <c r="M2">
        <v>100</v>
      </c>
      <c r="N2" s="1" t="s">
        <v>96</v>
      </c>
      <c r="O2" s="1" t="s">
        <v>96</v>
      </c>
      <c r="P2">
        <v>22.52</v>
      </c>
      <c r="Q2" s="1" t="s">
        <v>96</v>
      </c>
      <c r="R2" s="1" t="s">
        <v>96</v>
      </c>
      <c r="S2" s="1" t="s">
        <v>96</v>
      </c>
      <c r="T2" s="1" t="s">
        <v>96</v>
      </c>
      <c r="U2" s="1" t="s">
        <v>96</v>
      </c>
      <c r="V2" s="1" t="s">
        <v>96</v>
      </c>
      <c r="W2" s="1" t="s">
        <v>96</v>
      </c>
      <c r="X2" s="1" t="s">
        <v>96</v>
      </c>
      <c r="Y2" s="1" t="s">
        <v>96</v>
      </c>
      <c r="Z2">
        <v>2.88</v>
      </c>
      <c r="AA2" s="1" t="s">
        <v>96</v>
      </c>
      <c r="AB2">
        <v>61.74</v>
      </c>
      <c r="AC2">
        <v>3.87</v>
      </c>
      <c r="AD2">
        <v>262.68</v>
      </c>
      <c r="AE2" s="1" t="s">
        <v>96</v>
      </c>
      <c r="AF2">
        <v>14.28</v>
      </c>
      <c r="AG2">
        <v>356.88</v>
      </c>
      <c r="AH2">
        <v>917.94</v>
      </c>
      <c r="AI2" s="1" t="s">
        <v>96</v>
      </c>
      <c r="AJ2" s="1" t="s">
        <v>96</v>
      </c>
      <c r="AK2" s="1" t="s">
        <v>96</v>
      </c>
      <c r="AL2" s="1" t="s">
        <v>96</v>
      </c>
      <c r="AM2" s="1" t="s">
        <v>96</v>
      </c>
      <c r="AN2" s="1">
        <v>4.16</v>
      </c>
      <c r="AO2">
        <v>440.12</v>
      </c>
      <c r="AP2">
        <v>148.26</v>
      </c>
      <c r="AQ2" s="1" t="s">
        <v>96</v>
      </c>
      <c r="AR2" s="1" t="s">
        <v>96</v>
      </c>
      <c r="AS2">
        <v>171.92</v>
      </c>
      <c r="AT2">
        <v>9.17</v>
      </c>
      <c r="AU2" s="1" t="s">
        <v>96</v>
      </c>
      <c r="AV2" s="1" t="s">
        <v>96</v>
      </c>
      <c r="AW2" t="s">
        <v>96</v>
      </c>
      <c r="AX2" s="1" t="s">
        <v>96</v>
      </c>
      <c r="AY2">
        <v>832.19</v>
      </c>
      <c r="AZ2">
        <v>123.64</v>
      </c>
      <c r="BA2">
        <v>140.41</v>
      </c>
      <c r="BB2" s="1" t="s">
        <v>96</v>
      </c>
      <c r="BC2">
        <v>220.67</v>
      </c>
      <c r="BD2" s="1" t="s">
        <v>96</v>
      </c>
      <c r="BE2" s="1" t="s">
        <v>96</v>
      </c>
      <c r="BF2">
        <v>6.29</v>
      </c>
      <c r="BG2" s="1">
        <v>3.67</v>
      </c>
      <c r="BH2" s="1" t="s">
        <v>96</v>
      </c>
      <c r="BI2">
        <v>55.83</v>
      </c>
      <c r="BJ2">
        <v>8.36</v>
      </c>
      <c r="BK2" s="1" t="s">
        <v>96</v>
      </c>
      <c r="BL2" s="1" t="s">
        <v>96</v>
      </c>
      <c r="BM2" t="s">
        <v>96</v>
      </c>
      <c r="BN2">
        <v>20.8</v>
      </c>
      <c r="BO2" t="s">
        <v>96</v>
      </c>
      <c r="BP2" t="s">
        <v>96</v>
      </c>
      <c r="BQ2" s="1" t="s">
        <v>96</v>
      </c>
      <c r="BR2" s="1" t="s">
        <v>96</v>
      </c>
      <c r="BS2" s="1" t="s">
        <v>96</v>
      </c>
      <c r="BT2" s="1" t="s">
        <v>96</v>
      </c>
      <c r="BU2" s="1">
        <v>5.56</v>
      </c>
      <c r="BV2">
        <v>92.16</v>
      </c>
      <c r="BW2">
        <v>7.62</v>
      </c>
      <c r="BX2" s="1" t="s">
        <v>96</v>
      </c>
      <c r="BY2">
        <v>74.05</v>
      </c>
      <c r="BZ2">
        <v>5.81</v>
      </c>
      <c r="CA2" s="1" t="s">
        <v>96</v>
      </c>
      <c r="CB2">
        <v>139.80000000000001</v>
      </c>
      <c r="CC2">
        <v>54.4</v>
      </c>
      <c r="CD2" s="1" t="s">
        <v>96</v>
      </c>
    </row>
    <row r="3" spans="1:82">
      <c r="A3">
        <v>13</v>
      </c>
      <c r="B3" t="s">
        <v>134</v>
      </c>
      <c r="D3" t="b">
        <v>1</v>
      </c>
      <c r="E3" t="s">
        <v>135</v>
      </c>
      <c r="F3">
        <v>202</v>
      </c>
      <c r="G3">
        <v>1</v>
      </c>
      <c r="J3" t="s">
        <v>136</v>
      </c>
      <c r="K3" t="s">
        <v>94</v>
      </c>
      <c r="L3" t="s">
        <v>95</v>
      </c>
      <c r="M3">
        <v>100</v>
      </c>
      <c r="N3" s="1" t="s">
        <v>96</v>
      </c>
      <c r="O3" s="1" t="s">
        <v>96</v>
      </c>
      <c r="P3">
        <v>13.96</v>
      </c>
      <c r="Q3" s="1" t="s">
        <v>96</v>
      </c>
      <c r="R3" s="1" t="s">
        <v>96</v>
      </c>
      <c r="S3" s="1" t="s">
        <v>96</v>
      </c>
      <c r="T3" s="1" t="s">
        <v>96</v>
      </c>
      <c r="U3" s="1" t="s">
        <v>96</v>
      </c>
      <c r="V3" s="1" t="s">
        <v>96</v>
      </c>
      <c r="W3" s="1" t="s">
        <v>96</v>
      </c>
      <c r="X3" s="1" t="s">
        <v>96</v>
      </c>
      <c r="Y3" s="1" t="s">
        <v>96</v>
      </c>
      <c r="Z3">
        <v>4.5999999999999996</v>
      </c>
      <c r="AA3" s="1" t="s">
        <v>96</v>
      </c>
      <c r="AB3">
        <v>2.94</v>
      </c>
      <c r="AC3" t="s">
        <v>96</v>
      </c>
      <c r="AD3">
        <v>172.78</v>
      </c>
      <c r="AE3" s="1" t="s">
        <v>96</v>
      </c>
      <c r="AF3" t="s">
        <v>96</v>
      </c>
      <c r="AG3" t="s">
        <v>96</v>
      </c>
      <c r="AH3">
        <v>836.11</v>
      </c>
      <c r="AI3" s="1" t="s">
        <v>96</v>
      </c>
      <c r="AJ3" s="1" t="s">
        <v>96</v>
      </c>
      <c r="AK3" s="1" t="s">
        <v>96</v>
      </c>
      <c r="AL3" s="1" t="s">
        <v>96</v>
      </c>
      <c r="AM3" s="1" t="s">
        <v>96</v>
      </c>
      <c r="AN3" s="1">
        <v>2.68</v>
      </c>
      <c r="AO3">
        <v>42.26</v>
      </c>
      <c r="AP3">
        <v>44.05</v>
      </c>
      <c r="AQ3" s="1" t="s">
        <v>96</v>
      </c>
      <c r="AR3" s="1" t="s">
        <v>96</v>
      </c>
      <c r="AS3">
        <v>85.35</v>
      </c>
      <c r="AT3">
        <v>5.14</v>
      </c>
      <c r="AU3" s="1" t="s">
        <v>96</v>
      </c>
      <c r="AV3" s="1" t="s">
        <v>96</v>
      </c>
      <c r="AW3" t="s">
        <v>96</v>
      </c>
      <c r="AX3" s="1">
        <v>3.12</v>
      </c>
      <c r="AY3" t="s">
        <v>133</v>
      </c>
      <c r="AZ3">
        <v>3.21</v>
      </c>
      <c r="BA3">
        <v>159.05000000000001</v>
      </c>
      <c r="BB3" s="1" t="s">
        <v>96</v>
      </c>
      <c r="BC3" t="s">
        <v>133</v>
      </c>
      <c r="BD3" s="1" t="s">
        <v>96</v>
      </c>
      <c r="BE3" s="1" t="s">
        <v>96</v>
      </c>
      <c r="BF3">
        <v>25.28</v>
      </c>
      <c r="BG3" s="1">
        <v>4.8899999999999997</v>
      </c>
      <c r="BH3" s="1" t="s">
        <v>96</v>
      </c>
      <c r="BI3">
        <v>281.48</v>
      </c>
      <c r="BJ3" t="s">
        <v>96</v>
      </c>
      <c r="BK3" s="1" t="s">
        <v>96</v>
      </c>
      <c r="BL3" s="1" t="s">
        <v>96</v>
      </c>
      <c r="BM3" t="s">
        <v>96</v>
      </c>
      <c r="BN3">
        <v>115.65</v>
      </c>
      <c r="BO3" t="s">
        <v>96</v>
      </c>
      <c r="BP3" t="s">
        <v>96</v>
      </c>
      <c r="BQ3" s="1" t="s">
        <v>96</v>
      </c>
      <c r="BR3" s="1" t="s">
        <v>96</v>
      </c>
      <c r="BS3" s="1" t="s">
        <v>96</v>
      </c>
      <c r="BT3" s="1" t="s">
        <v>96</v>
      </c>
      <c r="BU3" s="1" t="s">
        <v>96</v>
      </c>
      <c r="BV3">
        <v>434.96</v>
      </c>
      <c r="BW3">
        <v>27.07</v>
      </c>
      <c r="BX3" s="1">
        <v>8.4499999999999993</v>
      </c>
      <c r="BY3">
        <v>12.86</v>
      </c>
      <c r="BZ3" t="s">
        <v>96</v>
      </c>
      <c r="CA3" s="1" t="s">
        <v>96</v>
      </c>
      <c r="CB3">
        <v>92.38</v>
      </c>
      <c r="CC3" t="s">
        <v>96</v>
      </c>
      <c r="CD3" s="1" t="s">
        <v>96</v>
      </c>
    </row>
    <row r="4" spans="1:82">
      <c r="A4">
        <v>117</v>
      </c>
      <c r="B4" t="s">
        <v>446</v>
      </c>
      <c r="D4" t="b">
        <v>1</v>
      </c>
      <c r="E4" t="s">
        <v>447</v>
      </c>
      <c r="F4">
        <v>170</v>
      </c>
      <c r="G4">
        <v>3</v>
      </c>
      <c r="J4" t="s">
        <v>448</v>
      </c>
      <c r="K4" t="s">
        <v>94</v>
      </c>
      <c r="L4" t="s">
        <v>95</v>
      </c>
      <c r="M4">
        <v>100</v>
      </c>
      <c r="N4" s="1" t="s">
        <v>96</v>
      </c>
      <c r="O4" s="1" t="s">
        <v>96</v>
      </c>
      <c r="P4">
        <v>7.57</v>
      </c>
      <c r="Q4" s="1" t="s">
        <v>96</v>
      </c>
      <c r="R4" s="1" t="s">
        <v>96</v>
      </c>
      <c r="S4" s="1" t="s">
        <v>96</v>
      </c>
      <c r="T4" s="1" t="s">
        <v>96</v>
      </c>
      <c r="U4" s="1" t="s">
        <v>96</v>
      </c>
      <c r="V4" s="1" t="s">
        <v>96</v>
      </c>
      <c r="W4" s="1" t="s">
        <v>96</v>
      </c>
      <c r="X4" s="1" t="s">
        <v>96</v>
      </c>
      <c r="Y4" s="1" t="s">
        <v>96</v>
      </c>
      <c r="Z4" t="s">
        <v>96</v>
      </c>
      <c r="AA4" s="1" t="s">
        <v>96</v>
      </c>
      <c r="AB4">
        <v>1.71</v>
      </c>
      <c r="AC4">
        <v>1.1599999999999999</v>
      </c>
      <c r="AD4">
        <v>6.18</v>
      </c>
      <c r="AE4" s="1" t="s">
        <v>96</v>
      </c>
      <c r="AF4" t="s">
        <v>96</v>
      </c>
      <c r="AG4">
        <v>35.57</v>
      </c>
      <c r="AH4">
        <v>67.069999999999993</v>
      </c>
      <c r="AI4" s="1" t="s">
        <v>96</v>
      </c>
      <c r="AJ4" s="1" t="s">
        <v>96</v>
      </c>
      <c r="AK4" s="1" t="s">
        <v>96</v>
      </c>
      <c r="AL4" s="1" t="s">
        <v>96</v>
      </c>
      <c r="AM4" s="1" t="s">
        <v>96</v>
      </c>
      <c r="AN4" s="1" t="s">
        <v>96</v>
      </c>
      <c r="AO4">
        <v>28.63</v>
      </c>
      <c r="AP4">
        <v>4.76</v>
      </c>
      <c r="AQ4" s="1" t="s">
        <v>96</v>
      </c>
      <c r="AR4" s="1" t="s">
        <v>96</v>
      </c>
      <c r="AS4">
        <v>56.98</v>
      </c>
      <c r="AT4" t="s">
        <v>96</v>
      </c>
      <c r="AU4" s="1" t="s">
        <v>96</v>
      </c>
      <c r="AV4" s="1" t="s">
        <v>96</v>
      </c>
      <c r="AW4" t="s">
        <v>96</v>
      </c>
      <c r="AX4" s="1" t="s">
        <v>96</v>
      </c>
      <c r="AY4">
        <v>1107.47</v>
      </c>
      <c r="AZ4">
        <v>44.63</v>
      </c>
      <c r="BA4">
        <v>9.3000000000000007</v>
      </c>
      <c r="BB4" s="1" t="s">
        <v>96</v>
      </c>
      <c r="BC4">
        <v>812.37</v>
      </c>
      <c r="BD4" s="1" t="s">
        <v>96</v>
      </c>
      <c r="BE4" s="1" t="s">
        <v>96</v>
      </c>
      <c r="BF4">
        <v>6.69</v>
      </c>
      <c r="BG4" s="1" t="s">
        <v>96</v>
      </c>
      <c r="BH4" s="1" t="s">
        <v>96</v>
      </c>
      <c r="BI4">
        <v>74.37</v>
      </c>
      <c r="BJ4">
        <v>3.69</v>
      </c>
      <c r="BK4" s="1" t="s">
        <v>96</v>
      </c>
      <c r="BL4" s="1" t="s">
        <v>96</v>
      </c>
      <c r="BM4" t="s">
        <v>96</v>
      </c>
      <c r="BN4">
        <v>106.85</v>
      </c>
      <c r="BO4" t="s">
        <v>96</v>
      </c>
      <c r="BP4" t="s">
        <v>96</v>
      </c>
      <c r="BQ4" s="1" t="s">
        <v>96</v>
      </c>
      <c r="BR4" s="1" t="s">
        <v>96</v>
      </c>
      <c r="BS4" s="1" t="s">
        <v>96</v>
      </c>
      <c r="BT4" s="1" t="s">
        <v>96</v>
      </c>
      <c r="BU4" s="1" t="s">
        <v>96</v>
      </c>
      <c r="BV4">
        <v>109.93</v>
      </c>
      <c r="BW4">
        <v>10.67</v>
      </c>
      <c r="BX4" s="1" t="s">
        <v>96</v>
      </c>
      <c r="BY4">
        <v>34.85</v>
      </c>
      <c r="BZ4" t="s">
        <v>96</v>
      </c>
      <c r="CA4" s="1" t="s">
        <v>96</v>
      </c>
      <c r="CB4">
        <v>7.76</v>
      </c>
      <c r="CC4">
        <v>11.32</v>
      </c>
      <c r="CD4" s="1" t="s">
        <v>96</v>
      </c>
    </row>
    <row r="5" spans="1:82">
      <c r="A5">
        <v>12</v>
      </c>
      <c r="B5" t="s">
        <v>130</v>
      </c>
      <c r="D5" t="b">
        <v>1</v>
      </c>
      <c r="E5" t="s">
        <v>131</v>
      </c>
      <c r="F5">
        <v>201</v>
      </c>
      <c r="G5">
        <v>1</v>
      </c>
      <c r="J5" t="s">
        <v>132</v>
      </c>
      <c r="K5" t="s">
        <v>94</v>
      </c>
      <c r="L5" t="s">
        <v>95</v>
      </c>
      <c r="M5">
        <v>100</v>
      </c>
      <c r="N5" s="1" t="s">
        <v>96</v>
      </c>
      <c r="O5" s="1" t="s">
        <v>96</v>
      </c>
      <c r="P5">
        <v>14.07</v>
      </c>
      <c r="Q5" s="1" t="s">
        <v>96</v>
      </c>
      <c r="R5" s="1" t="s">
        <v>96</v>
      </c>
      <c r="S5" s="1" t="s">
        <v>96</v>
      </c>
      <c r="T5" s="1" t="s">
        <v>96</v>
      </c>
      <c r="U5" s="1" t="s">
        <v>96</v>
      </c>
      <c r="V5" s="1" t="s">
        <v>96</v>
      </c>
      <c r="W5" s="1" t="s">
        <v>96</v>
      </c>
      <c r="X5" s="1" t="s">
        <v>96</v>
      </c>
      <c r="Y5" s="1" t="s">
        <v>96</v>
      </c>
      <c r="Z5" t="s">
        <v>96</v>
      </c>
      <c r="AA5" s="1" t="s">
        <v>96</v>
      </c>
      <c r="AB5">
        <v>1.45</v>
      </c>
      <c r="AC5" t="s">
        <v>96</v>
      </c>
      <c r="AD5" t="s">
        <v>96</v>
      </c>
      <c r="AE5" s="1" t="s">
        <v>96</v>
      </c>
      <c r="AF5" t="s">
        <v>96</v>
      </c>
      <c r="AG5" t="s">
        <v>96</v>
      </c>
      <c r="AH5">
        <v>102.54</v>
      </c>
      <c r="AI5" s="1" t="s">
        <v>96</v>
      </c>
      <c r="AJ5" s="1" t="s">
        <v>96</v>
      </c>
      <c r="AK5" s="1" t="s">
        <v>96</v>
      </c>
      <c r="AL5" s="1" t="s">
        <v>96</v>
      </c>
      <c r="AM5" s="1" t="s">
        <v>96</v>
      </c>
      <c r="AN5" s="1" t="s">
        <v>96</v>
      </c>
      <c r="AO5" t="s">
        <v>96</v>
      </c>
      <c r="AP5">
        <v>1.47</v>
      </c>
      <c r="AQ5" s="1" t="s">
        <v>96</v>
      </c>
      <c r="AR5" s="1" t="s">
        <v>96</v>
      </c>
      <c r="AS5">
        <v>33.909999999999997</v>
      </c>
      <c r="AT5">
        <v>1.35</v>
      </c>
      <c r="AU5" s="1" t="s">
        <v>96</v>
      </c>
      <c r="AV5" s="1" t="s">
        <v>96</v>
      </c>
      <c r="AW5" t="s">
        <v>96</v>
      </c>
      <c r="AX5" s="1" t="s">
        <v>96</v>
      </c>
      <c r="AY5" t="s">
        <v>133</v>
      </c>
      <c r="AZ5">
        <v>8.44</v>
      </c>
      <c r="BA5">
        <v>13.26</v>
      </c>
      <c r="BB5" s="1" t="s">
        <v>96</v>
      </c>
      <c r="BC5" t="s">
        <v>133</v>
      </c>
      <c r="BD5" s="1" t="s">
        <v>96</v>
      </c>
      <c r="BE5" s="1" t="s">
        <v>96</v>
      </c>
      <c r="BF5">
        <v>20.41</v>
      </c>
      <c r="BG5" s="1">
        <v>2.9</v>
      </c>
      <c r="BH5" s="1" t="s">
        <v>96</v>
      </c>
      <c r="BI5">
        <v>815.98</v>
      </c>
      <c r="BJ5">
        <v>3.19</v>
      </c>
      <c r="BK5" s="1" t="s">
        <v>96</v>
      </c>
      <c r="BL5" s="1">
        <v>5.5</v>
      </c>
      <c r="BM5" t="s">
        <v>96</v>
      </c>
      <c r="BN5" t="s">
        <v>133</v>
      </c>
      <c r="BO5">
        <v>11.82</v>
      </c>
      <c r="BP5" t="s">
        <v>96</v>
      </c>
      <c r="BQ5" s="1" t="s">
        <v>96</v>
      </c>
      <c r="BR5" s="1" t="s">
        <v>96</v>
      </c>
      <c r="BS5" s="1" t="s">
        <v>96</v>
      </c>
      <c r="BT5" s="1" t="s">
        <v>96</v>
      </c>
      <c r="BU5" s="1" t="s">
        <v>96</v>
      </c>
      <c r="BV5">
        <v>185.43</v>
      </c>
      <c r="BW5">
        <v>47.09</v>
      </c>
      <c r="BX5" s="1">
        <v>14.3</v>
      </c>
      <c r="BY5" t="s">
        <v>96</v>
      </c>
      <c r="BZ5" t="s">
        <v>96</v>
      </c>
      <c r="CA5" s="1" t="s">
        <v>96</v>
      </c>
      <c r="CB5">
        <v>5.64</v>
      </c>
      <c r="CC5" t="s">
        <v>96</v>
      </c>
      <c r="CD5" s="1" t="s">
        <v>96</v>
      </c>
    </row>
    <row r="6" spans="1:82">
      <c r="A6">
        <v>27</v>
      </c>
      <c r="B6" t="s">
        <v>176</v>
      </c>
      <c r="D6" t="b">
        <v>1</v>
      </c>
      <c r="E6" t="s">
        <v>177</v>
      </c>
      <c r="F6">
        <v>218</v>
      </c>
      <c r="G6">
        <v>1</v>
      </c>
      <c r="J6" t="s">
        <v>178</v>
      </c>
      <c r="K6" t="s">
        <v>94</v>
      </c>
      <c r="L6" t="s">
        <v>95</v>
      </c>
      <c r="M6">
        <v>100</v>
      </c>
      <c r="N6" s="1" t="s">
        <v>96</v>
      </c>
      <c r="O6" s="1" t="s">
        <v>96</v>
      </c>
      <c r="P6">
        <v>11.47</v>
      </c>
      <c r="Q6" s="1" t="s">
        <v>96</v>
      </c>
      <c r="R6" s="1" t="s">
        <v>96</v>
      </c>
      <c r="S6" s="1">
        <v>5.0599999999999996</v>
      </c>
      <c r="T6" s="1" t="s">
        <v>96</v>
      </c>
      <c r="U6" s="1" t="s">
        <v>96</v>
      </c>
      <c r="V6" s="1" t="s">
        <v>96</v>
      </c>
      <c r="W6" s="1" t="s">
        <v>96</v>
      </c>
      <c r="X6" s="1" t="s">
        <v>96</v>
      </c>
      <c r="Y6" s="1" t="s">
        <v>96</v>
      </c>
      <c r="Z6" t="s">
        <v>96</v>
      </c>
      <c r="AA6" s="1" t="s">
        <v>96</v>
      </c>
      <c r="AB6">
        <v>13.51</v>
      </c>
      <c r="AC6">
        <v>18.170000000000002</v>
      </c>
      <c r="AD6">
        <v>25.47</v>
      </c>
      <c r="AE6" s="1" t="s">
        <v>96</v>
      </c>
      <c r="AF6">
        <v>8.16</v>
      </c>
      <c r="AG6">
        <v>210.41</v>
      </c>
      <c r="AH6">
        <v>299.60000000000002</v>
      </c>
      <c r="AI6" s="1" t="s">
        <v>96</v>
      </c>
      <c r="AJ6" s="1">
        <v>8.7200000000000006</v>
      </c>
      <c r="AK6" s="1" t="s">
        <v>96</v>
      </c>
      <c r="AL6" s="1" t="s">
        <v>96</v>
      </c>
      <c r="AM6" s="1" t="s">
        <v>96</v>
      </c>
      <c r="AN6" s="1">
        <v>1.5</v>
      </c>
      <c r="AO6">
        <v>999.43</v>
      </c>
      <c r="AP6">
        <v>37.32</v>
      </c>
      <c r="AQ6" s="1" t="s">
        <v>96</v>
      </c>
      <c r="AR6" s="1">
        <v>1.22</v>
      </c>
      <c r="AS6">
        <v>644.79</v>
      </c>
      <c r="AT6">
        <v>15.34</v>
      </c>
      <c r="AU6" s="1" t="s">
        <v>96</v>
      </c>
      <c r="AV6" s="1" t="s">
        <v>96</v>
      </c>
      <c r="AW6">
        <v>26.83</v>
      </c>
      <c r="AX6" s="1" t="s">
        <v>96</v>
      </c>
      <c r="AY6">
        <v>1242.1400000000001</v>
      </c>
      <c r="AZ6">
        <v>274.97000000000003</v>
      </c>
      <c r="BA6">
        <v>46.68</v>
      </c>
      <c r="BB6" s="1" t="s">
        <v>96</v>
      </c>
      <c r="BC6">
        <v>577.04</v>
      </c>
      <c r="BD6" s="1" t="s">
        <v>96</v>
      </c>
      <c r="BE6" s="1">
        <v>3.83</v>
      </c>
      <c r="BF6">
        <v>21.34</v>
      </c>
      <c r="BG6" s="1" t="s">
        <v>96</v>
      </c>
      <c r="BH6" s="1" t="s">
        <v>96</v>
      </c>
      <c r="BI6">
        <v>119.96</v>
      </c>
      <c r="BJ6">
        <v>31.02</v>
      </c>
      <c r="BK6" s="1" t="s">
        <v>96</v>
      </c>
      <c r="BL6" s="1" t="s">
        <v>96</v>
      </c>
      <c r="BM6">
        <v>4.3099999999999996</v>
      </c>
      <c r="BN6">
        <v>53.52</v>
      </c>
      <c r="BO6">
        <v>83.37</v>
      </c>
      <c r="BP6">
        <v>9.98</v>
      </c>
      <c r="BQ6" s="1" t="s">
        <v>96</v>
      </c>
      <c r="BR6" s="1" t="s">
        <v>96</v>
      </c>
      <c r="BS6" s="1" t="s">
        <v>96</v>
      </c>
      <c r="BT6" s="1">
        <v>2.78</v>
      </c>
      <c r="BU6" s="1" t="s">
        <v>96</v>
      </c>
      <c r="BV6">
        <v>98.73</v>
      </c>
      <c r="BW6">
        <v>23.32</v>
      </c>
      <c r="BX6" s="1" t="s">
        <v>96</v>
      </c>
      <c r="BY6">
        <v>485.56</v>
      </c>
      <c r="BZ6">
        <v>12.71</v>
      </c>
      <c r="CA6" s="1" t="s">
        <v>96</v>
      </c>
      <c r="CB6">
        <v>9.4</v>
      </c>
      <c r="CC6">
        <v>60.14</v>
      </c>
      <c r="CD6" s="1" t="s">
        <v>96</v>
      </c>
    </row>
    <row r="7" spans="1:82">
      <c r="A7">
        <v>217</v>
      </c>
      <c r="B7" t="s">
        <v>746</v>
      </c>
      <c r="D7" t="b">
        <v>1</v>
      </c>
      <c r="E7" t="s">
        <v>747</v>
      </c>
      <c r="F7">
        <v>326</v>
      </c>
      <c r="G7">
        <v>6</v>
      </c>
      <c r="J7" t="s">
        <v>748</v>
      </c>
      <c r="K7" t="s">
        <v>94</v>
      </c>
      <c r="L7" t="s">
        <v>95</v>
      </c>
      <c r="M7">
        <v>100</v>
      </c>
      <c r="N7" s="1" t="s">
        <v>96</v>
      </c>
      <c r="O7" s="1" t="s">
        <v>96</v>
      </c>
      <c r="P7">
        <v>8.3699999999999992</v>
      </c>
      <c r="Q7" s="1" t="s">
        <v>96</v>
      </c>
      <c r="R7" s="1" t="s">
        <v>96</v>
      </c>
      <c r="S7" s="1" t="s">
        <v>96</v>
      </c>
      <c r="T7" s="1" t="s">
        <v>96</v>
      </c>
      <c r="U7" s="1" t="s">
        <v>96</v>
      </c>
      <c r="V7" s="1" t="s">
        <v>96</v>
      </c>
      <c r="W7" s="1" t="s">
        <v>96</v>
      </c>
      <c r="X7" s="1" t="s">
        <v>96</v>
      </c>
      <c r="Y7" s="1" t="s">
        <v>96</v>
      </c>
      <c r="Z7">
        <v>3.11</v>
      </c>
      <c r="AA7" s="1" t="s">
        <v>96</v>
      </c>
      <c r="AB7">
        <v>17.41</v>
      </c>
      <c r="AC7" t="s">
        <v>96</v>
      </c>
      <c r="AD7">
        <v>792.86</v>
      </c>
      <c r="AE7" s="1" t="s">
        <v>96</v>
      </c>
      <c r="AF7" t="s">
        <v>96</v>
      </c>
      <c r="AG7">
        <v>25.12</v>
      </c>
      <c r="AH7">
        <v>144.87</v>
      </c>
      <c r="AI7" s="1" t="s">
        <v>96</v>
      </c>
      <c r="AJ7" s="1">
        <v>1.67</v>
      </c>
      <c r="AK7" s="1" t="s">
        <v>96</v>
      </c>
      <c r="AL7" s="1" t="s">
        <v>96</v>
      </c>
      <c r="AM7" s="1" t="s">
        <v>96</v>
      </c>
      <c r="AN7" s="1">
        <v>5.18</v>
      </c>
      <c r="AO7">
        <v>306.95999999999998</v>
      </c>
      <c r="AP7">
        <v>148.02000000000001</v>
      </c>
      <c r="AQ7" s="1">
        <v>11.64</v>
      </c>
      <c r="AR7" s="1" t="s">
        <v>96</v>
      </c>
      <c r="AS7">
        <v>74.53</v>
      </c>
      <c r="AT7">
        <v>5.15</v>
      </c>
      <c r="AU7" s="1" t="s">
        <v>96</v>
      </c>
      <c r="AV7" s="1" t="s">
        <v>96</v>
      </c>
      <c r="AW7" t="s">
        <v>96</v>
      </c>
      <c r="AX7" s="1" t="s">
        <v>96</v>
      </c>
      <c r="AY7">
        <v>1088.44</v>
      </c>
      <c r="AZ7">
        <v>13.88</v>
      </c>
      <c r="BA7">
        <v>322.76</v>
      </c>
      <c r="BB7" s="1" t="s">
        <v>96</v>
      </c>
      <c r="BC7">
        <v>321.13</v>
      </c>
      <c r="BD7" s="1" t="s">
        <v>96</v>
      </c>
      <c r="BE7" s="1" t="s">
        <v>96</v>
      </c>
      <c r="BF7">
        <v>24.9</v>
      </c>
      <c r="BG7" s="1">
        <v>14.26</v>
      </c>
      <c r="BH7" s="1" t="s">
        <v>96</v>
      </c>
      <c r="BI7">
        <v>115.47</v>
      </c>
      <c r="BJ7" t="s">
        <v>96</v>
      </c>
      <c r="BK7" s="1" t="s">
        <v>96</v>
      </c>
      <c r="BL7" s="1">
        <v>2.52</v>
      </c>
      <c r="BM7" t="s">
        <v>96</v>
      </c>
      <c r="BN7">
        <v>27.32</v>
      </c>
      <c r="BO7" t="s">
        <v>96</v>
      </c>
      <c r="BP7" t="s">
        <v>96</v>
      </c>
      <c r="BQ7" s="1" t="s">
        <v>96</v>
      </c>
      <c r="BR7" s="1" t="s">
        <v>96</v>
      </c>
      <c r="BS7" s="1" t="s">
        <v>96</v>
      </c>
      <c r="BT7" s="1" t="s">
        <v>96</v>
      </c>
      <c r="BU7" s="1" t="s">
        <v>96</v>
      </c>
      <c r="BV7">
        <v>131.88999999999999</v>
      </c>
      <c r="BW7">
        <v>25.89</v>
      </c>
      <c r="BX7" s="1" t="s">
        <v>96</v>
      </c>
      <c r="BY7">
        <v>12.46</v>
      </c>
      <c r="BZ7" t="s">
        <v>96</v>
      </c>
      <c r="CA7" s="1" t="s">
        <v>96</v>
      </c>
      <c r="CB7">
        <v>66.39</v>
      </c>
      <c r="CC7">
        <v>7.02</v>
      </c>
      <c r="CD7" s="1" t="s">
        <v>96</v>
      </c>
    </row>
    <row r="8" spans="1:82">
      <c r="A8">
        <v>207</v>
      </c>
      <c r="B8" t="s">
        <v>716</v>
      </c>
      <c r="D8" t="b">
        <v>1</v>
      </c>
      <c r="E8" t="s">
        <v>717</v>
      </c>
      <c r="F8">
        <v>314</v>
      </c>
      <c r="G8">
        <v>6</v>
      </c>
      <c r="J8" t="s">
        <v>718</v>
      </c>
      <c r="K8" t="s">
        <v>94</v>
      </c>
      <c r="L8" t="s">
        <v>95</v>
      </c>
      <c r="M8">
        <v>100</v>
      </c>
      <c r="N8" s="1" t="s">
        <v>96</v>
      </c>
      <c r="O8" s="1" t="s">
        <v>96</v>
      </c>
      <c r="P8">
        <v>20.6</v>
      </c>
      <c r="Q8" s="1" t="s">
        <v>96</v>
      </c>
      <c r="R8" s="1" t="s">
        <v>96</v>
      </c>
      <c r="S8" s="1">
        <v>5.69</v>
      </c>
      <c r="T8" s="1" t="s">
        <v>96</v>
      </c>
      <c r="U8" s="1" t="s">
        <v>96</v>
      </c>
      <c r="V8" s="1" t="s">
        <v>96</v>
      </c>
      <c r="W8" s="1" t="s">
        <v>96</v>
      </c>
      <c r="X8" s="1" t="s">
        <v>96</v>
      </c>
      <c r="Y8" s="1" t="s">
        <v>96</v>
      </c>
      <c r="Z8" t="s">
        <v>96</v>
      </c>
      <c r="AA8" s="1" t="s">
        <v>96</v>
      </c>
      <c r="AB8">
        <v>2.37</v>
      </c>
      <c r="AC8">
        <v>10.72</v>
      </c>
      <c r="AD8">
        <v>36.450000000000003</v>
      </c>
      <c r="AE8" s="1" t="s">
        <v>96</v>
      </c>
      <c r="AF8">
        <v>14.27</v>
      </c>
      <c r="AG8">
        <v>227.29</v>
      </c>
      <c r="AH8">
        <v>56.71</v>
      </c>
      <c r="AI8" s="1">
        <v>4.12</v>
      </c>
      <c r="AJ8" s="1">
        <v>2.13</v>
      </c>
      <c r="AK8" s="1" t="s">
        <v>96</v>
      </c>
      <c r="AL8" s="1" t="s">
        <v>96</v>
      </c>
      <c r="AM8" s="1" t="s">
        <v>96</v>
      </c>
      <c r="AN8" s="1" t="s">
        <v>96</v>
      </c>
      <c r="AO8" t="s">
        <v>96</v>
      </c>
      <c r="AP8">
        <v>21.07</v>
      </c>
      <c r="AQ8" s="1" t="s">
        <v>96</v>
      </c>
      <c r="AR8" s="1" t="s">
        <v>96</v>
      </c>
      <c r="AS8">
        <v>57.7</v>
      </c>
      <c r="AT8">
        <v>16.41</v>
      </c>
      <c r="AU8" s="1" t="s">
        <v>96</v>
      </c>
      <c r="AV8" s="1" t="s">
        <v>96</v>
      </c>
      <c r="AW8">
        <v>24.95</v>
      </c>
      <c r="AX8" s="1" t="s">
        <v>96</v>
      </c>
      <c r="AY8">
        <v>1903.06</v>
      </c>
      <c r="AZ8">
        <v>502.28</v>
      </c>
      <c r="BA8">
        <v>74.400000000000006</v>
      </c>
      <c r="BB8" s="1" t="s">
        <v>96</v>
      </c>
      <c r="BC8">
        <v>733.64</v>
      </c>
      <c r="BD8" s="1" t="s">
        <v>96</v>
      </c>
      <c r="BE8" s="1">
        <v>9.5399999999999991</v>
      </c>
      <c r="BF8">
        <v>34.81</v>
      </c>
      <c r="BG8" s="1">
        <v>12.12</v>
      </c>
      <c r="BH8" s="1" t="s">
        <v>96</v>
      </c>
      <c r="BI8">
        <v>499.57</v>
      </c>
      <c r="BJ8">
        <v>184.75</v>
      </c>
      <c r="BK8" s="1" t="s">
        <v>96</v>
      </c>
      <c r="BL8" s="1">
        <v>13.9</v>
      </c>
      <c r="BM8">
        <v>11.96</v>
      </c>
      <c r="BN8">
        <v>226.66</v>
      </c>
      <c r="BO8">
        <v>248.39</v>
      </c>
      <c r="BP8">
        <v>3.02</v>
      </c>
      <c r="BQ8" s="1" t="s">
        <v>96</v>
      </c>
      <c r="BR8" s="1" t="s">
        <v>96</v>
      </c>
      <c r="BS8" s="1" t="s">
        <v>96</v>
      </c>
      <c r="BT8" s="1" t="s">
        <v>96</v>
      </c>
      <c r="BU8" s="1">
        <v>16.28</v>
      </c>
      <c r="BV8">
        <v>161.51</v>
      </c>
      <c r="BW8">
        <v>47.48</v>
      </c>
      <c r="BX8" s="1" t="s">
        <v>96</v>
      </c>
      <c r="BY8">
        <v>495.22</v>
      </c>
      <c r="BZ8">
        <v>91.59</v>
      </c>
      <c r="CA8" s="1" t="s">
        <v>96</v>
      </c>
      <c r="CB8">
        <v>17.52</v>
      </c>
      <c r="CC8">
        <v>163.71</v>
      </c>
      <c r="CD8" s="1" t="s">
        <v>96</v>
      </c>
    </row>
    <row r="9" spans="1:82">
      <c r="A9">
        <v>105</v>
      </c>
      <c r="B9" t="s">
        <v>410</v>
      </c>
      <c r="D9" t="b">
        <v>1</v>
      </c>
      <c r="E9" t="s">
        <v>411</v>
      </c>
      <c r="F9">
        <v>156</v>
      </c>
      <c r="G9">
        <v>3</v>
      </c>
      <c r="J9" t="s">
        <v>412</v>
      </c>
      <c r="K9" t="s">
        <v>94</v>
      </c>
      <c r="L9" t="s">
        <v>95</v>
      </c>
      <c r="M9">
        <v>100</v>
      </c>
      <c r="N9" s="1" t="s">
        <v>96</v>
      </c>
      <c r="O9" s="1" t="s">
        <v>96</v>
      </c>
      <c r="P9">
        <v>16.3</v>
      </c>
      <c r="Q9" s="1" t="s">
        <v>96</v>
      </c>
      <c r="R9" s="1" t="s">
        <v>96</v>
      </c>
      <c r="S9" s="1">
        <v>5.62</v>
      </c>
      <c r="T9" s="1" t="s">
        <v>96</v>
      </c>
      <c r="U9" s="1">
        <v>14.92</v>
      </c>
      <c r="V9" s="1" t="s">
        <v>96</v>
      </c>
      <c r="W9" s="1" t="s">
        <v>96</v>
      </c>
      <c r="X9" s="1" t="s">
        <v>96</v>
      </c>
      <c r="Y9" s="1" t="s">
        <v>96</v>
      </c>
      <c r="Z9" t="s">
        <v>96</v>
      </c>
      <c r="AA9" s="1" t="s">
        <v>96</v>
      </c>
      <c r="AB9">
        <v>10.71</v>
      </c>
      <c r="AC9">
        <v>8.69</v>
      </c>
      <c r="AD9">
        <v>19.11</v>
      </c>
      <c r="AE9" s="1" t="s">
        <v>96</v>
      </c>
      <c r="AF9">
        <v>7.99</v>
      </c>
      <c r="AG9">
        <v>170.41</v>
      </c>
      <c r="AH9">
        <v>264.32</v>
      </c>
      <c r="AI9" s="1">
        <v>9.66</v>
      </c>
      <c r="AJ9" s="1">
        <v>2.0299999999999998</v>
      </c>
      <c r="AK9" s="1" t="s">
        <v>96</v>
      </c>
      <c r="AL9" s="1" t="s">
        <v>96</v>
      </c>
      <c r="AM9" s="1" t="s">
        <v>96</v>
      </c>
      <c r="AN9" s="1">
        <v>1.0900000000000001</v>
      </c>
      <c r="AO9">
        <v>2003.04</v>
      </c>
      <c r="AP9">
        <v>32.380000000000003</v>
      </c>
      <c r="AQ9" s="1" t="s">
        <v>96</v>
      </c>
      <c r="AR9" s="1">
        <v>9.0399999999999991</v>
      </c>
      <c r="AS9">
        <v>429.23</v>
      </c>
      <c r="AT9">
        <v>26.3</v>
      </c>
      <c r="AU9" s="1" t="s">
        <v>96</v>
      </c>
      <c r="AV9" s="1" t="s">
        <v>96</v>
      </c>
      <c r="AW9">
        <v>5.64</v>
      </c>
      <c r="AX9" s="1" t="s">
        <v>96</v>
      </c>
      <c r="AY9">
        <v>1585.53</v>
      </c>
      <c r="AZ9">
        <v>382.74</v>
      </c>
      <c r="BA9">
        <v>102.99</v>
      </c>
      <c r="BB9" s="1" t="s">
        <v>96</v>
      </c>
      <c r="BC9">
        <v>460.25</v>
      </c>
      <c r="BD9" s="1" t="s">
        <v>96</v>
      </c>
      <c r="BE9" s="1" t="s">
        <v>96</v>
      </c>
      <c r="BF9">
        <v>22.66</v>
      </c>
      <c r="BG9" s="1">
        <v>3.04</v>
      </c>
      <c r="BH9" s="1" t="s">
        <v>96</v>
      </c>
      <c r="BI9">
        <v>90.31</v>
      </c>
      <c r="BJ9">
        <v>21.05</v>
      </c>
      <c r="BK9" s="1" t="s">
        <v>96</v>
      </c>
      <c r="BL9" s="1">
        <v>2.79</v>
      </c>
      <c r="BM9">
        <v>4.74</v>
      </c>
      <c r="BN9">
        <v>26.08</v>
      </c>
      <c r="BO9">
        <v>93.56</v>
      </c>
      <c r="BP9">
        <v>27.6</v>
      </c>
      <c r="BQ9" s="1" t="s">
        <v>96</v>
      </c>
      <c r="BR9" s="1" t="s">
        <v>96</v>
      </c>
      <c r="BS9" s="1">
        <v>11.47</v>
      </c>
      <c r="BT9" s="1">
        <v>8.76</v>
      </c>
      <c r="BU9" s="1">
        <v>6.81</v>
      </c>
      <c r="BV9">
        <v>91.34</v>
      </c>
      <c r="BW9">
        <v>30.85</v>
      </c>
      <c r="BX9" s="1" t="s">
        <v>96</v>
      </c>
      <c r="BY9">
        <v>276.68</v>
      </c>
      <c r="BZ9">
        <v>9.58</v>
      </c>
      <c r="CA9" s="1" t="s">
        <v>96</v>
      </c>
      <c r="CB9">
        <v>12.57</v>
      </c>
      <c r="CC9">
        <v>46.93</v>
      </c>
      <c r="CD9" s="1" t="s">
        <v>96</v>
      </c>
    </row>
    <row r="10" spans="1:82">
      <c r="A10">
        <v>211</v>
      </c>
      <c r="B10" t="s">
        <v>728</v>
      </c>
      <c r="D10" t="b">
        <v>1</v>
      </c>
      <c r="E10" t="s">
        <v>729</v>
      </c>
      <c r="F10">
        <v>320</v>
      </c>
      <c r="G10">
        <v>6</v>
      </c>
      <c r="J10" t="s">
        <v>730</v>
      </c>
      <c r="K10" t="s">
        <v>94</v>
      </c>
      <c r="L10" t="s">
        <v>95</v>
      </c>
      <c r="M10">
        <v>100</v>
      </c>
      <c r="N10" s="1" t="s">
        <v>96</v>
      </c>
      <c r="O10" s="1" t="s">
        <v>96</v>
      </c>
      <c r="P10">
        <v>30.54</v>
      </c>
      <c r="Q10" s="1" t="s">
        <v>96</v>
      </c>
      <c r="R10" s="1" t="s">
        <v>96</v>
      </c>
      <c r="S10" s="1" t="s">
        <v>96</v>
      </c>
      <c r="T10" s="1" t="s">
        <v>96</v>
      </c>
      <c r="U10" s="1" t="s">
        <v>96</v>
      </c>
      <c r="V10" s="1" t="s">
        <v>96</v>
      </c>
      <c r="W10" s="1" t="s">
        <v>96</v>
      </c>
      <c r="X10" s="1" t="s">
        <v>96</v>
      </c>
      <c r="Y10" s="1" t="s">
        <v>96</v>
      </c>
      <c r="Z10" t="s">
        <v>96</v>
      </c>
      <c r="AA10" s="1" t="s">
        <v>96</v>
      </c>
      <c r="AB10">
        <v>84.75</v>
      </c>
      <c r="AC10" t="s">
        <v>96</v>
      </c>
      <c r="AD10">
        <v>2.29</v>
      </c>
      <c r="AE10" s="1" t="s">
        <v>96</v>
      </c>
      <c r="AF10" t="s">
        <v>96</v>
      </c>
      <c r="AG10" t="s">
        <v>96</v>
      </c>
      <c r="AH10">
        <v>325.95999999999998</v>
      </c>
      <c r="AI10" s="1" t="s">
        <v>96</v>
      </c>
      <c r="AJ10" s="1" t="s">
        <v>96</v>
      </c>
      <c r="AK10" s="1" t="s">
        <v>96</v>
      </c>
      <c r="AL10" s="1" t="s">
        <v>96</v>
      </c>
      <c r="AM10" s="1" t="s">
        <v>96</v>
      </c>
      <c r="AN10" s="1" t="s">
        <v>96</v>
      </c>
      <c r="AO10" t="s">
        <v>96</v>
      </c>
      <c r="AP10">
        <v>6.94</v>
      </c>
      <c r="AQ10" s="1" t="s">
        <v>96</v>
      </c>
      <c r="AR10" s="1" t="s">
        <v>96</v>
      </c>
      <c r="AS10">
        <v>14.78</v>
      </c>
      <c r="AT10">
        <v>4.03</v>
      </c>
      <c r="AU10" s="1" t="s">
        <v>96</v>
      </c>
      <c r="AV10" s="1" t="s">
        <v>96</v>
      </c>
      <c r="AW10" t="s">
        <v>96</v>
      </c>
      <c r="AX10" s="1">
        <v>4.1100000000000003</v>
      </c>
      <c r="AY10" t="s">
        <v>133</v>
      </c>
      <c r="AZ10">
        <v>8.6300000000000008</v>
      </c>
      <c r="BA10">
        <v>141.9</v>
      </c>
      <c r="BB10" s="1" t="s">
        <v>96</v>
      </c>
      <c r="BC10" t="s">
        <v>133</v>
      </c>
      <c r="BD10" s="1" t="s">
        <v>96</v>
      </c>
      <c r="BE10" s="1">
        <v>15.07</v>
      </c>
      <c r="BF10">
        <v>278.91000000000003</v>
      </c>
      <c r="BG10" s="1">
        <v>191.2</v>
      </c>
      <c r="BH10" s="1">
        <v>6.88</v>
      </c>
      <c r="BI10" t="s">
        <v>133</v>
      </c>
      <c r="BJ10">
        <v>14.58</v>
      </c>
      <c r="BK10" s="1" t="s">
        <v>96</v>
      </c>
      <c r="BL10" s="1">
        <v>895.31</v>
      </c>
      <c r="BM10">
        <v>16.72</v>
      </c>
      <c r="BN10" t="s">
        <v>133</v>
      </c>
      <c r="BO10">
        <v>80.41</v>
      </c>
      <c r="BP10" t="s">
        <v>96</v>
      </c>
      <c r="BQ10" s="1" t="s">
        <v>96</v>
      </c>
      <c r="BR10" s="1" t="s">
        <v>96</v>
      </c>
      <c r="BS10" s="1" t="s">
        <v>96</v>
      </c>
      <c r="BT10" s="1">
        <v>3.14</v>
      </c>
      <c r="BU10" s="1" t="s">
        <v>96</v>
      </c>
      <c r="BV10">
        <v>495.84</v>
      </c>
      <c r="BW10" t="s">
        <v>133</v>
      </c>
      <c r="BX10" s="1" t="s">
        <v>96</v>
      </c>
      <c r="BY10">
        <v>26.96</v>
      </c>
      <c r="BZ10" t="s">
        <v>96</v>
      </c>
      <c r="CA10" s="1">
        <v>13.85</v>
      </c>
      <c r="CB10">
        <v>12.73</v>
      </c>
      <c r="CC10" t="s">
        <v>96</v>
      </c>
      <c r="CD10" s="1" t="s">
        <v>96</v>
      </c>
    </row>
    <row r="11" spans="1:82">
      <c r="A11">
        <v>18</v>
      </c>
      <c r="B11" t="s">
        <v>149</v>
      </c>
      <c r="D11" t="b">
        <v>1</v>
      </c>
      <c r="E11" t="s">
        <v>150</v>
      </c>
      <c r="F11">
        <v>207</v>
      </c>
      <c r="G11">
        <v>1</v>
      </c>
      <c r="J11" t="s">
        <v>151</v>
      </c>
      <c r="K11" t="s">
        <v>94</v>
      </c>
      <c r="L11" t="s">
        <v>95</v>
      </c>
      <c r="M11">
        <v>100</v>
      </c>
      <c r="N11" s="1" t="s">
        <v>96</v>
      </c>
      <c r="O11" s="1" t="s">
        <v>96</v>
      </c>
      <c r="P11">
        <v>14.17</v>
      </c>
      <c r="Q11" s="1" t="s">
        <v>96</v>
      </c>
      <c r="R11" s="1" t="s">
        <v>96</v>
      </c>
      <c r="S11" s="1" t="s">
        <v>96</v>
      </c>
      <c r="T11" s="1" t="s">
        <v>96</v>
      </c>
      <c r="U11" s="1" t="s">
        <v>96</v>
      </c>
      <c r="V11" s="1" t="s">
        <v>96</v>
      </c>
      <c r="W11" s="1" t="s">
        <v>96</v>
      </c>
      <c r="X11" s="1" t="s">
        <v>96</v>
      </c>
      <c r="Y11" s="1" t="s">
        <v>96</v>
      </c>
      <c r="Z11" t="s">
        <v>96</v>
      </c>
      <c r="AA11" s="1" t="s">
        <v>96</v>
      </c>
      <c r="AB11">
        <v>3.33</v>
      </c>
      <c r="AC11">
        <v>5.75</v>
      </c>
      <c r="AD11">
        <v>97.23</v>
      </c>
      <c r="AE11" s="1" t="s">
        <v>96</v>
      </c>
      <c r="AF11">
        <v>11.66</v>
      </c>
      <c r="AG11">
        <v>160.26</v>
      </c>
      <c r="AH11">
        <v>168.19</v>
      </c>
      <c r="AI11" s="1" t="s">
        <v>96</v>
      </c>
      <c r="AJ11" s="1" t="s">
        <v>96</v>
      </c>
      <c r="AK11" s="1" t="s">
        <v>96</v>
      </c>
      <c r="AL11" s="1" t="s">
        <v>96</v>
      </c>
      <c r="AM11" s="1" t="s">
        <v>96</v>
      </c>
      <c r="AN11" s="1" t="s">
        <v>96</v>
      </c>
      <c r="AO11" t="s">
        <v>96</v>
      </c>
      <c r="AP11">
        <v>35.409999999999997</v>
      </c>
      <c r="AQ11" s="1" t="s">
        <v>96</v>
      </c>
      <c r="AR11" s="1" t="s">
        <v>96</v>
      </c>
      <c r="AS11">
        <v>73.510000000000005</v>
      </c>
      <c r="AT11">
        <v>4.7300000000000004</v>
      </c>
      <c r="AU11" s="1" t="s">
        <v>96</v>
      </c>
      <c r="AV11" s="1" t="s">
        <v>96</v>
      </c>
      <c r="AW11" t="s">
        <v>96</v>
      </c>
      <c r="AX11" s="1" t="s">
        <v>96</v>
      </c>
      <c r="AY11">
        <v>1569.1</v>
      </c>
      <c r="AZ11">
        <v>299.37</v>
      </c>
      <c r="BA11">
        <v>158.06</v>
      </c>
      <c r="BB11" s="1" t="s">
        <v>96</v>
      </c>
      <c r="BC11">
        <v>289.24</v>
      </c>
      <c r="BD11" s="1" t="s">
        <v>96</v>
      </c>
      <c r="BE11" s="1" t="s">
        <v>96</v>
      </c>
      <c r="BF11">
        <v>16.899999999999999</v>
      </c>
      <c r="BG11" s="1">
        <v>5.71</v>
      </c>
      <c r="BH11" s="1" t="s">
        <v>96</v>
      </c>
      <c r="BI11">
        <v>111.85</v>
      </c>
      <c r="BJ11">
        <v>27.94</v>
      </c>
      <c r="BK11" s="1" t="s">
        <v>96</v>
      </c>
      <c r="BL11" s="1" t="s">
        <v>96</v>
      </c>
      <c r="BM11">
        <v>5.66</v>
      </c>
      <c r="BN11">
        <v>25.11</v>
      </c>
      <c r="BO11">
        <v>15.81</v>
      </c>
      <c r="BP11" t="s">
        <v>96</v>
      </c>
      <c r="BQ11" s="1" t="s">
        <v>96</v>
      </c>
      <c r="BR11" s="1" t="s">
        <v>96</v>
      </c>
      <c r="BS11" s="1" t="s">
        <v>96</v>
      </c>
      <c r="BT11" s="1" t="s">
        <v>96</v>
      </c>
      <c r="BU11" s="1" t="s">
        <v>96</v>
      </c>
      <c r="BV11">
        <v>79.02</v>
      </c>
      <c r="BW11">
        <v>16.13</v>
      </c>
      <c r="BX11" s="1" t="s">
        <v>96</v>
      </c>
      <c r="BY11">
        <v>74.89</v>
      </c>
      <c r="BZ11">
        <v>18.14</v>
      </c>
      <c r="CA11" s="1" t="s">
        <v>96</v>
      </c>
      <c r="CB11">
        <v>35.65</v>
      </c>
      <c r="CC11">
        <v>92</v>
      </c>
      <c r="CD11" s="1" t="s">
        <v>96</v>
      </c>
    </row>
    <row r="12" spans="1:82">
      <c r="A12">
        <v>161</v>
      </c>
      <c r="B12" t="s">
        <v>578</v>
      </c>
      <c r="D12" t="b">
        <v>1</v>
      </c>
      <c r="E12" t="s">
        <v>579</v>
      </c>
      <c r="F12">
        <v>248</v>
      </c>
      <c r="G12">
        <v>5</v>
      </c>
      <c r="J12" t="s">
        <v>580</v>
      </c>
      <c r="K12" t="s">
        <v>94</v>
      </c>
      <c r="L12" t="s">
        <v>95</v>
      </c>
      <c r="M12">
        <v>100</v>
      </c>
      <c r="N12" s="1" t="s">
        <v>96</v>
      </c>
      <c r="O12" s="1" t="s">
        <v>96</v>
      </c>
      <c r="P12">
        <v>18.52</v>
      </c>
      <c r="Q12" s="1" t="s">
        <v>96</v>
      </c>
      <c r="R12" s="1" t="s">
        <v>96</v>
      </c>
      <c r="S12" s="1" t="s">
        <v>96</v>
      </c>
      <c r="T12" s="1" t="s">
        <v>96</v>
      </c>
      <c r="U12" s="1" t="s">
        <v>96</v>
      </c>
      <c r="V12" s="1" t="s">
        <v>96</v>
      </c>
      <c r="W12" s="1" t="s">
        <v>96</v>
      </c>
      <c r="X12" s="1" t="s">
        <v>96</v>
      </c>
      <c r="Y12" s="1" t="s">
        <v>96</v>
      </c>
      <c r="Z12">
        <v>1.78</v>
      </c>
      <c r="AA12" s="1" t="s">
        <v>96</v>
      </c>
      <c r="AB12">
        <v>7.05</v>
      </c>
      <c r="AC12">
        <v>4.88</v>
      </c>
      <c r="AD12">
        <v>729.73</v>
      </c>
      <c r="AE12" s="1" t="s">
        <v>96</v>
      </c>
      <c r="AF12">
        <v>16.32</v>
      </c>
      <c r="AG12">
        <v>126.19</v>
      </c>
      <c r="AH12">
        <v>91.84</v>
      </c>
      <c r="AI12" s="1" t="s">
        <v>96</v>
      </c>
      <c r="AJ12" s="1" t="s">
        <v>96</v>
      </c>
      <c r="AK12" s="1" t="s">
        <v>96</v>
      </c>
      <c r="AL12" s="1" t="s">
        <v>96</v>
      </c>
      <c r="AM12" s="1" t="s">
        <v>96</v>
      </c>
      <c r="AN12" s="1" t="s">
        <v>96</v>
      </c>
      <c r="AO12" t="s">
        <v>96</v>
      </c>
      <c r="AP12">
        <v>81.709999999999994</v>
      </c>
      <c r="AQ12" s="1">
        <v>3.61</v>
      </c>
      <c r="AR12" s="1" t="s">
        <v>96</v>
      </c>
      <c r="AS12">
        <v>38.47</v>
      </c>
      <c r="AT12">
        <v>3.46</v>
      </c>
      <c r="AU12" s="1" t="s">
        <v>96</v>
      </c>
      <c r="AV12" s="1" t="s">
        <v>96</v>
      </c>
      <c r="AW12">
        <v>4.29</v>
      </c>
      <c r="AX12" s="1" t="s">
        <v>96</v>
      </c>
      <c r="AY12">
        <v>2188.0700000000002</v>
      </c>
      <c r="AZ12">
        <v>356.97</v>
      </c>
      <c r="BA12">
        <v>467.69</v>
      </c>
      <c r="BB12" s="1" t="s">
        <v>96</v>
      </c>
      <c r="BC12">
        <v>918.56</v>
      </c>
      <c r="BD12" s="1" t="s">
        <v>96</v>
      </c>
      <c r="BE12" s="1">
        <v>6.7</v>
      </c>
      <c r="BF12">
        <v>19.57</v>
      </c>
      <c r="BG12" s="1">
        <v>55.33</v>
      </c>
      <c r="BH12" s="1" t="s">
        <v>96</v>
      </c>
      <c r="BI12">
        <v>438.97</v>
      </c>
      <c r="BJ12">
        <v>95.22</v>
      </c>
      <c r="BK12" s="1" t="s">
        <v>96</v>
      </c>
      <c r="BL12" s="1">
        <v>4.5599999999999996</v>
      </c>
      <c r="BM12" t="s">
        <v>96</v>
      </c>
      <c r="BN12">
        <v>238.41</v>
      </c>
      <c r="BO12">
        <v>28.78</v>
      </c>
      <c r="BP12" t="s">
        <v>96</v>
      </c>
      <c r="BQ12" s="1" t="s">
        <v>96</v>
      </c>
      <c r="BR12" s="1" t="s">
        <v>96</v>
      </c>
      <c r="BS12" s="1" t="s">
        <v>96</v>
      </c>
      <c r="BT12" s="1" t="s">
        <v>96</v>
      </c>
      <c r="BU12" s="1" t="s">
        <v>96</v>
      </c>
      <c r="BV12">
        <v>71.63</v>
      </c>
      <c r="BW12">
        <v>13.96</v>
      </c>
      <c r="BX12" s="1" t="s">
        <v>96</v>
      </c>
      <c r="BY12">
        <v>145</v>
      </c>
      <c r="BZ12">
        <v>11.46</v>
      </c>
      <c r="CA12" s="1">
        <v>15.76</v>
      </c>
      <c r="CB12">
        <v>108.98</v>
      </c>
      <c r="CC12">
        <v>35.81</v>
      </c>
      <c r="CD12" s="1" t="s">
        <v>96</v>
      </c>
    </row>
    <row r="13" spans="1:82">
      <c r="A13">
        <v>203</v>
      </c>
      <c r="B13" t="s">
        <v>704</v>
      </c>
      <c r="D13" t="b">
        <v>1</v>
      </c>
      <c r="E13" t="s">
        <v>705</v>
      </c>
      <c r="F13">
        <v>310</v>
      </c>
      <c r="G13">
        <v>6</v>
      </c>
      <c r="J13" t="s">
        <v>706</v>
      </c>
      <c r="K13" t="s">
        <v>94</v>
      </c>
      <c r="L13" t="s">
        <v>95</v>
      </c>
      <c r="M13">
        <v>100</v>
      </c>
      <c r="N13" s="1" t="s">
        <v>96</v>
      </c>
      <c r="O13" s="1" t="s">
        <v>96</v>
      </c>
      <c r="P13">
        <v>12.7</v>
      </c>
      <c r="Q13" s="1" t="s">
        <v>96</v>
      </c>
      <c r="R13" s="1" t="s">
        <v>96</v>
      </c>
      <c r="S13" s="1" t="s">
        <v>96</v>
      </c>
      <c r="T13" s="1" t="s">
        <v>96</v>
      </c>
      <c r="U13" s="1" t="s">
        <v>96</v>
      </c>
      <c r="V13" s="1" t="s">
        <v>96</v>
      </c>
      <c r="W13" s="1" t="s">
        <v>96</v>
      </c>
      <c r="X13" s="1" t="s">
        <v>96</v>
      </c>
      <c r="Y13" s="1" t="s">
        <v>96</v>
      </c>
      <c r="Z13" t="s">
        <v>96</v>
      </c>
      <c r="AA13" s="1" t="s">
        <v>96</v>
      </c>
      <c r="AB13">
        <v>7.38</v>
      </c>
      <c r="AC13">
        <v>3.67</v>
      </c>
      <c r="AD13">
        <v>27.12</v>
      </c>
      <c r="AE13" s="1" t="s">
        <v>96</v>
      </c>
      <c r="AF13" t="s">
        <v>96</v>
      </c>
      <c r="AG13">
        <v>117.13</v>
      </c>
      <c r="AH13">
        <v>259.51</v>
      </c>
      <c r="AI13" s="1" t="s">
        <v>96</v>
      </c>
      <c r="AJ13" s="1" t="s">
        <v>96</v>
      </c>
      <c r="AK13" s="1" t="s">
        <v>96</v>
      </c>
      <c r="AL13" s="1" t="s">
        <v>96</v>
      </c>
      <c r="AM13" s="1" t="s">
        <v>96</v>
      </c>
      <c r="AN13" s="1" t="s">
        <v>96</v>
      </c>
      <c r="AO13">
        <v>101.12</v>
      </c>
      <c r="AP13">
        <v>49.75</v>
      </c>
      <c r="AQ13" s="1" t="s">
        <v>96</v>
      </c>
      <c r="AR13" s="1" t="s">
        <v>96</v>
      </c>
      <c r="AS13">
        <v>248.56</v>
      </c>
      <c r="AT13">
        <v>12.19</v>
      </c>
      <c r="AU13" s="1" t="s">
        <v>96</v>
      </c>
      <c r="AV13" s="1" t="s">
        <v>96</v>
      </c>
      <c r="AW13" t="s">
        <v>96</v>
      </c>
      <c r="AX13" s="1" t="s">
        <v>96</v>
      </c>
      <c r="AY13">
        <v>2497.25</v>
      </c>
      <c r="AZ13">
        <v>405.52</v>
      </c>
      <c r="BA13">
        <v>270.97000000000003</v>
      </c>
      <c r="BB13" s="1" t="s">
        <v>96</v>
      </c>
      <c r="BC13" t="s">
        <v>133</v>
      </c>
      <c r="BD13" s="1" t="s">
        <v>96</v>
      </c>
      <c r="BE13" s="1">
        <v>4.2</v>
      </c>
      <c r="BF13">
        <v>51.59</v>
      </c>
      <c r="BG13" s="1">
        <v>21.56</v>
      </c>
      <c r="BH13" s="1" t="s">
        <v>96</v>
      </c>
      <c r="BI13">
        <v>378.3</v>
      </c>
      <c r="BJ13">
        <v>102.73</v>
      </c>
      <c r="BK13" s="1" t="s">
        <v>96</v>
      </c>
      <c r="BL13" s="1">
        <v>11.94</v>
      </c>
      <c r="BM13">
        <v>5.85</v>
      </c>
      <c r="BN13">
        <v>186.06</v>
      </c>
      <c r="BO13">
        <v>177.56</v>
      </c>
      <c r="BP13" t="s">
        <v>96</v>
      </c>
      <c r="BQ13" s="1" t="s">
        <v>96</v>
      </c>
      <c r="BR13" s="1" t="s">
        <v>96</v>
      </c>
      <c r="BS13" s="1" t="s">
        <v>96</v>
      </c>
      <c r="BT13" s="1" t="s">
        <v>96</v>
      </c>
      <c r="BU13" s="1" t="s">
        <v>96</v>
      </c>
      <c r="BV13">
        <v>154.82</v>
      </c>
      <c r="BW13">
        <v>37.79</v>
      </c>
      <c r="BX13" s="1">
        <v>5.24</v>
      </c>
      <c r="BY13">
        <v>232.66</v>
      </c>
      <c r="BZ13">
        <v>38.24</v>
      </c>
      <c r="CA13" s="1" t="s">
        <v>96</v>
      </c>
      <c r="CB13">
        <v>42.15</v>
      </c>
      <c r="CC13">
        <v>104.72</v>
      </c>
      <c r="CD13" s="1" t="s">
        <v>96</v>
      </c>
    </row>
    <row r="14" spans="1:82">
      <c r="A14">
        <v>21</v>
      </c>
      <c r="B14" t="s">
        <v>158</v>
      </c>
      <c r="D14" t="b">
        <v>1</v>
      </c>
      <c r="E14" t="s">
        <v>159</v>
      </c>
      <c r="F14">
        <v>212</v>
      </c>
      <c r="G14">
        <v>1</v>
      </c>
      <c r="J14" t="s">
        <v>160</v>
      </c>
      <c r="K14" t="s">
        <v>94</v>
      </c>
      <c r="L14" t="s">
        <v>95</v>
      </c>
      <c r="M14">
        <v>100</v>
      </c>
      <c r="N14" s="1" t="s">
        <v>96</v>
      </c>
      <c r="O14" s="1" t="s">
        <v>96</v>
      </c>
      <c r="P14">
        <v>22</v>
      </c>
      <c r="Q14" s="1" t="s">
        <v>96</v>
      </c>
      <c r="R14" s="1" t="s">
        <v>96</v>
      </c>
      <c r="S14" s="1">
        <v>6.86</v>
      </c>
      <c r="T14" s="1" t="s">
        <v>96</v>
      </c>
      <c r="U14" s="1" t="s">
        <v>96</v>
      </c>
      <c r="V14" s="1" t="s">
        <v>96</v>
      </c>
      <c r="W14" s="1" t="s">
        <v>96</v>
      </c>
      <c r="X14" s="1" t="s">
        <v>96</v>
      </c>
      <c r="Y14" s="1" t="s">
        <v>96</v>
      </c>
      <c r="Z14" t="s">
        <v>96</v>
      </c>
      <c r="AA14" s="1" t="s">
        <v>96</v>
      </c>
      <c r="AB14" t="s">
        <v>96</v>
      </c>
      <c r="AC14">
        <v>3.2</v>
      </c>
      <c r="AD14">
        <v>114.02</v>
      </c>
      <c r="AE14" s="1" t="s">
        <v>96</v>
      </c>
      <c r="AF14" t="s">
        <v>96</v>
      </c>
      <c r="AG14">
        <v>23.35</v>
      </c>
      <c r="AH14">
        <v>8.4</v>
      </c>
      <c r="AI14" s="1">
        <v>9.6199999999999992</v>
      </c>
      <c r="AJ14" s="1">
        <v>3.76</v>
      </c>
      <c r="AK14" s="1" t="s">
        <v>96</v>
      </c>
      <c r="AL14" s="1" t="s">
        <v>96</v>
      </c>
      <c r="AM14" s="1" t="s">
        <v>96</v>
      </c>
      <c r="AN14" s="1" t="s">
        <v>96</v>
      </c>
      <c r="AO14">
        <v>105.31</v>
      </c>
      <c r="AP14">
        <v>12.8</v>
      </c>
      <c r="AQ14" s="1" t="s">
        <v>96</v>
      </c>
      <c r="AR14" s="1">
        <v>1.89</v>
      </c>
      <c r="AS14">
        <v>3.09</v>
      </c>
      <c r="AT14" t="s">
        <v>96</v>
      </c>
      <c r="AU14" s="1" t="s">
        <v>96</v>
      </c>
      <c r="AV14" s="1" t="s">
        <v>96</v>
      </c>
      <c r="AW14" t="s">
        <v>96</v>
      </c>
      <c r="AX14" s="1" t="s">
        <v>96</v>
      </c>
      <c r="AY14">
        <v>313.42</v>
      </c>
      <c r="AZ14">
        <v>120.41</v>
      </c>
      <c r="BA14">
        <v>24.71</v>
      </c>
      <c r="BB14" s="1" t="s">
        <v>96</v>
      </c>
      <c r="BC14">
        <v>37.81</v>
      </c>
      <c r="BD14" s="1" t="s">
        <v>96</v>
      </c>
      <c r="BE14" s="1" t="s">
        <v>96</v>
      </c>
      <c r="BF14">
        <v>4.96</v>
      </c>
      <c r="BG14" s="1">
        <v>2.82</v>
      </c>
      <c r="BH14" s="1" t="s">
        <v>96</v>
      </c>
      <c r="BI14">
        <v>119.15</v>
      </c>
      <c r="BJ14">
        <v>30.28</v>
      </c>
      <c r="BK14" s="1" t="s">
        <v>96</v>
      </c>
      <c r="BL14" s="1" t="s">
        <v>96</v>
      </c>
      <c r="BM14" t="s">
        <v>96</v>
      </c>
      <c r="BN14">
        <v>11.2</v>
      </c>
      <c r="BO14">
        <v>123.62</v>
      </c>
      <c r="BP14">
        <v>5.19</v>
      </c>
      <c r="BQ14" s="1" t="s">
        <v>96</v>
      </c>
      <c r="BR14" s="1" t="s">
        <v>96</v>
      </c>
      <c r="BS14" s="1" t="s">
        <v>96</v>
      </c>
      <c r="BT14" s="1" t="s">
        <v>96</v>
      </c>
      <c r="BU14" s="1" t="s">
        <v>96</v>
      </c>
      <c r="BV14">
        <v>39.840000000000003</v>
      </c>
      <c r="BW14">
        <v>13.51</v>
      </c>
      <c r="BX14" s="1" t="s">
        <v>96</v>
      </c>
      <c r="BY14">
        <v>752.29</v>
      </c>
      <c r="BZ14">
        <v>19.12</v>
      </c>
      <c r="CA14" s="1" t="s">
        <v>96</v>
      </c>
      <c r="CB14">
        <v>11.74</v>
      </c>
      <c r="CC14">
        <v>56.52</v>
      </c>
      <c r="CD14" s="1" t="s">
        <v>96</v>
      </c>
    </row>
    <row r="15" spans="1:82">
      <c r="A15">
        <v>4</v>
      </c>
      <c r="B15" t="s">
        <v>106</v>
      </c>
      <c r="D15" t="b">
        <v>1</v>
      </c>
      <c r="E15" t="s">
        <v>107</v>
      </c>
      <c r="F15">
        <v>191</v>
      </c>
      <c r="G15">
        <v>1</v>
      </c>
      <c r="J15" t="s">
        <v>108</v>
      </c>
      <c r="K15" t="s">
        <v>94</v>
      </c>
      <c r="L15" t="s">
        <v>95</v>
      </c>
      <c r="M15">
        <v>100</v>
      </c>
      <c r="N15" s="1" t="s">
        <v>96</v>
      </c>
      <c r="O15" s="1" t="s">
        <v>96</v>
      </c>
      <c r="P15">
        <v>22.68</v>
      </c>
      <c r="Q15" s="1" t="s">
        <v>96</v>
      </c>
      <c r="R15" s="1" t="s">
        <v>96</v>
      </c>
      <c r="S15" s="1">
        <v>8.81</v>
      </c>
      <c r="T15" s="1" t="s">
        <v>96</v>
      </c>
      <c r="U15" s="1" t="s">
        <v>96</v>
      </c>
      <c r="V15" s="1" t="s">
        <v>96</v>
      </c>
      <c r="W15" s="1" t="s">
        <v>96</v>
      </c>
      <c r="X15" s="1" t="s">
        <v>96</v>
      </c>
      <c r="Y15" s="1" t="s">
        <v>96</v>
      </c>
      <c r="Z15">
        <v>1.99</v>
      </c>
      <c r="AA15" s="1" t="s">
        <v>96</v>
      </c>
      <c r="AB15">
        <v>6.73</v>
      </c>
      <c r="AC15">
        <v>9.39</v>
      </c>
      <c r="AD15">
        <v>77.260000000000005</v>
      </c>
      <c r="AE15" s="1" t="s">
        <v>96</v>
      </c>
      <c r="AF15">
        <v>86.2</v>
      </c>
      <c r="AG15">
        <v>760.12</v>
      </c>
      <c r="AH15">
        <v>247.85</v>
      </c>
      <c r="AI15" s="1" t="s">
        <v>96</v>
      </c>
      <c r="AJ15" s="1">
        <v>5.46</v>
      </c>
      <c r="AK15" s="1" t="s">
        <v>96</v>
      </c>
      <c r="AL15" s="1" t="s">
        <v>96</v>
      </c>
      <c r="AM15" s="1" t="s">
        <v>96</v>
      </c>
      <c r="AN15" s="1" t="s">
        <v>96</v>
      </c>
      <c r="AO15">
        <v>118.17</v>
      </c>
      <c r="AP15">
        <v>87.52</v>
      </c>
      <c r="AQ15" s="1" t="s">
        <v>96</v>
      </c>
      <c r="AR15" s="1">
        <v>1.1399999999999999</v>
      </c>
      <c r="AS15">
        <v>13.64</v>
      </c>
      <c r="AT15">
        <v>4.8</v>
      </c>
      <c r="AU15" s="1" t="s">
        <v>96</v>
      </c>
      <c r="AV15" s="1" t="s">
        <v>96</v>
      </c>
      <c r="AW15">
        <v>9.58</v>
      </c>
      <c r="AX15" s="1" t="s">
        <v>96</v>
      </c>
      <c r="AY15">
        <v>644.85</v>
      </c>
      <c r="AZ15">
        <v>583.61</v>
      </c>
      <c r="BA15">
        <v>62.81</v>
      </c>
      <c r="BB15" s="1" t="s">
        <v>96</v>
      </c>
      <c r="BC15">
        <v>141.22999999999999</v>
      </c>
      <c r="BD15" s="1" t="s">
        <v>96</v>
      </c>
      <c r="BE15" s="1">
        <v>3.16</v>
      </c>
      <c r="BF15">
        <v>9.44</v>
      </c>
      <c r="BG15" s="1">
        <v>3.21</v>
      </c>
      <c r="BH15" s="1" t="s">
        <v>96</v>
      </c>
      <c r="BI15">
        <v>96.78</v>
      </c>
      <c r="BJ15">
        <v>105.12</v>
      </c>
      <c r="BK15" s="1" t="s">
        <v>96</v>
      </c>
      <c r="BL15" s="1" t="s">
        <v>96</v>
      </c>
      <c r="BM15">
        <v>2.81</v>
      </c>
      <c r="BN15">
        <v>37.15</v>
      </c>
      <c r="BO15">
        <v>26.7</v>
      </c>
      <c r="BP15">
        <v>3.03</v>
      </c>
      <c r="BQ15" s="1" t="s">
        <v>96</v>
      </c>
      <c r="BR15" s="1" t="s">
        <v>96</v>
      </c>
      <c r="BS15" s="1" t="s">
        <v>96</v>
      </c>
      <c r="BT15" s="1" t="s">
        <v>96</v>
      </c>
      <c r="BU15" s="1">
        <v>9.69</v>
      </c>
      <c r="BV15">
        <v>24.12</v>
      </c>
      <c r="BW15">
        <v>6.49</v>
      </c>
      <c r="BX15" s="1" t="s">
        <v>96</v>
      </c>
      <c r="BY15">
        <v>154.04</v>
      </c>
      <c r="BZ15">
        <v>16.93</v>
      </c>
      <c r="CA15" s="1" t="s">
        <v>96</v>
      </c>
      <c r="CB15">
        <v>7.78</v>
      </c>
      <c r="CC15">
        <v>49.26</v>
      </c>
      <c r="CD15" s="1" t="s">
        <v>96</v>
      </c>
    </row>
    <row r="16" spans="1:82">
      <c r="A16">
        <v>223</v>
      </c>
      <c r="B16" t="s">
        <v>764</v>
      </c>
      <c r="D16" t="b">
        <v>1</v>
      </c>
      <c r="E16" t="s">
        <v>765</v>
      </c>
      <c r="F16">
        <v>334</v>
      </c>
      <c r="G16">
        <v>6</v>
      </c>
      <c r="J16" t="s">
        <v>766</v>
      </c>
      <c r="K16" t="s">
        <v>94</v>
      </c>
      <c r="L16" t="s">
        <v>95</v>
      </c>
      <c r="M16">
        <v>100</v>
      </c>
      <c r="N16" s="1" t="s">
        <v>96</v>
      </c>
      <c r="O16" s="1" t="s">
        <v>96</v>
      </c>
      <c r="P16">
        <v>9.2100000000000009</v>
      </c>
      <c r="Q16" s="1" t="s">
        <v>96</v>
      </c>
      <c r="R16" s="1" t="s">
        <v>96</v>
      </c>
      <c r="S16" s="1" t="s">
        <v>96</v>
      </c>
      <c r="T16" s="1" t="s">
        <v>96</v>
      </c>
      <c r="U16" s="1" t="s">
        <v>96</v>
      </c>
      <c r="V16" s="1" t="s">
        <v>96</v>
      </c>
      <c r="W16" s="1" t="s">
        <v>96</v>
      </c>
      <c r="X16" s="1" t="s">
        <v>96</v>
      </c>
      <c r="Y16" s="1" t="s">
        <v>96</v>
      </c>
      <c r="Z16" t="s">
        <v>96</v>
      </c>
      <c r="AA16" s="1" t="s">
        <v>96</v>
      </c>
      <c r="AB16">
        <v>2.88</v>
      </c>
      <c r="AC16">
        <v>3.81</v>
      </c>
      <c r="AD16">
        <v>215.43</v>
      </c>
      <c r="AE16" s="1" t="s">
        <v>96</v>
      </c>
      <c r="AF16">
        <v>12.94</v>
      </c>
      <c r="AG16">
        <v>47.2</v>
      </c>
      <c r="AH16">
        <v>16.07</v>
      </c>
      <c r="AI16" s="1" t="s">
        <v>96</v>
      </c>
      <c r="AJ16" s="1" t="s">
        <v>96</v>
      </c>
      <c r="AK16" s="1" t="s">
        <v>96</v>
      </c>
      <c r="AL16" s="1" t="s">
        <v>96</v>
      </c>
      <c r="AM16" s="1" t="s">
        <v>96</v>
      </c>
      <c r="AN16" s="1" t="s">
        <v>96</v>
      </c>
      <c r="AO16">
        <v>384.11</v>
      </c>
      <c r="AP16">
        <v>22.05</v>
      </c>
      <c r="AQ16" s="1">
        <v>1.43</v>
      </c>
      <c r="AR16" s="1" t="s">
        <v>96</v>
      </c>
      <c r="AS16">
        <v>14.93</v>
      </c>
      <c r="AT16">
        <v>2.76</v>
      </c>
      <c r="AU16" s="1" t="s">
        <v>96</v>
      </c>
      <c r="AV16" s="1" t="s">
        <v>96</v>
      </c>
      <c r="AW16">
        <v>3.72</v>
      </c>
      <c r="AX16" s="1" t="s">
        <v>96</v>
      </c>
      <c r="AY16">
        <v>1403.28</v>
      </c>
      <c r="AZ16">
        <v>198.22</v>
      </c>
      <c r="BA16">
        <v>128.41999999999999</v>
      </c>
      <c r="BB16" s="1" t="s">
        <v>96</v>
      </c>
      <c r="BC16">
        <v>489.32</v>
      </c>
      <c r="BD16" s="1" t="s">
        <v>96</v>
      </c>
      <c r="BE16" s="1" t="s">
        <v>96</v>
      </c>
      <c r="BF16">
        <v>30.67</v>
      </c>
      <c r="BG16" s="1">
        <v>3.22</v>
      </c>
      <c r="BH16" s="1" t="s">
        <v>96</v>
      </c>
      <c r="BI16">
        <v>105.82</v>
      </c>
      <c r="BJ16">
        <v>20.28</v>
      </c>
      <c r="BK16" s="1" t="s">
        <v>96</v>
      </c>
      <c r="BL16" s="1">
        <v>3.16</v>
      </c>
      <c r="BM16">
        <v>4.41</v>
      </c>
      <c r="BN16">
        <v>51.68</v>
      </c>
      <c r="BO16">
        <v>25.08</v>
      </c>
      <c r="BP16" t="s">
        <v>96</v>
      </c>
      <c r="BQ16" s="1" t="s">
        <v>96</v>
      </c>
      <c r="BR16" s="1" t="s">
        <v>96</v>
      </c>
      <c r="BS16" s="1" t="s">
        <v>96</v>
      </c>
      <c r="BT16" s="1" t="s">
        <v>96</v>
      </c>
      <c r="BU16" s="1" t="s">
        <v>96</v>
      </c>
      <c r="BV16">
        <v>141.5</v>
      </c>
      <c r="BW16">
        <v>17.14</v>
      </c>
      <c r="BX16" s="1" t="s">
        <v>96</v>
      </c>
      <c r="BY16">
        <v>204.37</v>
      </c>
      <c r="BZ16" t="s">
        <v>96</v>
      </c>
      <c r="CA16" s="1" t="s">
        <v>96</v>
      </c>
      <c r="CB16">
        <v>83.82</v>
      </c>
      <c r="CC16">
        <v>27.66</v>
      </c>
      <c r="CD16" s="1" t="s">
        <v>96</v>
      </c>
    </row>
    <row r="17" spans="1:82">
      <c r="A17">
        <v>75</v>
      </c>
      <c r="B17" t="s">
        <v>320</v>
      </c>
      <c r="D17" t="b">
        <v>1</v>
      </c>
      <c r="E17" t="s">
        <v>321</v>
      </c>
      <c r="F17">
        <v>108</v>
      </c>
      <c r="G17">
        <v>2</v>
      </c>
      <c r="J17" t="s">
        <v>322</v>
      </c>
      <c r="K17" t="s">
        <v>94</v>
      </c>
      <c r="L17" t="s">
        <v>95</v>
      </c>
      <c r="M17">
        <v>100</v>
      </c>
      <c r="N17" s="1" t="s">
        <v>96</v>
      </c>
      <c r="O17" s="1" t="s">
        <v>96</v>
      </c>
      <c r="P17">
        <v>14.36</v>
      </c>
      <c r="Q17" s="1" t="s">
        <v>96</v>
      </c>
      <c r="R17" s="1" t="s">
        <v>96</v>
      </c>
      <c r="S17" s="1">
        <v>12.66</v>
      </c>
      <c r="T17" s="1" t="s">
        <v>96</v>
      </c>
      <c r="U17" s="1" t="s">
        <v>96</v>
      </c>
      <c r="V17" s="1" t="s">
        <v>96</v>
      </c>
      <c r="W17" s="1" t="s">
        <v>96</v>
      </c>
      <c r="X17" s="1" t="s">
        <v>96</v>
      </c>
      <c r="Y17" s="1" t="s">
        <v>96</v>
      </c>
      <c r="Z17">
        <v>1.81</v>
      </c>
      <c r="AA17" s="1" t="s">
        <v>96</v>
      </c>
      <c r="AB17">
        <v>9.01</v>
      </c>
      <c r="AC17">
        <v>13.84</v>
      </c>
      <c r="AD17">
        <v>34.17</v>
      </c>
      <c r="AE17" s="1" t="s">
        <v>96</v>
      </c>
      <c r="AF17">
        <v>40.520000000000003</v>
      </c>
      <c r="AG17" t="s">
        <v>133</v>
      </c>
      <c r="AH17" t="s">
        <v>133</v>
      </c>
      <c r="AI17" s="1" t="s">
        <v>96</v>
      </c>
      <c r="AJ17" s="1" t="s">
        <v>96</v>
      </c>
      <c r="AK17" s="1" t="s">
        <v>96</v>
      </c>
      <c r="AL17" s="1" t="s">
        <v>96</v>
      </c>
      <c r="AM17" s="1" t="s">
        <v>96</v>
      </c>
      <c r="AN17" s="1">
        <v>1.54</v>
      </c>
      <c r="AO17">
        <v>245.45</v>
      </c>
      <c r="AP17">
        <v>61.74</v>
      </c>
      <c r="AQ17" s="1" t="s">
        <v>96</v>
      </c>
      <c r="AR17" s="1">
        <v>2.83</v>
      </c>
      <c r="AS17" t="s">
        <v>133</v>
      </c>
      <c r="AT17">
        <v>13.94</v>
      </c>
      <c r="AU17" s="1" t="s">
        <v>96</v>
      </c>
      <c r="AV17" s="1" t="s">
        <v>96</v>
      </c>
      <c r="AW17">
        <v>3.04</v>
      </c>
      <c r="AX17" s="1" t="s">
        <v>96</v>
      </c>
      <c r="AY17">
        <v>403.28</v>
      </c>
      <c r="AZ17">
        <v>161.78</v>
      </c>
      <c r="BA17">
        <v>19.64</v>
      </c>
      <c r="BB17" s="1" t="s">
        <v>96</v>
      </c>
      <c r="BC17">
        <v>127.02</v>
      </c>
      <c r="BD17" s="1" t="s">
        <v>96</v>
      </c>
      <c r="BE17" s="1" t="s">
        <v>96</v>
      </c>
      <c r="BF17">
        <v>6.18</v>
      </c>
      <c r="BG17" s="1" t="s">
        <v>96</v>
      </c>
      <c r="BH17" s="1" t="s">
        <v>96</v>
      </c>
      <c r="BI17">
        <v>12.69</v>
      </c>
      <c r="BJ17">
        <v>4.7300000000000004</v>
      </c>
      <c r="BK17" s="1" t="s">
        <v>96</v>
      </c>
      <c r="BL17" s="1" t="s">
        <v>96</v>
      </c>
      <c r="BM17" t="s">
        <v>96</v>
      </c>
      <c r="BN17">
        <v>2.5299999999999998</v>
      </c>
      <c r="BO17">
        <v>13.16</v>
      </c>
      <c r="BP17">
        <v>9.7100000000000009</v>
      </c>
      <c r="BQ17" s="1" t="s">
        <v>96</v>
      </c>
      <c r="BR17" s="1" t="s">
        <v>96</v>
      </c>
      <c r="BS17" s="1">
        <v>22.53</v>
      </c>
      <c r="BT17" s="1">
        <v>9.89</v>
      </c>
      <c r="BU17" s="1">
        <v>16.97</v>
      </c>
      <c r="BV17">
        <v>45.24</v>
      </c>
      <c r="BW17" t="s">
        <v>96</v>
      </c>
      <c r="BX17" s="1" t="s">
        <v>96</v>
      </c>
      <c r="BY17">
        <v>365.87</v>
      </c>
      <c r="BZ17" t="s">
        <v>96</v>
      </c>
      <c r="CA17" s="1" t="s">
        <v>96</v>
      </c>
      <c r="CB17">
        <v>7.28</v>
      </c>
      <c r="CC17">
        <v>51.77</v>
      </c>
      <c r="CD17" s="1" t="s">
        <v>96</v>
      </c>
    </row>
    <row r="18" spans="1:82">
      <c r="A18">
        <v>95</v>
      </c>
      <c r="B18" t="s">
        <v>380</v>
      </c>
      <c r="D18" t="b">
        <v>1</v>
      </c>
      <c r="E18" t="s">
        <v>381</v>
      </c>
      <c r="F18">
        <v>144</v>
      </c>
      <c r="G18">
        <v>3</v>
      </c>
      <c r="J18" t="s">
        <v>382</v>
      </c>
      <c r="K18" t="s">
        <v>94</v>
      </c>
      <c r="L18" t="s">
        <v>95</v>
      </c>
      <c r="M18">
        <v>100</v>
      </c>
      <c r="N18" s="1" t="s">
        <v>96</v>
      </c>
      <c r="O18" s="1" t="s">
        <v>96</v>
      </c>
      <c r="P18">
        <v>16.66</v>
      </c>
      <c r="Q18" s="1" t="s">
        <v>96</v>
      </c>
      <c r="R18" s="1" t="s">
        <v>96</v>
      </c>
      <c r="S18" s="1" t="s">
        <v>96</v>
      </c>
      <c r="T18" s="1" t="s">
        <v>96</v>
      </c>
      <c r="U18" s="1" t="s">
        <v>96</v>
      </c>
      <c r="V18" s="1" t="s">
        <v>96</v>
      </c>
      <c r="W18" s="1" t="s">
        <v>96</v>
      </c>
      <c r="X18" s="1" t="s">
        <v>96</v>
      </c>
      <c r="Y18" s="1" t="s">
        <v>96</v>
      </c>
      <c r="Z18" t="s">
        <v>96</v>
      </c>
      <c r="AA18" s="1" t="s">
        <v>96</v>
      </c>
      <c r="AB18" t="s">
        <v>96</v>
      </c>
      <c r="AC18" t="s">
        <v>96</v>
      </c>
      <c r="AD18">
        <v>7.23</v>
      </c>
      <c r="AE18" s="1" t="s">
        <v>96</v>
      </c>
      <c r="AF18" t="s">
        <v>96</v>
      </c>
      <c r="AG18">
        <v>3.31</v>
      </c>
      <c r="AH18">
        <v>6.32</v>
      </c>
      <c r="AI18" s="1" t="s">
        <v>96</v>
      </c>
      <c r="AJ18" s="1">
        <v>4.42</v>
      </c>
      <c r="AK18" s="1" t="s">
        <v>96</v>
      </c>
      <c r="AL18" s="1" t="s">
        <v>96</v>
      </c>
      <c r="AM18" s="1" t="s">
        <v>96</v>
      </c>
      <c r="AN18" s="1" t="s">
        <v>96</v>
      </c>
      <c r="AO18" t="s">
        <v>96</v>
      </c>
      <c r="AP18">
        <v>2.2599999999999998</v>
      </c>
      <c r="AQ18" s="1" t="s">
        <v>96</v>
      </c>
      <c r="AR18" s="1" t="s">
        <v>96</v>
      </c>
      <c r="AS18">
        <v>8.61</v>
      </c>
      <c r="AT18" t="s">
        <v>96</v>
      </c>
      <c r="AU18" s="1" t="s">
        <v>96</v>
      </c>
      <c r="AV18" s="1" t="s">
        <v>96</v>
      </c>
      <c r="AW18" t="s">
        <v>96</v>
      </c>
      <c r="AX18" s="1" t="s">
        <v>96</v>
      </c>
      <c r="AY18">
        <v>257.68</v>
      </c>
      <c r="AZ18">
        <v>31.96</v>
      </c>
      <c r="BA18">
        <v>9.2100000000000009</v>
      </c>
      <c r="BB18" s="1" t="s">
        <v>96</v>
      </c>
      <c r="BC18">
        <v>69.61</v>
      </c>
      <c r="BD18" s="1" t="s">
        <v>96</v>
      </c>
      <c r="BE18" s="1" t="s">
        <v>96</v>
      </c>
      <c r="BF18">
        <v>5.7</v>
      </c>
      <c r="BG18" s="1" t="s">
        <v>96</v>
      </c>
      <c r="BH18" s="1" t="s">
        <v>96</v>
      </c>
      <c r="BI18">
        <v>42.01</v>
      </c>
      <c r="BJ18">
        <v>7.11</v>
      </c>
      <c r="BK18" s="1" t="s">
        <v>96</v>
      </c>
      <c r="BL18" s="1" t="s">
        <v>96</v>
      </c>
      <c r="BM18" t="s">
        <v>96</v>
      </c>
      <c r="BN18">
        <v>8.02</v>
      </c>
      <c r="BO18">
        <v>30.5</v>
      </c>
      <c r="BP18" t="s">
        <v>96</v>
      </c>
      <c r="BQ18" s="1" t="s">
        <v>96</v>
      </c>
      <c r="BR18" s="1" t="s">
        <v>96</v>
      </c>
      <c r="BS18" s="1" t="s">
        <v>96</v>
      </c>
      <c r="BT18" s="1" t="s">
        <v>96</v>
      </c>
      <c r="BU18" s="1" t="s">
        <v>96</v>
      </c>
      <c r="BV18">
        <v>38.29</v>
      </c>
      <c r="BW18">
        <v>9.17</v>
      </c>
      <c r="BX18" s="1" t="s">
        <v>96</v>
      </c>
      <c r="BY18">
        <v>63.82</v>
      </c>
      <c r="BZ18">
        <v>9.2100000000000009</v>
      </c>
      <c r="CA18" s="1" t="s">
        <v>96</v>
      </c>
      <c r="CB18" t="s">
        <v>96</v>
      </c>
      <c r="CC18">
        <v>25.71</v>
      </c>
      <c r="CD18" s="1" t="s">
        <v>96</v>
      </c>
    </row>
    <row r="19" spans="1:82">
      <c r="A19">
        <v>23</v>
      </c>
      <c r="B19" t="s">
        <v>164</v>
      </c>
      <c r="D19" t="b">
        <v>1</v>
      </c>
      <c r="E19" t="s">
        <v>165</v>
      </c>
      <c r="F19">
        <v>214</v>
      </c>
      <c r="G19">
        <v>1</v>
      </c>
      <c r="J19" t="s">
        <v>166</v>
      </c>
      <c r="K19" t="s">
        <v>94</v>
      </c>
      <c r="L19" t="s">
        <v>95</v>
      </c>
      <c r="M19">
        <v>100</v>
      </c>
      <c r="N19" s="1" t="s">
        <v>96</v>
      </c>
      <c r="O19" s="1" t="s">
        <v>96</v>
      </c>
      <c r="P19">
        <v>12.54</v>
      </c>
      <c r="Q19" s="1" t="s">
        <v>96</v>
      </c>
      <c r="R19" s="1" t="s">
        <v>96</v>
      </c>
      <c r="S19" s="1" t="s">
        <v>96</v>
      </c>
      <c r="T19" s="1" t="s">
        <v>96</v>
      </c>
      <c r="U19" s="1" t="s">
        <v>96</v>
      </c>
      <c r="V19" s="1" t="s">
        <v>96</v>
      </c>
      <c r="W19" s="1" t="s">
        <v>96</v>
      </c>
      <c r="X19" s="1" t="s">
        <v>96</v>
      </c>
      <c r="Y19" s="1" t="s">
        <v>96</v>
      </c>
      <c r="Z19" t="s">
        <v>96</v>
      </c>
      <c r="AA19" s="1" t="s">
        <v>96</v>
      </c>
      <c r="AB19" t="s">
        <v>96</v>
      </c>
      <c r="AC19">
        <v>9.35</v>
      </c>
      <c r="AD19">
        <v>34.909999999999997</v>
      </c>
      <c r="AE19" s="1" t="s">
        <v>96</v>
      </c>
      <c r="AF19">
        <v>10.9</v>
      </c>
      <c r="AG19">
        <v>69.02</v>
      </c>
      <c r="AH19">
        <v>21.42</v>
      </c>
      <c r="AI19" s="1">
        <v>3.03</v>
      </c>
      <c r="AJ19" s="1">
        <v>2.73</v>
      </c>
      <c r="AK19" s="1" t="s">
        <v>96</v>
      </c>
      <c r="AL19" s="1" t="s">
        <v>96</v>
      </c>
      <c r="AM19" s="1" t="s">
        <v>96</v>
      </c>
      <c r="AN19" s="1" t="s">
        <v>96</v>
      </c>
      <c r="AO19">
        <v>54.72</v>
      </c>
      <c r="AP19">
        <v>15.1</v>
      </c>
      <c r="AQ19" s="1" t="s">
        <v>96</v>
      </c>
      <c r="AR19" s="1" t="s">
        <v>96</v>
      </c>
      <c r="AS19">
        <v>19.79</v>
      </c>
      <c r="AT19">
        <v>4.67</v>
      </c>
      <c r="AU19" s="1" t="s">
        <v>96</v>
      </c>
      <c r="AV19" s="1" t="s">
        <v>96</v>
      </c>
      <c r="AW19">
        <v>6.35</v>
      </c>
      <c r="AX19" s="1" t="s">
        <v>96</v>
      </c>
      <c r="AY19">
        <v>1213.26</v>
      </c>
      <c r="AZ19">
        <v>342.87</v>
      </c>
      <c r="BA19">
        <v>109.54</v>
      </c>
      <c r="BB19" s="1" t="s">
        <v>96</v>
      </c>
      <c r="BC19">
        <v>307.82</v>
      </c>
      <c r="BD19" s="1" t="s">
        <v>96</v>
      </c>
      <c r="BE19" s="1">
        <v>5.15</v>
      </c>
      <c r="BF19">
        <v>24</v>
      </c>
      <c r="BG19" s="1">
        <v>8.9700000000000006</v>
      </c>
      <c r="BH19" s="1" t="s">
        <v>96</v>
      </c>
      <c r="BI19">
        <v>218.68</v>
      </c>
      <c r="BJ19">
        <v>103.34</v>
      </c>
      <c r="BK19" s="1" t="s">
        <v>96</v>
      </c>
      <c r="BL19" s="1">
        <v>9.02</v>
      </c>
      <c r="BM19">
        <v>51.72</v>
      </c>
      <c r="BN19">
        <v>65.400000000000006</v>
      </c>
      <c r="BO19">
        <v>285.18</v>
      </c>
      <c r="BP19">
        <v>4</v>
      </c>
      <c r="BQ19" s="1" t="s">
        <v>96</v>
      </c>
      <c r="BR19" s="1" t="s">
        <v>96</v>
      </c>
      <c r="BS19" s="1" t="s">
        <v>96</v>
      </c>
      <c r="BT19" s="1" t="s">
        <v>96</v>
      </c>
      <c r="BU19" s="1" t="s">
        <v>96</v>
      </c>
      <c r="BV19">
        <v>153.69</v>
      </c>
      <c r="BW19">
        <v>64.08</v>
      </c>
      <c r="BX19" s="1" t="s">
        <v>96</v>
      </c>
      <c r="BY19">
        <v>526.66999999999996</v>
      </c>
      <c r="BZ19">
        <v>89.1</v>
      </c>
      <c r="CA19" s="1" t="s">
        <v>96</v>
      </c>
      <c r="CB19">
        <v>40.07</v>
      </c>
      <c r="CC19">
        <v>141.53</v>
      </c>
      <c r="CD19" s="1" t="s">
        <v>96</v>
      </c>
    </row>
    <row r="20" spans="1:82">
      <c r="A20">
        <v>118</v>
      </c>
      <c r="B20" t="s">
        <v>449</v>
      </c>
      <c r="D20" t="b">
        <v>1</v>
      </c>
      <c r="E20" t="s">
        <v>450</v>
      </c>
      <c r="F20">
        <v>171</v>
      </c>
      <c r="G20">
        <v>3</v>
      </c>
      <c r="J20" t="s">
        <v>451</v>
      </c>
      <c r="K20" t="s">
        <v>94</v>
      </c>
      <c r="L20" t="s">
        <v>95</v>
      </c>
      <c r="M20">
        <v>100</v>
      </c>
      <c r="N20" s="1" t="s">
        <v>96</v>
      </c>
      <c r="O20" s="1" t="s">
        <v>96</v>
      </c>
      <c r="P20">
        <v>9.17</v>
      </c>
      <c r="Q20" s="1" t="s">
        <v>96</v>
      </c>
      <c r="R20" s="1" t="s">
        <v>96</v>
      </c>
      <c r="S20" s="1" t="s">
        <v>96</v>
      </c>
      <c r="T20" s="1" t="s">
        <v>96</v>
      </c>
      <c r="U20" s="1" t="s">
        <v>96</v>
      </c>
      <c r="V20" s="1" t="s">
        <v>96</v>
      </c>
      <c r="W20" s="1" t="s">
        <v>96</v>
      </c>
      <c r="X20" s="1" t="s">
        <v>96</v>
      </c>
      <c r="Y20" s="1" t="s">
        <v>96</v>
      </c>
      <c r="Z20" t="s">
        <v>96</v>
      </c>
      <c r="AA20" s="1" t="s">
        <v>96</v>
      </c>
      <c r="AB20">
        <v>2.35</v>
      </c>
      <c r="AC20">
        <v>4.4400000000000004</v>
      </c>
      <c r="AD20">
        <v>67.94</v>
      </c>
      <c r="AE20" s="1" t="s">
        <v>96</v>
      </c>
      <c r="AF20">
        <v>9.91</v>
      </c>
      <c r="AG20">
        <v>152.81</v>
      </c>
      <c r="AH20">
        <v>88.1</v>
      </c>
      <c r="AI20" s="1" t="s">
        <v>96</v>
      </c>
      <c r="AJ20" s="1" t="s">
        <v>96</v>
      </c>
      <c r="AK20" s="1" t="s">
        <v>96</v>
      </c>
      <c r="AL20" s="1" t="s">
        <v>96</v>
      </c>
      <c r="AM20" s="1" t="s">
        <v>96</v>
      </c>
      <c r="AN20" s="1" t="s">
        <v>96</v>
      </c>
      <c r="AO20" t="s">
        <v>96</v>
      </c>
      <c r="AP20">
        <v>18.649999999999999</v>
      </c>
      <c r="AQ20" s="1" t="s">
        <v>96</v>
      </c>
      <c r="AR20" s="1" t="s">
        <v>96</v>
      </c>
      <c r="AS20">
        <v>18.010000000000002</v>
      </c>
      <c r="AT20">
        <v>1.31</v>
      </c>
      <c r="AU20" s="1" t="s">
        <v>96</v>
      </c>
      <c r="AV20" s="1" t="s">
        <v>96</v>
      </c>
      <c r="AW20">
        <v>5.45</v>
      </c>
      <c r="AX20" s="1" t="s">
        <v>96</v>
      </c>
      <c r="AY20">
        <v>612.41</v>
      </c>
      <c r="AZ20">
        <v>57.36</v>
      </c>
      <c r="BA20">
        <v>14.07</v>
      </c>
      <c r="BB20" s="1" t="s">
        <v>96</v>
      </c>
      <c r="BC20">
        <v>185.27</v>
      </c>
      <c r="BD20" s="1" t="s">
        <v>96</v>
      </c>
      <c r="BE20" s="1">
        <v>2.56</v>
      </c>
      <c r="BF20">
        <v>9.92</v>
      </c>
      <c r="BG20" s="1" t="s">
        <v>96</v>
      </c>
      <c r="BH20" s="1" t="s">
        <v>96</v>
      </c>
      <c r="BI20">
        <v>115.39</v>
      </c>
      <c r="BJ20">
        <v>13.25</v>
      </c>
      <c r="BK20" s="1" t="s">
        <v>96</v>
      </c>
      <c r="BL20" s="1" t="s">
        <v>96</v>
      </c>
      <c r="BM20" t="s">
        <v>96</v>
      </c>
      <c r="BN20">
        <v>40.57</v>
      </c>
      <c r="BO20">
        <v>77.930000000000007</v>
      </c>
      <c r="BP20" t="s">
        <v>96</v>
      </c>
      <c r="BQ20" s="1" t="s">
        <v>96</v>
      </c>
      <c r="BR20" s="1" t="s">
        <v>96</v>
      </c>
      <c r="BS20" s="1" t="s">
        <v>96</v>
      </c>
      <c r="BT20" s="1" t="s">
        <v>96</v>
      </c>
      <c r="BU20" s="1" t="s">
        <v>96</v>
      </c>
      <c r="BV20">
        <v>151.85</v>
      </c>
      <c r="BW20">
        <v>47.77</v>
      </c>
      <c r="BX20" s="1" t="s">
        <v>96</v>
      </c>
      <c r="BY20">
        <v>256.69</v>
      </c>
      <c r="BZ20">
        <v>12.21</v>
      </c>
      <c r="CA20" s="1" t="s">
        <v>96</v>
      </c>
      <c r="CB20">
        <v>7.77</v>
      </c>
      <c r="CC20">
        <v>32.89</v>
      </c>
      <c r="CD20" s="1" t="s">
        <v>96</v>
      </c>
    </row>
    <row r="21" spans="1:82">
      <c r="A21">
        <v>103</v>
      </c>
      <c r="B21" t="s">
        <v>404</v>
      </c>
      <c r="D21" t="b">
        <v>1</v>
      </c>
      <c r="E21" t="s">
        <v>405</v>
      </c>
      <c r="F21">
        <v>154</v>
      </c>
      <c r="G21">
        <v>3</v>
      </c>
      <c r="J21" t="s">
        <v>406</v>
      </c>
      <c r="K21" t="s">
        <v>94</v>
      </c>
      <c r="L21" t="s">
        <v>95</v>
      </c>
      <c r="M21">
        <v>100</v>
      </c>
      <c r="N21" s="1" t="s">
        <v>96</v>
      </c>
      <c r="O21" s="1" t="s">
        <v>96</v>
      </c>
      <c r="P21">
        <v>17.07</v>
      </c>
      <c r="Q21" s="1" t="s">
        <v>96</v>
      </c>
      <c r="R21" s="1" t="s">
        <v>96</v>
      </c>
      <c r="S21" s="1" t="s">
        <v>96</v>
      </c>
      <c r="T21" s="1" t="s">
        <v>96</v>
      </c>
      <c r="U21" s="1" t="s">
        <v>96</v>
      </c>
      <c r="V21" s="1" t="s">
        <v>96</v>
      </c>
      <c r="W21" s="1" t="s">
        <v>96</v>
      </c>
      <c r="X21" s="1" t="s">
        <v>96</v>
      </c>
      <c r="Y21" s="1" t="s">
        <v>96</v>
      </c>
      <c r="Z21" t="s">
        <v>96</v>
      </c>
      <c r="AA21" s="1" t="s">
        <v>96</v>
      </c>
      <c r="AB21" t="s">
        <v>96</v>
      </c>
      <c r="AC21">
        <v>4.8099999999999996</v>
      </c>
      <c r="AD21">
        <v>45.22</v>
      </c>
      <c r="AE21" s="1" t="s">
        <v>96</v>
      </c>
      <c r="AF21">
        <v>8.99</v>
      </c>
      <c r="AG21">
        <v>90.83</v>
      </c>
      <c r="AH21">
        <v>21.4</v>
      </c>
      <c r="AI21" s="1" t="s">
        <v>96</v>
      </c>
      <c r="AJ21" s="1" t="s">
        <v>96</v>
      </c>
      <c r="AK21" s="1" t="s">
        <v>96</v>
      </c>
      <c r="AL21" s="1" t="s">
        <v>96</v>
      </c>
      <c r="AM21" s="1" t="s">
        <v>96</v>
      </c>
      <c r="AN21" s="1" t="s">
        <v>96</v>
      </c>
      <c r="AO21" t="s">
        <v>96</v>
      </c>
      <c r="AP21">
        <v>13.7</v>
      </c>
      <c r="AQ21" s="1" t="s">
        <v>96</v>
      </c>
      <c r="AR21" s="1">
        <v>1.37</v>
      </c>
      <c r="AS21">
        <v>6.08</v>
      </c>
      <c r="AT21" t="s">
        <v>96</v>
      </c>
      <c r="AU21" s="1" t="s">
        <v>96</v>
      </c>
      <c r="AV21" s="1" t="s">
        <v>96</v>
      </c>
      <c r="AW21">
        <v>19.64</v>
      </c>
      <c r="AX21" s="1" t="s">
        <v>96</v>
      </c>
      <c r="AY21">
        <v>1175.9000000000001</v>
      </c>
      <c r="AZ21">
        <v>273.36</v>
      </c>
      <c r="BA21">
        <v>54.91</v>
      </c>
      <c r="BB21" s="1" t="s">
        <v>96</v>
      </c>
      <c r="BC21">
        <v>133.77000000000001</v>
      </c>
      <c r="BD21" s="1" t="s">
        <v>96</v>
      </c>
      <c r="BE21" s="1">
        <v>7.86</v>
      </c>
      <c r="BF21">
        <v>7.55</v>
      </c>
      <c r="BG21" s="1" t="s">
        <v>96</v>
      </c>
      <c r="BH21" s="1" t="s">
        <v>96</v>
      </c>
      <c r="BI21">
        <v>106.77</v>
      </c>
      <c r="BJ21">
        <v>36.39</v>
      </c>
      <c r="BK21" s="1" t="s">
        <v>96</v>
      </c>
      <c r="BL21" s="1" t="s">
        <v>96</v>
      </c>
      <c r="BM21" t="s">
        <v>96</v>
      </c>
      <c r="BN21">
        <v>15.29</v>
      </c>
      <c r="BO21">
        <v>54.74</v>
      </c>
      <c r="BP21" t="s">
        <v>96</v>
      </c>
      <c r="BQ21" s="1" t="s">
        <v>96</v>
      </c>
      <c r="BR21" s="1" t="s">
        <v>96</v>
      </c>
      <c r="BS21" s="1" t="s">
        <v>96</v>
      </c>
      <c r="BT21" s="1" t="s">
        <v>96</v>
      </c>
      <c r="BU21" s="1">
        <v>14.27</v>
      </c>
      <c r="BV21">
        <v>65.33</v>
      </c>
      <c r="BW21">
        <v>9.2799999999999994</v>
      </c>
      <c r="BX21" s="1" t="s">
        <v>96</v>
      </c>
      <c r="BY21">
        <v>500.51</v>
      </c>
      <c r="BZ21">
        <v>14.55</v>
      </c>
      <c r="CA21" s="1" t="s">
        <v>96</v>
      </c>
      <c r="CB21">
        <v>14.03</v>
      </c>
      <c r="CC21">
        <v>72.19</v>
      </c>
      <c r="CD21" s="1" t="s">
        <v>96</v>
      </c>
    </row>
    <row r="22" spans="1:82">
      <c r="A22">
        <v>30</v>
      </c>
      <c r="B22" t="s">
        <v>185</v>
      </c>
      <c r="D22" t="b">
        <v>1</v>
      </c>
      <c r="E22" t="s">
        <v>186</v>
      </c>
      <c r="F22">
        <v>223</v>
      </c>
      <c r="G22">
        <v>1</v>
      </c>
      <c r="J22" t="s">
        <v>187</v>
      </c>
      <c r="K22" t="s">
        <v>94</v>
      </c>
      <c r="L22" t="s">
        <v>95</v>
      </c>
      <c r="M22">
        <v>100</v>
      </c>
      <c r="N22" s="1" t="s">
        <v>96</v>
      </c>
      <c r="O22" s="1" t="s">
        <v>96</v>
      </c>
      <c r="P22">
        <v>22.39</v>
      </c>
      <c r="Q22" s="1" t="s">
        <v>96</v>
      </c>
      <c r="R22" s="1" t="s">
        <v>96</v>
      </c>
      <c r="S22" s="1" t="s">
        <v>96</v>
      </c>
      <c r="T22" s="1" t="s">
        <v>96</v>
      </c>
      <c r="U22" s="1" t="s">
        <v>96</v>
      </c>
      <c r="V22" s="1" t="s">
        <v>96</v>
      </c>
      <c r="W22" s="1" t="s">
        <v>96</v>
      </c>
      <c r="X22" s="1" t="s">
        <v>96</v>
      </c>
      <c r="Y22" s="1" t="s">
        <v>96</v>
      </c>
      <c r="Z22">
        <v>1.41</v>
      </c>
      <c r="AA22" s="1" t="s">
        <v>96</v>
      </c>
      <c r="AB22">
        <v>3.07</v>
      </c>
      <c r="AC22">
        <v>6.86</v>
      </c>
      <c r="AD22">
        <v>95.17</v>
      </c>
      <c r="AE22" s="1" t="s">
        <v>96</v>
      </c>
      <c r="AF22">
        <v>9.31</v>
      </c>
      <c r="AG22">
        <v>201.6</v>
      </c>
      <c r="AH22">
        <v>209.22</v>
      </c>
      <c r="AI22" s="1" t="s">
        <v>96</v>
      </c>
      <c r="AJ22" s="1">
        <v>1.24</v>
      </c>
      <c r="AK22" s="1" t="s">
        <v>96</v>
      </c>
      <c r="AL22" s="1" t="s">
        <v>96</v>
      </c>
      <c r="AM22" s="1" t="s">
        <v>96</v>
      </c>
      <c r="AN22" s="1">
        <v>1.07</v>
      </c>
      <c r="AO22">
        <v>45.3</v>
      </c>
      <c r="AP22">
        <v>25.73</v>
      </c>
      <c r="AQ22" s="1" t="s">
        <v>96</v>
      </c>
      <c r="AR22" s="1">
        <v>1.1299999999999999</v>
      </c>
      <c r="AS22">
        <v>204.96</v>
      </c>
      <c r="AT22">
        <v>4.05</v>
      </c>
      <c r="AU22" s="1" t="s">
        <v>96</v>
      </c>
      <c r="AV22" s="1" t="s">
        <v>96</v>
      </c>
      <c r="AW22" t="s">
        <v>96</v>
      </c>
      <c r="AX22" s="1" t="s">
        <v>96</v>
      </c>
      <c r="AY22">
        <v>2271.79</v>
      </c>
      <c r="AZ22">
        <v>555.29</v>
      </c>
      <c r="BA22">
        <v>165.61</v>
      </c>
      <c r="BB22" s="1" t="s">
        <v>96</v>
      </c>
      <c r="BC22">
        <v>447.88</v>
      </c>
      <c r="BD22" s="1" t="s">
        <v>96</v>
      </c>
      <c r="BE22" s="1" t="s">
        <v>96</v>
      </c>
      <c r="BF22">
        <v>11.79</v>
      </c>
      <c r="BG22" s="1">
        <v>7.47</v>
      </c>
      <c r="BH22" s="1" t="s">
        <v>96</v>
      </c>
      <c r="BI22">
        <v>182.49</v>
      </c>
      <c r="BJ22">
        <v>53.41</v>
      </c>
      <c r="BK22" s="1" t="s">
        <v>96</v>
      </c>
      <c r="BL22" s="1" t="s">
        <v>96</v>
      </c>
      <c r="BM22">
        <v>3.93</v>
      </c>
      <c r="BN22">
        <v>47.34</v>
      </c>
      <c r="BO22">
        <v>38.46</v>
      </c>
      <c r="BP22">
        <v>3.54</v>
      </c>
      <c r="BQ22" s="1" t="s">
        <v>96</v>
      </c>
      <c r="BR22" s="1" t="s">
        <v>96</v>
      </c>
      <c r="BS22" s="1">
        <v>6.11</v>
      </c>
      <c r="BT22" s="1" t="s">
        <v>96</v>
      </c>
      <c r="BU22" s="1" t="s">
        <v>96</v>
      </c>
      <c r="BV22">
        <v>102.58</v>
      </c>
      <c r="BW22">
        <v>16.329999999999998</v>
      </c>
      <c r="BX22" s="1" t="s">
        <v>96</v>
      </c>
      <c r="BY22">
        <v>189.35</v>
      </c>
      <c r="BZ22">
        <v>30.59</v>
      </c>
      <c r="CA22" s="1" t="s">
        <v>96</v>
      </c>
      <c r="CB22">
        <v>43.64</v>
      </c>
      <c r="CC22">
        <v>144.31</v>
      </c>
      <c r="CD22" s="1" t="s">
        <v>96</v>
      </c>
    </row>
    <row r="23" spans="1:82">
      <c r="A23">
        <v>134</v>
      </c>
      <c r="B23" t="s">
        <v>497</v>
      </c>
      <c r="D23" t="b">
        <v>1</v>
      </c>
      <c r="E23" t="s">
        <v>498</v>
      </c>
      <c r="F23">
        <v>23</v>
      </c>
      <c r="G23">
        <v>4</v>
      </c>
      <c r="J23" t="s">
        <v>499</v>
      </c>
      <c r="K23" t="s">
        <v>94</v>
      </c>
      <c r="L23" t="s">
        <v>95</v>
      </c>
      <c r="M23">
        <v>100</v>
      </c>
      <c r="N23" s="1" t="s">
        <v>96</v>
      </c>
      <c r="O23" s="1" t="s">
        <v>96</v>
      </c>
      <c r="P23">
        <v>13.82</v>
      </c>
      <c r="Q23" s="1" t="s">
        <v>96</v>
      </c>
      <c r="R23" s="1" t="s">
        <v>96</v>
      </c>
      <c r="S23" s="1" t="s">
        <v>96</v>
      </c>
      <c r="T23" s="1" t="s">
        <v>96</v>
      </c>
      <c r="U23" s="1" t="s">
        <v>96</v>
      </c>
      <c r="V23" s="1" t="s">
        <v>96</v>
      </c>
      <c r="W23" s="1" t="s">
        <v>96</v>
      </c>
      <c r="X23" s="1" t="s">
        <v>96</v>
      </c>
      <c r="Y23" s="1" t="s">
        <v>96</v>
      </c>
      <c r="Z23" t="s">
        <v>96</v>
      </c>
      <c r="AA23" s="1" t="s">
        <v>96</v>
      </c>
      <c r="AB23" t="s">
        <v>96</v>
      </c>
      <c r="AC23">
        <v>3.72</v>
      </c>
      <c r="AD23">
        <v>3.64</v>
      </c>
      <c r="AE23" s="1" t="s">
        <v>96</v>
      </c>
      <c r="AF23" t="s">
        <v>96</v>
      </c>
      <c r="AG23">
        <v>254.71</v>
      </c>
      <c r="AH23" t="s">
        <v>133</v>
      </c>
      <c r="AI23" s="1" t="s">
        <v>96</v>
      </c>
      <c r="AJ23" s="1">
        <v>8.31</v>
      </c>
      <c r="AK23" s="1" t="s">
        <v>96</v>
      </c>
      <c r="AL23" s="1" t="s">
        <v>96</v>
      </c>
      <c r="AM23" s="1" t="s">
        <v>96</v>
      </c>
      <c r="AN23" s="1">
        <v>1.29</v>
      </c>
      <c r="AO23" t="s">
        <v>96</v>
      </c>
      <c r="AP23">
        <v>21.12</v>
      </c>
      <c r="AQ23" s="1" t="s">
        <v>96</v>
      </c>
      <c r="AR23" s="1">
        <v>3.33</v>
      </c>
      <c r="AS23">
        <v>579.42999999999995</v>
      </c>
      <c r="AT23">
        <v>3.12</v>
      </c>
      <c r="AU23" s="1" t="s">
        <v>96</v>
      </c>
      <c r="AV23" s="1" t="s">
        <v>96</v>
      </c>
      <c r="AW23">
        <v>3.46</v>
      </c>
      <c r="AX23" s="1">
        <v>2.5099999999999998</v>
      </c>
      <c r="AY23">
        <v>941.06</v>
      </c>
      <c r="AZ23">
        <v>112.36</v>
      </c>
      <c r="BA23">
        <v>23.97</v>
      </c>
      <c r="BB23" s="1" t="s">
        <v>96</v>
      </c>
      <c r="BC23">
        <v>282.83999999999997</v>
      </c>
      <c r="BD23" s="1" t="s">
        <v>96</v>
      </c>
      <c r="BE23" s="1" t="s">
        <v>96</v>
      </c>
      <c r="BF23">
        <v>21.39</v>
      </c>
      <c r="BG23" s="1" t="s">
        <v>96</v>
      </c>
      <c r="BH23" s="1" t="s">
        <v>96</v>
      </c>
      <c r="BI23">
        <v>79.69</v>
      </c>
      <c r="BJ23">
        <v>16.72</v>
      </c>
      <c r="BK23" s="1" t="s">
        <v>96</v>
      </c>
      <c r="BL23" s="1" t="s">
        <v>96</v>
      </c>
      <c r="BM23" t="s">
        <v>96</v>
      </c>
      <c r="BN23">
        <v>36.549999999999997</v>
      </c>
      <c r="BO23">
        <v>228.29</v>
      </c>
      <c r="BP23">
        <v>8.3000000000000007</v>
      </c>
      <c r="BQ23" s="1" t="s">
        <v>96</v>
      </c>
      <c r="BR23" s="1" t="s">
        <v>96</v>
      </c>
      <c r="BS23" s="1">
        <v>17.739999999999998</v>
      </c>
      <c r="BT23" s="1">
        <v>18.37</v>
      </c>
      <c r="BU23" s="1">
        <v>12.17</v>
      </c>
      <c r="BV23">
        <v>414.59</v>
      </c>
      <c r="BW23">
        <v>65.63</v>
      </c>
      <c r="BX23" s="1">
        <v>7.62</v>
      </c>
      <c r="BY23">
        <v>927.22</v>
      </c>
      <c r="BZ23">
        <v>49.92</v>
      </c>
      <c r="CA23" s="1" t="s">
        <v>96</v>
      </c>
      <c r="CB23">
        <v>40.909999999999997</v>
      </c>
      <c r="CC23">
        <v>184.24</v>
      </c>
      <c r="CD23" s="1" t="s">
        <v>96</v>
      </c>
    </row>
    <row r="24" spans="1:82">
      <c r="A24">
        <v>201</v>
      </c>
      <c r="B24" t="s">
        <v>698</v>
      </c>
      <c r="D24" t="b">
        <v>1</v>
      </c>
      <c r="E24" t="s">
        <v>699</v>
      </c>
      <c r="F24">
        <v>308</v>
      </c>
      <c r="G24">
        <v>6</v>
      </c>
      <c r="J24" t="s">
        <v>700</v>
      </c>
      <c r="K24" t="s">
        <v>94</v>
      </c>
      <c r="L24" t="s">
        <v>95</v>
      </c>
      <c r="M24">
        <v>100</v>
      </c>
      <c r="N24" s="1" t="s">
        <v>96</v>
      </c>
      <c r="O24" s="1" t="s">
        <v>96</v>
      </c>
      <c r="P24">
        <v>11.64</v>
      </c>
      <c r="Q24" s="1" t="s">
        <v>96</v>
      </c>
      <c r="R24" s="1" t="s">
        <v>96</v>
      </c>
      <c r="S24" s="1" t="s">
        <v>96</v>
      </c>
      <c r="T24" s="1" t="s">
        <v>96</v>
      </c>
      <c r="U24" s="1" t="s">
        <v>96</v>
      </c>
      <c r="V24" s="1" t="s">
        <v>96</v>
      </c>
      <c r="W24" s="1" t="s">
        <v>96</v>
      </c>
      <c r="X24" s="1" t="s">
        <v>96</v>
      </c>
      <c r="Y24" s="1" t="s">
        <v>96</v>
      </c>
      <c r="Z24">
        <v>1.06</v>
      </c>
      <c r="AA24" s="1" t="s">
        <v>96</v>
      </c>
      <c r="AB24">
        <v>4.29</v>
      </c>
      <c r="AC24" t="s">
        <v>96</v>
      </c>
      <c r="AD24">
        <v>291.36</v>
      </c>
      <c r="AE24" s="1" t="s">
        <v>96</v>
      </c>
      <c r="AF24" t="s">
        <v>96</v>
      </c>
      <c r="AG24" t="s">
        <v>96</v>
      </c>
      <c r="AH24">
        <v>48.82</v>
      </c>
      <c r="AI24" s="1" t="s">
        <v>96</v>
      </c>
      <c r="AJ24" s="1" t="s">
        <v>96</v>
      </c>
      <c r="AK24" s="1" t="s">
        <v>96</v>
      </c>
      <c r="AL24" s="1" t="s">
        <v>96</v>
      </c>
      <c r="AM24" s="1" t="s">
        <v>96</v>
      </c>
      <c r="AN24" s="1">
        <v>1.8</v>
      </c>
      <c r="AO24" t="s">
        <v>96</v>
      </c>
      <c r="AP24">
        <v>38.1</v>
      </c>
      <c r="AQ24" s="1">
        <v>2.79</v>
      </c>
      <c r="AR24" s="1" t="s">
        <v>96</v>
      </c>
      <c r="AS24">
        <v>16.12</v>
      </c>
      <c r="AT24">
        <v>7.26</v>
      </c>
      <c r="AU24" s="1" t="s">
        <v>96</v>
      </c>
      <c r="AV24" s="1" t="s">
        <v>96</v>
      </c>
      <c r="AW24" t="s">
        <v>96</v>
      </c>
      <c r="AX24" s="1" t="s">
        <v>96</v>
      </c>
      <c r="AY24">
        <v>763.93</v>
      </c>
      <c r="AZ24" t="s">
        <v>96</v>
      </c>
      <c r="BA24">
        <v>307.79000000000002</v>
      </c>
      <c r="BB24" s="1" t="s">
        <v>96</v>
      </c>
      <c r="BC24">
        <v>191.65</v>
      </c>
      <c r="BD24" s="1" t="s">
        <v>96</v>
      </c>
      <c r="BE24" s="1" t="s">
        <v>96</v>
      </c>
      <c r="BF24">
        <v>18.14</v>
      </c>
      <c r="BG24" s="1">
        <v>12.67</v>
      </c>
      <c r="BH24" s="1" t="s">
        <v>96</v>
      </c>
      <c r="BI24">
        <v>67.209999999999994</v>
      </c>
      <c r="BJ24" t="s">
        <v>96</v>
      </c>
      <c r="BK24" s="1" t="s">
        <v>96</v>
      </c>
      <c r="BL24" s="1" t="s">
        <v>96</v>
      </c>
      <c r="BM24" t="s">
        <v>96</v>
      </c>
      <c r="BN24">
        <v>17.8</v>
      </c>
      <c r="BO24" t="s">
        <v>96</v>
      </c>
      <c r="BP24" t="s">
        <v>96</v>
      </c>
      <c r="BQ24" s="1" t="s">
        <v>96</v>
      </c>
      <c r="BR24" s="1" t="s">
        <v>96</v>
      </c>
      <c r="BS24" s="1" t="s">
        <v>96</v>
      </c>
      <c r="BT24" s="1" t="s">
        <v>96</v>
      </c>
      <c r="BU24" s="1" t="s">
        <v>96</v>
      </c>
      <c r="BV24">
        <v>145.05000000000001</v>
      </c>
      <c r="BW24">
        <v>21.34</v>
      </c>
      <c r="BX24" s="1">
        <v>5.89</v>
      </c>
      <c r="BY24">
        <v>5.91</v>
      </c>
      <c r="BZ24" t="s">
        <v>96</v>
      </c>
      <c r="CA24" s="1">
        <v>32.14</v>
      </c>
      <c r="CB24">
        <v>255.59</v>
      </c>
      <c r="CC24" t="s">
        <v>96</v>
      </c>
      <c r="CD24" s="1" t="s">
        <v>96</v>
      </c>
    </row>
    <row r="25" spans="1:82">
      <c r="A25">
        <v>108</v>
      </c>
      <c r="B25" t="s">
        <v>419</v>
      </c>
      <c r="D25" t="b">
        <v>1</v>
      </c>
      <c r="E25" t="s">
        <v>420</v>
      </c>
      <c r="F25">
        <v>159</v>
      </c>
      <c r="G25">
        <v>3</v>
      </c>
      <c r="J25" t="s">
        <v>421</v>
      </c>
      <c r="K25" t="s">
        <v>94</v>
      </c>
      <c r="L25" t="s">
        <v>95</v>
      </c>
      <c r="M25">
        <v>100</v>
      </c>
      <c r="N25" s="1" t="s">
        <v>96</v>
      </c>
      <c r="O25" s="1" t="s">
        <v>96</v>
      </c>
      <c r="P25">
        <v>13.39</v>
      </c>
      <c r="Q25" s="1" t="s">
        <v>96</v>
      </c>
      <c r="R25" s="1" t="s">
        <v>96</v>
      </c>
      <c r="S25" s="1" t="s">
        <v>96</v>
      </c>
      <c r="T25" s="1" t="s">
        <v>96</v>
      </c>
      <c r="U25" s="1" t="s">
        <v>96</v>
      </c>
      <c r="V25" s="1" t="s">
        <v>96</v>
      </c>
      <c r="W25" s="1" t="s">
        <v>96</v>
      </c>
      <c r="X25" s="1" t="s">
        <v>96</v>
      </c>
      <c r="Y25" s="1" t="s">
        <v>96</v>
      </c>
      <c r="Z25" t="s">
        <v>96</v>
      </c>
      <c r="AA25" s="1" t="s">
        <v>96</v>
      </c>
      <c r="AB25" t="s">
        <v>96</v>
      </c>
      <c r="AC25" t="s">
        <v>96</v>
      </c>
      <c r="AD25">
        <v>24.29</v>
      </c>
      <c r="AE25" s="1" t="s">
        <v>96</v>
      </c>
      <c r="AF25" t="s">
        <v>96</v>
      </c>
      <c r="AG25">
        <v>18.63</v>
      </c>
      <c r="AH25">
        <v>49.42</v>
      </c>
      <c r="AI25" s="1" t="s">
        <v>96</v>
      </c>
      <c r="AJ25" s="1" t="s">
        <v>96</v>
      </c>
      <c r="AK25" s="1" t="s">
        <v>96</v>
      </c>
      <c r="AL25" s="1" t="s">
        <v>96</v>
      </c>
      <c r="AM25" s="1" t="s">
        <v>96</v>
      </c>
      <c r="AN25" s="1" t="s">
        <v>96</v>
      </c>
      <c r="AO25" t="s">
        <v>96</v>
      </c>
      <c r="AP25">
        <v>5.29</v>
      </c>
      <c r="AQ25" s="1" t="s">
        <v>96</v>
      </c>
      <c r="AR25" s="1" t="s">
        <v>96</v>
      </c>
      <c r="AS25">
        <v>44.01</v>
      </c>
      <c r="AT25">
        <v>11.47</v>
      </c>
      <c r="AU25" s="1" t="s">
        <v>96</v>
      </c>
      <c r="AV25" s="1" t="s">
        <v>96</v>
      </c>
      <c r="AW25" t="s">
        <v>96</v>
      </c>
      <c r="AX25" s="1" t="s">
        <v>96</v>
      </c>
      <c r="AY25">
        <v>504.98</v>
      </c>
      <c r="AZ25">
        <v>25.56</v>
      </c>
      <c r="BA25">
        <v>32.58</v>
      </c>
      <c r="BB25" s="1" t="s">
        <v>96</v>
      </c>
      <c r="BC25">
        <v>266.51</v>
      </c>
      <c r="BD25" s="1" t="s">
        <v>96</v>
      </c>
      <c r="BE25" s="1" t="s">
        <v>96</v>
      </c>
      <c r="BF25">
        <v>48.4</v>
      </c>
      <c r="BG25" s="1" t="s">
        <v>96</v>
      </c>
      <c r="BH25" s="1" t="s">
        <v>96</v>
      </c>
      <c r="BI25">
        <v>74.94</v>
      </c>
      <c r="BJ25">
        <v>4.18</v>
      </c>
      <c r="BK25" s="1" t="s">
        <v>96</v>
      </c>
      <c r="BL25" s="1">
        <v>7.11</v>
      </c>
      <c r="BM25">
        <v>4.18</v>
      </c>
      <c r="BN25">
        <v>28.19</v>
      </c>
      <c r="BO25">
        <v>47.13</v>
      </c>
      <c r="BP25" t="s">
        <v>96</v>
      </c>
      <c r="BQ25" s="1" t="s">
        <v>96</v>
      </c>
      <c r="BR25" s="1" t="s">
        <v>96</v>
      </c>
      <c r="BS25" s="1" t="s">
        <v>96</v>
      </c>
      <c r="BT25" s="1" t="s">
        <v>96</v>
      </c>
      <c r="BU25" s="1" t="s">
        <v>96</v>
      </c>
      <c r="BV25">
        <v>173.91</v>
      </c>
      <c r="BW25">
        <v>80.680000000000007</v>
      </c>
      <c r="BX25" s="1" t="s">
        <v>96</v>
      </c>
      <c r="BY25">
        <v>156.41999999999999</v>
      </c>
      <c r="BZ25">
        <v>9.7200000000000006</v>
      </c>
      <c r="CA25" s="1" t="s">
        <v>96</v>
      </c>
      <c r="CB25">
        <v>17.920000000000002</v>
      </c>
      <c r="CC25">
        <v>27.81</v>
      </c>
      <c r="CD25" s="1" t="s">
        <v>96</v>
      </c>
    </row>
    <row r="26" spans="1:82">
      <c r="A26">
        <v>210</v>
      </c>
      <c r="B26" t="s">
        <v>725</v>
      </c>
      <c r="D26" t="b">
        <v>1</v>
      </c>
      <c r="E26" t="s">
        <v>726</v>
      </c>
      <c r="F26">
        <v>319</v>
      </c>
      <c r="G26">
        <v>6</v>
      </c>
      <c r="J26" t="s">
        <v>727</v>
      </c>
      <c r="K26" t="s">
        <v>94</v>
      </c>
      <c r="L26" t="s">
        <v>95</v>
      </c>
      <c r="M26">
        <v>100</v>
      </c>
      <c r="N26" s="1" t="s">
        <v>96</v>
      </c>
      <c r="O26" s="1" t="s">
        <v>96</v>
      </c>
      <c r="P26">
        <v>18.95</v>
      </c>
      <c r="Q26" s="1" t="s">
        <v>96</v>
      </c>
      <c r="R26" s="1" t="s">
        <v>96</v>
      </c>
      <c r="S26" s="1">
        <v>11.93</v>
      </c>
      <c r="T26" s="1" t="s">
        <v>96</v>
      </c>
      <c r="U26" s="1" t="s">
        <v>96</v>
      </c>
      <c r="V26" s="1" t="s">
        <v>96</v>
      </c>
      <c r="W26" s="1" t="s">
        <v>96</v>
      </c>
      <c r="X26" s="1" t="s">
        <v>96</v>
      </c>
      <c r="Y26" s="1" t="s">
        <v>96</v>
      </c>
      <c r="Z26" t="s">
        <v>96</v>
      </c>
      <c r="AA26" s="1" t="s">
        <v>96</v>
      </c>
      <c r="AB26">
        <v>4.93</v>
      </c>
      <c r="AC26">
        <v>10.07</v>
      </c>
      <c r="AD26">
        <v>65.819999999999993</v>
      </c>
      <c r="AE26" s="1" t="s">
        <v>96</v>
      </c>
      <c r="AF26">
        <v>46.95</v>
      </c>
      <c r="AG26">
        <v>322.62</v>
      </c>
      <c r="AH26">
        <v>120.18</v>
      </c>
      <c r="AI26" s="1" t="s">
        <v>96</v>
      </c>
      <c r="AJ26" s="1">
        <v>1.4</v>
      </c>
      <c r="AK26" s="1" t="s">
        <v>96</v>
      </c>
      <c r="AL26" s="1" t="s">
        <v>96</v>
      </c>
      <c r="AM26" s="1" t="s">
        <v>96</v>
      </c>
      <c r="AN26" s="1" t="s">
        <v>96</v>
      </c>
      <c r="AO26">
        <v>701.14</v>
      </c>
      <c r="AP26">
        <v>22.05</v>
      </c>
      <c r="AQ26" s="1" t="s">
        <v>96</v>
      </c>
      <c r="AR26" s="1" t="s">
        <v>96</v>
      </c>
      <c r="AS26">
        <v>88.58</v>
      </c>
      <c r="AT26" t="s">
        <v>96</v>
      </c>
      <c r="AU26" s="1" t="s">
        <v>96</v>
      </c>
      <c r="AV26" s="1" t="s">
        <v>96</v>
      </c>
      <c r="AW26">
        <v>7.75</v>
      </c>
      <c r="AX26" s="1" t="s">
        <v>96</v>
      </c>
      <c r="AY26">
        <v>1010.65</v>
      </c>
      <c r="AZ26">
        <v>526.23</v>
      </c>
      <c r="BA26">
        <v>28.17</v>
      </c>
      <c r="BB26" s="1" t="s">
        <v>96</v>
      </c>
      <c r="BC26">
        <v>308.47000000000003</v>
      </c>
      <c r="BD26" s="1" t="s">
        <v>96</v>
      </c>
      <c r="BE26" s="1">
        <v>3.62</v>
      </c>
      <c r="BF26">
        <v>10.88</v>
      </c>
      <c r="BG26" s="1" t="s">
        <v>96</v>
      </c>
      <c r="BH26" s="1" t="s">
        <v>96</v>
      </c>
      <c r="BI26">
        <v>83.64</v>
      </c>
      <c r="BJ26">
        <v>58.54</v>
      </c>
      <c r="BK26" s="1" t="s">
        <v>96</v>
      </c>
      <c r="BL26" s="1" t="s">
        <v>96</v>
      </c>
      <c r="BM26" t="s">
        <v>96</v>
      </c>
      <c r="BN26">
        <v>21.57</v>
      </c>
      <c r="BO26">
        <v>90.46</v>
      </c>
      <c r="BP26">
        <v>4.24</v>
      </c>
      <c r="BQ26" s="1" t="s">
        <v>96</v>
      </c>
      <c r="BR26" s="1" t="s">
        <v>96</v>
      </c>
      <c r="BS26" s="1" t="s">
        <v>96</v>
      </c>
      <c r="BT26" s="1" t="s">
        <v>96</v>
      </c>
      <c r="BU26" s="1">
        <v>14.27</v>
      </c>
      <c r="BV26">
        <v>61.23</v>
      </c>
      <c r="BW26">
        <v>11.99</v>
      </c>
      <c r="BX26" s="1" t="s">
        <v>96</v>
      </c>
      <c r="BY26">
        <v>585.4</v>
      </c>
      <c r="BZ26">
        <v>19.91</v>
      </c>
      <c r="CA26" s="1" t="s">
        <v>96</v>
      </c>
      <c r="CB26" t="s">
        <v>96</v>
      </c>
      <c r="CC26">
        <v>105.6</v>
      </c>
      <c r="CD26" s="1" t="s">
        <v>96</v>
      </c>
    </row>
    <row r="27" spans="1:82">
      <c r="A27">
        <v>0</v>
      </c>
      <c r="B27" t="s">
        <v>91</v>
      </c>
      <c r="D27" t="b">
        <v>1</v>
      </c>
      <c r="E27" t="s">
        <v>92</v>
      </c>
      <c r="F27">
        <v>187</v>
      </c>
      <c r="G27">
        <v>1</v>
      </c>
      <c r="J27" t="s">
        <v>93</v>
      </c>
      <c r="K27" t="s">
        <v>94</v>
      </c>
      <c r="L27" t="s">
        <v>95</v>
      </c>
      <c r="M27">
        <v>100</v>
      </c>
      <c r="N27" s="1" t="s">
        <v>96</v>
      </c>
      <c r="O27" s="1" t="s">
        <v>96</v>
      </c>
      <c r="P27">
        <v>13.64</v>
      </c>
      <c r="Q27" s="1" t="s">
        <v>96</v>
      </c>
      <c r="R27" s="1" t="s">
        <v>96</v>
      </c>
      <c r="S27" s="1" t="s">
        <v>96</v>
      </c>
      <c r="T27" s="1" t="s">
        <v>96</v>
      </c>
      <c r="U27" s="1" t="s">
        <v>96</v>
      </c>
      <c r="V27" s="1" t="s">
        <v>96</v>
      </c>
      <c r="W27" s="1" t="s">
        <v>96</v>
      </c>
      <c r="X27" s="1" t="s">
        <v>96</v>
      </c>
      <c r="Y27" s="1" t="s">
        <v>96</v>
      </c>
      <c r="Z27" t="s">
        <v>96</v>
      </c>
      <c r="AA27" s="1" t="s">
        <v>96</v>
      </c>
      <c r="AB27" t="s">
        <v>96</v>
      </c>
      <c r="AC27" t="s">
        <v>96</v>
      </c>
      <c r="AD27">
        <v>11.88</v>
      </c>
      <c r="AE27" s="1" t="s">
        <v>96</v>
      </c>
      <c r="AF27" t="s">
        <v>96</v>
      </c>
      <c r="AG27">
        <v>27.43</v>
      </c>
      <c r="AH27">
        <v>32.840000000000003</v>
      </c>
      <c r="AI27" s="1" t="s">
        <v>96</v>
      </c>
      <c r="AJ27" s="1" t="s">
        <v>96</v>
      </c>
      <c r="AK27" s="1" t="s">
        <v>96</v>
      </c>
      <c r="AL27" s="1" t="s">
        <v>96</v>
      </c>
      <c r="AM27" s="1" t="s">
        <v>96</v>
      </c>
      <c r="AN27" s="1" t="s">
        <v>96</v>
      </c>
      <c r="AO27" t="s">
        <v>96</v>
      </c>
      <c r="AP27">
        <v>4.03</v>
      </c>
      <c r="AQ27" s="1" t="s">
        <v>96</v>
      </c>
      <c r="AR27" s="1" t="s">
        <v>96</v>
      </c>
      <c r="AS27">
        <v>38.82</v>
      </c>
      <c r="AT27">
        <v>2.19</v>
      </c>
      <c r="AU27" s="1" t="s">
        <v>96</v>
      </c>
      <c r="AV27" s="1" t="s">
        <v>96</v>
      </c>
      <c r="AW27" t="s">
        <v>96</v>
      </c>
      <c r="AX27" s="1" t="s">
        <v>96</v>
      </c>
      <c r="AY27">
        <v>84.36</v>
      </c>
      <c r="AZ27">
        <v>24.96</v>
      </c>
      <c r="BA27">
        <v>8.01</v>
      </c>
      <c r="BB27" s="1" t="s">
        <v>96</v>
      </c>
      <c r="BC27">
        <v>14.68</v>
      </c>
      <c r="BD27" s="1" t="s">
        <v>96</v>
      </c>
      <c r="BE27" s="1" t="s">
        <v>96</v>
      </c>
      <c r="BF27" t="s">
        <v>96</v>
      </c>
      <c r="BG27" s="1" t="s">
        <v>96</v>
      </c>
      <c r="BH27" s="1" t="s">
        <v>96</v>
      </c>
      <c r="BI27">
        <v>11.8</v>
      </c>
      <c r="BJ27">
        <v>3.11</v>
      </c>
      <c r="BK27" s="1" t="s">
        <v>96</v>
      </c>
      <c r="BL27" s="1" t="s">
        <v>96</v>
      </c>
      <c r="BM27" t="s">
        <v>96</v>
      </c>
      <c r="BN27">
        <v>2.73</v>
      </c>
      <c r="BO27">
        <v>29.76</v>
      </c>
      <c r="BP27" t="s">
        <v>96</v>
      </c>
      <c r="BQ27" s="1" t="s">
        <v>96</v>
      </c>
      <c r="BR27" s="1" t="s">
        <v>96</v>
      </c>
      <c r="BS27" s="1" t="s">
        <v>96</v>
      </c>
      <c r="BT27" s="1" t="s">
        <v>96</v>
      </c>
      <c r="BU27" s="1" t="s">
        <v>96</v>
      </c>
      <c r="BV27">
        <v>46.71</v>
      </c>
      <c r="BW27">
        <v>6.72</v>
      </c>
      <c r="BX27" s="1" t="s">
        <v>96</v>
      </c>
      <c r="BY27">
        <v>104.92</v>
      </c>
      <c r="BZ27">
        <v>7.63</v>
      </c>
      <c r="CA27" s="1" t="s">
        <v>96</v>
      </c>
      <c r="CB27">
        <v>28.98</v>
      </c>
      <c r="CC27">
        <v>42.67</v>
      </c>
      <c r="CD27" s="1" t="s">
        <v>96</v>
      </c>
    </row>
    <row r="28" spans="1:82">
      <c r="A28">
        <v>188</v>
      </c>
      <c r="B28" t="s">
        <v>659</v>
      </c>
      <c r="D28" t="b">
        <v>1</v>
      </c>
      <c r="E28" t="s">
        <v>660</v>
      </c>
      <c r="F28">
        <v>279</v>
      </c>
      <c r="G28">
        <v>5</v>
      </c>
      <c r="J28" t="s">
        <v>661</v>
      </c>
      <c r="K28" t="s">
        <v>94</v>
      </c>
      <c r="L28" t="s">
        <v>95</v>
      </c>
      <c r="M28">
        <v>100</v>
      </c>
      <c r="N28" s="1" t="s">
        <v>96</v>
      </c>
      <c r="O28" s="1" t="s">
        <v>96</v>
      </c>
      <c r="P28">
        <v>18.48</v>
      </c>
      <c r="Q28" s="1" t="s">
        <v>96</v>
      </c>
      <c r="R28" s="1" t="s">
        <v>96</v>
      </c>
      <c r="S28" s="1" t="s">
        <v>96</v>
      </c>
      <c r="T28" s="1" t="s">
        <v>96</v>
      </c>
      <c r="U28" s="1" t="s">
        <v>96</v>
      </c>
      <c r="V28" s="1" t="s">
        <v>96</v>
      </c>
      <c r="W28" s="1" t="s">
        <v>96</v>
      </c>
      <c r="X28" s="1" t="s">
        <v>96</v>
      </c>
      <c r="Y28" s="1" t="s">
        <v>96</v>
      </c>
      <c r="Z28" t="s">
        <v>96</v>
      </c>
      <c r="AA28" s="1" t="s">
        <v>96</v>
      </c>
      <c r="AB28">
        <v>4.3899999999999997</v>
      </c>
      <c r="AC28">
        <v>44.13</v>
      </c>
      <c r="AD28">
        <v>32.049999999999997</v>
      </c>
      <c r="AE28" s="1" t="s">
        <v>96</v>
      </c>
      <c r="AF28">
        <v>75.290000000000006</v>
      </c>
      <c r="AG28">
        <v>519.45000000000005</v>
      </c>
      <c r="AH28">
        <v>83.51</v>
      </c>
      <c r="AI28" s="1" t="s">
        <v>96</v>
      </c>
      <c r="AJ28" s="1" t="s">
        <v>96</v>
      </c>
      <c r="AK28" s="1" t="s">
        <v>96</v>
      </c>
      <c r="AL28" s="1" t="s">
        <v>96</v>
      </c>
      <c r="AM28" s="1" t="s">
        <v>96</v>
      </c>
      <c r="AN28" s="1" t="s">
        <v>96</v>
      </c>
      <c r="AO28">
        <v>68.23</v>
      </c>
      <c r="AP28">
        <v>43.81</v>
      </c>
      <c r="AQ28" s="1" t="s">
        <v>96</v>
      </c>
      <c r="AR28" s="1">
        <v>1.72</v>
      </c>
      <c r="AS28">
        <v>146.16</v>
      </c>
      <c r="AT28">
        <v>12.72</v>
      </c>
      <c r="AU28" s="1" t="s">
        <v>96</v>
      </c>
      <c r="AV28" s="1" t="s">
        <v>96</v>
      </c>
      <c r="AW28">
        <v>7.66</v>
      </c>
      <c r="AX28" s="1" t="s">
        <v>96</v>
      </c>
      <c r="AY28">
        <v>1278.8699999999999</v>
      </c>
      <c r="AZ28">
        <v>873.39</v>
      </c>
      <c r="BA28">
        <v>46.52</v>
      </c>
      <c r="BB28" s="1" t="s">
        <v>96</v>
      </c>
      <c r="BC28">
        <v>621.29999999999995</v>
      </c>
      <c r="BD28" s="1" t="s">
        <v>96</v>
      </c>
      <c r="BE28" s="1">
        <v>3.18</v>
      </c>
      <c r="BF28">
        <v>30.4</v>
      </c>
      <c r="BG28" s="1" t="s">
        <v>96</v>
      </c>
      <c r="BH28" s="1" t="s">
        <v>96</v>
      </c>
      <c r="BI28">
        <v>60.2</v>
      </c>
      <c r="BJ28">
        <v>57.38</v>
      </c>
      <c r="BK28" s="1" t="s">
        <v>96</v>
      </c>
      <c r="BL28" s="1">
        <v>2.67</v>
      </c>
      <c r="BM28">
        <v>9.9</v>
      </c>
      <c r="BN28">
        <v>34.93</v>
      </c>
      <c r="BO28">
        <v>199.47</v>
      </c>
      <c r="BP28">
        <v>16.559999999999999</v>
      </c>
      <c r="BQ28" s="1" t="s">
        <v>96</v>
      </c>
      <c r="BR28" s="1" t="s">
        <v>96</v>
      </c>
      <c r="BS28" s="1">
        <v>19.23</v>
      </c>
      <c r="BT28" s="1">
        <v>2.84</v>
      </c>
      <c r="BU28" s="1">
        <v>26.2</v>
      </c>
      <c r="BV28">
        <v>215.29</v>
      </c>
      <c r="BW28">
        <v>20.93</v>
      </c>
      <c r="BX28" s="1">
        <v>8.15</v>
      </c>
      <c r="BY28">
        <v>1199.54</v>
      </c>
      <c r="BZ28">
        <v>57.55</v>
      </c>
      <c r="CA28" s="1" t="s">
        <v>96</v>
      </c>
      <c r="CB28">
        <v>26.93</v>
      </c>
      <c r="CC28">
        <v>534.14</v>
      </c>
      <c r="CD28" s="1" t="s">
        <v>96</v>
      </c>
    </row>
    <row r="29" spans="1:82">
      <c r="A29">
        <v>2</v>
      </c>
      <c r="B29" t="s">
        <v>100</v>
      </c>
      <c r="D29" t="b">
        <v>1</v>
      </c>
      <c r="E29" t="s">
        <v>101</v>
      </c>
      <c r="F29">
        <v>189</v>
      </c>
      <c r="G29">
        <v>1</v>
      </c>
      <c r="J29" t="s">
        <v>102</v>
      </c>
      <c r="K29" t="s">
        <v>94</v>
      </c>
      <c r="L29" t="s">
        <v>95</v>
      </c>
      <c r="M29">
        <v>100</v>
      </c>
      <c r="N29" s="1" t="s">
        <v>96</v>
      </c>
      <c r="O29" s="1" t="s">
        <v>96</v>
      </c>
      <c r="P29">
        <v>23.9</v>
      </c>
      <c r="Q29" s="1" t="s">
        <v>96</v>
      </c>
      <c r="R29" s="1" t="s">
        <v>96</v>
      </c>
      <c r="S29" s="1" t="s">
        <v>96</v>
      </c>
      <c r="T29" s="1" t="s">
        <v>96</v>
      </c>
      <c r="U29" s="1" t="s">
        <v>96</v>
      </c>
      <c r="V29" s="1" t="s">
        <v>96</v>
      </c>
      <c r="W29" s="1" t="s">
        <v>96</v>
      </c>
      <c r="X29" s="1" t="s">
        <v>96</v>
      </c>
      <c r="Y29" s="1" t="s">
        <v>96</v>
      </c>
      <c r="Z29" t="s">
        <v>96</v>
      </c>
      <c r="AA29" s="1" t="s">
        <v>96</v>
      </c>
      <c r="AB29" t="s">
        <v>96</v>
      </c>
      <c r="AC29">
        <v>1.1000000000000001</v>
      </c>
      <c r="AD29">
        <v>104.14</v>
      </c>
      <c r="AE29" s="1" t="s">
        <v>96</v>
      </c>
      <c r="AF29">
        <v>5.15</v>
      </c>
      <c r="AG29">
        <v>57.06</v>
      </c>
      <c r="AH29">
        <v>7.53</v>
      </c>
      <c r="AI29" s="1" t="s">
        <v>96</v>
      </c>
      <c r="AJ29" s="1">
        <v>1.35</v>
      </c>
      <c r="AK29" s="1" t="s">
        <v>96</v>
      </c>
      <c r="AL29" s="1" t="s">
        <v>96</v>
      </c>
      <c r="AM29" s="1" t="s">
        <v>96</v>
      </c>
      <c r="AN29" s="1" t="s">
        <v>96</v>
      </c>
      <c r="AO29">
        <v>196.46</v>
      </c>
      <c r="AP29">
        <v>17.46</v>
      </c>
      <c r="AQ29" s="1" t="s">
        <v>96</v>
      </c>
      <c r="AR29" s="1">
        <v>2.1</v>
      </c>
      <c r="AS29">
        <v>1.88</v>
      </c>
      <c r="AT29">
        <v>1.3</v>
      </c>
      <c r="AU29" s="1" t="s">
        <v>96</v>
      </c>
      <c r="AV29" s="1" t="s">
        <v>96</v>
      </c>
      <c r="AW29" t="s">
        <v>96</v>
      </c>
      <c r="AX29" s="1" t="s">
        <v>96</v>
      </c>
      <c r="AY29">
        <v>86.15</v>
      </c>
      <c r="AZ29">
        <v>65.19</v>
      </c>
      <c r="BA29">
        <v>22.91</v>
      </c>
      <c r="BB29" s="1" t="s">
        <v>96</v>
      </c>
      <c r="BC29">
        <v>23.14</v>
      </c>
      <c r="BD29" s="1" t="s">
        <v>96</v>
      </c>
      <c r="BE29" s="1" t="s">
        <v>96</v>
      </c>
      <c r="BF29">
        <v>3.67</v>
      </c>
      <c r="BG29" s="1" t="s">
        <v>96</v>
      </c>
      <c r="BH29" s="1" t="s">
        <v>96</v>
      </c>
      <c r="BI29">
        <v>14.47</v>
      </c>
      <c r="BJ29">
        <v>10.24</v>
      </c>
      <c r="BK29" s="1" t="s">
        <v>96</v>
      </c>
      <c r="BL29" s="1" t="s">
        <v>96</v>
      </c>
      <c r="BM29" t="s">
        <v>96</v>
      </c>
      <c r="BN29">
        <v>5.76</v>
      </c>
      <c r="BO29">
        <v>39.799999999999997</v>
      </c>
      <c r="BP29" t="s">
        <v>96</v>
      </c>
      <c r="BQ29" s="1" t="s">
        <v>96</v>
      </c>
      <c r="BR29" s="1" t="s">
        <v>96</v>
      </c>
      <c r="BS29" s="1" t="s">
        <v>96</v>
      </c>
      <c r="BT29" s="1" t="s">
        <v>96</v>
      </c>
      <c r="BU29" s="1" t="s">
        <v>96</v>
      </c>
      <c r="BV29">
        <v>17.63</v>
      </c>
      <c r="BW29" t="s">
        <v>96</v>
      </c>
      <c r="BX29" s="1" t="s">
        <v>96</v>
      </c>
      <c r="BY29">
        <v>110.36</v>
      </c>
      <c r="BZ29">
        <v>7.62</v>
      </c>
      <c r="CA29" s="1" t="s">
        <v>96</v>
      </c>
      <c r="CB29">
        <v>6.09</v>
      </c>
      <c r="CC29">
        <v>28.19</v>
      </c>
      <c r="CD29" s="1" t="s">
        <v>96</v>
      </c>
    </row>
    <row r="30" spans="1:82">
      <c r="A30">
        <v>216</v>
      </c>
      <c r="B30" t="s">
        <v>743</v>
      </c>
      <c r="D30" t="b">
        <v>1</v>
      </c>
      <c r="E30" t="s">
        <v>744</v>
      </c>
      <c r="F30">
        <v>325</v>
      </c>
      <c r="G30">
        <v>6</v>
      </c>
      <c r="J30" t="s">
        <v>745</v>
      </c>
      <c r="K30" t="s">
        <v>94</v>
      </c>
      <c r="L30" t="s">
        <v>95</v>
      </c>
      <c r="M30">
        <v>100</v>
      </c>
      <c r="N30" s="1" t="s">
        <v>96</v>
      </c>
      <c r="O30" s="1" t="s">
        <v>96</v>
      </c>
      <c r="P30">
        <v>13.69</v>
      </c>
      <c r="Q30" s="1" t="s">
        <v>96</v>
      </c>
      <c r="R30" s="1" t="s">
        <v>96</v>
      </c>
      <c r="S30" s="1" t="s">
        <v>96</v>
      </c>
      <c r="T30" s="1" t="s">
        <v>96</v>
      </c>
      <c r="U30" s="1" t="s">
        <v>96</v>
      </c>
      <c r="V30" s="1" t="s">
        <v>96</v>
      </c>
      <c r="W30" s="1" t="s">
        <v>96</v>
      </c>
      <c r="X30" s="1" t="s">
        <v>96</v>
      </c>
      <c r="Y30" s="1" t="s">
        <v>96</v>
      </c>
      <c r="Z30">
        <v>3.94</v>
      </c>
      <c r="AA30" s="1" t="s">
        <v>96</v>
      </c>
      <c r="AB30">
        <v>10.01</v>
      </c>
      <c r="AC30" t="s">
        <v>96</v>
      </c>
      <c r="AD30">
        <v>329.75</v>
      </c>
      <c r="AE30" s="1" t="s">
        <v>96</v>
      </c>
      <c r="AF30" t="s">
        <v>96</v>
      </c>
      <c r="AG30">
        <v>16.18</v>
      </c>
      <c r="AH30">
        <v>688.61</v>
      </c>
      <c r="AI30" s="1" t="s">
        <v>96</v>
      </c>
      <c r="AJ30" s="1" t="s">
        <v>96</v>
      </c>
      <c r="AK30" s="1" t="s">
        <v>96</v>
      </c>
      <c r="AL30" s="1" t="s">
        <v>96</v>
      </c>
      <c r="AM30" s="1" t="s">
        <v>96</v>
      </c>
      <c r="AN30" s="1">
        <v>2.73</v>
      </c>
      <c r="AO30">
        <v>52.78</v>
      </c>
      <c r="AP30">
        <v>122.97</v>
      </c>
      <c r="AQ30" s="1">
        <v>5.12</v>
      </c>
      <c r="AR30" s="1" t="s">
        <v>96</v>
      </c>
      <c r="AS30">
        <v>93.48</v>
      </c>
      <c r="AT30">
        <v>9.31</v>
      </c>
      <c r="AU30" s="1" t="s">
        <v>96</v>
      </c>
      <c r="AV30" s="1" t="s">
        <v>96</v>
      </c>
      <c r="AW30" t="s">
        <v>96</v>
      </c>
      <c r="AX30" s="1" t="s">
        <v>96</v>
      </c>
      <c r="AY30">
        <v>1754.7</v>
      </c>
      <c r="AZ30">
        <v>22.47</v>
      </c>
      <c r="BA30">
        <v>302.32</v>
      </c>
      <c r="BB30" s="1" t="s">
        <v>96</v>
      </c>
      <c r="BC30">
        <v>276.66000000000003</v>
      </c>
      <c r="BD30" s="1" t="s">
        <v>96</v>
      </c>
      <c r="BE30" s="1" t="s">
        <v>96</v>
      </c>
      <c r="BF30">
        <v>31.67</v>
      </c>
      <c r="BG30" s="1">
        <v>12.98</v>
      </c>
      <c r="BH30" s="1" t="s">
        <v>96</v>
      </c>
      <c r="BI30">
        <v>165.39</v>
      </c>
      <c r="BJ30">
        <v>4.3</v>
      </c>
      <c r="BK30" s="1" t="s">
        <v>96</v>
      </c>
      <c r="BL30" s="1">
        <v>4.05</v>
      </c>
      <c r="BM30" t="s">
        <v>96</v>
      </c>
      <c r="BN30">
        <v>40.14</v>
      </c>
      <c r="BO30" t="s">
        <v>96</v>
      </c>
      <c r="BP30" t="s">
        <v>96</v>
      </c>
      <c r="BQ30" s="1" t="s">
        <v>96</v>
      </c>
      <c r="BR30" s="1" t="s">
        <v>96</v>
      </c>
      <c r="BS30" s="1" t="s">
        <v>96</v>
      </c>
      <c r="BT30" s="1" t="s">
        <v>96</v>
      </c>
      <c r="BU30" s="1" t="s">
        <v>96</v>
      </c>
      <c r="BV30">
        <v>166.1</v>
      </c>
      <c r="BW30">
        <v>35.21</v>
      </c>
      <c r="BX30" s="1" t="s">
        <v>96</v>
      </c>
      <c r="BY30">
        <v>5.89</v>
      </c>
      <c r="BZ30" t="s">
        <v>96</v>
      </c>
      <c r="CA30" s="1" t="s">
        <v>96</v>
      </c>
      <c r="CB30">
        <v>65.510000000000005</v>
      </c>
      <c r="CC30">
        <v>9.16</v>
      </c>
      <c r="CD30" s="1" t="s">
        <v>96</v>
      </c>
    </row>
    <row r="31" spans="1:82">
      <c r="A31">
        <v>3</v>
      </c>
      <c r="B31" t="s">
        <v>103</v>
      </c>
      <c r="D31" t="b">
        <v>1</v>
      </c>
      <c r="E31" t="s">
        <v>104</v>
      </c>
      <c r="F31">
        <v>190</v>
      </c>
      <c r="G31">
        <v>1</v>
      </c>
      <c r="J31" t="s">
        <v>105</v>
      </c>
      <c r="K31" t="s">
        <v>94</v>
      </c>
      <c r="L31" t="s">
        <v>95</v>
      </c>
      <c r="M31">
        <v>100</v>
      </c>
      <c r="N31" s="1" t="s">
        <v>96</v>
      </c>
      <c r="O31" s="1" t="s">
        <v>96</v>
      </c>
      <c r="P31">
        <v>23.03</v>
      </c>
      <c r="Q31" s="1" t="s">
        <v>96</v>
      </c>
      <c r="R31" s="1" t="s">
        <v>96</v>
      </c>
      <c r="S31" s="1">
        <v>9.76</v>
      </c>
      <c r="T31" s="1" t="s">
        <v>96</v>
      </c>
      <c r="U31" s="1" t="s">
        <v>96</v>
      </c>
      <c r="V31" s="1" t="s">
        <v>96</v>
      </c>
      <c r="W31" s="1" t="s">
        <v>96</v>
      </c>
      <c r="X31" s="1" t="s">
        <v>96</v>
      </c>
      <c r="Y31" s="1" t="s">
        <v>96</v>
      </c>
      <c r="Z31" t="s">
        <v>96</v>
      </c>
      <c r="AA31" s="1" t="s">
        <v>96</v>
      </c>
      <c r="AB31">
        <v>1.44</v>
      </c>
      <c r="AC31">
        <v>12.14</v>
      </c>
      <c r="AD31">
        <v>170.23</v>
      </c>
      <c r="AE31" s="1" t="s">
        <v>96</v>
      </c>
      <c r="AF31">
        <v>76.73</v>
      </c>
      <c r="AG31">
        <v>628.95000000000005</v>
      </c>
      <c r="AH31">
        <v>38.25</v>
      </c>
      <c r="AI31" s="1">
        <v>3.53</v>
      </c>
      <c r="AJ31" s="1">
        <v>1.1399999999999999</v>
      </c>
      <c r="AK31" s="1" t="s">
        <v>96</v>
      </c>
      <c r="AL31" s="1" t="s">
        <v>96</v>
      </c>
      <c r="AM31" s="1" t="s">
        <v>96</v>
      </c>
      <c r="AN31" s="1" t="s">
        <v>96</v>
      </c>
      <c r="AO31">
        <v>238.8</v>
      </c>
      <c r="AP31">
        <v>105.1</v>
      </c>
      <c r="AQ31" s="1">
        <v>1.0900000000000001</v>
      </c>
      <c r="AR31" s="1">
        <v>4.3499999999999996</v>
      </c>
      <c r="AS31">
        <v>18.34</v>
      </c>
      <c r="AT31">
        <v>1.93</v>
      </c>
      <c r="AU31" s="1" t="s">
        <v>96</v>
      </c>
      <c r="AV31" s="1" t="s">
        <v>96</v>
      </c>
      <c r="AW31">
        <v>32.92</v>
      </c>
      <c r="AX31" s="1" t="s">
        <v>96</v>
      </c>
      <c r="AY31">
        <v>471.26</v>
      </c>
      <c r="AZ31">
        <v>528.6</v>
      </c>
      <c r="BA31">
        <v>79.19</v>
      </c>
      <c r="BB31" s="1" t="s">
        <v>96</v>
      </c>
      <c r="BC31">
        <v>63.94</v>
      </c>
      <c r="BD31" s="1" t="s">
        <v>96</v>
      </c>
      <c r="BE31" s="1">
        <v>10.77</v>
      </c>
      <c r="BF31">
        <v>3.77</v>
      </c>
      <c r="BG31" s="1">
        <v>4.07</v>
      </c>
      <c r="BH31" s="1" t="s">
        <v>96</v>
      </c>
      <c r="BI31">
        <v>86.92</v>
      </c>
      <c r="BJ31">
        <v>86.15</v>
      </c>
      <c r="BK31" s="1" t="s">
        <v>96</v>
      </c>
      <c r="BL31" s="1" t="s">
        <v>96</v>
      </c>
      <c r="BM31" t="s">
        <v>96</v>
      </c>
      <c r="BN31">
        <v>15.98</v>
      </c>
      <c r="BO31">
        <v>72.78</v>
      </c>
      <c r="BP31">
        <v>4.71</v>
      </c>
      <c r="BQ31" s="1" t="s">
        <v>96</v>
      </c>
      <c r="BR31" s="1" t="s">
        <v>96</v>
      </c>
      <c r="BS31" s="1" t="s">
        <v>96</v>
      </c>
      <c r="BT31" s="1" t="s">
        <v>96</v>
      </c>
      <c r="BU31" s="1">
        <v>18.89</v>
      </c>
      <c r="BV31">
        <v>19.920000000000002</v>
      </c>
      <c r="BW31">
        <v>5.85</v>
      </c>
      <c r="BX31" s="1" t="s">
        <v>96</v>
      </c>
      <c r="BY31">
        <v>232.2</v>
      </c>
      <c r="BZ31">
        <v>16.3</v>
      </c>
      <c r="CA31" s="1" t="s">
        <v>96</v>
      </c>
      <c r="CB31">
        <v>5.45</v>
      </c>
      <c r="CC31">
        <v>40.07</v>
      </c>
      <c r="CD31" s="1" t="s">
        <v>96</v>
      </c>
    </row>
    <row r="32" spans="1:82">
      <c r="A32">
        <v>1</v>
      </c>
      <c r="B32" t="s">
        <v>97</v>
      </c>
      <c r="D32" t="b">
        <v>1</v>
      </c>
      <c r="E32" t="s">
        <v>98</v>
      </c>
      <c r="F32">
        <v>188</v>
      </c>
      <c r="G32">
        <v>1</v>
      </c>
      <c r="J32" t="s">
        <v>99</v>
      </c>
      <c r="K32" t="s">
        <v>94</v>
      </c>
      <c r="L32" t="s">
        <v>95</v>
      </c>
      <c r="M32">
        <v>100</v>
      </c>
      <c r="N32" s="1" t="s">
        <v>96</v>
      </c>
      <c r="O32" s="1" t="s">
        <v>96</v>
      </c>
      <c r="P32">
        <v>16.12</v>
      </c>
      <c r="Q32" s="1" t="s">
        <v>96</v>
      </c>
      <c r="R32" s="1" t="s">
        <v>96</v>
      </c>
      <c r="S32" s="1" t="s">
        <v>96</v>
      </c>
      <c r="T32" s="1" t="s">
        <v>96</v>
      </c>
      <c r="U32" s="1" t="s">
        <v>96</v>
      </c>
      <c r="V32" s="1" t="s">
        <v>96</v>
      </c>
      <c r="W32" s="1" t="s">
        <v>96</v>
      </c>
      <c r="X32" s="1" t="s">
        <v>96</v>
      </c>
      <c r="Y32" s="1" t="s">
        <v>96</v>
      </c>
      <c r="Z32" t="s">
        <v>96</v>
      </c>
      <c r="AA32" s="1" t="s">
        <v>96</v>
      </c>
      <c r="AB32">
        <v>1.64</v>
      </c>
      <c r="AC32">
        <v>8.1999999999999993</v>
      </c>
      <c r="AD32">
        <v>80.3</v>
      </c>
      <c r="AE32" s="1" t="s">
        <v>96</v>
      </c>
      <c r="AF32">
        <v>18.04</v>
      </c>
      <c r="AG32">
        <v>366.45</v>
      </c>
      <c r="AH32">
        <v>139.52000000000001</v>
      </c>
      <c r="AI32" s="1" t="s">
        <v>96</v>
      </c>
      <c r="AJ32" s="1" t="s">
        <v>96</v>
      </c>
      <c r="AK32" s="1" t="s">
        <v>96</v>
      </c>
      <c r="AL32" s="1" t="s">
        <v>96</v>
      </c>
      <c r="AM32" s="1" t="s">
        <v>96</v>
      </c>
      <c r="AN32" s="1" t="s">
        <v>96</v>
      </c>
      <c r="AO32">
        <v>90.22</v>
      </c>
      <c r="AP32">
        <v>24.24</v>
      </c>
      <c r="AQ32" s="1" t="s">
        <v>96</v>
      </c>
      <c r="AR32" s="1" t="s">
        <v>96</v>
      </c>
      <c r="AS32">
        <v>12.02</v>
      </c>
      <c r="AT32">
        <v>2.4300000000000002</v>
      </c>
      <c r="AU32" s="1" t="s">
        <v>96</v>
      </c>
      <c r="AV32" s="1" t="s">
        <v>96</v>
      </c>
      <c r="AW32">
        <v>4.33</v>
      </c>
      <c r="AX32" s="1" t="s">
        <v>96</v>
      </c>
      <c r="AY32">
        <v>1189.58</v>
      </c>
      <c r="AZ32">
        <v>679.25</v>
      </c>
      <c r="BA32">
        <v>150.80000000000001</v>
      </c>
      <c r="BB32" s="1" t="s">
        <v>96</v>
      </c>
      <c r="BC32">
        <v>314.8</v>
      </c>
      <c r="BD32" s="1" t="s">
        <v>96</v>
      </c>
      <c r="BE32" s="1">
        <v>3.29</v>
      </c>
      <c r="BF32">
        <v>20.56</v>
      </c>
      <c r="BG32" s="1">
        <v>5.67</v>
      </c>
      <c r="BH32" s="1" t="s">
        <v>96</v>
      </c>
      <c r="BI32">
        <v>124.14</v>
      </c>
      <c r="BJ32">
        <v>83.18</v>
      </c>
      <c r="BK32" s="1" t="s">
        <v>96</v>
      </c>
      <c r="BL32" s="1" t="s">
        <v>96</v>
      </c>
      <c r="BM32">
        <v>4.3600000000000003</v>
      </c>
      <c r="BN32">
        <v>33.479999999999997</v>
      </c>
      <c r="BO32">
        <v>98.32</v>
      </c>
      <c r="BP32">
        <v>2.69</v>
      </c>
      <c r="BQ32" s="1" t="s">
        <v>96</v>
      </c>
      <c r="BR32" s="1" t="s">
        <v>96</v>
      </c>
      <c r="BS32" s="1" t="s">
        <v>96</v>
      </c>
      <c r="BT32" s="1" t="s">
        <v>96</v>
      </c>
      <c r="BU32" s="1">
        <v>7.51</v>
      </c>
      <c r="BV32">
        <v>160.22</v>
      </c>
      <c r="BW32">
        <v>16.989999999999998</v>
      </c>
      <c r="BX32" s="1" t="s">
        <v>96</v>
      </c>
      <c r="BY32">
        <v>719.53</v>
      </c>
      <c r="BZ32">
        <v>24.66</v>
      </c>
      <c r="CA32" s="1" t="s">
        <v>96</v>
      </c>
      <c r="CB32">
        <v>63.13</v>
      </c>
      <c r="CC32">
        <v>170.46</v>
      </c>
      <c r="CD32" s="1" t="s">
        <v>96</v>
      </c>
    </row>
    <row r="33" spans="1:82">
      <c r="A33">
        <v>139</v>
      </c>
      <c r="B33" t="s">
        <v>512</v>
      </c>
      <c r="D33" t="b">
        <v>1</v>
      </c>
      <c r="E33" t="s">
        <v>513</v>
      </c>
      <c r="F33">
        <v>28</v>
      </c>
      <c r="G33">
        <v>4</v>
      </c>
      <c r="J33" t="s">
        <v>514</v>
      </c>
      <c r="K33" t="s">
        <v>94</v>
      </c>
      <c r="L33" t="s">
        <v>95</v>
      </c>
      <c r="M33">
        <v>100</v>
      </c>
      <c r="N33" s="1" t="s">
        <v>96</v>
      </c>
      <c r="O33" s="1" t="s">
        <v>96</v>
      </c>
      <c r="P33">
        <v>17.79</v>
      </c>
      <c r="Q33" s="1" t="s">
        <v>96</v>
      </c>
      <c r="R33" s="1" t="s">
        <v>96</v>
      </c>
      <c r="S33" s="1" t="s">
        <v>96</v>
      </c>
      <c r="T33" s="1" t="s">
        <v>96</v>
      </c>
      <c r="U33" s="1" t="s">
        <v>96</v>
      </c>
      <c r="V33" s="1" t="s">
        <v>96</v>
      </c>
      <c r="W33" s="1" t="s">
        <v>96</v>
      </c>
      <c r="X33" s="1" t="s">
        <v>96</v>
      </c>
      <c r="Y33" s="1" t="s">
        <v>96</v>
      </c>
      <c r="Z33" t="s">
        <v>96</v>
      </c>
      <c r="AA33" s="1" t="s">
        <v>96</v>
      </c>
      <c r="AB33" t="s">
        <v>96</v>
      </c>
      <c r="AC33" t="s">
        <v>96</v>
      </c>
      <c r="AD33">
        <v>9.8800000000000008</v>
      </c>
      <c r="AE33" s="1" t="s">
        <v>96</v>
      </c>
      <c r="AF33" t="s">
        <v>96</v>
      </c>
      <c r="AG33">
        <v>2.5099999999999998</v>
      </c>
      <c r="AH33">
        <v>15.68</v>
      </c>
      <c r="AI33" s="1" t="s">
        <v>96</v>
      </c>
      <c r="AJ33" s="1" t="s">
        <v>96</v>
      </c>
      <c r="AK33" s="1" t="s">
        <v>96</v>
      </c>
      <c r="AL33" s="1" t="s">
        <v>96</v>
      </c>
      <c r="AM33" s="1" t="s">
        <v>96</v>
      </c>
      <c r="AN33" s="1" t="s">
        <v>96</v>
      </c>
      <c r="AO33" t="s">
        <v>96</v>
      </c>
      <c r="AP33">
        <v>1.91</v>
      </c>
      <c r="AQ33" s="1" t="s">
        <v>96</v>
      </c>
      <c r="AR33" s="1" t="s">
        <v>96</v>
      </c>
      <c r="AS33">
        <v>15.72</v>
      </c>
      <c r="AT33">
        <v>3.13</v>
      </c>
      <c r="AU33" s="1" t="s">
        <v>96</v>
      </c>
      <c r="AV33" s="1" t="s">
        <v>96</v>
      </c>
      <c r="AW33" t="s">
        <v>96</v>
      </c>
      <c r="AX33" s="1" t="s">
        <v>96</v>
      </c>
      <c r="AY33">
        <v>91.03</v>
      </c>
      <c r="AZ33" t="s">
        <v>96</v>
      </c>
      <c r="BA33" t="s">
        <v>96</v>
      </c>
      <c r="BB33" s="1" t="s">
        <v>96</v>
      </c>
      <c r="BC33">
        <v>22.31</v>
      </c>
      <c r="BD33" s="1" t="s">
        <v>96</v>
      </c>
      <c r="BE33" s="1" t="s">
        <v>96</v>
      </c>
      <c r="BF33">
        <v>2.54</v>
      </c>
      <c r="BG33" s="1" t="s">
        <v>96</v>
      </c>
      <c r="BH33" s="1" t="s">
        <v>96</v>
      </c>
      <c r="BI33">
        <v>14.59</v>
      </c>
      <c r="BJ33" t="s">
        <v>96</v>
      </c>
      <c r="BK33" s="1" t="s">
        <v>96</v>
      </c>
      <c r="BL33" s="1" t="s">
        <v>96</v>
      </c>
      <c r="BM33" t="s">
        <v>96</v>
      </c>
      <c r="BN33">
        <v>6.52</v>
      </c>
      <c r="BO33" t="s">
        <v>96</v>
      </c>
      <c r="BP33" t="s">
        <v>96</v>
      </c>
      <c r="BQ33" s="1" t="s">
        <v>96</v>
      </c>
      <c r="BR33" s="1" t="s">
        <v>96</v>
      </c>
      <c r="BS33" s="1" t="s">
        <v>96</v>
      </c>
      <c r="BT33" s="1" t="s">
        <v>96</v>
      </c>
      <c r="BU33" s="1" t="s">
        <v>96</v>
      </c>
      <c r="BV33">
        <v>72.55</v>
      </c>
      <c r="BW33">
        <v>12.64</v>
      </c>
      <c r="BX33" s="1" t="s">
        <v>96</v>
      </c>
      <c r="BY33">
        <v>10.52</v>
      </c>
      <c r="BZ33" t="s">
        <v>96</v>
      </c>
      <c r="CA33" s="1" t="s">
        <v>96</v>
      </c>
      <c r="CB33">
        <v>5.14</v>
      </c>
      <c r="CC33" t="s">
        <v>96</v>
      </c>
      <c r="CD33" s="1" t="s">
        <v>96</v>
      </c>
    </row>
    <row r="34" spans="1:82">
      <c r="A34">
        <v>133</v>
      </c>
      <c r="B34" t="s">
        <v>494</v>
      </c>
      <c r="D34" t="b">
        <v>1</v>
      </c>
      <c r="E34" t="s">
        <v>495</v>
      </c>
      <c r="F34">
        <v>22</v>
      </c>
      <c r="G34">
        <v>4</v>
      </c>
      <c r="J34" t="s">
        <v>496</v>
      </c>
      <c r="K34" t="s">
        <v>94</v>
      </c>
      <c r="L34" t="s">
        <v>95</v>
      </c>
      <c r="M34">
        <v>100</v>
      </c>
      <c r="N34" s="1" t="s">
        <v>96</v>
      </c>
      <c r="O34" s="1" t="s">
        <v>96</v>
      </c>
      <c r="P34">
        <v>14.56</v>
      </c>
      <c r="Q34" s="1" t="s">
        <v>96</v>
      </c>
      <c r="R34" s="1" t="s">
        <v>96</v>
      </c>
      <c r="S34" s="1" t="s">
        <v>96</v>
      </c>
      <c r="T34" s="1" t="s">
        <v>96</v>
      </c>
      <c r="U34" s="1" t="s">
        <v>96</v>
      </c>
      <c r="V34" s="1" t="s">
        <v>96</v>
      </c>
      <c r="W34" s="1" t="s">
        <v>96</v>
      </c>
      <c r="X34" s="1" t="s">
        <v>96</v>
      </c>
      <c r="Y34" s="1" t="s">
        <v>96</v>
      </c>
      <c r="Z34" t="s">
        <v>96</v>
      </c>
      <c r="AA34" s="1" t="s">
        <v>96</v>
      </c>
      <c r="AB34" t="s">
        <v>96</v>
      </c>
      <c r="AC34" t="s">
        <v>96</v>
      </c>
      <c r="AD34">
        <v>42.94</v>
      </c>
      <c r="AE34" s="1" t="s">
        <v>96</v>
      </c>
      <c r="AF34" t="s">
        <v>96</v>
      </c>
      <c r="AG34">
        <v>9.8699999999999992</v>
      </c>
      <c r="AH34">
        <v>6.33</v>
      </c>
      <c r="AI34" s="1" t="s">
        <v>96</v>
      </c>
      <c r="AJ34" s="1">
        <v>6.34</v>
      </c>
      <c r="AK34" s="1" t="s">
        <v>96</v>
      </c>
      <c r="AL34" s="1" t="s">
        <v>96</v>
      </c>
      <c r="AM34" s="1" t="s">
        <v>96</v>
      </c>
      <c r="AN34" s="1" t="s">
        <v>96</v>
      </c>
      <c r="AO34" t="s">
        <v>96</v>
      </c>
      <c r="AP34">
        <v>2.41</v>
      </c>
      <c r="AQ34" s="1" t="s">
        <v>96</v>
      </c>
      <c r="AR34" s="1" t="s">
        <v>96</v>
      </c>
      <c r="AS34">
        <v>2.2200000000000002</v>
      </c>
      <c r="AT34" t="s">
        <v>96</v>
      </c>
      <c r="AU34" s="1" t="s">
        <v>96</v>
      </c>
      <c r="AV34" s="1" t="s">
        <v>96</v>
      </c>
      <c r="AW34" t="s">
        <v>96</v>
      </c>
      <c r="AX34" s="1" t="s">
        <v>96</v>
      </c>
      <c r="AY34">
        <v>135.69999999999999</v>
      </c>
      <c r="AZ34">
        <v>20.25</v>
      </c>
      <c r="BA34">
        <v>11.71</v>
      </c>
      <c r="BB34" s="1" t="s">
        <v>96</v>
      </c>
      <c r="BC34">
        <v>6.04</v>
      </c>
      <c r="BD34" s="1" t="s">
        <v>96</v>
      </c>
      <c r="BE34" s="1" t="s">
        <v>96</v>
      </c>
      <c r="BF34" t="s">
        <v>96</v>
      </c>
      <c r="BG34" s="1" t="s">
        <v>96</v>
      </c>
      <c r="BH34" s="1" t="s">
        <v>96</v>
      </c>
      <c r="BI34">
        <v>8.43</v>
      </c>
      <c r="BJ34" t="s">
        <v>96</v>
      </c>
      <c r="BK34" s="1" t="s">
        <v>96</v>
      </c>
      <c r="BL34" s="1" t="s">
        <v>96</v>
      </c>
      <c r="BM34" t="s">
        <v>96</v>
      </c>
      <c r="BN34" t="s">
        <v>96</v>
      </c>
      <c r="BO34">
        <v>51.69</v>
      </c>
      <c r="BP34">
        <v>4.1399999999999997</v>
      </c>
      <c r="BQ34" s="1" t="s">
        <v>96</v>
      </c>
      <c r="BR34" s="1" t="s">
        <v>96</v>
      </c>
      <c r="BS34" s="1" t="s">
        <v>96</v>
      </c>
      <c r="BT34" s="1" t="s">
        <v>96</v>
      </c>
      <c r="BU34" s="1" t="s">
        <v>96</v>
      </c>
      <c r="BV34">
        <v>50.25</v>
      </c>
      <c r="BW34">
        <v>9.19</v>
      </c>
      <c r="BX34" s="1" t="s">
        <v>96</v>
      </c>
      <c r="BY34">
        <v>536.29</v>
      </c>
      <c r="BZ34" t="s">
        <v>96</v>
      </c>
      <c r="CA34" s="1" t="s">
        <v>96</v>
      </c>
      <c r="CB34">
        <v>34.75</v>
      </c>
      <c r="CC34">
        <v>43.84</v>
      </c>
      <c r="CD34" s="1" t="s">
        <v>96</v>
      </c>
    </row>
    <row r="35" spans="1:82">
      <c r="A35">
        <v>80</v>
      </c>
      <c r="B35" t="s">
        <v>335</v>
      </c>
      <c r="D35" t="b">
        <v>1</v>
      </c>
      <c r="E35" t="s">
        <v>336</v>
      </c>
      <c r="F35">
        <v>127</v>
      </c>
      <c r="G35">
        <v>3</v>
      </c>
      <c r="J35" t="s">
        <v>337</v>
      </c>
      <c r="K35" t="s">
        <v>94</v>
      </c>
      <c r="L35" t="s">
        <v>95</v>
      </c>
      <c r="M35">
        <v>100</v>
      </c>
      <c r="N35" s="1" t="s">
        <v>96</v>
      </c>
      <c r="O35" s="1" t="s">
        <v>96</v>
      </c>
      <c r="P35">
        <v>21.11</v>
      </c>
      <c r="Q35" s="1" t="s">
        <v>96</v>
      </c>
      <c r="R35" s="1" t="s">
        <v>96</v>
      </c>
      <c r="S35" s="1">
        <v>7.01</v>
      </c>
      <c r="T35" s="1" t="s">
        <v>96</v>
      </c>
      <c r="U35" s="1" t="s">
        <v>96</v>
      </c>
      <c r="V35" s="1" t="s">
        <v>96</v>
      </c>
      <c r="W35" s="1" t="s">
        <v>96</v>
      </c>
      <c r="X35" s="1" t="s">
        <v>96</v>
      </c>
      <c r="Y35" s="1" t="s">
        <v>96</v>
      </c>
      <c r="Z35" t="s">
        <v>96</v>
      </c>
      <c r="AA35" s="1" t="s">
        <v>96</v>
      </c>
      <c r="AB35">
        <v>9.75</v>
      </c>
      <c r="AC35">
        <v>6.46</v>
      </c>
      <c r="AD35">
        <v>117.46</v>
      </c>
      <c r="AE35" s="1" t="s">
        <v>96</v>
      </c>
      <c r="AF35">
        <v>29.23</v>
      </c>
      <c r="AG35">
        <v>627.55999999999995</v>
      </c>
      <c r="AH35">
        <v>517.07000000000005</v>
      </c>
      <c r="AI35" s="1" t="s">
        <v>96</v>
      </c>
      <c r="AJ35" s="1" t="s">
        <v>96</v>
      </c>
      <c r="AK35" s="1" t="s">
        <v>96</v>
      </c>
      <c r="AL35" s="1" t="s">
        <v>96</v>
      </c>
      <c r="AM35" s="1" t="s">
        <v>96</v>
      </c>
      <c r="AN35" s="1" t="s">
        <v>96</v>
      </c>
      <c r="AO35">
        <v>1891.33</v>
      </c>
      <c r="AP35">
        <v>47.21</v>
      </c>
      <c r="AQ35" s="1" t="s">
        <v>96</v>
      </c>
      <c r="AR35" s="1">
        <v>2.96</v>
      </c>
      <c r="AS35">
        <v>678.01</v>
      </c>
      <c r="AT35">
        <v>17.489999999999998</v>
      </c>
      <c r="AU35" s="1" t="s">
        <v>96</v>
      </c>
      <c r="AV35" s="1" t="s">
        <v>96</v>
      </c>
      <c r="AW35">
        <v>11.47</v>
      </c>
      <c r="AX35" s="1" t="s">
        <v>96</v>
      </c>
      <c r="AY35">
        <v>1802.91</v>
      </c>
      <c r="AZ35">
        <v>1211.8599999999999</v>
      </c>
      <c r="BA35">
        <v>109.86</v>
      </c>
      <c r="BB35" s="1" t="s">
        <v>96</v>
      </c>
      <c r="BC35">
        <v>462.77</v>
      </c>
      <c r="BD35" s="1" t="s">
        <v>96</v>
      </c>
      <c r="BE35" s="1">
        <v>5.85</v>
      </c>
      <c r="BF35">
        <v>10.61</v>
      </c>
      <c r="BG35" s="1">
        <v>4.78</v>
      </c>
      <c r="BH35" s="1" t="s">
        <v>96</v>
      </c>
      <c r="BI35">
        <v>155.85</v>
      </c>
      <c r="BJ35">
        <v>134.5</v>
      </c>
      <c r="BK35" s="1" t="s">
        <v>96</v>
      </c>
      <c r="BL35" s="1" t="s">
        <v>96</v>
      </c>
      <c r="BM35">
        <v>3.12</v>
      </c>
      <c r="BN35">
        <v>42.66</v>
      </c>
      <c r="BO35">
        <v>161.16</v>
      </c>
      <c r="BP35">
        <v>80.650000000000006</v>
      </c>
      <c r="BQ35" s="1" t="s">
        <v>96</v>
      </c>
      <c r="BR35" s="1" t="s">
        <v>96</v>
      </c>
      <c r="BS35" s="1">
        <v>29.39</v>
      </c>
      <c r="BT35" s="1">
        <v>10.57</v>
      </c>
      <c r="BU35" s="1">
        <v>13.11</v>
      </c>
      <c r="BV35">
        <v>67.849999999999994</v>
      </c>
      <c r="BW35">
        <v>13.76</v>
      </c>
      <c r="BX35" s="1" t="s">
        <v>96</v>
      </c>
      <c r="BY35">
        <v>378.7</v>
      </c>
      <c r="BZ35">
        <v>20.02</v>
      </c>
      <c r="CA35" s="1" t="s">
        <v>96</v>
      </c>
      <c r="CB35">
        <v>26.28</v>
      </c>
      <c r="CC35">
        <v>78.42</v>
      </c>
      <c r="CD35" s="1" t="s">
        <v>96</v>
      </c>
    </row>
    <row r="36" spans="1:82">
      <c r="A36">
        <v>22</v>
      </c>
      <c r="B36" t="s">
        <v>161</v>
      </c>
      <c r="D36" t="b">
        <v>1</v>
      </c>
      <c r="E36" t="s">
        <v>162</v>
      </c>
      <c r="F36">
        <v>213</v>
      </c>
      <c r="G36">
        <v>1</v>
      </c>
      <c r="J36" t="s">
        <v>163</v>
      </c>
      <c r="K36" t="s">
        <v>94</v>
      </c>
      <c r="L36" t="s">
        <v>95</v>
      </c>
      <c r="M36">
        <v>100</v>
      </c>
      <c r="N36" s="1" t="s">
        <v>96</v>
      </c>
      <c r="O36" s="1" t="s">
        <v>96</v>
      </c>
      <c r="P36">
        <v>25.97</v>
      </c>
      <c r="Q36" s="1" t="s">
        <v>96</v>
      </c>
      <c r="R36" s="1" t="s">
        <v>96</v>
      </c>
      <c r="S36" s="1" t="s">
        <v>96</v>
      </c>
      <c r="T36" s="1" t="s">
        <v>96</v>
      </c>
      <c r="U36" s="1" t="s">
        <v>96</v>
      </c>
      <c r="V36" s="1" t="s">
        <v>96</v>
      </c>
      <c r="W36" s="1" t="s">
        <v>96</v>
      </c>
      <c r="X36" s="1" t="s">
        <v>96</v>
      </c>
      <c r="Y36" s="1" t="s">
        <v>96</v>
      </c>
      <c r="Z36" t="s">
        <v>96</v>
      </c>
      <c r="AA36" s="1" t="s">
        <v>96</v>
      </c>
      <c r="AB36">
        <v>1.37</v>
      </c>
      <c r="AC36">
        <v>2.86</v>
      </c>
      <c r="AD36">
        <v>92.49</v>
      </c>
      <c r="AE36" s="1" t="s">
        <v>96</v>
      </c>
      <c r="AF36">
        <v>6.15</v>
      </c>
      <c r="AG36">
        <v>78.28</v>
      </c>
      <c r="AH36">
        <v>26.49</v>
      </c>
      <c r="AI36" s="1" t="s">
        <v>96</v>
      </c>
      <c r="AJ36" s="1" t="s">
        <v>96</v>
      </c>
      <c r="AK36" s="1" t="s">
        <v>96</v>
      </c>
      <c r="AL36" s="1" t="s">
        <v>96</v>
      </c>
      <c r="AM36" s="1" t="s">
        <v>96</v>
      </c>
      <c r="AN36" s="1" t="s">
        <v>96</v>
      </c>
      <c r="AO36">
        <v>47.23</v>
      </c>
      <c r="AP36">
        <v>18.989999999999998</v>
      </c>
      <c r="AQ36" s="1" t="s">
        <v>96</v>
      </c>
      <c r="AR36" s="1" t="s">
        <v>96</v>
      </c>
      <c r="AS36">
        <v>21.77</v>
      </c>
      <c r="AT36">
        <v>6.5</v>
      </c>
      <c r="AU36" s="1" t="s">
        <v>96</v>
      </c>
      <c r="AV36" s="1" t="s">
        <v>96</v>
      </c>
      <c r="AW36" t="s">
        <v>96</v>
      </c>
      <c r="AX36" s="1" t="s">
        <v>96</v>
      </c>
      <c r="AY36">
        <v>33.770000000000003</v>
      </c>
      <c r="AZ36">
        <v>10.25</v>
      </c>
      <c r="BA36">
        <v>5.73</v>
      </c>
      <c r="BB36" s="1" t="s">
        <v>96</v>
      </c>
      <c r="BC36">
        <v>10.8</v>
      </c>
      <c r="BD36" s="1" t="s">
        <v>96</v>
      </c>
      <c r="BE36" s="1" t="s">
        <v>96</v>
      </c>
      <c r="BF36" t="s">
        <v>96</v>
      </c>
      <c r="BG36" s="1" t="s">
        <v>96</v>
      </c>
      <c r="BH36" s="1" t="s">
        <v>96</v>
      </c>
      <c r="BI36">
        <v>19.38</v>
      </c>
      <c r="BJ36">
        <v>5.05</v>
      </c>
      <c r="BK36" s="1" t="s">
        <v>96</v>
      </c>
      <c r="BL36" s="1" t="s">
        <v>96</v>
      </c>
      <c r="BM36" t="s">
        <v>96</v>
      </c>
      <c r="BN36">
        <v>6.55</v>
      </c>
      <c r="BO36">
        <v>54.03</v>
      </c>
      <c r="BP36" t="s">
        <v>96</v>
      </c>
      <c r="BQ36" s="1" t="s">
        <v>96</v>
      </c>
      <c r="BR36" s="1" t="s">
        <v>96</v>
      </c>
      <c r="BS36" s="1" t="s">
        <v>96</v>
      </c>
      <c r="BT36" s="1" t="s">
        <v>96</v>
      </c>
      <c r="BU36" s="1" t="s">
        <v>96</v>
      </c>
      <c r="BV36">
        <v>14.85</v>
      </c>
      <c r="BW36">
        <v>9.0500000000000007</v>
      </c>
      <c r="BX36" s="1" t="s">
        <v>96</v>
      </c>
      <c r="BY36">
        <v>89.68</v>
      </c>
      <c r="BZ36">
        <v>14.28</v>
      </c>
      <c r="CA36" s="1" t="s">
        <v>96</v>
      </c>
      <c r="CB36">
        <v>7.67</v>
      </c>
      <c r="CC36">
        <v>14.45</v>
      </c>
      <c r="CD36" s="1" t="s">
        <v>96</v>
      </c>
    </row>
    <row r="37" spans="1:82">
      <c r="A37">
        <v>155</v>
      </c>
      <c r="B37" t="s">
        <v>560</v>
      </c>
      <c r="D37" t="b">
        <v>1</v>
      </c>
      <c r="E37" t="s">
        <v>561</v>
      </c>
      <c r="F37">
        <v>48</v>
      </c>
      <c r="G37">
        <v>4</v>
      </c>
      <c r="J37" t="s">
        <v>562</v>
      </c>
      <c r="K37" t="s">
        <v>94</v>
      </c>
      <c r="L37" t="s">
        <v>95</v>
      </c>
      <c r="M37">
        <v>100</v>
      </c>
      <c r="N37" s="1" t="s">
        <v>96</v>
      </c>
      <c r="O37" s="1" t="s">
        <v>96</v>
      </c>
      <c r="P37">
        <v>17.72</v>
      </c>
      <c r="Q37" s="1" t="s">
        <v>96</v>
      </c>
      <c r="R37" s="1" t="s">
        <v>96</v>
      </c>
      <c r="S37" s="1" t="s">
        <v>96</v>
      </c>
      <c r="T37" s="1" t="s">
        <v>96</v>
      </c>
      <c r="U37" s="1" t="s">
        <v>96</v>
      </c>
      <c r="V37" s="1" t="s">
        <v>96</v>
      </c>
      <c r="W37" s="1" t="s">
        <v>96</v>
      </c>
      <c r="X37" s="1" t="s">
        <v>96</v>
      </c>
      <c r="Y37" s="1" t="s">
        <v>96</v>
      </c>
      <c r="Z37" t="s">
        <v>96</v>
      </c>
      <c r="AA37" s="1" t="s">
        <v>96</v>
      </c>
      <c r="AB37">
        <v>1.35</v>
      </c>
      <c r="AC37" t="s">
        <v>96</v>
      </c>
      <c r="AD37">
        <v>133.9</v>
      </c>
      <c r="AE37" s="1" t="s">
        <v>96</v>
      </c>
      <c r="AF37" t="s">
        <v>96</v>
      </c>
      <c r="AG37">
        <v>9.65</v>
      </c>
      <c r="AH37">
        <v>43.09</v>
      </c>
      <c r="AI37" s="1" t="s">
        <v>96</v>
      </c>
      <c r="AJ37" s="1" t="s">
        <v>96</v>
      </c>
      <c r="AK37" s="1" t="s">
        <v>96</v>
      </c>
      <c r="AL37" s="1" t="s">
        <v>96</v>
      </c>
      <c r="AM37" s="1" t="s">
        <v>96</v>
      </c>
      <c r="AN37" s="1">
        <v>3.02</v>
      </c>
      <c r="AO37">
        <v>37.130000000000003</v>
      </c>
      <c r="AP37">
        <v>26.54</v>
      </c>
      <c r="AQ37" s="1" t="s">
        <v>96</v>
      </c>
      <c r="AR37" s="1" t="s">
        <v>96</v>
      </c>
      <c r="AS37">
        <v>38.25</v>
      </c>
      <c r="AT37">
        <v>14.8</v>
      </c>
      <c r="AU37" s="1" t="s">
        <v>96</v>
      </c>
      <c r="AV37" s="1" t="s">
        <v>96</v>
      </c>
      <c r="AW37" t="s">
        <v>96</v>
      </c>
      <c r="AX37" s="1" t="s">
        <v>96</v>
      </c>
      <c r="AY37">
        <v>480.8</v>
      </c>
      <c r="AZ37">
        <v>32.92</v>
      </c>
      <c r="BA37">
        <v>56.95</v>
      </c>
      <c r="BB37" s="1" t="s">
        <v>96</v>
      </c>
      <c r="BC37">
        <v>81.319999999999993</v>
      </c>
      <c r="BD37" s="1" t="s">
        <v>96</v>
      </c>
      <c r="BE37" s="1" t="s">
        <v>96</v>
      </c>
      <c r="BF37">
        <v>18.46</v>
      </c>
      <c r="BG37" s="1">
        <v>2.67</v>
      </c>
      <c r="BH37" s="1" t="s">
        <v>96</v>
      </c>
      <c r="BI37">
        <v>61.84</v>
      </c>
      <c r="BJ37">
        <v>5.0999999999999996</v>
      </c>
      <c r="BK37" s="1" t="s">
        <v>96</v>
      </c>
      <c r="BL37" s="1" t="s">
        <v>96</v>
      </c>
      <c r="BM37" t="s">
        <v>96</v>
      </c>
      <c r="BN37">
        <v>11.89</v>
      </c>
      <c r="BO37">
        <v>29.96</v>
      </c>
      <c r="BP37" t="s">
        <v>96</v>
      </c>
      <c r="BQ37" s="1" t="s">
        <v>96</v>
      </c>
      <c r="BR37" s="1" t="s">
        <v>96</v>
      </c>
      <c r="BS37" s="1" t="s">
        <v>96</v>
      </c>
      <c r="BT37" s="1" t="s">
        <v>96</v>
      </c>
      <c r="BU37" s="1" t="s">
        <v>96</v>
      </c>
      <c r="BV37">
        <v>114.58</v>
      </c>
      <c r="BW37">
        <v>23.94</v>
      </c>
      <c r="BX37" s="1" t="s">
        <v>96</v>
      </c>
      <c r="BY37">
        <v>119.23</v>
      </c>
      <c r="BZ37">
        <v>9.74</v>
      </c>
      <c r="CA37" s="1" t="s">
        <v>96</v>
      </c>
      <c r="CB37">
        <v>39.42</v>
      </c>
      <c r="CC37">
        <v>33.65</v>
      </c>
      <c r="CD37" s="1" t="s">
        <v>96</v>
      </c>
    </row>
    <row r="38" spans="1:82">
      <c r="A38">
        <v>236</v>
      </c>
      <c r="B38" t="s">
        <v>803</v>
      </c>
      <c r="D38" t="b">
        <v>1</v>
      </c>
      <c r="E38" t="s">
        <v>804</v>
      </c>
      <c r="F38">
        <v>349</v>
      </c>
      <c r="G38">
        <v>6</v>
      </c>
      <c r="J38" t="s">
        <v>805</v>
      </c>
      <c r="K38" t="s">
        <v>94</v>
      </c>
      <c r="L38" t="s">
        <v>95</v>
      </c>
      <c r="M38">
        <v>100</v>
      </c>
      <c r="N38" s="1" t="s">
        <v>96</v>
      </c>
      <c r="O38" s="1" t="s">
        <v>96</v>
      </c>
      <c r="P38">
        <v>11.43</v>
      </c>
      <c r="Q38" s="1" t="s">
        <v>96</v>
      </c>
      <c r="R38" s="1" t="s">
        <v>96</v>
      </c>
      <c r="S38" s="1">
        <v>10.67</v>
      </c>
      <c r="T38" s="1" t="s">
        <v>96</v>
      </c>
      <c r="U38" s="1" t="s">
        <v>96</v>
      </c>
      <c r="V38" s="1" t="s">
        <v>96</v>
      </c>
      <c r="W38" s="1" t="s">
        <v>96</v>
      </c>
      <c r="X38" s="1" t="s">
        <v>96</v>
      </c>
      <c r="Y38" s="1" t="s">
        <v>96</v>
      </c>
      <c r="Z38" t="s">
        <v>96</v>
      </c>
      <c r="AA38" s="1" t="s">
        <v>96</v>
      </c>
      <c r="AB38">
        <v>1.38</v>
      </c>
      <c r="AC38">
        <v>16.559999999999999</v>
      </c>
      <c r="AD38">
        <v>54.24</v>
      </c>
      <c r="AE38" s="1" t="s">
        <v>96</v>
      </c>
      <c r="AF38">
        <v>59.31</v>
      </c>
      <c r="AG38">
        <v>567.02</v>
      </c>
      <c r="AH38">
        <v>90.92</v>
      </c>
      <c r="AI38" s="1">
        <v>3.43</v>
      </c>
      <c r="AJ38" s="1">
        <v>2.0299999999999998</v>
      </c>
      <c r="AK38" s="1" t="s">
        <v>96</v>
      </c>
      <c r="AL38" s="1" t="s">
        <v>96</v>
      </c>
      <c r="AM38" s="1" t="s">
        <v>96</v>
      </c>
      <c r="AN38" s="1" t="s">
        <v>96</v>
      </c>
      <c r="AO38">
        <v>46.17</v>
      </c>
      <c r="AP38">
        <v>30.51</v>
      </c>
      <c r="AQ38" s="1" t="s">
        <v>96</v>
      </c>
      <c r="AR38" s="1">
        <v>1.29</v>
      </c>
      <c r="AS38">
        <v>23.46</v>
      </c>
      <c r="AT38">
        <v>4.22</v>
      </c>
      <c r="AU38" s="1" t="s">
        <v>96</v>
      </c>
      <c r="AV38" s="1" t="s">
        <v>96</v>
      </c>
      <c r="AW38">
        <v>19.399999999999999</v>
      </c>
      <c r="AX38" s="1" t="s">
        <v>96</v>
      </c>
      <c r="AY38">
        <v>967.45</v>
      </c>
      <c r="AZ38">
        <v>665.04</v>
      </c>
      <c r="BA38">
        <v>71.86</v>
      </c>
      <c r="BB38" s="1" t="s">
        <v>96</v>
      </c>
      <c r="BC38">
        <v>296.20999999999998</v>
      </c>
      <c r="BD38" s="1" t="s">
        <v>96</v>
      </c>
      <c r="BE38" s="1">
        <v>4.5599999999999996</v>
      </c>
      <c r="BF38">
        <v>14.7</v>
      </c>
      <c r="BG38" s="1" t="s">
        <v>96</v>
      </c>
      <c r="BH38" s="1" t="s">
        <v>96</v>
      </c>
      <c r="BI38">
        <v>76.62</v>
      </c>
      <c r="BJ38">
        <v>47.81</v>
      </c>
      <c r="BK38" s="1" t="s">
        <v>96</v>
      </c>
      <c r="BL38" s="1" t="s">
        <v>96</v>
      </c>
      <c r="BM38">
        <v>7.52</v>
      </c>
      <c r="BN38">
        <v>37.47</v>
      </c>
      <c r="BO38">
        <v>72.09</v>
      </c>
      <c r="BP38">
        <v>18.059999999999999</v>
      </c>
      <c r="BQ38" s="1" t="s">
        <v>96</v>
      </c>
      <c r="BR38" s="1" t="s">
        <v>96</v>
      </c>
      <c r="BS38" s="1">
        <v>5.21</v>
      </c>
      <c r="BT38" s="1" t="s">
        <v>96</v>
      </c>
      <c r="BU38" s="1">
        <v>16.04</v>
      </c>
      <c r="BV38">
        <v>80.7</v>
      </c>
      <c r="BW38">
        <v>12.36</v>
      </c>
      <c r="BX38" s="1" t="s">
        <v>96</v>
      </c>
      <c r="BY38">
        <v>990.07</v>
      </c>
      <c r="BZ38">
        <v>17.920000000000002</v>
      </c>
      <c r="CA38" s="1" t="s">
        <v>96</v>
      </c>
      <c r="CB38">
        <v>11.64</v>
      </c>
      <c r="CC38">
        <v>131.88</v>
      </c>
      <c r="CD38" s="1" t="s">
        <v>96</v>
      </c>
    </row>
    <row r="39" spans="1:82">
      <c r="A39">
        <v>74</v>
      </c>
      <c r="B39" t="s">
        <v>317</v>
      </c>
      <c r="D39" t="b">
        <v>1</v>
      </c>
      <c r="E39" t="s">
        <v>318</v>
      </c>
      <c r="F39">
        <v>107</v>
      </c>
      <c r="G39">
        <v>2</v>
      </c>
      <c r="J39" t="s">
        <v>319</v>
      </c>
      <c r="K39" t="s">
        <v>94</v>
      </c>
      <c r="L39" t="s">
        <v>95</v>
      </c>
      <c r="M39">
        <v>100</v>
      </c>
      <c r="N39" s="1" t="s">
        <v>96</v>
      </c>
      <c r="O39" s="1" t="s">
        <v>96</v>
      </c>
      <c r="P39">
        <v>16.29</v>
      </c>
      <c r="Q39" s="1" t="s">
        <v>96</v>
      </c>
      <c r="R39" s="1" t="s">
        <v>96</v>
      </c>
      <c r="S39" s="1">
        <v>5.56</v>
      </c>
      <c r="T39" s="1" t="s">
        <v>96</v>
      </c>
      <c r="U39" s="1" t="s">
        <v>96</v>
      </c>
      <c r="V39" s="1" t="s">
        <v>96</v>
      </c>
      <c r="W39" s="1" t="s">
        <v>96</v>
      </c>
      <c r="X39" s="1" t="s">
        <v>96</v>
      </c>
      <c r="Y39" s="1" t="s">
        <v>96</v>
      </c>
      <c r="Z39" t="s">
        <v>96</v>
      </c>
      <c r="AA39" s="1" t="s">
        <v>96</v>
      </c>
      <c r="AB39">
        <v>3.35</v>
      </c>
      <c r="AC39">
        <v>11.8</v>
      </c>
      <c r="AD39">
        <v>98.7</v>
      </c>
      <c r="AE39" s="1" t="s">
        <v>96</v>
      </c>
      <c r="AF39">
        <v>28.87</v>
      </c>
      <c r="AG39">
        <v>466.72</v>
      </c>
      <c r="AH39">
        <v>31.1</v>
      </c>
      <c r="AI39" s="1">
        <v>4.78</v>
      </c>
      <c r="AJ39" s="1" t="s">
        <v>96</v>
      </c>
      <c r="AK39" s="1" t="s">
        <v>96</v>
      </c>
      <c r="AL39" s="1" t="s">
        <v>96</v>
      </c>
      <c r="AM39" s="1" t="s">
        <v>96</v>
      </c>
      <c r="AN39" s="1" t="s">
        <v>96</v>
      </c>
      <c r="AO39">
        <v>759.33</v>
      </c>
      <c r="AP39">
        <v>39.119999999999997</v>
      </c>
      <c r="AQ39" s="1" t="s">
        <v>96</v>
      </c>
      <c r="AR39" s="1" t="s">
        <v>96</v>
      </c>
      <c r="AS39">
        <v>8.3000000000000007</v>
      </c>
      <c r="AT39" t="s">
        <v>96</v>
      </c>
      <c r="AU39" s="1" t="s">
        <v>96</v>
      </c>
      <c r="AV39" s="1" t="s">
        <v>96</v>
      </c>
      <c r="AW39">
        <v>5.84</v>
      </c>
      <c r="AX39" s="1" t="s">
        <v>96</v>
      </c>
      <c r="AY39">
        <v>397.47</v>
      </c>
      <c r="AZ39">
        <v>380.98</v>
      </c>
      <c r="BA39">
        <v>44.29</v>
      </c>
      <c r="BB39" s="1" t="s">
        <v>96</v>
      </c>
      <c r="BC39">
        <v>68.92</v>
      </c>
      <c r="BD39" s="1" t="s">
        <v>96</v>
      </c>
      <c r="BE39" s="1">
        <v>2.54</v>
      </c>
      <c r="BF39">
        <v>4.32</v>
      </c>
      <c r="BG39" s="1" t="s">
        <v>96</v>
      </c>
      <c r="BH39" s="1" t="s">
        <v>96</v>
      </c>
      <c r="BI39">
        <v>33.25</v>
      </c>
      <c r="BJ39">
        <v>42.42</v>
      </c>
      <c r="BK39" s="1" t="s">
        <v>96</v>
      </c>
      <c r="BL39" s="1" t="s">
        <v>96</v>
      </c>
      <c r="BM39" t="s">
        <v>96</v>
      </c>
      <c r="BN39">
        <v>7</v>
      </c>
      <c r="BO39">
        <v>62.93</v>
      </c>
      <c r="BP39">
        <v>2.5499999999999998</v>
      </c>
      <c r="BQ39" s="1" t="s">
        <v>96</v>
      </c>
      <c r="BR39" s="1" t="s">
        <v>96</v>
      </c>
      <c r="BS39" s="1" t="s">
        <v>96</v>
      </c>
      <c r="BT39" s="1" t="s">
        <v>96</v>
      </c>
      <c r="BU39" s="1" t="s">
        <v>96</v>
      </c>
      <c r="BV39">
        <v>28.8</v>
      </c>
      <c r="BW39" t="s">
        <v>96</v>
      </c>
      <c r="BX39" s="1" t="s">
        <v>96</v>
      </c>
      <c r="BY39">
        <v>356.87</v>
      </c>
      <c r="BZ39">
        <v>22.25</v>
      </c>
      <c r="CA39" s="1" t="s">
        <v>96</v>
      </c>
      <c r="CB39">
        <v>9.7899999999999991</v>
      </c>
      <c r="CC39">
        <v>78.319999999999993</v>
      </c>
      <c r="CD39" s="1" t="s">
        <v>96</v>
      </c>
    </row>
    <row r="40" spans="1:82">
      <c r="A40">
        <v>106</v>
      </c>
      <c r="B40" t="s">
        <v>413</v>
      </c>
      <c r="D40" t="b">
        <v>1</v>
      </c>
      <c r="E40" t="s">
        <v>414</v>
      </c>
      <c r="F40">
        <v>157</v>
      </c>
      <c r="G40">
        <v>3</v>
      </c>
      <c r="J40" t="s">
        <v>415</v>
      </c>
      <c r="K40" t="s">
        <v>94</v>
      </c>
      <c r="L40" t="s">
        <v>95</v>
      </c>
      <c r="M40">
        <v>100</v>
      </c>
      <c r="N40" s="1" t="s">
        <v>96</v>
      </c>
      <c r="O40" s="1" t="s">
        <v>96</v>
      </c>
      <c r="P40">
        <v>12.4</v>
      </c>
      <c r="Q40" s="1" t="s">
        <v>96</v>
      </c>
      <c r="R40" s="1" t="s">
        <v>96</v>
      </c>
      <c r="S40" s="1">
        <v>11.59</v>
      </c>
      <c r="T40" s="1" t="s">
        <v>96</v>
      </c>
      <c r="U40" s="1" t="s">
        <v>96</v>
      </c>
      <c r="V40" s="1" t="s">
        <v>96</v>
      </c>
      <c r="W40" s="1" t="s">
        <v>96</v>
      </c>
      <c r="X40" s="1" t="s">
        <v>96</v>
      </c>
      <c r="Y40" s="1" t="s">
        <v>96</v>
      </c>
      <c r="Z40" t="s">
        <v>96</v>
      </c>
      <c r="AA40" s="1" t="s">
        <v>96</v>
      </c>
      <c r="AB40" t="s">
        <v>96</v>
      </c>
      <c r="AC40">
        <v>10.85</v>
      </c>
      <c r="AD40">
        <v>27.67</v>
      </c>
      <c r="AE40" s="1" t="s">
        <v>96</v>
      </c>
      <c r="AF40">
        <v>9.66</v>
      </c>
      <c r="AG40">
        <v>84.2</v>
      </c>
      <c r="AH40">
        <v>62.79</v>
      </c>
      <c r="AI40" s="1">
        <v>3.36</v>
      </c>
      <c r="AJ40" s="1">
        <v>1.36</v>
      </c>
      <c r="AK40" s="1" t="s">
        <v>96</v>
      </c>
      <c r="AL40" s="1" t="s">
        <v>96</v>
      </c>
      <c r="AM40" s="1" t="s">
        <v>96</v>
      </c>
      <c r="AN40" s="1" t="s">
        <v>96</v>
      </c>
      <c r="AO40">
        <v>196.05</v>
      </c>
      <c r="AP40">
        <v>23.58</v>
      </c>
      <c r="AQ40" s="1" t="s">
        <v>96</v>
      </c>
      <c r="AR40" s="1">
        <v>5.42</v>
      </c>
      <c r="AS40">
        <v>59.4</v>
      </c>
      <c r="AT40">
        <v>6.11</v>
      </c>
      <c r="AU40" s="1" t="s">
        <v>96</v>
      </c>
      <c r="AV40" s="1" t="s">
        <v>96</v>
      </c>
      <c r="AW40">
        <v>21.67</v>
      </c>
      <c r="AX40" s="1" t="s">
        <v>96</v>
      </c>
      <c r="AY40">
        <v>1752.26</v>
      </c>
      <c r="AZ40">
        <v>403.42</v>
      </c>
      <c r="BA40">
        <v>187.67</v>
      </c>
      <c r="BB40" s="1" t="s">
        <v>96</v>
      </c>
      <c r="BC40">
        <v>363.82</v>
      </c>
      <c r="BD40" s="1" t="s">
        <v>96</v>
      </c>
      <c r="BE40" s="1">
        <v>4.29</v>
      </c>
      <c r="BF40">
        <v>27.45</v>
      </c>
      <c r="BG40" s="1">
        <v>6</v>
      </c>
      <c r="BH40" s="1" t="s">
        <v>96</v>
      </c>
      <c r="BI40">
        <v>106.14</v>
      </c>
      <c r="BJ40">
        <v>32.869999999999997</v>
      </c>
      <c r="BK40" s="1" t="s">
        <v>96</v>
      </c>
      <c r="BL40" s="1" t="s">
        <v>96</v>
      </c>
      <c r="BM40">
        <v>4.45</v>
      </c>
      <c r="BN40">
        <v>29.15</v>
      </c>
      <c r="BO40">
        <v>121.7</v>
      </c>
      <c r="BP40">
        <v>5.08</v>
      </c>
      <c r="BQ40" s="1" t="s">
        <v>96</v>
      </c>
      <c r="BR40" s="1" t="s">
        <v>96</v>
      </c>
      <c r="BS40" s="1" t="s">
        <v>96</v>
      </c>
      <c r="BT40" s="1" t="s">
        <v>96</v>
      </c>
      <c r="BU40" s="1">
        <v>7.6</v>
      </c>
      <c r="BV40">
        <v>153.91</v>
      </c>
      <c r="BW40">
        <v>26.42</v>
      </c>
      <c r="BX40" s="1" t="s">
        <v>96</v>
      </c>
      <c r="BY40">
        <v>755.08</v>
      </c>
      <c r="BZ40">
        <v>13.33</v>
      </c>
      <c r="CA40" s="1" t="s">
        <v>96</v>
      </c>
      <c r="CB40">
        <v>24.78</v>
      </c>
      <c r="CC40">
        <v>79.59</v>
      </c>
      <c r="CD40" s="1" t="s">
        <v>96</v>
      </c>
    </row>
    <row r="41" spans="1:82">
      <c r="A41">
        <v>76</v>
      </c>
      <c r="B41" t="s">
        <v>323</v>
      </c>
      <c r="D41" t="b">
        <v>1</v>
      </c>
      <c r="E41" t="s">
        <v>324</v>
      </c>
      <c r="F41">
        <v>109</v>
      </c>
      <c r="G41">
        <v>2</v>
      </c>
      <c r="J41" t="s">
        <v>325</v>
      </c>
      <c r="K41" t="s">
        <v>94</v>
      </c>
      <c r="L41" t="s">
        <v>95</v>
      </c>
      <c r="M41">
        <v>100</v>
      </c>
      <c r="N41" s="1" t="s">
        <v>96</v>
      </c>
      <c r="O41" s="1" t="s">
        <v>96</v>
      </c>
      <c r="P41">
        <v>18.75</v>
      </c>
      <c r="Q41" s="1" t="s">
        <v>96</v>
      </c>
      <c r="R41" s="1" t="s">
        <v>96</v>
      </c>
      <c r="S41" s="1">
        <v>5.37</v>
      </c>
      <c r="T41" s="1" t="s">
        <v>96</v>
      </c>
      <c r="U41" s="1" t="s">
        <v>96</v>
      </c>
      <c r="V41" s="1" t="s">
        <v>96</v>
      </c>
      <c r="W41" s="1" t="s">
        <v>96</v>
      </c>
      <c r="X41" s="1" t="s">
        <v>96</v>
      </c>
      <c r="Y41" s="1" t="s">
        <v>96</v>
      </c>
      <c r="Z41" t="s">
        <v>96</v>
      </c>
      <c r="AA41" s="1" t="s">
        <v>96</v>
      </c>
      <c r="AB41" t="s">
        <v>96</v>
      </c>
      <c r="AC41" t="s">
        <v>96</v>
      </c>
      <c r="AD41">
        <v>22.39</v>
      </c>
      <c r="AE41" s="1" t="s">
        <v>96</v>
      </c>
      <c r="AF41" t="s">
        <v>96</v>
      </c>
      <c r="AG41">
        <v>37.08</v>
      </c>
      <c r="AH41">
        <v>14.64</v>
      </c>
      <c r="AI41" s="1" t="s">
        <v>96</v>
      </c>
      <c r="AJ41" s="1" t="s">
        <v>96</v>
      </c>
      <c r="AK41" s="1" t="s">
        <v>96</v>
      </c>
      <c r="AL41" s="1" t="s">
        <v>96</v>
      </c>
      <c r="AM41" s="1" t="s">
        <v>96</v>
      </c>
      <c r="AN41" s="1" t="s">
        <v>96</v>
      </c>
      <c r="AO41">
        <v>1592.7</v>
      </c>
      <c r="AP41">
        <v>3.09</v>
      </c>
      <c r="AQ41" s="1" t="s">
        <v>96</v>
      </c>
      <c r="AR41" s="1">
        <v>1.05</v>
      </c>
      <c r="AS41">
        <v>23.14</v>
      </c>
      <c r="AT41" t="s">
        <v>96</v>
      </c>
      <c r="AU41" s="1" t="s">
        <v>96</v>
      </c>
      <c r="AV41" s="1" t="s">
        <v>96</v>
      </c>
      <c r="AW41">
        <v>5.22</v>
      </c>
      <c r="AX41" s="1" t="s">
        <v>96</v>
      </c>
      <c r="AY41">
        <v>865.47</v>
      </c>
      <c r="AZ41">
        <v>554.82000000000005</v>
      </c>
      <c r="BA41">
        <v>41.74</v>
      </c>
      <c r="BB41" s="1" t="s">
        <v>96</v>
      </c>
      <c r="BC41">
        <v>333.93</v>
      </c>
      <c r="BD41" s="1" t="s">
        <v>96</v>
      </c>
      <c r="BE41" s="1">
        <v>3.02</v>
      </c>
      <c r="BF41">
        <v>8.2100000000000009</v>
      </c>
      <c r="BG41" s="1" t="s">
        <v>96</v>
      </c>
      <c r="BH41" s="1" t="s">
        <v>96</v>
      </c>
      <c r="BI41">
        <v>77.39</v>
      </c>
      <c r="BJ41">
        <v>62.32</v>
      </c>
      <c r="BK41" s="1" t="s">
        <v>96</v>
      </c>
      <c r="BL41" s="1" t="s">
        <v>96</v>
      </c>
      <c r="BM41" t="s">
        <v>96</v>
      </c>
      <c r="BN41">
        <v>30.29</v>
      </c>
      <c r="BO41">
        <v>34.770000000000003</v>
      </c>
      <c r="BP41">
        <v>9.7100000000000009</v>
      </c>
      <c r="BQ41" s="1" t="s">
        <v>96</v>
      </c>
      <c r="BR41" s="1" t="s">
        <v>96</v>
      </c>
      <c r="BS41" s="1" t="s">
        <v>96</v>
      </c>
      <c r="BT41" s="1" t="s">
        <v>96</v>
      </c>
      <c r="BU41" s="1" t="s">
        <v>96</v>
      </c>
      <c r="BV41">
        <v>57.41</v>
      </c>
      <c r="BW41">
        <v>6.57</v>
      </c>
      <c r="BX41" s="1" t="s">
        <v>96</v>
      </c>
      <c r="BY41">
        <v>314.79000000000002</v>
      </c>
      <c r="BZ41">
        <v>8.44</v>
      </c>
      <c r="CA41" s="1" t="s">
        <v>96</v>
      </c>
      <c r="CB41">
        <v>18.510000000000002</v>
      </c>
      <c r="CC41">
        <v>54.64</v>
      </c>
      <c r="CD41" s="1" t="s">
        <v>96</v>
      </c>
    </row>
    <row r="42" spans="1:82">
      <c r="A42">
        <v>140</v>
      </c>
      <c r="B42" t="s">
        <v>515</v>
      </c>
      <c r="D42" t="b">
        <v>1</v>
      </c>
      <c r="E42" t="s">
        <v>516</v>
      </c>
      <c r="F42">
        <v>31</v>
      </c>
      <c r="G42">
        <v>4</v>
      </c>
      <c r="J42" t="s">
        <v>517</v>
      </c>
      <c r="K42" t="s">
        <v>94</v>
      </c>
      <c r="L42" t="s">
        <v>95</v>
      </c>
      <c r="M42">
        <v>100</v>
      </c>
      <c r="N42" s="1" t="s">
        <v>96</v>
      </c>
      <c r="O42" s="1" t="s">
        <v>96</v>
      </c>
      <c r="P42">
        <v>28.03</v>
      </c>
      <c r="Q42" s="1" t="s">
        <v>96</v>
      </c>
      <c r="R42" s="1" t="s">
        <v>96</v>
      </c>
      <c r="S42" s="1" t="s">
        <v>96</v>
      </c>
      <c r="T42" s="1" t="s">
        <v>96</v>
      </c>
      <c r="U42" s="1" t="s">
        <v>96</v>
      </c>
      <c r="V42" s="1" t="s">
        <v>96</v>
      </c>
      <c r="W42" s="1" t="s">
        <v>96</v>
      </c>
      <c r="X42" s="1" t="s">
        <v>96</v>
      </c>
      <c r="Y42" s="1" t="s">
        <v>96</v>
      </c>
      <c r="Z42">
        <v>2.63</v>
      </c>
      <c r="AA42" s="1" t="s">
        <v>96</v>
      </c>
      <c r="AB42">
        <v>22.48</v>
      </c>
      <c r="AC42">
        <v>1.05</v>
      </c>
      <c r="AD42" t="s">
        <v>133</v>
      </c>
      <c r="AE42" s="1" t="s">
        <v>96</v>
      </c>
      <c r="AF42">
        <v>15.72</v>
      </c>
      <c r="AG42">
        <v>77.06</v>
      </c>
      <c r="AH42">
        <v>221.19</v>
      </c>
      <c r="AI42" s="1" t="s">
        <v>96</v>
      </c>
      <c r="AJ42" s="1" t="s">
        <v>96</v>
      </c>
      <c r="AK42" s="1" t="s">
        <v>96</v>
      </c>
      <c r="AL42" s="1" t="s">
        <v>96</v>
      </c>
      <c r="AM42" s="1" t="s">
        <v>96</v>
      </c>
      <c r="AN42" s="1">
        <v>1.5</v>
      </c>
      <c r="AO42">
        <v>94.25</v>
      </c>
      <c r="AP42">
        <v>187.62</v>
      </c>
      <c r="AQ42" s="1">
        <v>5.93</v>
      </c>
      <c r="AR42" s="1" t="s">
        <v>96</v>
      </c>
      <c r="AS42">
        <v>33.799999999999997</v>
      </c>
      <c r="AT42">
        <v>16.98</v>
      </c>
      <c r="AU42" s="1" t="s">
        <v>96</v>
      </c>
      <c r="AV42" s="1" t="s">
        <v>96</v>
      </c>
      <c r="AW42" t="s">
        <v>96</v>
      </c>
      <c r="AX42" s="1" t="s">
        <v>96</v>
      </c>
      <c r="AY42">
        <v>1159.04</v>
      </c>
      <c r="AZ42">
        <v>99.83</v>
      </c>
      <c r="BA42">
        <v>550.71</v>
      </c>
      <c r="BB42" s="1" t="s">
        <v>96</v>
      </c>
      <c r="BC42">
        <v>192.97</v>
      </c>
      <c r="BD42" s="1" t="s">
        <v>96</v>
      </c>
      <c r="BE42" s="1" t="s">
        <v>96</v>
      </c>
      <c r="BF42">
        <v>33.409999999999997</v>
      </c>
      <c r="BG42" s="1">
        <v>28.17</v>
      </c>
      <c r="BH42" s="1" t="s">
        <v>96</v>
      </c>
      <c r="BI42">
        <v>103.11</v>
      </c>
      <c r="BJ42">
        <v>13.81</v>
      </c>
      <c r="BK42" s="1" t="s">
        <v>96</v>
      </c>
      <c r="BL42" s="1">
        <v>4.59</v>
      </c>
      <c r="BM42" t="s">
        <v>96</v>
      </c>
      <c r="BN42">
        <v>20.079999999999998</v>
      </c>
      <c r="BO42">
        <v>38.25</v>
      </c>
      <c r="BP42" t="s">
        <v>96</v>
      </c>
      <c r="BQ42" s="1" t="s">
        <v>96</v>
      </c>
      <c r="BR42" s="1" t="s">
        <v>96</v>
      </c>
      <c r="BS42" s="1" t="s">
        <v>96</v>
      </c>
      <c r="BT42" s="1" t="s">
        <v>96</v>
      </c>
      <c r="BU42" s="1">
        <v>7.79</v>
      </c>
      <c r="BV42">
        <v>140.31</v>
      </c>
      <c r="BW42">
        <v>24.12</v>
      </c>
      <c r="BX42" s="1" t="s">
        <v>96</v>
      </c>
      <c r="BY42">
        <v>92.03</v>
      </c>
      <c r="BZ42">
        <v>6.48</v>
      </c>
      <c r="CA42" s="1">
        <v>21.48</v>
      </c>
      <c r="CB42">
        <v>140.26</v>
      </c>
      <c r="CC42">
        <v>26.06</v>
      </c>
      <c r="CD42" s="1" t="s">
        <v>96</v>
      </c>
    </row>
    <row r="43" spans="1:82">
      <c r="A43">
        <v>41</v>
      </c>
      <c r="B43" t="s">
        <v>218</v>
      </c>
      <c r="D43" t="b">
        <v>1</v>
      </c>
      <c r="E43" t="s">
        <v>219</v>
      </c>
      <c r="F43">
        <v>68</v>
      </c>
      <c r="G43">
        <v>2</v>
      </c>
      <c r="J43" t="s">
        <v>220</v>
      </c>
      <c r="K43" t="s">
        <v>94</v>
      </c>
      <c r="L43" t="s">
        <v>95</v>
      </c>
      <c r="M43">
        <v>100</v>
      </c>
      <c r="N43" s="1" t="s">
        <v>96</v>
      </c>
      <c r="O43" s="1" t="s">
        <v>96</v>
      </c>
      <c r="P43">
        <v>34.9</v>
      </c>
      <c r="Q43" s="1" t="s">
        <v>96</v>
      </c>
      <c r="R43" s="1" t="s">
        <v>96</v>
      </c>
      <c r="S43" s="1">
        <v>9.51</v>
      </c>
      <c r="T43" s="1" t="s">
        <v>96</v>
      </c>
      <c r="U43" s="1" t="s">
        <v>96</v>
      </c>
      <c r="V43" s="1" t="s">
        <v>96</v>
      </c>
      <c r="W43" s="1" t="s">
        <v>96</v>
      </c>
      <c r="X43" s="1" t="s">
        <v>96</v>
      </c>
      <c r="Y43" s="1" t="s">
        <v>96</v>
      </c>
      <c r="Z43">
        <v>3.17</v>
      </c>
      <c r="AA43" s="1" t="s">
        <v>96</v>
      </c>
      <c r="AB43">
        <v>38.26</v>
      </c>
      <c r="AC43">
        <v>12.76</v>
      </c>
      <c r="AD43" t="s">
        <v>133</v>
      </c>
      <c r="AE43" s="1" t="s">
        <v>96</v>
      </c>
      <c r="AF43">
        <v>144.18</v>
      </c>
      <c r="AG43">
        <v>890.75</v>
      </c>
      <c r="AH43">
        <v>254.09</v>
      </c>
      <c r="AI43" s="1" t="s">
        <v>96</v>
      </c>
      <c r="AJ43" s="1" t="s">
        <v>96</v>
      </c>
      <c r="AK43" s="1" t="s">
        <v>96</v>
      </c>
      <c r="AL43" s="1" t="s">
        <v>96</v>
      </c>
      <c r="AM43" s="1" t="s">
        <v>96</v>
      </c>
      <c r="AN43" s="1">
        <v>3.54</v>
      </c>
      <c r="AO43">
        <v>1354.28</v>
      </c>
      <c r="AP43">
        <v>323.36</v>
      </c>
      <c r="AQ43" s="1">
        <v>4.1399999999999997</v>
      </c>
      <c r="AR43" s="1" t="s">
        <v>96</v>
      </c>
      <c r="AS43">
        <v>37.04</v>
      </c>
      <c r="AT43">
        <v>9.02</v>
      </c>
      <c r="AU43" s="1" t="s">
        <v>96</v>
      </c>
      <c r="AV43" s="1" t="s">
        <v>96</v>
      </c>
      <c r="AW43">
        <v>7.37</v>
      </c>
      <c r="AX43" s="1" t="s">
        <v>96</v>
      </c>
      <c r="AY43">
        <v>192.26</v>
      </c>
      <c r="AZ43">
        <v>156.07</v>
      </c>
      <c r="BA43">
        <v>99.71</v>
      </c>
      <c r="BB43" s="1" t="s">
        <v>96</v>
      </c>
      <c r="BC43">
        <v>59.49</v>
      </c>
      <c r="BD43" s="1" t="s">
        <v>96</v>
      </c>
      <c r="BE43" s="1" t="s">
        <v>96</v>
      </c>
      <c r="BF43">
        <v>6.42</v>
      </c>
      <c r="BG43" s="1" t="s">
        <v>96</v>
      </c>
      <c r="BH43" s="1" t="s">
        <v>96</v>
      </c>
      <c r="BI43">
        <v>5.45</v>
      </c>
      <c r="BJ43">
        <v>4.26</v>
      </c>
      <c r="BK43" s="1" t="s">
        <v>96</v>
      </c>
      <c r="BL43" s="1" t="s">
        <v>96</v>
      </c>
      <c r="BM43" t="s">
        <v>96</v>
      </c>
      <c r="BN43" t="s">
        <v>96</v>
      </c>
      <c r="BO43">
        <v>17.16</v>
      </c>
      <c r="BP43">
        <v>33.020000000000003</v>
      </c>
      <c r="BQ43" s="1" t="s">
        <v>96</v>
      </c>
      <c r="BR43" s="1" t="s">
        <v>96</v>
      </c>
      <c r="BS43" s="1">
        <v>9.58</v>
      </c>
      <c r="BT43" s="1" t="s">
        <v>96</v>
      </c>
      <c r="BU43" s="1">
        <v>31.72</v>
      </c>
      <c r="BV43">
        <v>48.78</v>
      </c>
      <c r="BW43" t="s">
        <v>96</v>
      </c>
      <c r="BX43" s="1" t="s">
        <v>96</v>
      </c>
      <c r="BY43">
        <v>460.99</v>
      </c>
      <c r="BZ43" t="s">
        <v>96</v>
      </c>
      <c r="CA43" s="1" t="s">
        <v>96</v>
      </c>
      <c r="CB43">
        <v>117.27</v>
      </c>
      <c r="CC43">
        <v>85.03</v>
      </c>
      <c r="CD43" s="1" t="s">
        <v>96</v>
      </c>
    </row>
    <row r="44" spans="1:82">
      <c r="A44">
        <v>154</v>
      </c>
      <c r="B44" t="s">
        <v>557</v>
      </c>
      <c r="D44" t="b">
        <v>1</v>
      </c>
      <c r="E44" t="s">
        <v>558</v>
      </c>
      <c r="F44">
        <v>47</v>
      </c>
      <c r="G44">
        <v>4</v>
      </c>
      <c r="J44" t="s">
        <v>559</v>
      </c>
      <c r="K44" t="s">
        <v>94</v>
      </c>
      <c r="L44" t="s">
        <v>95</v>
      </c>
      <c r="M44">
        <v>100</v>
      </c>
      <c r="N44" s="1" t="s">
        <v>96</v>
      </c>
      <c r="O44" s="1" t="s">
        <v>96</v>
      </c>
      <c r="P44">
        <v>16.97</v>
      </c>
      <c r="Q44" s="1" t="s">
        <v>96</v>
      </c>
      <c r="R44" s="1" t="s">
        <v>96</v>
      </c>
      <c r="S44" s="1" t="s">
        <v>96</v>
      </c>
      <c r="T44" s="1" t="s">
        <v>96</v>
      </c>
      <c r="U44" s="1" t="s">
        <v>96</v>
      </c>
      <c r="V44" s="1" t="s">
        <v>96</v>
      </c>
      <c r="W44" s="1" t="s">
        <v>96</v>
      </c>
      <c r="X44" s="1" t="s">
        <v>96</v>
      </c>
      <c r="Y44" s="1" t="s">
        <v>96</v>
      </c>
      <c r="Z44">
        <v>1.62</v>
      </c>
      <c r="AA44" s="1" t="s">
        <v>96</v>
      </c>
      <c r="AB44">
        <v>2.2599999999999998</v>
      </c>
      <c r="AC44">
        <v>1.19</v>
      </c>
      <c r="AD44">
        <v>63.06</v>
      </c>
      <c r="AE44" s="1" t="s">
        <v>96</v>
      </c>
      <c r="AF44" t="s">
        <v>96</v>
      </c>
      <c r="AG44">
        <v>106.17</v>
      </c>
      <c r="AH44">
        <v>673.04</v>
      </c>
      <c r="AI44" s="1" t="s">
        <v>96</v>
      </c>
      <c r="AJ44" s="1" t="s">
        <v>96</v>
      </c>
      <c r="AK44" s="1" t="s">
        <v>96</v>
      </c>
      <c r="AL44" s="1" t="s">
        <v>96</v>
      </c>
      <c r="AM44" s="1" t="s">
        <v>96</v>
      </c>
      <c r="AN44" s="1">
        <v>1.32</v>
      </c>
      <c r="AO44" t="s">
        <v>96</v>
      </c>
      <c r="AP44">
        <v>54.69</v>
      </c>
      <c r="AQ44" s="1" t="s">
        <v>96</v>
      </c>
      <c r="AR44" s="1" t="s">
        <v>96</v>
      </c>
      <c r="AS44">
        <v>107.24</v>
      </c>
      <c r="AT44">
        <v>16.95</v>
      </c>
      <c r="AU44" s="1" t="s">
        <v>96</v>
      </c>
      <c r="AV44" s="1" t="s">
        <v>96</v>
      </c>
      <c r="AW44" t="s">
        <v>96</v>
      </c>
      <c r="AX44" s="1" t="s">
        <v>96</v>
      </c>
      <c r="AY44">
        <v>1998.61</v>
      </c>
      <c r="AZ44">
        <v>122.68</v>
      </c>
      <c r="BA44">
        <v>199.39</v>
      </c>
      <c r="BB44" s="1" t="s">
        <v>96</v>
      </c>
      <c r="BC44">
        <v>668.39</v>
      </c>
      <c r="BD44" s="1" t="s">
        <v>96</v>
      </c>
      <c r="BE44" s="1" t="s">
        <v>96</v>
      </c>
      <c r="BF44">
        <v>46.76</v>
      </c>
      <c r="BG44" s="1">
        <v>7.92</v>
      </c>
      <c r="BH44" s="1" t="s">
        <v>96</v>
      </c>
      <c r="BI44">
        <v>164.03</v>
      </c>
      <c r="BJ44">
        <v>11.13</v>
      </c>
      <c r="BK44" s="1" t="s">
        <v>96</v>
      </c>
      <c r="BL44" s="1">
        <v>3.99</v>
      </c>
      <c r="BM44" t="s">
        <v>96</v>
      </c>
      <c r="BN44">
        <v>46.7</v>
      </c>
      <c r="BO44">
        <v>11.49</v>
      </c>
      <c r="BP44" t="s">
        <v>96</v>
      </c>
      <c r="BQ44" s="1" t="s">
        <v>96</v>
      </c>
      <c r="BR44" s="1" t="s">
        <v>96</v>
      </c>
      <c r="BS44" s="1" t="s">
        <v>96</v>
      </c>
      <c r="BT44" s="1" t="s">
        <v>96</v>
      </c>
      <c r="BU44" s="1" t="s">
        <v>96</v>
      </c>
      <c r="BV44">
        <v>215.59</v>
      </c>
      <c r="BW44">
        <v>30.73</v>
      </c>
      <c r="BX44" s="1">
        <v>5.21</v>
      </c>
      <c r="BY44">
        <v>89.92</v>
      </c>
      <c r="BZ44">
        <v>6.4</v>
      </c>
      <c r="CA44" s="1" t="s">
        <v>96</v>
      </c>
      <c r="CB44">
        <v>55.66</v>
      </c>
      <c r="CC44">
        <v>49.61</v>
      </c>
      <c r="CD44" s="1" t="s">
        <v>96</v>
      </c>
    </row>
    <row r="45" spans="1:82">
      <c r="A45">
        <v>78</v>
      </c>
      <c r="B45" t="s">
        <v>329</v>
      </c>
      <c r="D45" t="b">
        <v>1</v>
      </c>
      <c r="E45" t="s">
        <v>330</v>
      </c>
      <c r="F45">
        <v>111</v>
      </c>
      <c r="G45">
        <v>2</v>
      </c>
      <c r="J45" t="s">
        <v>331</v>
      </c>
      <c r="K45" t="s">
        <v>94</v>
      </c>
      <c r="L45" t="s">
        <v>95</v>
      </c>
      <c r="M45">
        <v>100</v>
      </c>
      <c r="N45" s="1" t="s">
        <v>96</v>
      </c>
      <c r="O45" s="1" t="s">
        <v>96</v>
      </c>
      <c r="P45">
        <v>22.24</v>
      </c>
      <c r="Q45" s="1" t="s">
        <v>96</v>
      </c>
      <c r="R45" s="1">
        <v>12.42</v>
      </c>
      <c r="S45" s="1">
        <v>18.170000000000002</v>
      </c>
      <c r="T45" s="1" t="s">
        <v>96</v>
      </c>
      <c r="U45" s="1" t="s">
        <v>96</v>
      </c>
      <c r="V45" s="1" t="s">
        <v>96</v>
      </c>
      <c r="W45" s="1" t="s">
        <v>96</v>
      </c>
      <c r="X45" s="1" t="s">
        <v>96</v>
      </c>
      <c r="Y45" s="1" t="s">
        <v>96</v>
      </c>
      <c r="Z45">
        <v>1.29</v>
      </c>
      <c r="AA45" s="1" t="s">
        <v>96</v>
      </c>
      <c r="AB45">
        <v>6.99</v>
      </c>
      <c r="AC45">
        <v>18.440000000000001</v>
      </c>
      <c r="AD45">
        <v>173.62</v>
      </c>
      <c r="AE45" s="1" t="s">
        <v>96</v>
      </c>
      <c r="AF45">
        <v>74.41</v>
      </c>
      <c r="AG45">
        <v>733.66</v>
      </c>
      <c r="AH45">
        <v>211.58</v>
      </c>
      <c r="AI45" s="1">
        <v>2.72</v>
      </c>
      <c r="AJ45" s="1">
        <v>1.75</v>
      </c>
      <c r="AK45" s="1" t="s">
        <v>96</v>
      </c>
      <c r="AL45" s="1" t="s">
        <v>96</v>
      </c>
      <c r="AM45" s="1" t="s">
        <v>96</v>
      </c>
      <c r="AN45" s="1" t="s">
        <v>96</v>
      </c>
      <c r="AO45">
        <v>581.62</v>
      </c>
      <c r="AP45">
        <v>93.84</v>
      </c>
      <c r="AQ45" s="1" t="s">
        <v>96</v>
      </c>
      <c r="AR45" s="1">
        <v>1.28</v>
      </c>
      <c r="AS45">
        <v>60.6</v>
      </c>
      <c r="AT45">
        <v>5.53</v>
      </c>
      <c r="AU45" s="1" t="s">
        <v>96</v>
      </c>
      <c r="AV45" s="1" t="s">
        <v>96</v>
      </c>
      <c r="AW45">
        <v>60.42</v>
      </c>
      <c r="AX45" s="1">
        <v>6.82</v>
      </c>
      <c r="AY45" t="s">
        <v>133</v>
      </c>
      <c r="AZ45">
        <v>2117.15</v>
      </c>
      <c r="BA45">
        <v>296.27</v>
      </c>
      <c r="BB45" s="1" t="s">
        <v>96</v>
      </c>
      <c r="BC45" t="s">
        <v>133</v>
      </c>
      <c r="BD45" s="1" t="s">
        <v>96</v>
      </c>
      <c r="BE45" s="1">
        <v>12.1</v>
      </c>
      <c r="BF45">
        <v>28.98</v>
      </c>
      <c r="BG45" s="1">
        <v>13.13</v>
      </c>
      <c r="BH45" s="1" t="s">
        <v>96</v>
      </c>
      <c r="BI45">
        <v>328.08</v>
      </c>
      <c r="BJ45">
        <v>244.49</v>
      </c>
      <c r="BK45" s="1" t="s">
        <v>96</v>
      </c>
      <c r="BL45" s="1" t="s">
        <v>96</v>
      </c>
      <c r="BM45">
        <v>4.09</v>
      </c>
      <c r="BN45">
        <v>146.99</v>
      </c>
      <c r="BO45">
        <v>93.43</v>
      </c>
      <c r="BP45">
        <v>5.5</v>
      </c>
      <c r="BQ45" s="1" t="s">
        <v>96</v>
      </c>
      <c r="BR45" s="1" t="s">
        <v>96</v>
      </c>
      <c r="BS45" s="1" t="s">
        <v>96</v>
      </c>
      <c r="BT45" s="1" t="s">
        <v>96</v>
      </c>
      <c r="BU45" s="1">
        <v>22.71</v>
      </c>
      <c r="BV45">
        <v>168.4</v>
      </c>
      <c r="BW45">
        <v>18.41</v>
      </c>
      <c r="BX45" s="1" t="s">
        <v>96</v>
      </c>
      <c r="BY45">
        <v>668.42</v>
      </c>
      <c r="BZ45">
        <v>25.3</v>
      </c>
      <c r="CA45" s="1" t="s">
        <v>96</v>
      </c>
      <c r="CB45">
        <v>57.13</v>
      </c>
      <c r="CC45">
        <v>166.18</v>
      </c>
      <c r="CD45" s="1" t="s">
        <v>96</v>
      </c>
    </row>
    <row r="46" spans="1:82">
      <c r="A46">
        <v>26</v>
      </c>
      <c r="B46" t="s">
        <v>173</v>
      </c>
      <c r="D46" t="b">
        <v>1</v>
      </c>
      <c r="E46" t="s">
        <v>174</v>
      </c>
      <c r="F46">
        <v>217</v>
      </c>
      <c r="G46">
        <v>1</v>
      </c>
      <c r="J46" t="s">
        <v>175</v>
      </c>
      <c r="K46" t="s">
        <v>94</v>
      </c>
      <c r="L46" t="s">
        <v>95</v>
      </c>
      <c r="M46">
        <v>100</v>
      </c>
      <c r="N46" s="1" t="s">
        <v>96</v>
      </c>
      <c r="O46" s="1" t="s">
        <v>96</v>
      </c>
      <c r="P46">
        <v>9.8000000000000007</v>
      </c>
      <c r="Q46" s="1" t="s">
        <v>96</v>
      </c>
      <c r="R46" s="1" t="s">
        <v>96</v>
      </c>
      <c r="S46" s="1">
        <v>6.94</v>
      </c>
      <c r="T46" s="1" t="s">
        <v>96</v>
      </c>
      <c r="U46" s="1" t="s">
        <v>96</v>
      </c>
      <c r="V46" s="1" t="s">
        <v>96</v>
      </c>
      <c r="W46" s="1" t="s">
        <v>96</v>
      </c>
      <c r="X46" s="1" t="s">
        <v>96</v>
      </c>
      <c r="Y46" s="1" t="s">
        <v>96</v>
      </c>
      <c r="Z46" t="s">
        <v>96</v>
      </c>
      <c r="AA46" s="1" t="s">
        <v>96</v>
      </c>
      <c r="AB46">
        <v>9.34</v>
      </c>
      <c r="AC46">
        <v>20.37</v>
      </c>
      <c r="AD46">
        <v>71.58</v>
      </c>
      <c r="AE46" s="1" t="s">
        <v>96</v>
      </c>
      <c r="AF46">
        <v>14.9</v>
      </c>
      <c r="AG46">
        <v>461.98</v>
      </c>
      <c r="AH46">
        <v>752.98</v>
      </c>
      <c r="AI46" s="1" t="s">
        <v>96</v>
      </c>
      <c r="AJ46" s="1">
        <v>6.79</v>
      </c>
      <c r="AK46" s="1" t="s">
        <v>96</v>
      </c>
      <c r="AL46" s="1" t="s">
        <v>96</v>
      </c>
      <c r="AM46" s="1" t="s">
        <v>96</v>
      </c>
      <c r="AN46" s="1">
        <v>1.1599999999999999</v>
      </c>
      <c r="AO46">
        <v>523.96</v>
      </c>
      <c r="AP46">
        <v>53.03</v>
      </c>
      <c r="AQ46" s="1" t="s">
        <v>96</v>
      </c>
      <c r="AR46" s="1" t="s">
        <v>96</v>
      </c>
      <c r="AS46">
        <v>798.14</v>
      </c>
      <c r="AT46">
        <v>7.99</v>
      </c>
      <c r="AU46" s="1" t="s">
        <v>96</v>
      </c>
      <c r="AV46" s="1" t="s">
        <v>96</v>
      </c>
      <c r="AW46">
        <v>12.84</v>
      </c>
      <c r="AX46" s="1" t="s">
        <v>96</v>
      </c>
      <c r="AY46">
        <v>1011.07</v>
      </c>
      <c r="AZ46">
        <v>387.73</v>
      </c>
      <c r="BA46">
        <v>95.79</v>
      </c>
      <c r="BB46" s="1" t="s">
        <v>96</v>
      </c>
      <c r="BC46">
        <v>323.20999999999998</v>
      </c>
      <c r="BD46" s="1" t="s">
        <v>96</v>
      </c>
      <c r="BE46" s="1" t="s">
        <v>96</v>
      </c>
      <c r="BF46">
        <v>12.92</v>
      </c>
      <c r="BG46" s="1">
        <v>3.34</v>
      </c>
      <c r="BH46" s="1" t="s">
        <v>96</v>
      </c>
      <c r="BI46">
        <v>89.5</v>
      </c>
      <c r="BJ46">
        <v>40.21</v>
      </c>
      <c r="BK46" s="1" t="s">
        <v>96</v>
      </c>
      <c r="BL46" s="1" t="s">
        <v>96</v>
      </c>
      <c r="BM46">
        <v>6.22</v>
      </c>
      <c r="BN46">
        <v>38.450000000000003</v>
      </c>
      <c r="BO46">
        <v>18.39</v>
      </c>
      <c r="BP46" t="s">
        <v>96</v>
      </c>
      <c r="BQ46" s="1" t="s">
        <v>96</v>
      </c>
      <c r="BR46" s="1" t="s">
        <v>96</v>
      </c>
      <c r="BS46" s="1">
        <v>6.58</v>
      </c>
      <c r="BT46" s="1" t="s">
        <v>96</v>
      </c>
      <c r="BU46" s="1">
        <v>6.93</v>
      </c>
      <c r="BV46">
        <v>59.43</v>
      </c>
      <c r="BW46">
        <v>17.420000000000002</v>
      </c>
      <c r="BX46" s="1" t="s">
        <v>96</v>
      </c>
      <c r="BY46">
        <v>154.05000000000001</v>
      </c>
      <c r="BZ46">
        <v>15.53</v>
      </c>
      <c r="CA46" s="1" t="s">
        <v>96</v>
      </c>
      <c r="CB46">
        <v>12.23</v>
      </c>
      <c r="CC46">
        <v>74.41</v>
      </c>
      <c r="CD46" s="1" t="s">
        <v>96</v>
      </c>
    </row>
    <row r="47" spans="1:82">
      <c r="A47">
        <v>206</v>
      </c>
      <c r="B47" t="s">
        <v>713</v>
      </c>
      <c r="D47" t="b">
        <v>1</v>
      </c>
      <c r="E47" t="s">
        <v>714</v>
      </c>
      <c r="F47">
        <v>313</v>
      </c>
      <c r="G47">
        <v>6</v>
      </c>
      <c r="J47" t="s">
        <v>715</v>
      </c>
      <c r="K47" t="s">
        <v>94</v>
      </c>
      <c r="L47" t="s">
        <v>95</v>
      </c>
      <c r="M47">
        <v>100</v>
      </c>
      <c r="N47" s="1" t="s">
        <v>96</v>
      </c>
      <c r="O47" s="1" t="s">
        <v>96</v>
      </c>
      <c r="P47">
        <v>25.7</v>
      </c>
      <c r="Q47" s="1" t="s">
        <v>96</v>
      </c>
      <c r="R47" s="1" t="s">
        <v>96</v>
      </c>
      <c r="S47" s="1" t="s">
        <v>96</v>
      </c>
      <c r="T47" s="1" t="s">
        <v>96</v>
      </c>
      <c r="U47" s="1" t="s">
        <v>96</v>
      </c>
      <c r="V47" s="1" t="s">
        <v>96</v>
      </c>
      <c r="W47" s="1" t="s">
        <v>96</v>
      </c>
      <c r="X47" s="1" t="s">
        <v>96</v>
      </c>
      <c r="Y47" s="1" t="s">
        <v>96</v>
      </c>
      <c r="Z47">
        <v>1.87</v>
      </c>
      <c r="AA47" s="1" t="s">
        <v>96</v>
      </c>
      <c r="AB47">
        <v>19.809999999999999</v>
      </c>
      <c r="AC47">
        <v>12.27</v>
      </c>
      <c r="AD47">
        <v>51.37</v>
      </c>
      <c r="AE47" s="1" t="s">
        <v>96</v>
      </c>
      <c r="AF47">
        <v>12.04</v>
      </c>
      <c r="AG47">
        <v>646.54</v>
      </c>
      <c r="AH47" t="s">
        <v>133</v>
      </c>
      <c r="AI47" s="1" t="s">
        <v>96</v>
      </c>
      <c r="AJ47" s="1">
        <v>1.67</v>
      </c>
      <c r="AK47" s="1" t="s">
        <v>96</v>
      </c>
      <c r="AL47" s="1" t="s">
        <v>96</v>
      </c>
      <c r="AM47" s="1" t="s">
        <v>96</v>
      </c>
      <c r="AN47" s="1">
        <v>2.12</v>
      </c>
      <c r="AO47">
        <v>68.959999999999994</v>
      </c>
      <c r="AP47">
        <v>99.51</v>
      </c>
      <c r="AQ47" s="1" t="s">
        <v>96</v>
      </c>
      <c r="AR47" s="1">
        <v>1.5</v>
      </c>
      <c r="AS47" t="s">
        <v>133</v>
      </c>
      <c r="AT47">
        <v>28.2</v>
      </c>
      <c r="AU47" s="1" t="s">
        <v>96</v>
      </c>
      <c r="AV47" s="1" t="s">
        <v>96</v>
      </c>
      <c r="AW47">
        <v>4.82</v>
      </c>
      <c r="AX47" s="1" t="s">
        <v>96</v>
      </c>
      <c r="AY47" t="s">
        <v>133</v>
      </c>
      <c r="AZ47">
        <v>777.45</v>
      </c>
      <c r="BA47">
        <v>239.17</v>
      </c>
      <c r="BB47" s="1" t="s">
        <v>96</v>
      </c>
      <c r="BC47">
        <v>749.72</v>
      </c>
      <c r="BD47" s="1" t="s">
        <v>96</v>
      </c>
      <c r="BE47" s="1">
        <v>3.17</v>
      </c>
      <c r="BF47">
        <v>24.45</v>
      </c>
      <c r="BG47" s="1">
        <v>10.09</v>
      </c>
      <c r="BH47" s="1" t="s">
        <v>96</v>
      </c>
      <c r="BI47">
        <v>234.94</v>
      </c>
      <c r="BJ47">
        <v>70.62</v>
      </c>
      <c r="BK47" s="1" t="s">
        <v>96</v>
      </c>
      <c r="BL47" s="1">
        <v>2.58</v>
      </c>
      <c r="BM47">
        <v>4.88</v>
      </c>
      <c r="BN47">
        <v>63.93</v>
      </c>
      <c r="BO47">
        <v>115.4</v>
      </c>
      <c r="BP47">
        <v>7.46</v>
      </c>
      <c r="BQ47" s="1" t="s">
        <v>96</v>
      </c>
      <c r="BR47" s="1" t="s">
        <v>96</v>
      </c>
      <c r="BS47" s="1">
        <v>12.51</v>
      </c>
      <c r="BT47" s="1">
        <v>4.67</v>
      </c>
      <c r="BU47" s="1" t="s">
        <v>96</v>
      </c>
      <c r="BV47">
        <v>213.6</v>
      </c>
      <c r="BW47">
        <v>27.06</v>
      </c>
      <c r="BX47" s="1" t="s">
        <v>96</v>
      </c>
      <c r="BY47">
        <v>670.05</v>
      </c>
      <c r="BZ47">
        <v>34</v>
      </c>
      <c r="CA47" s="1" t="s">
        <v>96</v>
      </c>
      <c r="CB47">
        <v>57.85</v>
      </c>
      <c r="CC47">
        <v>224.09</v>
      </c>
      <c r="CD47" s="1" t="s">
        <v>96</v>
      </c>
    </row>
    <row r="48" spans="1:82">
      <c r="A48">
        <v>135</v>
      </c>
      <c r="B48" t="s">
        <v>500</v>
      </c>
      <c r="D48" t="b">
        <v>1</v>
      </c>
      <c r="E48" t="s">
        <v>501</v>
      </c>
      <c r="F48">
        <v>24</v>
      </c>
      <c r="G48">
        <v>4</v>
      </c>
      <c r="J48" t="s">
        <v>502</v>
      </c>
      <c r="K48" t="s">
        <v>94</v>
      </c>
      <c r="L48" t="s">
        <v>95</v>
      </c>
      <c r="M48">
        <v>100</v>
      </c>
      <c r="N48" s="1" t="s">
        <v>96</v>
      </c>
      <c r="O48" s="1" t="s">
        <v>96</v>
      </c>
      <c r="P48">
        <v>15.24</v>
      </c>
      <c r="Q48" s="1" t="s">
        <v>96</v>
      </c>
      <c r="R48" s="1" t="s">
        <v>96</v>
      </c>
      <c r="S48" s="1" t="s">
        <v>96</v>
      </c>
      <c r="T48" s="1" t="s">
        <v>96</v>
      </c>
      <c r="U48" s="1" t="s">
        <v>96</v>
      </c>
      <c r="V48" s="1" t="s">
        <v>96</v>
      </c>
      <c r="W48" s="1" t="s">
        <v>96</v>
      </c>
      <c r="X48" s="1" t="s">
        <v>96</v>
      </c>
      <c r="Y48" s="1" t="s">
        <v>96</v>
      </c>
      <c r="Z48" t="s">
        <v>96</v>
      </c>
      <c r="AA48" s="1" t="s">
        <v>96</v>
      </c>
      <c r="AB48">
        <v>3.12</v>
      </c>
      <c r="AC48">
        <v>1.86</v>
      </c>
      <c r="AD48">
        <v>91.44</v>
      </c>
      <c r="AE48" s="1" t="s">
        <v>96</v>
      </c>
      <c r="AF48" t="s">
        <v>96</v>
      </c>
      <c r="AG48">
        <v>35.24</v>
      </c>
      <c r="AH48">
        <v>128.93</v>
      </c>
      <c r="AI48" s="1" t="s">
        <v>96</v>
      </c>
      <c r="AJ48" s="1">
        <v>10.17</v>
      </c>
      <c r="AK48" s="1" t="s">
        <v>96</v>
      </c>
      <c r="AL48" s="1" t="s">
        <v>96</v>
      </c>
      <c r="AM48" s="1" t="s">
        <v>96</v>
      </c>
      <c r="AN48" s="1" t="s">
        <v>96</v>
      </c>
      <c r="AO48" t="s">
        <v>96</v>
      </c>
      <c r="AP48">
        <v>20.05</v>
      </c>
      <c r="AQ48" s="1" t="s">
        <v>96</v>
      </c>
      <c r="AR48" s="1" t="s">
        <v>96</v>
      </c>
      <c r="AS48">
        <v>54.04</v>
      </c>
      <c r="AT48">
        <v>2.65</v>
      </c>
      <c r="AU48" s="1" t="s">
        <v>96</v>
      </c>
      <c r="AV48" s="1" t="s">
        <v>96</v>
      </c>
      <c r="AW48">
        <v>6.18</v>
      </c>
      <c r="AX48" s="1">
        <v>4.42</v>
      </c>
      <c r="AY48" t="s">
        <v>133</v>
      </c>
      <c r="AZ48">
        <v>339.08</v>
      </c>
      <c r="BA48">
        <v>239.29</v>
      </c>
      <c r="BB48" s="1" t="s">
        <v>96</v>
      </c>
      <c r="BC48" t="s">
        <v>133</v>
      </c>
      <c r="BD48" s="1" t="s">
        <v>96</v>
      </c>
      <c r="BE48" s="1">
        <v>6.34</v>
      </c>
      <c r="BF48">
        <v>41.06</v>
      </c>
      <c r="BG48" s="1">
        <v>19.16</v>
      </c>
      <c r="BH48" s="1" t="s">
        <v>96</v>
      </c>
      <c r="BI48">
        <v>514.44000000000005</v>
      </c>
      <c r="BJ48">
        <v>60.77</v>
      </c>
      <c r="BK48" s="1" t="s">
        <v>96</v>
      </c>
      <c r="BL48" s="1">
        <v>8.81</v>
      </c>
      <c r="BM48" t="s">
        <v>96</v>
      </c>
      <c r="BN48">
        <v>178.26</v>
      </c>
      <c r="BO48">
        <v>189.3</v>
      </c>
      <c r="BP48" t="s">
        <v>96</v>
      </c>
      <c r="BQ48" s="1" t="s">
        <v>96</v>
      </c>
      <c r="BR48" s="1" t="s">
        <v>96</v>
      </c>
      <c r="BS48" s="1" t="s">
        <v>96</v>
      </c>
      <c r="BT48" s="1" t="s">
        <v>96</v>
      </c>
      <c r="BU48" s="1">
        <v>10.210000000000001</v>
      </c>
      <c r="BV48">
        <v>475.97</v>
      </c>
      <c r="BW48">
        <v>101.64</v>
      </c>
      <c r="BX48" s="1">
        <v>7.51</v>
      </c>
      <c r="BY48">
        <v>607.29999999999995</v>
      </c>
      <c r="BZ48">
        <v>40.69</v>
      </c>
      <c r="CA48" s="1">
        <v>17.68</v>
      </c>
      <c r="CB48">
        <v>95.4</v>
      </c>
      <c r="CC48">
        <v>120.67</v>
      </c>
      <c r="CD48" s="1" t="s">
        <v>96</v>
      </c>
    </row>
    <row r="49" spans="1:82">
      <c r="A49">
        <v>24</v>
      </c>
      <c r="B49" t="s">
        <v>167</v>
      </c>
      <c r="D49" t="b">
        <v>1</v>
      </c>
      <c r="E49" t="s">
        <v>168</v>
      </c>
      <c r="F49">
        <v>215</v>
      </c>
      <c r="G49">
        <v>1</v>
      </c>
      <c r="J49" t="s">
        <v>169</v>
      </c>
      <c r="K49" t="s">
        <v>94</v>
      </c>
      <c r="L49" t="s">
        <v>95</v>
      </c>
      <c r="M49">
        <v>100</v>
      </c>
      <c r="N49" s="1" t="s">
        <v>96</v>
      </c>
      <c r="O49" s="1" t="s">
        <v>96</v>
      </c>
      <c r="P49">
        <v>14.06</v>
      </c>
      <c r="Q49" s="1" t="s">
        <v>96</v>
      </c>
      <c r="R49" s="1" t="s">
        <v>96</v>
      </c>
      <c r="S49" s="1" t="s">
        <v>96</v>
      </c>
      <c r="T49" s="1" t="s">
        <v>96</v>
      </c>
      <c r="U49" s="1" t="s">
        <v>96</v>
      </c>
      <c r="V49" s="1" t="s">
        <v>96</v>
      </c>
      <c r="W49" s="1" t="s">
        <v>96</v>
      </c>
      <c r="X49" s="1" t="s">
        <v>96</v>
      </c>
      <c r="Y49" s="1" t="s">
        <v>96</v>
      </c>
      <c r="Z49">
        <v>4.5999999999999996</v>
      </c>
      <c r="AA49" s="1" t="s">
        <v>96</v>
      </c>
      <c r="AB49">
        <v>27.56</v>
      </c>
      <c r="AC49">
        <v>2.15</v>
      </c>
      <c r="AD49" t="s">
        <v>133</v>
      </c>
      <c r="AE49" s="1" t="s">
        <v>96</v>
      </c>
      <c r="AF49" t="s">
        <v>96</v>
      </c>
      <c r="AG49">
        <v>25.35</v>
      </c>
      <c r="AH49">
        <v>400.04</v>
      </c>
      <c r="AI49" s="1" t="s">
        <v>96</v>
      </c>
      <c r="AJ49" s="1" t="s">
        <v>96</v>
      </c>
      <c r="AK49" s="1" t="s">
        <v>96</v>
      </c>
      <c r="AL49" s="1" t="s">
        <v>96</v>
      </c>
      <c r="AM49" s="1" t="s">
        <v>96</v>
      </c>
      <c r="AN49" s="1">
        <v>4.9400000000000004</v>
      </c>
      <c r="AO49">
        <v>249.61</v>
      </c>
      <c r="AP49">
        <v>348.41</v>
      </c>
      <c r="AQ49" s="1">
        <v>19.940000000000001</v>
      </c>
      <c r="AR49" s="1" t="s">
        <v>96</v>
      </c>
      <c r="AS49">
        <v>84.83</v>
      </c>
      <c r="AT49">
        <v>11.44</v>
      </c>
      <c r="AU49" s="1" t="s">
        <v>96</v>
      </c>
      <c r="AV49" s="1" t="s">
        <v>96</v>
      </c>
      <c r="AW49" t="s">
        <v>96</v>
      </c>
      <c r="AX49" s="1" t="s">
        <v>96</v>
      </c>
      <c r="AY49">
        <v>1143.5999999999999</v>
      </c>
      <c r="AZ49">
        <v>34.67</v>
      </c>
      <c r="BA49">
        <v>490.77</v>
      </c>
      <c r="BB49" s="1" t="s">
        <v>96</v>
      </c>
      <c r="BC49">
        <v>103.56</v>
      </c>
      <c r="BD49" s="1" t="s">
        <v>96</v>
      </c>
      <c r="BE49" s="1" t="s">
        <v>96</v>
      </c>
      <c r="BF49">
        <v>8.1300000000000008</v>
      </c>
      <c r="BG49" s="1">
        <v>5.84</v>
      </c>
      <c r="BH49" s="1" t="s">
        <v>96</v>
      </c>
      <c r="BI49">
        <v>37.51</v>
      </c>
      <c r="BJ49" t="s">
        <v>96</v>
      </c>
      <c r="BK49" s="1" t="s">
        <v>96</v>
      </c>
      <c r="BL49" s="1" t="s">
        <v>96</v>
      </c>
      <c r="BM49" t="s">
        <v>96</v>
      </c>
      <c r="BN49">
        <v>7.56</v>
      </c>
      <c r="BO49" t="s">
        <v>96</v>
      </c>
      <c r="BP49" t="s">
        <v>96</v>
      </c>
      <c r="BQ49" s="1" t="s">
        <v>96</v>
      </c>
      <c r="BR49" s="1" t="s">
        <v>96</v>
      </c>
      <c r="BS49" s="1" t="s">
        <v>96</v>
      </c>
      <c r="BT49" s="1" t="s">
        <v>96</v>
      </c>
      <c r="BU49" s="1" t="s">
        <v>96</v>
      </c>
      <c r="BV49">
        <v>63.17</v>
      </c>
      <c r="BW49">
        <v>6.06</v>
      </c>
      <c r="BX49" s="1" t="s">
        <v>96</v>
      </c>
      <c r="BY49">
        <v>68.7</v>
      </c>
      <c r="BZ49" t="s">
        <v>96</v>
      </c>
      <c r="CA49" s="1">
        <v>16.04</v>
      </c>
      <c r="CB49">
        <v>205.54</v>
      </c>
      <c r="CC49">
        <v>9.25</v>
      </c>
      <c r="CD49" s="1" t="s">
        <v>96</v>
      </c>
    </row>
    <row r="50" spans="1:82">
      <c r="A50">
        <v>122</v>
      </c>
      <c r="B50" t="s">
        <v>461</v>
      </c>
      <c r="D50" t="b">
        <v>1</v>
      </c>
      <c r="E50" t="s">
        <v>462</v>
      </c>
      <c r="F50">
        <v>9</v>
      </c>
      <c r="G50">
        <v>4</v>
      </c>
      <c r="J50" t="s">
        <v>463</v>
      </c>
      <c r="K50" t="s">
        <v>94</v>
      </c>
      <c r="L50" t="s">
        <v>95</v>
      </c>
      <c r="M50">
        <v>100</v>
      </c>
      <c r="N50" s="1" t="s">
        <v>96</v>
      </c>
      <c r="O50" s="1" t="s">
        <v>96</v>
      </c>
      <c r="P50">
        <v>28.42</v>
      </c>
      <c r="Q50" s="1">
        <v>21.06</v>
      </c>
      <c r="R50" s="1">
        <v>35.020000000000003</v>
      </c>
      <c r="S50" s="1">
        <v>25.41</v>
      </c>
      <c r="T50" s="1" t="s">
        <v>96</v>
      </c>
      <c r="U50" s="1" t="s">
        <v>96</v>
      </c>
      <c r="V50" s="1" t="s">
        <v>96</v>
      </c>
      <c r="W50" s="1" t="s">
        <v>96</v>
      </c>
      <c r="X50" s="1">
        <v>3.26</v>
      </c>
      <c r="Y50" s="1" t="s">
        <v>96</v>
      </c>
      <c r="Z50" t="s">
        <v>96</v>
      </c>
      <c r="AA50" s="1" t="s">
        <v>96</v>
      </c>
      <c r="AB50">
        <v>7.07</v>
      </c>
      <c r="AC50">
        <v>41.39</v>
      </c>
      <c r="AD50">
        <v>198.35</v>
      </c>
      <c r="AE50" s="1" t="s">
        <v>96</v>
      </c>
      <c r="AF50">
        <v>31.95</v>
      </c>
      <c r="AG50">
        <v>368.39</v>
      </c>
      <c r="AH50">
        <v>31.77</v>
      </c>
      <c r="AI50" s="1">
        <v>10.65</v>
      </c>
      <c r="AJ50" s="1" t="s">
        <v>96</v>
      </c>
      <c r="AK50" s="1" t="s">
        <v>96</v>
      </c>
      <c r="AL50" s="1" t="s">
        <v>96</v>
      </c>
      <c r="AM50" s="1" t="s">
        <v>96</v>
      </c>
      <c r="AN50" s="1" t="s">
        <v>96</v>
      </c>
      <c r="AO50">
        <v>207.55</v>
      </c>
      <c r="AP50" t="s">
        <v>133</v>
      </c>
      <c r="AQ50" s="1">
        <v>6.58</v>
      </c>
      <c r="AR50" s="1">
        <v>4.18</v>
      </c>
      <c r="AS50">
        <v>38.630000000000003</v>
      </c>
      <c r="AT50">
        <v>10.42</v>
      </c>
      <c r="AU50" s="1" t="s">
        <v>96</v>
      </c>
      <c r="AV50" s="1" t="s">
        <v>96</v>
      </c>
      <c r="AW50">
        <v>115.17</v>
      </c>
      <c r="AX50" s="1">
        <v>3.6</v>
      </c>
      <c r="AY50" t="s">
        <v>133</v>
      </c>
      <c r="AZ50" t="s">
        <v>133</v>
      </c>
      <c r="BA50" t="s">
        <v>133</v>
      </c>
      <c r="BB50" s="1" t="s">
        <v>96</v>
      </c>
      <c r="BC50" t="s">
        <v>133</v>
      </c>
      <c r="BD50" s="1" t="s">
        <v>96</v>
      </c>
      <c r="BE50" s="1">
        <v>69.19</v>
      </c>
      <c r="BF50">
        <v>62.33</v>
      </c>
      <c r="BG50" s="1">
        <v>815.19</v>
      </c>
      <c r="BH50" s="1" t="s">
        <v>96</v>
      </c>
      <c r="BI50">
        <v>409.52</v>
      </c>
      <c r="BJ50">
        <v>351.56</v>
      </c>
      <c r="BK50" s="1" t="s">
        <v>96</v>
      </c>
      <c r="BL50" s="1">
        <v>9.11</v>
      </c>
      <c r="BM50">
        <v>16.690000000000001</v>
      </c>
      <c r="BN50">
        <v>882.39</v>
      </c>
      <c r="BO50">
        <v>688.59</v>
      </c>
      <c r="BP50">
        <v>29.5</v>
      </c>
      <c r="BQ50" s="1" t="s">
        <v>96</v>
      </c>
      <c r="BR50" s="1" t="s">
        <v>96</v>
      </c>
      <c r="BS50" s="1">
        <v>9.0399999999999991</v>
      </c>
      <c r="BT50" s="1">
        <v>2.5099999999999998</v>
      </c>
      <c r="BU50" s="1">
        <v>365.62</v>
      </c>
      <c r="BV50">
        <v>494.33</v>
      </c>
      <c r="BW50">
        <v>52</v>
      </c>
      <c r="BX50" s="1">
        <v>82.55</v>
      </c>
      <c r="BY50" t="s">
        <v>133</v>
      </c>
      <c r="BZ50">
        <v>144.04</v>
      </c>
      <c r="CA50" s="1" t="s">
        <v>133</v>
      </c>
      <c r="CB50" t="s">
        <v>133</v>
      </c>
      <c r="CC50">
        <v>1100.58</v>
      </c>
      <c r="CD50" s="1">
        <v>7.13</v>
      </c>
    </row>
    <row r="51" spans="1:82">
      <c r="A51">
        <v>116</v>
      </c>
      <c r="B51" t="s">
        <v>443</v>
      </c>
      <c r="D51" t="b">
        <v>1</v>
      </c>
      <c r="E51" t="s">
        <v>444</v>
      </c>
      <c r="F51">
        <v>169</v>
      </c>
      <c r="G51">
        <v>3</v>
      </c>
      <c r="J51" t="s">
        <v>445</v>
      </c>
      <c r="K51" t="s">
        <v>94</v>
      </c>
      <c r="L51" t="s">
        <v>95</v>
      </c>
      <c r="M51">
        <v>100</v>
      </c>
      <c r="N51" s="1" t="s">
        <v>96</v>
      </c>
      <c r="O51" s="1" t="s">
        <v>96</v>
      </c>
      <c r="P51">
        <v>9.68</v>
      </c>
      <c r="Q51" s="1" t="s">
        <v>96</v>
      </c>
      <c r="R51" s="1" t="s">
        <v>96</v>
      </c>
      <c r="S51" s="1" t="s">
        <v>96</v>
      </c>
      <c r="T51" s="1" t="s">
        <v>96</v>
      </c>
      <c r="U51" s="1" t="s">
        <v>96</v>
      </c>
      <c r="V51" s="1" t="s">
        <v>96</v>
      </c>
      <c r="W51" s="1" t="s">
        <v>96</v>
      </c>
      <c r="X51" s="1" t="s">
        <v>96</v>
      </c>
      <c r="Y51" s="1" t="s">
        <v>96</v>
      </c>
      <c r="Z51" t="s">
        <v>96</v>
      </c>
      <c r="AA51" s="1" t="s">
        <v>96</v>
      </c>
      <c r="AB51">
        <v>9.76</v>
      </c>
      <c r="AC51">
        <v>3.93</v>
      </c>
      <c r="AD51">
        <v>71.89</v>
      </c>
      <c r="AE51" s="1" t="s">
        <v>96</v>
      </c>
      <c r="AF51">
        <v>10.41</v>
      </c>
      <c r="AG51">
        <v>201.11</v>
      </c>
      <c r="AH51">
        <v>206.19</v>
      </c>
      <c r="AI51" s="1" t="s">
        <v>96</v>
      </c>
      <c r="AJ51" s="1" t="s">
        <v>96</v>
      </c>
      <c r="AK51" s="1" t="s">
        <v>96</v>
      </c>
      <c r="AL51" s="1" t="s">
        <v>96</v>
      </c>
      <c r="AM51" s="1" t="s">
        <v>96</v>
      </c>
      <c r="AN51" s="1" t="s">
        <v>96</v>
      </c>
      <c r="AO51">
        <v>25.52</v>
      </c>
      <c r="AP51">
        <v>28.94</v>
      </c>
      <c r="AQ51" s="1" t="s">
        <v>96</v>
      </c>
      <c r="AR51" s="1" t="s">
        <v>96</v>
      </c>
      <c r="AS51">
        <v>47.21</v>
      </c>
      <c r="AT51">
        <v>2.38</v>
      </c>
      <c r="AU51" s="1" t="s">
        <v>96</v>
      </c>
      <c r="AV51" s="1" t="s">
        <v>96</v>
      </c>
      <c r="AW51">
        <v>5.73</v>
      </c>
      <c r="AX51" s="1" t="s">
        <v>96</v>
      </c>
      <c r="AY51">
        <v>788.79</v>
      </c>
      <c r="AZ51">
        <v>169.67</v>
      </c>
      <c r="BA51">
        <v>25.02</v>
      </c>
      <c r="BB51" s="1" t="s">
        <v>96</v>
      </c>
      <c r="BC51">
        <v>296.18</v>
      </c>
      <c r="BD51" s="1" t="s">
        <v>96</v>
      </c>
      <c r="BE51" s="1">
        <v>3.16</v>
      </c>
      <c r="BF51">
        <v>10.18</v>
      </c>
      <c r="BG51" s="1" t="s">
        <v>96</v>
      </c>
      <c r="BH51" s="1" t="s">
        <v>96</v>
      </c>
      <c r="BI51">
        <v>193.8</v>
      </c>
      <c r="BJ51">
        <v>59.58</v>
      </c>
      <c r="BK51" s="1" t="s">
        <v>96</v>
      </c>
      <c r="BL51" s="1">
        <v>2.86</v>
      </c>
      <c r="BM51">
        <v>2.98</v>
      </c>
      <c r="BN51">
        <v>83.91</v>
      </c>
      <c r="BO51">
        <v>93.62</v>
      </c>
      <c r="BP51" t="s">
        <v>96</v>
      </c>
      <c r="BQ51" s="1" t="s">
        <v>96</v>
      </c>
      <c r="BR51" s="1" t="s">
        <v>96</v>
      </c>
      <c r="BS51" s="1" t="s">
        <v>96</v>
      </c>
      <c r="BT51" s="1" t="s">
        <v>96</v>
      </c>
      <c r="BU51" s="1" t="s">
        <v>96</v>
      </c>
      <c r="BV51">
        <v>61.04</v>
      </c>
      <c r="BW51">
        <v>23</v>
      </c>
      <c r="BX51" s="1" t="s">
        <v>96</v>
      </c>
      <c r="BY51">
        <v>202.19</v>
      </c>
      <c r="BZ51">
        <v>23.56</v>
      </c>
      <c r="CA51" s="1" t="s">
        <v>96</v>
      </c>
      <c r="CB51">
        <v>6.46</v>
      </c>
      <c r="CC51">
        <v>44.42</v>
      </c>
      <c r="CD51" s="1" t="s">
        <v>96</v>
      </c>
    </row>
    <row r="52" spans="1:82">
      <c r="A52">
        <v>42</v>
      </c>
      <c r="B52" t="s">
        <v>221</v>
      </c>
      <c r="D52" t="b">
        <v>1</v>
      </c>
      <c r="E52" t="s">
        <v>222</v>
      </c>
      <c r="F52">
        <v>69</v>
      </c>
      <c r="G52">
        <v>2</v>
      </c>
      <c r="J52" t="s">
        <v>223</v>
      </c>
      <c r="K52" t="s">
        <v>94</v>
      </c>
      <c r="L52" t="s">
        <v>95</v>
      </c>
      <c r="M52">
        <v>100</v>
      </c>
      <c r="N52" s="1" t="s">
        <v>96</v>
      </c>
      <c r="O52" s="1" t="s">
        <v>96</v>
      </c>
      <c r="P52">
        <v>14.85</v>
      </c>
      <c r="Q52" s="1" t="s">
        <v>96</v>
      </c>
      <c r="R52" s="1" t="s">
        <v>96</v>
      </c>
      <c r="S52" s="1" t="s">
        <v>96</v>
      </c>
      <c r="T52" s="1" t="s">
        <v>96</v>
      </c>
      <c r="U52" s="1" t="s">
        <v>96</v>
      </c>
      <c r="V52" s="1" t="s">
        <v>96</v>
      </c>
      <c r="W52" s="1" t="s">
        <v>96</v>
      </c>
      <c r="X52" s="1" t="s">
        <v>96</v>
      </c>
      <c r="Y52" s="1" t="s">
        <v>96</v>
      </c>
      <c r="Z52" t="s">
        <v>96</v>
      </c>
      <c r="AA52" s="1" t="s">
        <v>96</v>
      </c>
      <c r="AB52">
        <v>1.42</v>
      </c>
      <c r="AC52">
        <v>2.09</v>
      </c>
      <c r="AD52">
        <v>303.08</v>
      </c>
      <c r="AE52" s="1" t="s">
        <v>96</v>
      </c>
      <c r="AF52">
        <v>11.5</v>
      </c>
      <c r="AG52">
        <v>146.27000000000001</v>
      </c>
      <c r="AH52">
        <v>12.44</v>
      </c>
      <c r="AI52" s="1" t="s">
        <v>96</v>
      </c>
      <c r="AJ52" s="1" t="s">
        <v>96</v>
      </c>
      <c r="AK52" s="1" t="s">
        <v>96</v>
      </c>
      <c r="AL52" s="1" t="s">
        <v>96</v>
      </c>
      <c r="AM52" s="1" t="s">
        <v>96</v>
      </c>
      <c r="AN52" s="1" t="s">
        <v>96</v>
      </c>
      <c r="AO52">
        <v>304.81</v>
      </c>
      <c r="AP52">
        <v>26.8</v>
      </c>
      <c r="AQ52" s="1">
        <v>1.04</v>
      </c>
      <c r="AR52" s="1" t="s">
        <v>96</v>
      </c>
      <c r="AS52">
        <v>4.66</v>
      </c>
      <c r="AT52" t="s">
        <v>96</v>
      </c>
      <c r="AU52" s="1" t="s">
        <v>96</v>
      </c>
      <c r="AV52" s="1" t="s">
        <v>96</v>
      </c>
      <c r="AW52">
        <v>4.3899999999999997</v>
      </c>
      <c r="AX52" s="1" t="s">
        <v>96</v>
      </c>
      <c r="AY52">
        <v>487.34</v>
      </c>
      <c r="AZ52">
        <v>228.9</v>
      </c>
      <c r="BA52">
        <v>116.03</v>
      </c>
      <c r="BB52" s="1" t="s">
        <v>96</v>
      </c>
      <c r="BC52">
        <v>98.22</v>
      </c>
      <c r="BD52" s="1" t="s">
        <v>96</v>
      </c>
      <c r="BE52" s="1" t="s">
        <v>96</v>
      </c>
      <c r="BF52">
        <v>4.54</v>
      </c>
      <c r="BG52" s="1" t="s">
        <v>96</v>
      </c>
      <c r="BH52" s="1" t="s">
        <v>96</v>
      </c>
      <c r="BI52">
        <v>9.39</v>
      </c>
      <c r="BJ52">
        <v>4.47</v>
      </c>
      <c r="BK52" s="1" t="s">
        <v>96</v>
      </c>
      <c r="BL52" s="1" t="s">
        <v>96</v>
      </c>
      <c r="BM52" t="s">
        <v>96</v>
      </c>
      <c r="BN52">
        <v>2.72</v>
      </c>
      <c r="BO52">
        <v>15.75</v>
      </c>
      <c r="BP52">
        <v>15.35</v>
      </c>
      <c r="BQ52" s="1" t="s">
        <v>96</v>
      </c>
      <c r="BR52" s="1" t="s">
        <v>96</v>
      </c>
      <c r="BS52" s="1" t="s">
        <v>96</v>
      </c>
      <c r="BT52" s="1" t="s">
        <v>96</v>
      </c>
      <c r="BU52" s="1" t="s">
        <v>96</v>
      </c>
      <c r="BV52">
        <v>38.119999999999997</v>
      </c>
      <c r="BW52" t="s">
        <v>96</v>
      </c>
      <c r="BX52" s="1" t="s">
        <v>96</v>
      </c>
      <c r="BY52">
        <v>894.02</v>
      </c>
      <c r="BZ52" t="s">
        <v>96</v>
      </c>
      <c r="CA52" s="1" t="s">
        <v>96</v>
      </c>
      <c r="CB52">
        <v>28.68</v>
      </c>
      <c r="CC52">
        <v>69.08</v>
      </c>
      <c r="CD52" s="1" t="s">
        <v>96</v>
      </c>
    </row>
    <row r="53" spans="1:82">
      <c r="A53">
        <v>222</v>
      </c>
      <c r="B53" t="s">
        <v>761</v>
      </c>
      <c r="D53" t="b">
        <v>1</v>
      </c>
      <c r="E53" t="s">
        <v>762</v>
      </c>
      <c r="F53">
        <v>333</v>
      </c>
      <c r="G53">
        <v>6</v>
      </c>
      <c r="J53" t="s">
        <v>763</v>
      </c>
      <c r="K53" t="s">
        <v>94</v>
      </c>
      <c r="L53" t="s">
        <v>95</v>
      </c>
      <c r="M53">
        <v>100</v>
      </c>
      <c r="N53" s="1" t="s">
        <v>96</v>
      </c>
      <c r="O53" s="1" t="s">
        <v>96</v>
      </c>
      <c r="P53">
        <v>8.59</v>
      </c>
      <c r="Q53" s="1" t="s">
        <v>96</v>
      </c>
      <c r="R53" s="1" t="s">
        <v>96</v>
      </c>
      <c r="S53" s="1" t="s">
        <v>96</v>
      </c>
      <c r="T53" s="1" t="s">
        <v>96</v>
      </c>
      <c r="U53" s="1" t="s">
        <v>96</v>
      </c>
      <c r="V53" s="1" t="s">
        <v>96</v>
      </c>
      <c r="W53" s="1" t="s">
        <v>96</v>
      </c>
      <c r="X53" s="1" t="s">
        <v>96</v>
      </c>
      <c r="Y53" s="1" t="s">
        <v>96</v>
      </c>
      <c r="Z53" t="s">
        <v>96</v>
      </c>
      <c r="AA53" s="1" t="s">
        <v>96</v>
      </c>
      <c r="AB53" t="s">
        <v>96</v>
      </c>
      <c r="AC53" t="s">
        <v>96</v>
      </c>
      <c r="AD53">
        <v>2.06</v>
      </c>
      <c r="AE53" s="1" t="s">
        <v>96</v>
      </c>
      <c r="AF53" t="s">
        <v>96</v>
      </c>
      <c r="AG53">
        <v>3.12</v>
      </c>
      <c r="AH53">
        <v>2.3199999999999998</v>
      </c>
      <c r="AI53" s="1" t="s">
        <v>96</v>
      </c>
      <c r="AJ53" s="1" t="s">
        <v>96</v>
      </c>
      <c r="AK53" s="1" t="s">
        <v>96</v>
      </c>
      <c r="AL53" s="1" t="s">
        <v>96</v>
      </c>
      <c r="AM53" s="1" t="s">
        <v>96</v>
      </c>
      <c r="AN53" s="1" t="s">
        <v>96</v>
      </c>
      <c r="AO53" t="s">
        <v>96</v>
      </c>
      <c r="AP53">
        <v>1.87</v>
      </c>
      <c r="AQ53" s="1" t="s">
        <v>96</v>
      </c>
      <c r="AR53" s="1" t="s">
        <v>96</v>
      </c>
      <c r="AS53">
        <v>5.32</v>
      </c>
      <c r="AT53">
        <v>2.0299999999999998</v>
      </c>
      <c r="AU53" s="1" t="s">
        <v>96</v>
      </c>
      <c r="AV53" s="1" t="s">
        <v>96</v>
      </c>
      <c r="AW53" t="s">
        <v>96</v>
      </c>
      <c r="AX53" s="1" t="s">
        <v>96</v>
      </c>
      <c r="AY53">
        <v>28.82</v>
      </c>
      <c r="AZ53">
        <v>2.56</v>
      </c>
      <c r="BA53" t="s">
        <v>96</v>
      </c>
      <c r="BB53" s="1" t="s">
        <v>96</v>
      </c>
      <c r="BC53">
        <v>15.73</v>
      </c>
      <c r="BD53" s="1" t="s">
        <v>96</v>
      </c>
      <c r="BE53" s="1" t="s">
        <v>96</v>
      </c>
      <c r="BF53">
        <v>5.05</v>
      </c>
      <c r="BG53" s="1" t="s">
        <v>96</v>
      </c>
      <c r="BH53" s="1" t="s">
        <v>96</v>
      </c>
      <c r="BI53">
        <v>17.100000000000001</v>
      </c>
      <c r="BJ53" t="s">
        <v>96</v>
      </c>
      <c r="BK53" s="1" t="s">
        <v>96</v>
      </c>
      <c r="BL53" s="1" t="s">
        <v>96</v>
      </c>
      <c r="BM53" t="s">
        <v>96</v>
      </c>
      <c r="BN53">
        <v>6.07</v>
      </c>
      <c r="BO53">
        <v>50.42</v>
      </c>
      <c r="BP53" t="s">
        <v>96</v>
      </c>
      <c r="BQ53" s="1" t="s">
        <v>96</v>
      </c>
      <c r="BR53" s="1" t="s">
        <v>96</v>
      </c>
      <c r="BS53" s="1" t="s">
        <v>96</v>
      </c>
      <c r="BT53" s="1" t="s">
        <v>96</v>
      </c>
      <c r="BU53" s="1" t="s">
        <v>96</v>
      </c>
      <c r="BV53">
        <v>13.6</v>
      </c>
      <c r="BW53">
        <v>11.53</v>
      </c>
      <c r="BX53" s="1" t="s">
        <v>96</v>
      </c>
      <c r="BY53">
        <v>49.15</v>
      </c>
      <c r="BZ53" t="s">
        <v>96</v>
      </c>
      <c r="CA53" s="1" t="s">
        <v>96</v>
      </c>
      <c r="CB53" t="s">
        <v>96</v>
      </c>
      <c r="CC53" t="s">
        <v>96</v>
      </c>
      <c r="CD53" s="1" t="s">
        <v>96</v>
      </c>
    </row>
    <row r="54" spans="1:82">
      <c r="A54">
        <v>109</v>
      </c>
      <c r="B54" t="s">
        <v>422</v>
      </c>
      <c r="D54" t="b">
        <v>1</v>
      </c>
      <c r="E54" t="s">
        <v>423</v>
      </c>
      <c r="F54">
        <v>160</v>
      </c>
      <c r="G54">
        <v>3</v>
      </c>
      <c r="J54" t="s">
        <v>424</v>
      </c>
      <c r="K54" t="s">
        <v>94</v>
      </c>
      <c r="L54" t="s">
        <v>95</v>
      </c>
      <c r="M54">
        <v>100</v>
      </c>
      <c r="N54" s="1" t="s">
        <v>96</v>
      </c>
      <c r="O54" s="1" t="s">
        <v>96</v>
      </c>
      <c r="P54">
        <v>15.07</v>
      </c>
      <c r="Q54" s="1" t="s">
        <v>96</v>
      </c>
      <c r="R54" s="1" t="s">
        <v>96</v>
      </c>
      <c r="S54" s="1" t="s">
        <v>96</v>
      </c>
      <c r="T54" s="1" t="s">
        <v>96</v>
      </c>
      <c r="U54" s="1" t="s">
        <v>96</v>
      </c>
      <c r="V54" s="1" t="s">
        <v>96</v>
      </c>
      <c r="W54" s="1" t="s">
        <v>96</v>
      </c>
      <c r="X54" s="1" t="s">
        <v>96</v>
      </c>
      <c r="Y54" s="1" t="s">
        <v>96</v>
      </c>
      <c r="Z54" t="s">
        <v>96</v>
      </c>
      <c r="AA54" s="1" t="s">
        <v>96</v>
      </c>
      <c r="AB54">
        <v>1.39</v>
      </c>
      <c r="AC54">
        <v>1.5</v>
      </c>
      <c r="AD54">
        <v>8.2899999999999991</v>
      </c>
      <c r="AE54" s="1" t="s">
        <v>96</v>
      </c>
      <c r="AF54" t="s">
        <v>96</v>
      </c>
      <c r="AG54">
        <v>25.18</v>
      </c>
      <c r="AH54">
        <v>32.049999999999997</v>
      </c>
      <c r="AI54" s="1" t="s">
        <v>96</v>
      </c>
      <c r="AJ54" s="1" t="s">
        <v>96</v>
      </c>
      <c r="AK54" s="1" t="s">
        <v>96</v>
      </c>
      <c r="AL54" s="1" t="s">
        <v>96</v>
      </c>
      <c r="AM54" s="1" t="s">
        <v>96</v>
      </c>
      <c r="AN54" s="1" t="s">
        <v>96</v>
      </c>
      <c r="AO54" t="s">
        <v>96</v>
      </c>
      <c r="AP54">
        <v>3.75</v>
      </c>
      <c r="AQ54" s="1" t="s">
        <v>96</v>
      </c>
      <c r="AR54" s="1" t="s">
        <v>96</v>
      </c>
      <c r="AS54">
        <v>16.940000000000001</v>
      </c>
      <c r="AT54">
        <v>6.93</v>
      </c>
      <c r="AU54" s="1" t="s">
        <v>96</v>
      </c>
      <c r="AV54" s="1" t="s">
        <v>96</v>
      </c>
      <c r="AW54">
        <v>5.46</v>
      </c>
      <c r="AX54" s="1" t="s">
        <v>96</v>
      </c>
      <c r="AY54">
        <v>1531.17</v>
      </c>
      <c r="AZ54">
        <v>123.63</v>
      </c>
      <c r="BA54">
        <v>43.12</v>
      </c>
      <c r="BB54" s="1" t="s">
        <v>96</v>
      </c>
      <c r="BC54">
        <v>470.41</v>
      </c>
      <c r="BD54" s="1" t="s">
        <v>96</v>
      </c>
      <c r="BE54" s="1">
        <v>3.09</v>
      </c>
      <c r="BF54">
        <v>43.75</v>
      </c>
      <c r="BG54" s="1">
        <v>6.2</v>
      </c>
      <c r="BH54" s="1" t="s">
        <v>96</v>
      </c>
      <c r="BI54">
        <v>398.98</v>
      </c>
      <c r="BJ54">
        <v>48.39</v>
      </c>
      <c r="BK54" s="1" t="s">
        <v>96</v>
      </c>
      <c r="BL54" s="1">
        <v>20.09</v>
      </c>
      <c r="BM54">
        <v>7.78</v>
      </c>
      <c r="BN54">
        <v>154.86000000000001</v>
      </c>
      <c r="BO54">
        <v>67.8</v>
      </c>
      <c r="BP54" t="s">
        <v>96</v>
      </c>
      <c r="BQ54" s="1" t="s">
        <v>96</v>
      </c>
      <c r="BR54" s="1" t="s">
        <v>96</v>
      </c>
      <c r="BS54" s="1" t="s">
        <v>96</v>
      </c>
      <c r="BT54" s="1" t="s">
        <v>96</v>
      </c>
      <c r="BU54" s="1" t="s">
        <v>96</v>
      </c>
      <c r="BV54">
        <v>125.01</v>
      </c>
      <c r="BW54">
        <v>48.01</v>
      </c>
      <c r="BX54" s="1" t="s">
        <v>96</v>
      </c>
      <c r="BY54">
        <v>162.85</v>
      </c>
      <c r="BZ54">
        <v>21.48</v>
      </c>
      <c r="CA54" s="1" t="s">
        <v>96</v>
      </c>
      <c r="CB54">
        <v>8.01</v>
      </c>
      <c r="CC54">
        <v>34.22</v>
      </c>
      <c r="CD54" s="1" t="s">
        <v>96</v>
      </c>
    </row>
    <row r="55" spans="1:82">
      <c r="A55">
        <v>209</v>
      </c>
      <c r="B55" t="s">
        <v>722</v>
      </c>
      <c r="D55" t="b">
        <v>1</v>
      </c>
      <c r="E55" t="s">
        <v>723</v>
      </c>
      <c r="F55">
        <v>316</v>
      </c>
      <c r="G55">
        <v>6</v>
      </c>
      <c r="J55" t="s">
        <v>724</v>
      </c>
      <c r="K55" t="s">
        <v>94</v>
      </c>
      <c r="L55" t="s">
        <v>95</v>
      </c>
      <c r="M55">
        <v>100</v>
      </c>
      <c r="N55" s="1" t="s">
        <v>96</v>
      </c>
      <c r="O55" s="1" t="s">
        <v>96</v>
      </c>
      <c r="P55">
        <v>8.65</v>
      </c>
      <c r="Q55" s="1" t="s">
        <v>96</v>
      </c>
      <c r="R55" s="1" t="s">
        <v>96</v>
      </c>
      <c r="S55" s="1">
        <v>6.16</v>
      </c>
      <c r="T55" s="1" t="s">
        <v>96</v>
      </c>
      <c r="U55" s="1" t="s">
        <v>96</v>
      </c>
      <c r="V55" s="1" t="s">
        <v>96</v>
      </c>
      <c r="W55" s="1" t="s">
        <v>96</v>
      </c>
      <c r="X55" s="1" t="s">
        <v>96</v>
      </c>
      <c r="Y55" s="1" t="s">
        <v>96</v>
      </c>
      <c r="Z55" t="s">
        <v>96</v>
      </c>
      <c r="AA55" s="1" t="s">
        <v>96</v>
      </c>
      <c r="AB55">
        <v>1.82</v>
      </c>
      <c r="AC55">
        <v>15.82</v>
      </c>
      <c r="AD55">
        <v>66.069999999999993</v>
      </c>
      <c r="AE55" s="1" t="s">
        <v>96</v>
      </c>
      <c r="AF55">
        <v>34.909999999999997</v>
      </c>
      <c r="AG55">
        <v>318.42</v>
      </c>
      <c r="AH55">
        <v>32.75</v>
      </c>
      <c r="AI55" s="1" t="s">
        <v>96</v>
      </c>
      <c r="AJ55" s="1">
        <v>1.02</v>
      </c>
      <c r="AK55" s="1" t="s">
        <v>96</v>
      </c>
      <c r="AL55" s="1" t="s">
        <v>96</v>
      </c>
      <c r="AM55" s="1" t="s">
        <v>96</v>
      </c>
      <c r="AN55" s="1" t="s">
        <v>96</v>
      </c>
      <c r="AO55">
        <v>547.65</v>
      </c>
      <c r="AP55">
        <v>18.59</v>
      </c>
      <c r="AQ55" s="1" t="s">
        <v>96</v>
      </c>
      <c r="AR55" s="1" t="s">
        <v>96</v>
      </c>
      <c r="AS55">
        <v>23.5</v>
      </c>
      <c r="AT55" t="s">
        <v>96</v>
      </c>
      <c r="AU55" s="1" t="s">
        <v>96</v>
      </c>
      <c r="AV55" s="1" t="s">
        <v>96</v>
      </c>
      <c r="AW55">
        <v>42.54</v>
      </c>
      <c r="AX55" s="1" t="s">
        <v>96</v>
      </c>
      <c r="AY55" t="s">
        <v>133</v>
      </c>
      <c r="AZ55">
        <v>1520.29</v>
      </c>
      <c r="BA55">
        <v>48.95</v>
      </c>
      <c r="BB55" s="1" t="s">
        <v>96</v>
      </c>
      <c r="BC55">
        <v>820.35</v>
      </c>
      <c r="BD55" s="1" t="s">
        <v>96</v>
      </c>
      <c r="BE55" s="1">
        <v>14.07</v>
      </c>
      <c r="BF55">
        <v>15.2</v>
      </c>
      <c r="BG55" s="1">
        <v>2.91</v>
      </c>
      <c r="BH55" s="1" t="s">
        <v>96</v>
      </c>
      <c r="BI55">
        <v>294.19</v>
      </c>
      <c r="BJ55">
        <v>254.43</v>
      </c>
      <c r="BK55" s="1" t="s">
        <v>96</v>
      </c>
      <c r="BL55" s="1" t="s">
        <v>96</v>
      </c>
      <c r="BM55">
        <v>4.58</v>
      </c>
      <c r="BN55">
        <v>114.21</v>
      </c>
      <c r="BO55">
        <v>112.65</v>
      </c>
      <c r="BP55" t="s">
        <v>96</v>
      </c>
      <c r="BQ55" s="1" t="s">
        <v>96</v>
      </c>
      <c r="BR55" s="1" t="s">
        <v>96</v>
      </c>
      <c r="BS55" s="1" t="s">
        <v>96</v>
      </c>
      <c r="BT55" s="1" t="s">
        <v>96</v>
      </c>
      <c r="BU55" s="1">
        <v>11.55</v>
      </c>
      <c r="BV55">
        <v>56.07</v>
      </c>
      <c r="BW55">
        <v>9.81</v>
      </c>
      <c r="BX55" s="1" t="s">
        <v>96</v>
      </c>
      <c r="BY55">
        <v>537.83000000000004</v>
      </c>
      <c r="BZ55">
        <v>28.44</v>
      </c>
      <c r="CA55" s="1" t="s">
        <v>96</v>
      </c>
      <c r="CB55" t="s">
        <v>96</v>
      </c>
      <c r="CC55">
        <v>97.18</v>
      </c>
      <c r="CD55" s="1" t="s">
        <v>96</v>
      </c>
    </row>
    <row r="56" spans="1:82">
      <c r="A56">
        <v>119</v>
      </c>
      <c r="B56" t="s">
        <v>452</v>
      </c>
      <c r="D56" t="b">
        <v>1</v>
      </c>
      <c r="E56" t="s">
        <v>453</v>
      </c>
      <c r="F56">
        <v>172</v>
      </c>
      <c r="G56">
        <v>3</v>
      </c>
      <c r="J56" t="s">
        <v>454</v>
      </c>
      <c r="K56" t="s">
        <v>94</v>
      </c>
      <c r="L56" t="s">
        <v>95</v>
      </c>
      <c r="M56">
        <v>100</v>
      </c>
      <c r="N56" s="1" t="s">
        <v>96</v>
      </c>
      <c r="O56" s="1" t="s">
        <v>96</v>
      </c>
      <c r="P56">
        <v>15.23</v>
      </c>
      <c r="Q56" s="1" t="s">
        <v>96</v>
      </c>
      <c r="R56" s="1" t="s">
        <v>96</v>
      </c>
      <c r="S56" s="1">
        <v>5.96</v>
      </c>
      <c r="T56" s="1" t="s">
        <v>96</v>
      </c>
      <c r="U56" s="1" t="s">
        <v>96</v>
      </c>
      <c r="V56" s="1" t="s">
        <v>96</v>
      </c>
      <c r="W56" s="1" t="s">
        <v>96</v>
      </c>
      <c r="X56" s="1" t="s">
        <v>96</v>
      </c>
      <c r="Y56" s="1" t="s">
        <v>96</v>
      </c>
      <c r="Z56" t="s">
        <v>96</v>
      </c>
      <c r="AA56" s="1" t="s">
        <v>96</v>
      </c>
      <c r="AB56" t="s">
        <v>96</v>
      </c>
      <c r="AC56">
        <v>3.03</v>
      </c>
      <c r="AD56">
        <v>47.74</v>
      </c>
      <c r="AE56" s="1" t="s">
        <v>96</v>
      </c>
      <c r="AF56">
        <v>11.73</v>
      </c>
      <c r="AG56">
        <v>200.69</v>
      </c>
      <c r="AH56">
        <v>25.15</v>
      </c>
      <c r="AI56" s="1">
        <v>3.2</v>
      </c>
      <c r="AJ56" s="1" t="s">
        <v>96</v>
      </c>
      <c r="AK56" s="1" t="s">
        <v>96</v>
      </c>
      <c r="AL56" s="1" t="s">
        <v>96</v>
      </c>
      <c r="AM56" s="1" t="s">
        <v>96</v>
      </c>
      <c r="AN56" s="1" t="s">
        <v>96</v>
      </c>
      <c r="AO56">
        <v>55.87</v>
      </c>
      <c r="AP56">
        <v>6.75</v>
      </c>
      <c r="AQ56" s="1" t="s">
        <v>96</v>
      </c>
      <c r="AR56" s="1" t="s">
        <v>96</v>
      </c>
      <c r="AS56">
        <v>17.3</v>
      </c>
      <c r="AT56">
        <v>2.14</v>
      </c>
      <c r="AU56" s="1" t="s">
        <v>96</v>
      </c>
      <c r="AV56" s="1" t="s">
        <v>96</v>
      </c>
      <c r="AW56">
        <v>37.9</v>
      </c>
      <c r="AX56" s="1" t="s">
        <v>96</v>
      </c>
      <c r="AY56">
        <v>856.75</v>
      </c>
      <c r="AZ56">
        <v>523.41</v>
      </c>
      <c r="BA56">
        <v>57.42</v>
      </c>
      <c r="BB56" s="1" t="s">
        <v>96</v>
      </c>
      <c r="BC56">
        <v>176.29</v>
      </c>
      <c r="BD56" s="1" t="s">
        <v>96</v>
      </c>
      <c r="BE56" s="1">
        <v>5.74</v>
      </c>
      <c r="BF56">
        <v>6.55</v>
      </c>
      <c r="BG56" s="1">
        <v>3.33</v>
      </c>
      <c r="BH56" s="1" t="s">
        <v>96</v>
      </c>
      <c r="BI56">
        <v>80.69</v>
      </c>
      <c r="BJ56">
        <v>52.02</v>
      </c>
      <c r="BK56" s="1" t="s">
        <v>96</v>
      </c>
      <c r="BL56" s="1" t="s">
        <v>96</v>
      </c>
      <c r="BM56" t="s">
        <v>96</v>
      </c>
      <c r="BN56">
        <v>20.55</v>
      </c>
      <c r="BO56">
        <v>76.77</v>
      </c>
      <c r="BP56">
        <v>7.35</v>
      </c>
      <c r="BQ56" s="1" t="s">
        <v>96</v>
      </c>
      <c r="BR56" s="1" t="s">
        <v>96</v>
      </c>
      <c r="BS56" s="1" t="s">
        <v>96</v>
      </c>
      <c r="BT56" s="1" t="s">
        <v>96</v>
      </c>
      <c r="BU56" s="1">
        <v>8.32</v>
      </c>
      <c r="BV56">
        <v>73.13</v>
      </c>
      <c r="BW56">
        <v>11.76</v>
      </c>
      <c r="BX56" s="1" t="s">
        <v>96</v>
      </c>
      <c r="BY56">
        <v>656.51</v>
      </c>
      <c r="BZ56">
        <v>25.17</v>
      </c>
      <c r="CA56" s="1" t="s">
        <v>96</v>
      </c>
      <c r="CB56">
        <v>34.39</v>
      </c>
      <c r="CC56">
        <v>139.34</v>
      </c>
      <c r="CD56" s="1" t="s">
        <v>96</v>
      </c>
    </row>
    <row r="57" spans="1:82">
      <c r="A57">
        <v>189</v>
      </c>
      <c r="B57" t="s">
        <v>662</v>
      </c>
      <c r="D57" t="b">
        <v>1</v>
      </c>
      <c r="E57" t="s">
        <v>663</v>
      </c>
      <c r="F57">
        <v>280</v>
      </c>
      <c r="G57">
        <v>5</v>
      </c>
      <c r="J57" t="s">
        <v>664</v>
      </c>
      <c r="K57" t="s">
        <v>94</v>
      </c>
      <c r="L57" t="s">
        <v>95</v>
      </c>
      <c r="M57">
        <v>100</v>
      </c>
      <c r="N57" s="1" t="s">
        <v>96</v>
      </c>
      <c r="O57" s="1" t="s">
        <v>96</v>
      </c>
      <c r="P57">
        <v>21.02</v>
      </c>
      <c r="Q57" s="1" t="s">
        <v>96</v>
      </c>
      <c r="R57" s="1" t="s">
        <v>96</v>
      </c>
      <c r="S57" s="1" t="s">
        <v>96</v>
      </c>
      <c r="T57" s="1" t="s">
        <v>96</v>
      </c>
      <c r="U57" s="1" t="s">
        <v>96</v>
      </c>
      <c r="V57" s="1" t="s">
        <v>96</v>
      </c>
      <c r="W57" s="1" t="s">
        <v>96</v>
      </c>
      <c r="X57" s="1" t="s">
        <v>96</v>
      </c>
      <c r="Y57" s="1" t="s">
        <v>96</v>
      </c>
      <c r="Z57" t="s">
        <v>96</v>
      </c>
      <c r="AA57" s="1" t="s">
        <v>96</v>
      </c>
      <c r="AB57">
        <v>4.7699999999999996</v>
      </c>
      <c r="AC57">
        <v>23.52</v>
      </c>
      <c r="AD57">
        <v>170.89</v>
      </c>
      <c r="AE57" s="1" t="s">
        <v>96</v>
      </c>
      <c r="AF57">
        <v>83.35</v>
      </c>
      <c r="AG57">
        <v>625.89</v>
      </c>
      <c r="AH57">
        <v>143.69</v>
      </c>
      <c r="AI57" s="1" t="s">
        <v>96</v>
      </c>
      <c r="AJ57" s="1" t="s">
        <v>96</v>
      </c>
      <c r="AK57" s="1" t="s">
        <v>96</v>
      </c>
      <c r="AL57" s="1" t="s">
        <v>96</v>
      </c>
      <c r="AM57" s="1" t="s">
        <v>96</v>
      </c>
      <c r="AN57" s="1">
        <v>1.25</v>
      </c>
      <c r="AO57">
        <v>51.04</v>
      </c>
      <c r="AP57">
        <v>43.22</v>
      </c>
      <c r="AQ57" s="1" t="s">
        <v>96</v>
      </c>
      <c r="AR57" s="1">
        <v>1.87</v>
      </c>
      <c r="AS57">
        <v>130.29</v>
      </c>
      <c r="AT57">
        <v>12.15</v>
      </c>
      <c r="AU57" s="1" t="s">
        <v>96</v>
      </c>
      <c r="AV57" s="1" t="s">
        <v>96</v>
      </c>
      <c r="AW57">
        <v>8.02</v>
      </c>
      <c r="AX57" s="1" t="s">
        <v>96</v>
      </c>
      <c r="AY57">
        <v>973.31</v>
      </c>
      <c r="AZ57">
        <v>705.21</v>
      </c>
      <c r="BA57">
        <v>49.5</v>
      </c>
      <c r="BB57" s="1" t="s">
        <v>96</v>
      </c>
      <c r="BC57">
        <v>382.74</v>
      </c>
      <c r="BD57" s="1" t="s">
        <v>96</v>
      </c>
      <c r="BE57" s="1">
        <v>2.88</v>
      </c>
      <c r="BF57">
        <v>21.67</v>
      </c>
      <c r="BG57" s="1" t="s">
        <v>96</v>
      </c>
      <c r="BH57" s="1" t="s">
        <v>96</v>
      </c>
      <c r="BI57">
        <v>39.49</v>
      </c>
      <c r="BJ57">
        <v>38.46</v>
      </c>
      <c r="BK57" s="1" t="s">
        <v>96</v>
      </c>
      <c r="BL57" s="1" t="s">
        <v>96</v>
      </c>
      <c r="BM57">
        <v>8.1</v>
      </c>
      <c r="BN57">
        <v>34.96</v>
      </c>
      <c r="BO57">
        <v>133.35</v>
      </c>
      <c r="BP57">
        <v>11.55</v>
      </c>
      <c r="BQ57" s="1" t="s">
        <v>96</v>
      </c>
      <c r="BR57" s="1" t="s">
        <v>96</v>
      </c>
      <c r="BS57" s="1">
        <v>13.76</v>
      </c>
      <c r="BT57" s="1" t="s">
        <v>96</v>
      </c>
      <c r="BU57" s="1">
        <v>22.83</v>
      </c>
      <c r="BV57">
        <v>144.86000000000001</v>
      </c>
      <c r="BW57">
        <v>9.0500000000000007</v>
      </c>
      <c r="BX57" s="1" t="s">
        <v>96</v>
      </c>
      <c r="BY57">
        <v>1210.9000000000001</v>
      </c>
      <c r="BZ57">
        <v>43.77</v>
      </c>
      <c r="CA57" s="1" t="s">
        <v>96</v>
      </c>
      <c r="CB57">
        <v>24.56</v>
      </c>
      <c r="CC57">
        <v>428.91</v>
      </c>
      <c r="CD57" s="1" t="s">
        <v>96</v>
      </c>
    </row>
    <row r="58" spans="1:82">
      <c r="A58">
        <v>173</v>
      </c>
      <c r="B58" t="s">
        <v>614</v>
      </c>
      <c r="D58" t="b">
        <v>1</v>
      </c>
      <c r="E58" t="s">
        <v>615</v>
      </c>
      <c r="F58">
        <v>262</v>
      </c>
      <c r="G58">
        <v>5</v>
      </c>
      <c r="J58" t="s">
        <v>616</v>
      </c>
      <c r="K58" t="s">
        <v>94</v>
      </c>
      <c r="L58" t="s">
        <v>95</v>
      </c>
      <c r="M58">
        <v>100</v>
      </c>
      <c r="N58" s="1" t="s">
        <v>96</v>
      </c>
      <c r="O58" s="1" t="s">
        <v>96</v>
      </c>
      <c r="P58">
        <v>6.6</v>
      </c>
      <c r="Q58" s="1" t="s">
        <v>96</v>
      </c>
      <c r="R58" s="1" t="s">
        <v>96</v>
      </c>
      <c r="S58" s="1" t="s">
        <v>96</v>
      </c>
      <c r="T58" s="1" t="s">
        <v>96</v>
      </c>
      <c r="U58" s="1" t="s">
        <v>96</v>
      </c>
      <c r="V58" s="1" t="s">
        <v>96</v>
      </c>
      <c r="W58" s="1" t="s">
        <v>96</v>
      </c>
      <c r="X58" s="1" t="s">
        <v>96</v>
      </c>
      <c r="Y58" s="1" t="s">
        <v>96</v>
      </c>
      <c r="Z58" t="s">
        <v>96</v>
      </c>
      <c r="AA58" s="1" t="s">
        <v>96</v>
      </c>
      <c r="AB58" t="s">
        <v>96</v>
      </c>
      <c r="AC58">
        <v>4.47</v>
      </c>
      <c r="AD58">
        <v>27</v>
      </c>
      <c r="AE58" s="1" t="s">
        <v>96</v>
      </c>
      <c r="AF58" t="s">
        <v>96</v>
      </c>
      <c r="AG58">
        <v>30.39</v>
      </c>
      <c r="AH58">
        <v>4.84</v>
      </c>
      <c r="AI58" s="1" t="s">
        <v>96</v>
      </c>
      <c r="AJ58" s="1" t="s">
        <v>96</v>
      </c>
      <c r="AK58" s="1" t="s">
        <v>96</v>
      </c>
      <c r="AL58" s="1" t="s">
        <v>96</v>
      </c>
      <c r="AM58" s="1" t="s">
        <v>96</v>
      </c>
      <c r="AN58" s="1" t="s">
        <v>96</v>
      </c>
      <c r="AO58" t="s">
        <v>96</v>
      </c>
      <c r="AP58">
        <v>2.74</v>
      </c>
      <c r="AQ58" s="1" t="s">
        <v>96</v>
      </c>
      <c r="AR58" s="1" t="s">
        <v>96</v>
      </c>
      <c r="AS58">
        <v>6.52</v>
      </c>
      <c r="AT58" t="s">
        <v>96</v>
      </c>
      <c r="AU58" s="1" t="s">
        <v>96</v>
      </c>
      <c r="AV58" s="1" t="s">
        <v>96</v>
      </c>
      <c r="AW58" t="s">
        <v>96</v>
      </c>
      <c r="AX58" s="1" t="s">
        <v>96</v>
      </c>
      <c r="AY58">
        <v>382.65</v>
      </c>
      <c r="AZ58">
        <v>51.9</v>
      </c>
      <c r="BA58">
        <v>34.6</v>
      </c>
      <c r="BB58" s="1" t="s">
        <v>96</v>
      </c>
      <c r="BC58">
        <v>312.16000000000003</v>
      </c>
      <c r="BD58" s="1" t="s">
        <v>96</v>
      </c>
      <c r="BE58" s="1" t="s">
        <v>96</v>
      </c>
      <c r="BF58">
        <v>3.72</v>
      </c>
      <c r="BG58" s="1" t="s">
        <v>96</v>
      </c>
      <c r="BH58" s="1" t="s">
        <v>96</v>
      </c>
      <c r="BI58">
        <v>24.09</v>
      </c>
      <c r="BJ58" t="s">
        <v>96</v>
      </c>
      <c r="BK58" s="1" t="s">
        <v>96</v>
      </c>
      <c r="BL58" s="1" t="s">
        <v>96</v>
      </c>
      <c r="BM58" t="s">
        <v>96</v>
      </c>
      <c r="BN58">
        <v>28.38</v>
      </c>
      <c r="BO58" t="s">
        <v>96</v>
      </c>
      <c r="BP58" t="s">
        <v>96</v>
      </c>
      <c r="BQ58" s="1" t="s">
        <v>96</v>
      </c>
      <c r="BR58" s="1" t="s">
        <v>96</v>
      </c>
      <c r="BS58" s="1" t="s">
        <v>96</v>
      </c>
      <c r="BT58" s="1" t="s">
        <v>96</v>
      </c>
      <c r="BU58" s="1" t="s">
        <v>96</v>
      </c>
      <c r="BV58">
        <v>102.01</v>
      </c>
      <c r="BW58">
        <v>9.65</v>
      </c>
      <c r="BX58" s="1">
        <v>7.2</v>
      </c>
      <c r="BY58">
        <v>69.19</v>
      </c>
      <c r="BZ58" t="s">
        <v>96</v>
      </c>
      <c r="CA58" s="1" t="s">
        <v>96</v>
      </c>
      <c r="CB58">
        <v>40.65</v>
      </c>
      <c r="CC58">
        <v>43.1</v>
      </c>
      <c r="CD58" s="1" t="s">
        <v>96</v>
      </c>
    </row>
    <row r="59" spans="1:82">
      <c r="A59">
        <v>166</v>
      </c>
      <c r="B59" t="s">
        <v>593</v>
      </c>
      <c r="D59" t="b">
        <v>1</v>
      </c>
      <c r="E59" t="s">
        <v>594</v>
      </c>
      <c r="F59">
        <v>253</v>
      </c>
      <c r="G59">
        <v>5</v>
      </c>
      <c r="J59" t="s">
        <v>595</v>
      </c>
      <c r="K59" t="s">
        <v>94</v>
      </c>
      <c r="L59" t="s">
        <v>95</v>
      </c>
      <c r="M59">
        <v>100</v>
      </c>
      <c r="N59" s="1" t="s">
        <v>96</v>
      </c>
      <c r="O59" s="1" t="s">
        <v>96</v>
      </c>
      <c r="P59">
        <v>22.25</v>
      </c>
      <c r="Q59" s="1" t="s">
        <v>96</v>
      </c>
      <c r="R59" s="1" t="s">
        <v>96</v>
      </c>
      <c r="S59" s="1" t="s">
        <v>96</v>
      </c>
      <c r="T59" s="1" t="s">
        <v>96</v>
      </c>
      <c r="U59" s="1" t="s">
        <v>96</v>
      </c>
      <c r="V59" s="1" t="s">
        <v>96</v>
      </c>
      <c r="W59" s="1" t="s">
        <v>96</v>
      </c>
      <c r="X59" s="1" t="s">
        <v>96</v>
      </c>
      <c r="Y59" s="1" t="s">
        <v>96</v>
      </c>
      <c r="Z59" t="s">
        <v>96</v>
      </c>
      <c r="AA59" s="1" t="s">
        <v>96</v>
      </c>
      <c r="AB59">
        <v>2.93</v>
      </c>
      <c r="AC59" t="s">
        <v>96</v>
      </c>
      <c r="AD59">
        <v>114.43</v>
      </c>
      <c r="AE59" s="1" t="s">
        <v>96</v>
      </c>
      <c r="AF59" t="s">
        <v>96</v>
      </c>
      <c r="AG59">
        <v>66.150000000000006</v>
      </c>
      <c r="AH59">
        <v>313.52999999999997</v>
      </c>
      <c r="AI59" s="1" t="s">
        <v>96</v>
      </c>
      <c r="AJ59" s="1" t="s">
        <v>96</v>
      </c>
      <c r="AK59" s="1" t="s">
        <v>96</v>
      </c>
      <c r="AL59" s="1" t="s">
        <v>96</v>
      </c>
      <c r="AM59" s="1" t="s">
        <v>96</v>
      </c>
      <c r="AN59" s="1" t="s">
        <v>96</v>
      </c>
      <c r="AO59" t="s">
        <v>96</v>
      </c>
      <c r="AP59">
        <v>24.36</v>
      </c>
      <c r="AQ59" s="1" t="s">
        <v>96</v>
      </c>
      <c r="AR59" s="1" t="s">
        <v>96</v>
      </c>
      <c r="AS59">
        <v>121.18</v>
      </c>
      <c r="AT59">
        <v>11.49</v>
      </c>
      <c r="AU59" s="1" t="s">
        <v>96</v>
      </c>
      <c r="AV59" s="1" t="s">
        <v>96</v>
      </c>
      <c r="AW59" t="s">
        <v>96</v>
      </c>
      <c r="AX59" s="1" t="s">
        <v>96</v>
      </c>
      <c r="AY59" t="s">
        <v>133</v>
      </c>
      <c r="AZ59">
        <v>449.24</v>
      </c>
      <c r="BA59">
        <v>235.58</v>
      </c>
      <c r="BB59" s="1" t="s">
        <v>96</v>
      </c>
      <c r="BC59" t="s">
        <v>133</v>
      </c>
      <c r="BD59" s="1" t="s">
        <v>96</v>
      </c>
      <c r="BE59" s="1" t="s">
        <v>96</v>
      </c>
      <c r="BF59">
        <v>95.13</v>
      </c>
      <c r="BG59" s="1">
        <v>10</v>
      </c>
      <c r="BH59" s="1" t="s">
        <v>96</v>
      </c>
      <c r="BI59">
        <v>566.62</v>
      </c>
      <c r="BJ59">
        <v>48.35</v>
      </c>
      <c r="BK59" s="1" t="s">
        <v>96</v>
      </c>
      <c r="BL59" s="1">
        <v>16.079999999999998</v>
      </c>
      <c r="BM59">
        <v>4.63</v>
      </c>
      <c r="BN59">
        <v>183.48</v>
      </c>
      <c r="BO59">
        <v>26.41</v>
      </c>
      <c r="BP59" t="s">
        <v>96</v>
      </c>
      <c r="BQ59" s="1" t="s">
        <v>96</v>
      </c>
      <c r="BR59" s="1" t="s">
        <v>96</v>
      </c>
      <c r="BS59" s="1" t="s">
        <v>96</v>
      </c>
      <c r="BT59" s="1" t="s">
        <v>96</v>
      </c>
      <c r="BU59" s="1" t="s">
        <v>96</v>
      </c>
      <c r="BV59">
        <v>457.35</v>
      </c>
      <c r="BW59">
        <v>81.78</v>
      </c>
      <c r="BX59" s="1">
        <v>8.7200000000000006</v>
      </c>
      <c r="BY59">
        <v>124.59</v>
      </c>
      <c r="BZ59">
        <v>17.579999999999998</v>
      </c>
      <c r="CA59" s="1" t="s">
        <v>96</v>
      </c>
      <c r="CB59">
        <v>49.48</v>
      </c>
      <c r="CC59">
        <v>98.8</v>
      </c>
      <c r="CD59" s="1" t="s">
        <v>96</v>
      </c>
    </row>
    <row r="60" spans="1:82">
      <c r="A60">
        <v>199</v>
      </c>
      <c r="B60" t="s">
        <v>692</v>
      </c>
      <c r="D60" t="b">
        <v>1</v>
      </c>
      <c r="E60" t="s">
        <v>693</v>
      </c>
      <c r="F60">
        <v>292</v>
      </c>
      <c r="G60">
        <v>5</v>
      </c>
      <c r="J60" t="s">
        <v>694</v>
      </c>
      <c r="K60" t="s">
        <v>94</v>
      </c>
      <c r="L60" t="s">
        <v>95</v>
      </c>
      <c r="M60">
        <v>100</v>
      </c>
      <c r="N60" s="1" t="s">
        <v>96</v>
      </c>
      <c r="O60" s="1" t="s">
        <v>96</v>
      </c>
      <c r="P60">
        <v>17.22</v>
      </c>
      <c r="Q60" s="1" t="s">
        <v>96</v>
      </c>
      <c r="R60" s="1" t="s">
        <v>96</v>
      </c>
      <c r="S60" s="1" t="s">
        <v>96</v>
      </c>
      <c r="T60" s="1" t="s">
        <v>96</v>
      </c>
      <c r="U60" s="1" t="s">
        <v>96</v>
      </c>
      <c r="V60" s="1" t="s">
        <v>96</v>
      </c>
      <c r="W60" s="1" t="s">
        <v>96</v>
      </c>
      <c r="X60" s="1" t="s">
        <v>96</v>
      </c>
      <c r="Y60" s="1" t="s">
        <v>96</v>
      </c>
      <c r="Z60" t="s">
        <v>96</v>
      </c>
      <c r="AA60" s="1" t="s">
        <v>96</v>
      </c>
      <c r="AB60">
        <v>2.94</v>
      </c>
      <c r="AC60" t="s">
        <v>96</v>
      </c>
      <c r="AD60">
        <v>71.069999999999993</v>
      </c>
      <c r="AE60" s="1" t="s">
        <v>96</v>
      </c>
      <c r="AF60" t="s">
        <v>96</v>
      </c>
      <c r="AG60" t="s">
        <v>96</v>
      </c>
      <c r="AH60">
        <v>576.70000000000005</v>
      </c>
      <c r="AI60" s="1" t="s">
        <v>96</v>
      </c>
      <c r="AJ60" s="1" t="s">
        <v>96</v>
      </c>
      <c r="AK60" s="1" t="s">
        <v>96</v>
      </c>
      <c r="AL60" s="1" t="s">
        <v>96</v>
      </c>
      <c r="AM60" s="1" t="s">
        <v>96</v>
      </c>
      <c r="AN60" s="1" t="s">
        <v>96</v>
      </c>
      <c r="AO60" t="s">
        <v>96</v>
      </c>
      <c r="AP60">
        <v>29.23</v>
      </c>
      <c r="AQ60" s="1" t="s">
        <v>96</v>
      </c>
      <c r="AR60" s="1" t="s">
        <v>96</v>
      </c>
      <c r="AS60">
        <v>12.02</v>
      </c>
      <c r="AT60">
        <v>8.65</v>
      </c>
      <c r="AU60" s="1" t="s">
        <v>96</v>
      </c>
      <c r="AV60" s="1" t="s">
        <v>96</v>
      </c>
      <c r="AW60" t="s">
        <v>96</v>
      </c>
      <c r="AX60" s="1" t="s">
        <v>96</v>
      </c>
      <c r="AY60">
        <v>494.2</v>
      </c>
      <c r="AZ60" t="s">
        <v>96</v>
      </c>
      <c r="BA60">
        <v>42.03</v>
      </c>
      <c r="BB60" s="1" t="s">
        <v>96</v>
      </c>
      <c r="BC60">
        <v>35.83</v>
      </c>
      <c r="BD60" s="1" t="s">
        <v>96</v>
      </c>
      <c r="BE60" s="1" t="s">
        <v>96</v>
      </c>
      <c r="BF60">
        <v>26.73</v>
      </c>
      <c r="BG60" s="1" t="s">
        <v>96</v>
      </c>
      <c r="BH60" s="1" t="s">
        <v>96</v>
      </c>
      <c r="BI60">
        <v>81.239999999999995</v>
      </c>
      <c r="BJ60" t="s">
        <v>96</v>
      </c>
      <c r="BK60" s="1" t="s">
        <v>96</v>
      </c>
      <c r="BL60" s="1">
        <v>3.59</v>
      </c>
      <c r="BM60" t="s">
        <v>96</v>
      </c>
      <c r="BN60">
        <v>7.13</v>
      </c>
      <c r="BO60" t="s">
        <v>96</v>
      </c>
      <c r="BP60" t="s">
        <v>96</v>
      </c>
      <c r="BQ60" s="1" t="s">
        <v>96</v>
      </c>
      <c r="BR60" s="1" t="s">
        <v>96</v>
      </c>
      <c r="BS60" s="1" t="s">
        <v>96</v>
      </c>
      <c r="BT60" s="1" t="s">
        <v>96</v>
      </c>
      <c r="BU60" s="1" t="s">
        <v>96</v>
      </c>
      <c r="BV60">
        <v>75.44</v>
      </c>
      <c r="BW60">
        <v>16.309999999999999</v>
      </c>
      <c r="BX60" s="1" t="s">
        <v>96</v>
      </c>
      <c r="BY60" t="s">
        <v>96</v>
      </c>
      <c r="BZ60" t="s">
        <v>96</v>
      </c>
      <c r="CA60" s="1" t="s">
        <v>96</v>
      </c>
      <c r="CB60">
        <v>31.45</v>
      </c>
      <c r="CC60" t="s">
        <v>96</v>
      </c>
      <c r="CD60" s="1" t="s">
        <v>96</v>
      </c>
    </row>
    <row r="61" spans="1:82">
      <c r="A61">
        <v>235</v>
      </c>
      <c r="B61" t="s">
        <v>800</v>
      </c>
      <c r="D61" t="b">
        <v>1</v>
      </c>
      <c r="E61" t="s">
        <v>801</v>
      </c>
      <c r="F61">
        <v>348</v>
      </c>
      <c r="G61">
        <v>6</v>
      </c>
      <c r="J61" t="s">
        <v>802</v>
      </c>
      <c r="K61" t="s">
        <v>94</v>
      </c>
      <c r="L61" t="s">
        <v>95</v>
      </c>
      <c r="M61">
        <v>100</v>
      </c>
      <c r="N61" s="1" t="s">
        <v>96</v>
      </c>
      <c r="O61" s="1" t="s">
        <v>96</v>
      </c>
      <c r="P61">
        <v>13.89</v>
      </c>
      <c r="Q61" s="1" t="s">
        <v>96</v>
      </c>
      <c r="R61" s="1" t="s">
        <v>96</v>
      </c>
      <c r="S61" s="1" t="s">
        <v>96</v>
      </c>
      <c r="T61" s="1" t="s">
        <v>96</v>
      </c>
      <c r="U61" s="1" t="s">
        <v>96</v>
      </c>
      <c r="V61" s="1" t="s">
        <v>96</v>
      </c>
      <c r="W61" s="1" t="s">
        <v>96</v>
      </c>
      <c r="X61" s="1" t="s">
        <v>96</v>
      </c>
      <c r="Y61" s="1" t="s">
        <v>96</v>
      </c>
      <c r="Z61">
        <v>1.45</v>
      </c>
      <c r="AA61" s="1" t="s">
        <v>96</v>
      </c>
      <c r="AB61">
        <v>4.62</v>
      </c>
      <c r="AC61">
        <v>8.01</v>
      </c>
      <c r="AD61">
        <v>89.95</v>
      </c>
      <c r="AE61" s="1" t="s">
        <v>96</v>
      </c>
      <c r="AF61">
        <v>9.1300000000000008</v>
      </c>
      <c r="AG61">
        <v>502.86</v>
      </c>
      <c r="AH61">
        <v>356.94</v>
      </c>
      <c r="AI61" s="1" t="s">
        <v>96</v>
      </c>
      <c r="AJ61" s="1">
        <v>1.57</v>
      </c>
      <c r="AK61" s="1" t="s">
        <v>96</v>
      </c>
      <c r="AL61" s="1" t="s">
        <v>96</v>
      </c>
      <c r="AM61" s="1" t="s">
        <v>96</v>
      </c>
      <c r="AN61" s="1" t="s">
        <v>96</v>
      </c>
      <c r="AO61">
        <v>74.44</v>
      </c>
      <c r="AP61">
        <v>51.2</v>
      </c>
      <c r="AQ61" s="1" t="s">
        <v>96</v>
      </c>
      <c r="AR61" s="1">
        <v>1.04</v>
      </c>
      <c r="AS61">
        <v>168.03</v>
      </c>
      <c r="AT61">
        <v>5.97</v>
      </c>
      <c r="AU61" s="1" t="s">
        <v>96</v>
      </c>
      <c r="AV61" s="1" t="s">
        <v>96</v>
      </c>
      <c r="AW61">
        <v>11.76</v>
      </c>
      <c r="AX61" s="1" t="s">
        <v>96</v>
      </c>
      <c r="AY61" t="s">
        <v>133</v>
      </c>
      <c r="AZ61">
        <v>1127.58</v>
      </c>
      <c r="BA61">
        <v>216.59</v>
      </c>
      <c r="BB61" s="1" t="s">
        <v>96</v>
      </c>
      <c r="BC61">
        <v>809.52</v>
      </c>
      <c r="BD61" s="1" t="s">
        <v>96</v>
      </c>
      <c r="BE61" s="1">
        <v>3.64</v>
      </c>
      <c r="BF61">
        <v>14.06</v>
      </c>
      <c r="BG61" s="1">
        <v>6.09</v>
      </c>
      <c r="BH61" s="1" t="s">
        <v>96</v>
      </c>
      <c r="BI61">
        <v>163.19</v>
      </c>
      <c r="BJ61">
        <v>67.38</v>
      </c>
      <c r="BK61" s="1" t="s">
        <v>96</v>
      </c>
      <c r="BL61" s="1" t="s">
        <v>96</v>
      </c>
      <c r="BM61">
        <v>4.3099999999999996</v>
      </c>
      <c r="BN61">
        <v>60.75</v>
      </c>
      <c r="BO61">
        <v>84.14</v>
      </c>
      <c r="BP61">
        <v>12.16</v>
      </c>
      <c r="BQ61" s="1" t="s">
        <v>96</v>
      </c>
      <c r="BR61" s="1" t="s">
        <v>96</v>
      </c>
      <c r="BS61" s="1">
        <v>9.11</v>
      </c>
      <c r="BT61" s="1">
        <v>3.33</v>
      </c>
      <c r="BU61" s="1" t="s">
        <v>96</v>
      </c>
      <c r="BV61">
        <v>123.29</v>
      </c>
      <c r="BW61">
        <v>16.97</v>
      </c>
      <c r="BX61" s="1" t="s">
        <v>96</v>
      </c>
      <c r="BY61">
        <v>589.39</v>
      </c>
      <c r="BZ61">
        <v>16.760000000000002</v>
      </c>
      <c r="CA61" s="1" t="s">
        <v>96</v>
      </c>
      <c r="CB61">
        <v>28.62</v>
      </c>
      <c r="CC61">
        <v>130.08000000000001</v>
      </c>
      <c r="CD61" s="1" t="s">
        <v>96</v>
      </c>
    </row>
    <row r="62" spans="1:82">
      <c r="A62">
        <v>73</v>
      </c>
      <c r="B62" t="s">
        <v>314</v>
      </c>
      <c r="D62" t="b">
        <v>1</v>
      </c>
      <c r="E62" t="s">
        <v>315</v>
      </c>
      <c r="F62">
        <v>106</v>
      </c>
      <c r="G62">
        <v>2</v>
      </c>
      <c r="J62" t="s">
        <v>316</v>
      </c>
      <c r="K62" t="s">
        <v>94</v>
      </c>
      <c r="L62" t="s">
        <v>95</v>
      </c>
      <c r="M62">
        <v>100</v>
      </c>
      <c r="N62" s="1" t="s">
        <v>96</v>
      </c>
      <c r="O62" s="1" t="s">
        <v>96</v>
      </c>
      <c r="P62">
        <v>15.65</v>
      </c>
      <c r="Q62" s="1" t="s">
        <v>96</v>
      </c>
      <c r="R62" s="1" t="s">
        <v>96</v>
      </c>
      <c r="S62" s="1">
        <v>7.84</v>
      </c>
      <c r="T62" s="1" t="s">
        <v>96</v>
      </c>
      <c r="U62" s="1" t="s">
        <v>96</v>
      </c>
      <c r="V62" s="1" t="s">
        <v>96</v>
      </c>
      <c r="W62" s="1" t="s">
        <v>96</v>
      </c>
      <c r="X62" s="1" t="s">
        <v>96</v>
      </c>
      <c r="Y62" s="1" t="s">
        <v>96</v>
      </c>
      <c r="Z62" t="s">
        <v>96</v>
      </c>
      <c r="AA62" s="1" t="s">
        <v>96</v>
      </c>
      <c r="AB62">
        <v>1.82</v>
      </c>
      <c r="AC62">
        <v>6.61</v>
      </c>
      <c r="AD62">
        <v>113.73</v>
      </c>
      <c r="AE62" s="1" t="s">
        <v>96</v>
      </c>
      <c r="AF62">
        <v>14.62</v>
      </c>
      <c r="AG62">
        <v>408.53</v>
      </c>
      <c r="AH62">
        <v>53.66</v>
      </c>
      <c r="AI62" s="1">
        <v>5.15</v>
      </c>
      <c r="AJ62" s="1">
        <v>1.69</v>
      </c>
      <c r="AK62" s="1" t="s">
        <v>96</v>
      </c>
      <c r="AL62" s="1" t="s">
        <v>96</v>
      </c>
      <c r="AM62" s="1" t="s">
        <v>96</v>
      </c>
      <c r="AN62" s="1" t="s">
        <v>96</v>
      </c>
      <c r="AO62">
        <v>575.44000000000005</v>
      </c>
      <c r="AP62">
        <v>47.21</v>
      </c>
      <c r="AQ62" s="1" t="s">
        <v>96</v>
      </c>
      <c r="AR62" s="1" t="s">
        <v>96</v>
      </c>
      <c r="AS62">
        <v>15.13</v>
      </c>
      <c r="AT62">
        <v>1.24</v>
      </c>
      <c r="AU62" s="1" t="s">
        <v>96</v>
      </c>
      <c r="AV62" s="1" t="s">
        <v>96</v>
      </c>
      <c r="AW62">
        <v>3.64</v>
      </c>
      <c r="AX62" s="1" t="s">
        <v>96</v>
      </c>
      <c r="AY62">
        <v>585.79</v>
      </c>
      <c r="AZ62">
        <v>423.45</v>
      </c>
      <c r="BA62">
        <v>113.56</v>
      </c>
      <c r="BB62" s="1" t="s">
        <v>96</v>
      </c>
      <c r="BC62">
        <v>89.27</v>
      </c>
      <c r="BD62" s="1" t="s">
        <v>96</v>
      </c>
      <c r="BE62" s="1">
        <v>6.44</v>
      </c>
      <c r="BF62">
        <v>7.51</v>
      </c>
      <c r="BG62" s="1">
        <v>6.81</v>
      </c>
      <c r="BH62" s="1" t="s">
        <v>96</v>
      </c>
      <c r="BI62">
        <v>88.17</v>
      </c>
      <c r="BJ62">
        <v>74.72</v>
      </c>
      <c r="BK62" s="1" t="s">
        <v>96</v>
      </c>
      <c r="BL62" s="1" t="s">
        <v>96</v>
      </c>
      <c r="BM62" t="s">
        <v>96</v>
      </c>
      <c r="BN62">
        <v>12.48</v>
      </c>
      <c r="BO62">
        <v>167.68</v>
      </c>
      <c r="BP62">
        <v>8.1199999999999992</v>
      </c>
      <c r="BQ62" s="1" t="s">
        <v>96</v>
      </c>
      <c r="BR62" s="1" t="s">
        <v>96</v>
      </c>
      <c r="BS62" s="1" t="s">
        <v>96</v>
      </c>
      <c r="BT62" s="1" t="s">
        <v>96</v>
      </c>
      <c r="BU62" s="1" t="s">
        <v>96</v>
      </c>
      <c r="BV62">
        <v>28.44</v>
      </c>
      <c r="BW62">
        <v>6.41</v>
      </c>
      <c r="BX62" s="1" t="s">
        <v>96</v>
      </c>
      <c r="BY62">
        <v>407.17</v>
      </c>
      <c r="BZ62">
        <v>19.2</v>
      </c>
      <c r="CA62" s="1" t="s">
        <v>96</v>
      </c>
      <c r="CB62">
        <v>13.36</v>
      </c>
      <c r="CC62">
        <v>58.54</v>
      </c>
      <c r="CD62" s="1" t="s">
        <v>96</v>
      </c>
    </row>
    <row r="63" spans="1:82">
      <c r="A63">
        <v>47</v>
      </c>
      <c r="B63" t="s">
        <v>236</v>
      </c>
      <c r="D63" t="b">
        <v>1</v>
      </c>
      <c r="E63" t="s">
        <v>237</v>
      </c>
      <c r="F63">
        <v>74</v>
      </c>
      <c r="G63">
        <v>2</v>
      </c>
      <c r="J63" t="s">
        <v>238</v>
      </c>
      <c r="K63" t="s">
        <v>94</v>
      </c>
      <c r="L63" t="s">
        <v>95</v>
      </c>
      <c r="M63">
        <v>100</v>
      </c>
      <c r="N63" s="1" t="s">
        <v>96</v>
      </c>
      <c r="O63" s="1" t="s">
        <v>96</v>
      </c>
      <c r="P63">
        <v>17.010000000000002</v>
      </c>
      <c r="Q63" s="1" t="s">
        <v>96</v>
      </c>
      <c r="R63" s="1" t="s">
        <v>96</v>
      </c>
      <c r="S63" s="1" t="s">
        <v>96</v>
      </c>
      <c r="T63" s="1" t="s">
        <v>96</v>
      </c>
      <c r="U63" s="1" t="s">
        <v>96</v>
      </c>
      <c r="V63" s="1" t="s">
        <v>96</v>
      </c>
      <c r="W63" s="1" t="s">
        <v>96</v>
      </c>
      <c r="X63" s="1" t="s">
        <v>96</v>
      </c>
      <c r="Y63" s="1" t="s">
        <v>96</v>
      </c>
      <c r="Z63" t="s">
        <v>96</v>
      </c>
      <c r="AA63" s="1" t="s">
        <v>96</v>
      </c>
      <c r="AB63" t="s">
        <v>96</v>
      </c>
      <c r="AC63" t="s">
        <v>96</v>
      </c>
      <c r="AD63">
        <v>11.74</v>
      </c>
      <c r="AE63" s="1" t="s">
        <v>96</v>
      </c>
      <c r="AF63" t="s">
        <v>96</v>
      </c>
      <c r="AG63">
        <v>13.69</v>
      </c>
      <c r="AH63">
        <v>5.74</v>
      </c>
      <c r="AI63" s="1" t="s">
        <v>96</v>
      </c>
      <c r="AJ63" s="1">
        <v>1.27</v>
      </c>
      <c r="AK63" s="1" t="s">
        <v>96</v>
      </c>
      <c r="AL63" s="1" t="s">
        <v>96</v>
      </c>
      <c r="AM63" s="1" t="s">
        <v>96</v>
      </c>
      <c r="AN63" s="1" t="s">
        <v>96</v>
      </c>
      <c r="AO63" t="s">
        <v>96</v>
      </c>
      <c r="AP63">
        <v>2.08</v>
      </c>
      <c r="AQ63" s="1" t="s">
        <v>96</v>
      </c>
      <c r="AR63" s="1" t="s">
        <v>96</v>
      </c>
      <c r="AS63">
        <v>16</v>
      </c>
      <c r="AT63" t="s">
        <v>96</v>
      </c>
      <c r="AU63" s="1" t="s">
        <v>96</v>
      </c>
      <c r="AV63" s="1" t="s">
        <v>96</v>
      </c>
      <c r="AW63" t="s">
        <v>96</v>
      </c>
      <c r="AX63" s="1" t="s">
        <v>96</v>
      </c>
      <c r="AY63">
        <v>641.42999999999995</v>
      </c>
      <c r="AZ63">
        <v>145.87</v>
      </c>
      <c r="BA63">
        <v>21.84</v>
      </c>
      <c r="BB63" s="1" t="s">
        <v>96</v>
      </c>
      <c r="BC63">
        <v>260.49</v>
      </c>
      <c r="BD63" s="1" t="s">
        <v>96</v>
      </c>
      <c r="BE63" s="1" t="s">
        <v>96</v>
      </c>
      <c r="BF63">
        <v>25.78</v>
      </c>
      <c r="BG63" s="1" t="s">
        <v>96</v>
      </c>
      <c r="BH63" s="1" t="s">
        <v>96</v>
      </c>
      <c r="BI63">
        <v>8.82</v>
      </c>
      <c r="BJ63">
        <v>2.58</v>
      </c>
      <c r="BK63" s="1" t="s">
        <v>96</v>
      </c>
      <c r="BL63" s="1" t="s">
        <v>96</v>
      </c>
      <c r="BM63" t="s">
        <v>96</v>
      </c>
      <c r="BN63">
        <v>6.89</v>
      </c>
      <c r="BO63" t="s">
        <v>96</v>
      </c>
      <c r="BP63">
        <v>3.39</v>
      </c>
      <c r="BQ63" s="1" t="s">
        <v>96</v>
      </c>
      <c r="BR63" s="1" t="s">
        <v>96</v>
      </c>
      <c r="BS63" s="1" t="s">
        <v>96</v>
      </c>
      <c r="BT63" s="1" t="s">
        <v>96</v>
      </c>
      <c r="BU63" s="1" t="s">
        <v>96</v>
      </c>
      <c r="BV63">
        <v>80.709999999999994</v>
      </c>
      <c r="BW63" t="s">
        <v>96</v>
      </c>
      <c r="BX63" s="1" t="s">
        <v>96</v>
      </c>
      <c r="BY63">
        <v>133.72999999999999</v>
      </c>
      <c r="BZ63" t="s">
        <v>96</v>
      </c>
      <c r="CA63" s="1" t="s">
        <v>96</v>
      </c>
      <c r="CB63">
        <v>11.29</v>
      </c>
      <c r="CC63">
        <v>66.7</v>
      </c>
      <c r="CD63" s="1" t="s">
        <v>96</v>
      </c>
    </row>
    <row r="64" spans="1:82">
      <c r="A64">
        <v>200</v>
      </c>
      <c r="B64" t="s">
        <v>695</v>
      </c>
      <c r="D64" t="b">
        <v>1</v>
      </c>
      <c r="E64" t="s">
        <v>696</v>
      </c>
      <c r="F64">
        <v>307</v>
      </c>
      <c r="G64">
        <v>6</v>
      </c>
      <c r="J64" t="s">
        <v>697</v>
      </c>
      <c r="K64" t="s">
        <v>94</v>
      </c>
      <c r="L64" t="s">
        <v>95</v>
      </c>
      <c r="M64">
        <v>100</v>
      </c>
      <c r="N64" s="1" t="s">
        <v>96</v>
      </c>
      <c r="O64" s="1" t="s">
        <v>96</v>
      </c>
      <c r="P64">
        <v>16.84</v>
      </c>
      <c r="Q64" s="1" t="s">
        <v>96</v>
      </c>
      <c r="R64" s="1" t="s">
        <v>96</v>
      </c>
      <c r="S64" s="1" t="s">
        <v>96</v>
      </c>
      <c r="T64" s="1" t="s">
        <v>96</v>
      </c>
      <c r="U64" s="1" t="s">
        <v>96</v>
      </c>
      <c r="V64" s="1" t="s">
        <v>96</v>
      </c>
      <c r="W64" s="1" t="s">
        <v>96</v>
      </c>
      <c r="X64" s="1" t="s">
        <v>96</v>
      </c>
      <c r="Y64" s="1" t="s">
        <v>96</v>
      </c>
      <c r="Z64">
        <v>1.18</v>
      </c>
      <c r="AA64" s="1" t="s">
        <v>96</v>
      </c>
      <c r="AB64">
        <v>9.31</v>
      </c>
      <c r="AC64" t="s">
        <v>96</v>
      </c>
      <c r="AD64">
        <v>280.85000000000002</v>
      </c>
      <c r="AE64" s="1" t="s">
        <v>96</v>
      </c>
      <c r="AF64" t="s">
        <v>96</v>
      </c>
      <c r="AG64">
        <v>36.950000000000003</v>
      </c>
      <c r="AH64">
        <v>153.62</v>
      </c>
      <c r="AI64" s="1" t="s">
        <v>96</v>
      </c>
      <c r="AJ64" s="1">
        <v>1.04</v>
      </c>
      <c r="AK64" s="1" t="s">
        <v>96</v>
      </c>
      <c r="AL64" s="1" t="s">
        <v>96</v>
      </c>
      <c r="AM64" s="1" t="s">
        <v>96</v>
      </c>
      <c r="AN64" s="1">
        <v>1.7</v>
      </c>
      <c r="AO64">
        <v>214.86</v>
      </c>
      <c r="AP64">
        <v>127.44</v>
      </c>
      <c r="AQ64" s="1">
        <v>1.27</v>
      </c>
      <c r="AR64" s="1" t="s">
        <v>96</v>
      </c>
      <c r="AS64">
        <v>37.39</v>
      </c>
      <c r="AT64">
        <v>13.79</v>
      </c>
      <c r="AU64" s="1" t="s">
        <v>96</v>
      </c>
      <c r="AV64" s="1" t="s">
        <v>96</v>
      </c>
      <c r="AW64">
        <v>4.04</v>
      </c>
      <c r="AX64" s="1" t="s">
        <v>96</v>
      </c>
      <c r="AY64">
        <v>1260.82</v>
      </c>
      <c r="AZ64">
        <v>127.61</v>
      </c>
      <c r="BA64">
        <v>315.57</v>
      </c>
      <c r="BB64" s="1" t="s">
        <v>96</v>
      </c>
      <c r="BC64">
        <v>310.05</v>
      </c>
      <c r="BD64" s="1" t="s">
        <v>96</v>
      </c>
      <c r="BE64" s="1" t="s">
        <v>96</v>
      </c>
      <c r="BF64">
        <v>27.22</v>
      </c>
      <c r="BG64" s="1">
        <v>11.28</v>
      </c>
      <c r="BH64" s="1" t="s">
        <v>96</v>
      </c>
      <c r="BI64">
        <v>92.94</v>
      </c>
      <c r="BJ64">
        <v>14.31</v>
      </c>
      <c r="BK64" s="1" t="s">
        <v>96</v>
      </c>
      <c r="BL64" s="1" t="s">
        <v>96</v>
      </c>
      <c r="BM64" t="s">
        <v>96</v>
      </c>
      <c r="BN64">
        <v>24.03</v>
      </c>
      <c r="BO64" t="s">
        <v>96</v>
      </c>
      <c r="BP64" t="s">
        <v>96</v>
      </c>
      <c r="BQ64" s="1" t="s">
        <v>96</v>
      </c>
      <c r="BR64" s="1" t="s">
        <v>96</v>
      </c>
      <c r="BS64" s="1" t="s">
        <v>96</v>
      </c>
      <c r="BT64" s="1" t="s">
        <v>96</v>
      </c>
      <c r="BU64" s="1" t="s">
        <v>96</v>
      </c>
      <c r="BV64">
        <v>134.24</v>
      </c>
      <c r="BW64">
        <v>14.63</v>
      </c>
      <c r="BX64" s="1" t="s">
        <v>96</v>
      </c>
      <c r="BY64">
        <v>97.31</v>
      </c>
      <c r="BZ64">
        <v>8.14</v>
      </c>
      <c r="CA64" s="1">
        <v>10.39</v>
      </c>
      <c r="CB64">
        <v>99.31</v>
      </c>
      <c r="CC64">
        <v>61.92</v>
      </c>
      <c r="CD64" s="1" t="s">
        <v>96</v>
      </c>
    </row>
    <row r="65" spans="1:82">
      <c r="A65">
        <v>215</v>
      </c>
      <c r="B65" t="s">
        <v>740</v>
      </c>
      <c r="D65" t="b">
        <v>1</v>
      </c>
      <c r="E65" t="s">
        <v>741</v>
      </c>
      <c r="F65">
        <v>324</v>
      </c>
      <c r="G65">
        <v>6</v>
      </c>
      <c r="J65" t="s">
        <v>742</v>
      </c>
      <c r="K65" t="s">
        <v>94</v>
      </c>
      <c r="L65" t="s">
        <v>95</v>
      </c>
      <c r="M65">
        <v>100</v>
      </c>
      <c r="N65" s="1" t="s">
        <v>96</v>
      </c>
      <c r="O65" s="1" t="s">
        <v>96</v>
      </c>
      <c r="P65">
        <v>10.61</v>
      </c>
      <c r="Q65" s="1" t="s">
        <v>96</v>
      </c>
      <c r="R65" s="1" t="s">
        <v>96</v>
      </c>
      <c r="S65" s="1" t="s">
        <v>96</v>
      </c>
      <c r="T65" s="1" t="s">
        <v>96</v>
      </c>
      <c r="U65" s="1" t="s">
        <v>96</v>
      </c>
      <c r="V65" s="1" t="s">
        <v>96</v>
      </c>
      <c r="W65" s="1" t="s">
        <v>96</v>
      </c>
      <c r="X65" s="1" t="s">
        <v>96</v>
      </c>
      <c r="Y65" s="1" t="s">
        <v>96</v>
      </c>
      <c r="Z65" t="s">
        <v>96</v>
      </c>
      <c r="AA65" s="1" t="s">
        <v>96</v>
      </c>
      <c r="AB65">
        <v>1.33</v>
      </c>
      <c r="AC65" t="s">
        <v>96</v>
      </c>
      <c r="AD65">
        <v>47.51</v>
      </c>
      <c r="AE65" s="1" t="s">
        <v>96</v>
      </c>
      <c r="AF65" t="s">
        <v>96</v>
      </c>
      <c r="AG65">
        <v>2.33</v>
      </c>
      <c r="AH65">
        <v>84.96</v>
      </c>
      <c r="AI65" s="1" t="s">
        <v>96</v>
      </c>
      <c r="AJ65" s="1" t="s">
        <v>96</v>
      </c>
      <c r="AK65" s="1" t="s">
        <v>96</v>
      </c>
      <c r="AL65" s="1" t="s">
        <v>96</v>
      </c>
      <c r="AM65" s="1" t="s">
        <v>96</v>
      </c>
      <c r="AN65" s="1">
        <v>1.4</v>
      </c>
      <c r="AO65" t="s">
        <v>96</v>
      </c>
      <c r="AP65">
        <v>6.69</v>
      </c>
      <c r="AQ65" s="1" t="s">
        <v>96</v>
      </c>
      <c r="AR65" s="1" t="s">
        <v>96</v>
      </c>
      <c r="AS65">
        <v>56.48</v>
      </c>
      <c r="AT65">
        <v>2.66</v>
      </c>
      <c r="AU65" s="1" t="s">
        <v>96</v>
      </c>
      <c r="AV65" s="1" t="s">
        <v>96</v>
      </c>
      <c r="AW65" t="s">
        <v>96</v>
      </c>
      <c r="AX65" s="1" t="s">
        <v>96</v>
      </c>
      <c r="AY65">
        <v>2322.2600000000002</v>
      </c>
      <c r="AZ65">
        <v>6.29</v>
      </c>
      <c r="BA65">
        <v>64.540000000000006</v>
      </c>
      <c r="BB65" s="1" t="s">
        <v>96</v>
      </c>
      <c r="BC65" t="s">
        <v>133</v>
      </c>
      <c r="BD65" s="1" t="s">
        <v>96</v>
      </c>
      <c r="BE65" s="1" t="s">
        <v>96</v>
      </c>
      <c r="BF65">
        <v>51.13</v>
      </c>
      <c r="BG65" s="1" t="s">
        <v>96</v>
      </c>
      <c r="BH65" s="1" t="s">
        <v>96</v>
      </c>
      <c r="BI65">
        <v>126.23</v>
      </c>
      <c r="BJ65" t="s">
        <v>96</v>
      </c>
      <c r="BK65" s="1" t="s">
        <v>96</v>
      </c>
      <c r="BL65" s="1" t="s">
        <v>96</v>
      </c>
      <c r="BM65" t="s">
        <v>96</v>
      </c>
      <c r="BN65">
        <v>142.25</v>
      </c>
      <c r="BO65" t="s">
        <v>96</v>
      </c>
      <c r="BP65" t="s">
        <v>96</v>
      </c>
      <c r="BQ65" s="1" t="s">
        <v>96</v>
      </c>
      <c r="BR65" s="1" t="s">
        <v>96</v>
      </c>
      <c r="BS65" s="1" t="s">
        <v>96</v>
      </c>
      <c r="BT65" s="1" t="s">
        <v>96</v>
      </c>
      <c r="BU65" s="1" t="s">
        <v>96</v>
      </c>
      <c r="BV65">
        <v>89.45</v>
      </c>
      <c r="BW65">
        <v>5.65</v>
      </c>
      <c r="BX65" s="1">
        <v>5.3</v>
      </c>
      <c r="BY65" t="s">
        <v>96</v>
      </c>
      <c r="BZ65" t="s">
        <v>96</v>
      </c>
      <c r="CA65" s="1" t="s">
        <v>96</v>
      </c>
      <c r="CB65">
        <v>12.61</v>
      </c>
      <c r="CC65" t="s">
        <v>96</v>
      </c>
      <c r="CD65" s="1" t="s">
        <v>96</v>
      </c>
    </row>
    <row r="66" spans="1:82">
      <c r="A66">
        <v>48</v>
      </c>
      <c r="B66" t="s">
        <v>239</v>
      </c>
      <c r="D66" t="b">
        <v>1</v>
      </c>
      <c r="E66" t="s">
        <v>240</v>
      </c>
      <c r="F66">
        <v>75</v>
      </c>
      <c r="G66">
        <v>2</v>
      </c>
      <c r="J66" t="s">
        <v>241</v>
      </c>
      <c r="K66" t="s">
        <v>94</v>
      </c>
      <c r="L66" t="s">
        <v>95</v>
      </c>
      <c r="M66">
        <v>100</v>
      </c>
      <c r="N66" s="1" t="s">
        <v>96</v>
      </c>
      <c r="O66" s="1" t="s">
        <v>96</v>
      </c>
      <c r="P66">
        <v>19.61</v>
      </c>
      <c r="Q66" s="1" t="s">
        <v>96</v>
      </c>
      <c r="R66" s="1" t="s">
        <v>96</v>
      </c>
      <c r="S66" s="1" t="s">
        <v>96</v>
      </c>
      <c r="T66" s="1" t="s">
        <v>96</v>
      </c>
      <c r="U66" s="1" t="s">
        <v>96</v>
      </c>
      <c r="V66" s="1" t="s">
        <v>96</v>
      </c>
      <c r="W66" s="1" t="s">
        <v>96</v>
      </c>
      <c r="X66" s="1" t="s">
        <v>96</v>
      </c>
      <c r="Y66" s="1" t="s">
        <v>96</v>
      </c>
      <c r="Z66" t="s">
        <v>96</v>
      </c>
      <c r="AA66" s="1" t="s">
        <v>96</v>
      </c>
      <c r="AB66">
        <v>7.01</v>
      </c>
      <c r="AC66">
        <v>5.35</v>
      </c>
      <c r="AD66">
        <v>30.62</v>
      </c>
      <c r="AE66" s="1" t="s">
        <v>96</v>
      </c>
      <c r="AF66">
        <v>7.01</v>
      </c>
      <c r="AG66">
        <v>190</v>
      </c>
      <c r="AH66">
        <v>270.08999999999997</v>
      </c>
      <c r="AI66" s="1" t="s">
        <v>96</v>
      </c>
      <c r="AJ66" s="1" t="s">
        <v>96</v>
      </c>
      <c r="AK66" s="1" t="s">
        <v>96</v>
      </c>
      <c r="AL66" s="1" t="s">
        <v>96</v>
      </c>
      <c r="AM66" s="1" t="s">
        <v>96</v>
      </c>
      <c r="AN66" s="1" t="s">
        <v>96</v>
      </c>
      <c r="AO66">
        <v>30.89</v>
      </c>
      <c r="AP66">
        <v>16.2</v>
      </c>
      <c r="AQ66" s="1" t="s">
        <v>96</v>
      </c>
      <c r="AR66" s="1" t="s">
        <v>96</v>
      </c>
      <c r="AS66">
        <v>75.040000000000006</v>
      </c>
      <c r="AT66">
        <v>3.97</v>
      </c>
      <c r="AU66" s="1" t="s">
        <v>96</v>
      </c>
      <c r="AV66" s="1" t="s">
        <v>96</v>
      </c>
      <c r="AW66">
        <v>3.91</v>
      </c>
      <c r="AX66" s="1" t="s">
        <v>96</v>
      </c>
      <c r="AY66" t="s">
        <v>133</v>
      </c>
      <c r="AZ66">
        <v>958.99</v>
      </c>
      <c r="BA66">
        <v>134.27000000000001</v>
      </c>
      <c r="BB66" s="1" t="s">
        <v>96</v>
      </c>
      <c r="BC66" t="s">
        <v>133</v>
      </c>
      <c r="BD66" s="1" t="s">
        <v>96</v>
      </c>
      <c r="BE66" s="1" t="s">
        <v>96</v>
      </c>
      <c r="BF66">
        <v>89.15</v>
      </c>
      <c r="BG66" s="1" t="s">
        <v>96</v>
      </c>
      <c r="BH66" s="1" t="s">
        <v>96</v>
      </c>
      <c r="BI66">
        <v>136.9</v>
      </c>
      <c r="BJ66">
        <v>46.74</v>
      </c>
      <c r="BK66" s="1" t="s">
        <v>96</v>
      </c>
      <c r="BL66" s="1">
        <v>3.25</v>
      </c>
      <c r="BM66">
        <v>5.2</v>
      </c>
      <c r="BN66">
        <v>93.19</v>
      </c>
      <c r="BO66">
        <v>23.86</v>
      </c>
      <c r="BP66" t="s">
        <v>96</v>
      </c>
      <c r="BQ66" s="1" t="s">
        <v>96</v>
      </c>
      <c r="BR66" s="1" t="s">
        <v>96</v>
      </c>
      <c r="BS66" s="1" t="s">
        <v>96</v>
      </c>
      <c r="BT66" s="1" t="s">
        <v>96</v>
      </c>
      <c r="BU66" s="1" t="s">
        <v>96</v>
      </c>
      <c r="BV66">
        <v>205.26</v>
      </c>
      <c r="BW66">
        <v>5.59</v>
      </c>
      <c r="BX66" s="1">
        <v>8.1300000000000008</v>
      </c>
      <c r="BY66">
        <v>313.52999999999997</v>
      </c>
      <c r="BZ66">
        <v>10.76</v>
      </c>
      <c r="CA66" s="1" t="s">
        <v>96</v>
      </c>
      <c r="CB66">
        <v>28.14</v>
      </c>
      <c r="CC66">
        <v>219.92</v>
      </c>
      <c r="CD66" s="1" t="s">
        <v>96</v>
      </c>
    </row>
    <row r="67" spans="1:82">
      <c r="A67">
        <v>17</v>
      </c>
      <c r="B67" t="s">
        <v>146</v>
      </c>
      <c r="D67" t="b">
        <v>1</v>
      </c>
      <c r="E67" t="s">
        <v>147</v>
      </c>
      <c r="F67">
        <v>206</v>
      </c>
      <c r="G67">
        <v>1</v>
      </c>
      <c r="J67" t="s">
        <v>148</v>
      </c>
      <c r="K67" t="s">
        <v>94</v>
      </c>
      <c r="L67" t="s">
        <v>95</v>
      </c>
      <c r="M67">
        <v>100</v>
      </c>
      <c r="N67" s="1" t="s">
        <v>96</v>
      </c>
      <c r="O67" s="1" t="s">
        <v>96</v>
      </c>
      <c r="P67">
        <v>16.2</v>
      </c>
      <c r="Q67" s="1" t="s">
        <v>96</v>
      </c>
      <c r="R67" s="1" t="s">
        <v>96</v>
      </c>
      <c r="S67" s="1">
        <v>6.6</v>
      </c>
      <c r="T67" s="1" t="s">
        <v>96</v>
      </c>
      <c r="U67" s="1" t="s">
        <v>96</v>
      </c>
      <c r="V67" s="1" t="s">
        <v>96</v>
      </c>
      <c r="W67" s="1" t="s">
        <v>96</v>
      </c>
      <c r="X67" s="1" t="s">
        <v>96</v>
      </c>
      <c r="Y67" s="1" t="s">
        <v>96</v>
      </c>
      <c r="Z67" t="s">
        <v>96</v>
      </c>
      <c r="AA67" s="1" t="s">
        <v>96</v>
      </c>
      <c r="AB67" t="s">
        <v>96</v>
      </c>
      <c r="AC67">
        <v>1.08</v>
      </c>
      <c r="AD67">
        <v>107.84</v>
      </c>
      <c r="AE67" s="1" t="s">
        <v>96</v>
      </c>
      <c r="AF67" t="s">
        <v>96</v>
      </c>
      <c r="AG67">
        <v>19.940000000000001</v>
      </c>
      <c r="AH67">
        <v>7.1</v>
      </c>
      <c r="AI67" s="1" t="s">
        <v>96</v>
      </c>
      <c r="AJ67" s="1">
        <v>3.1</v>
      </c>
      <c r="AK67" s="1" t="s">
        <v>96</v>
      </c>
      <c r="AL67" s="1" t="s">
        <v>96</v>
      </c>
      <c r="AM67" s="1" t="s">
        <v>96</v>
      </c>
      <c r="AN67" s="1" t="s">
        <v>96</v>
      </c>
      <c r="AO67">
        <v>101.64</v>
      </c>
      <c r="AP67">
        <v>14.16</v>
      </c>
      <c r="AQ67" s="1" t="s">
        <v>96</v>
      </c>
      <c r="AR67" s="1">
        <v>10.94</v>
      </c>
      <c r="AS67">
        <v>8.5500000000000007</v>
      </c>
      <c r="AT67" t="s">
        <v>96</v>
      </c>
      <c r="AU67" s="1" t="s">
        <v>96</v>
      </c>
      <c r="AV67" s="1" t="s">
        <v>96</v>
      </c>
      <c r="AW67">
        <v>3.34</v>
      </c>
      <c r="AX67" s="1" t="s">
        <v>96</v>
      </c>
      <c r="AY67">
        <v>101.66</v>
      </c>
      <c r="AZ67">
        <v>40.380000000000003</v>
      </c>
      <c r="BA67">
        <v>17.82</v>
      </c>
      <c r="BB67" s="1" t="s">
        <v>96</v>
      </c>
      <c r="BC67">
        <v>25.05</v>
      </c>
      <c r="BD67" s="1" t="s">
        <v>96</v>
      </c>
      <c r="BE67" s="1" t="s">
        <v>96</v>
      </c>
      <c r="BF67">
        <v>2.99</v>
      </c>
      <c r="BG67" s="1" t="s">
        <v>96</v>
      </c>
      <c r="BH67" s="1" t="s">
        <v>96</v>
      </c>
      <c r="BI67">
        <v>11.91</v>
      </c>
      <c r="BJ67">
        <v>4.6500000000000004</v>
      </c>
      <c r="BK67" s="1" t="s">
        <v>96</v>
      </c>
      <c r="BL67" s="1" t="s">
        <v>96</v>
      </c>
      <c r="BM67" t="s">
        <v>96</v>
      </c>
      <c r="BN67">
        <v>5.55</v>
      </c>
      <c r="BO67">
        <v>53.2</v>
      </c>
      <c r="BP67">
        <v>10.59</v>
      </c>
      <c r="BQ67" s="1" t="s">
        <v>96</v>
      </c>
      <c r="BR67" s="1" t="s">
        <v>96</v>
      </c>
      <c r="BS67" s="1" t="s">
        <v>96</v>
      </c>
      <c r="BT67" s="1" t="s">
        <v>96</v>
      </c>
      <c r="BU67" s="1">
        <v>6.19</v>
      </c>
      <c r="BV67">
        <v>23.13</v>
      </c>
      <c r="BW67" t="s">
        <v>96</v>
      </c>
      <c r="BX67" s="1" t="s">
        <v>96</v>
      </c>
      <c r="BY67">
        <v>570.59</v>
      </c>
      <c r="BZ67" t="s">
        <v>96</v>
      </c>
      <c r="CA67" s="1" t="s">
        <v>96</v>
      </c>
      <c r="CB67">
        <v>16.77</v>
      </c>
      <c r="CC67">
        <v>20.49</v>
      </c>
      <c r="CD67" s="1" t="s">
        <v>96</v>
      </c>
    </row>
    <row r="68" spans="1:82">
      <c r="A68">
        <v>104</v>
      </c>
      <c r="B68" t="s">
        <v>407</v>
      </c>
      <c r="D68" t="b">
        <v>1</v>
      </c>
      <c r="E68" t="s">
        <v>408</v>
      </c>
      <c r="F68">
        <v>155</v>
      </c>
      <c r="G68">
        <v>3</v>
      </c>
      <c r="J68" t="s">
        <v>409</v>
      </c>
      <c r="K68" t="s">
        <v>94</v>
      </c>
      <c r="L68" t="s">
        <v>95</v>
      </c>
      <c r="M68">
        <v>100</v>
      </c>
      <c r="N68" s="1" t="s">
        <v>96</v>
      </c>
      <c r="O68" s="1" t="s">
        <v>96</v>
      </c>
      <c r="P68">
        <v>10.88</v>
      </c>
      <c r="Q68" s="1" t="s">
        <v>96</v>
      </c>
      <c r="R68" s="1" t="s">
        <v>96</v>
      </c>
      <c r="S68" s="1" t="s">
        <v>96</v>
      </c>
      <c r="T68" s="1" t="s">
        <v>96</v>
      </c>
      <c r="U68" s="1" t="s">
        <v>96</v>
      </c>
      <c r="V68" s="1" t="s">
        <v>96</v>
      </c>
      <c r="W68" s="1" t="s">
        <v>96</v>
      </c>
      <c r="X68" s="1" t="s">
        <v>96</v>
      </c>
      <c r="Y68" s="1" t="s">
        <v>96</v>
      </c>
      <c r="Z68">
        <v>1.47</v>
      </c>
      <c r="AA68" s="1" t="s">
        <v>96</v>
      </c>
      <c r="AB68">
        <v>18.27</v>
      </c>
      <c r="AC68">
        <v>12.24</v>
      </c>
      <c r="AD68">
        <v>126.6</v>
      </c>
      <c r="AE68" s="1" t="s">
        <v>96</v>
      </c>
      <c r="AF68">
        <v>8.1</v>
      </c>
      <c r="AG68">
        <v>252.52</v>
      </c>
      <c r="AH68">
        <v>546.88</v>
      </c>
      <c r="AI68" s="1">
        <v>4.55</v>
      </c>
      <c r="AJ68" s="1" t="s">
        <v>96</v>
      </c>
      <c r="AK68" s="1" t="s">
        <v>96</v>
      </c>
      <c r="AL68" s="1" t="s">
        <v>96</v>
      </c>
      <c r="AM68" s="1" t="s">
        <v>96</v>
      </c>
      <c r="AN68" s="1">
        <v>1.83</v>
      </c>
      <c r="AO68">
        <v>196.3</v>
      </c>
      <c r="AP68">
        <v>43.06</v>
      </c>
      <c r="AQ68" s="1" t="s">
        <v>96</v>
      </c>
      <c r="AR68" s="1">
        <v>4.76</v>
      </c>
      <c r="AS68">
        <v>667.86</v>
      </c>
      <c r="AT68">
        <v>28.1</v>
      </c>
      <c r="AU68" s="1" t="s">
        <v>96</v>
      </c>
      <c r="AV68" s="1" t="s">
        <v>96</v>
      </c>
      <c r="AW68">
        <v>16.25</v>
      </c>
      <c r="AX68" s="1">
        <v>3.33</v>
      </c>
      <c r="AY68" t="s">
        <v>133</v>
      </c>
      <c r="AZ68">
        <v>655.73</v>
      </c>
      <c r="BA68">
        <v>199.55</v>
      </c>
      <c r="BB68" s="1" t="s">
        <v>96</v>
      </c>
      <c r="BC68">
        <v>992.39</v>
      </c>
      <c r="BD68" s="1" t="s">
        <v>96</v>
      </c>
      <c r="BE68" s="1">
        <v>7.09</v>
      </c>
      <c r="BF68">
        <v>36.479999999999997</v>
      </c>
      <c r="BG68" s="1">
        <v>15.01</v>
      </c>
      <c r="BH68" s="1" t="s">
        <v>96</v>
      </c>
      <c r="BI68">
        <v>503.31</v>
      </c>
      <c r="BJ68">
        <v>113.83</v>
      </c>
      <c r="BK68" s="1" t="s">
        <v>96</v>
      </c>
      <c r="BL68" s="1">
        <v>8.5500000000000007</v>
      </c>
      <c r="BM68">
        <v>7.39</v>
      </c>
      <c r="BN68">
        <v>176.79</v>
      </c>
      <c r="BO68">
        <v>80.41</v>
      </c>
      <c r="BP68">
        <v>7.18</v>
      </c>
      <c r="BQ68" s="1" t="s">
        <v>96</v>
      </c>
      <c r="BR68" s="1" t="s">
        <v>96</v>
      </c>
      <c r="BS68" s="1" t="s">
        <v>96</v>
      </c>
      <c r="BT68" s="1" t="s">
        <v>96</v>
      </c>
      <c r="BU68" s="1" t="s">
        <v>96</v>
      </c>
      <c r="BV68">
        <v>117.16</v>
      </c>
      <c r="BW68">
        <v>31.2</v>
      </c>
      <c r="BX68" s="1" t="s">
        <v>96</v>
      </c>
      <c r="BY68">
        <v>467.52</v>
      </c>
      <c r="BZ68">
        <v>11.28</v>
      </c>
      <c r="CA68" s="1" t="s">
        <v>96</v>
      </c>
      <c r="CB68">
        <v>13.3</v>
      </c>
      <c r="CC68">
        <v>44.4</v>
      </c>
      <c r="CD68" s="1" t="s">
        <v>96</v>
      </c>
    </row>
    <row r="69" spans="1:82">
      <c r="A69">
        <v>84</v>
      </c>
      <c r="B69" t="s">
        <v>347</v>
      </c>
      <c r="D69" t="b">
        <v>1</v>
      </c>
      <c r="E69" t="s">
        <v>348</v>
      </c>
      <c r="F69">
        <v>131</v>
      </c>
      <c r="G69">
        <v>3</v>
      </c>
      <c r="J69" t="s">
        <v>349</v>
      </c>
      <c r="K69" t="s">
        <v>94</v>
      </c>
      <c r="L69" t="s">
        <v>95</v>
      </c>
      <c r="M69">
        <v>100</v>
      </c>
      <c r="N69" s="1" t="s">
        <v>96</v>
      </c>
      <c r="O69" s="1" t="s">
        <v>96</v>
      </c>
      <c r="P69">
        <v>21.37</v>
      </c>
      <c r="Q69" s="1" t="s">
        <v>96</v>
      </c>
      <c r="R69" s="1" t="s">
        <v>96</v>
      </c>
      <c r="S69" s="1" t="s">
        <v>96</v>
      </c>
      <c r="T69" s="1" t="s">
        <v>96</v>
      </c>
      <c r="U69" s="1" t="s">
        <v>96</v>
      </c>
      <c r="V69" s="1" t="s">
        <v>96</v>
      </c>
      <c r="W69" s="1" t="s">
        <v>96</v>
      </c>
      <c r="X69" s="1" t="s">
        <v>96</v>
      </c>
      <c r="Y69" s="1" t="s">
        <v>96</v>
      </c>
      <c r="Z69" t="s">
        <v>96</v>
      </c>
      <c r="AA69" s="1" t="s">
        <v>96</v>
      </c>
      <c r="AB69">
        <v>3.82</v>
      </c>
      <c r="AC69" t="s">
        <v>96</v>
      </c>
      <c r="AD69">
        <v>80.3</v>
      </c>
      <c r="AE69" s="1" t="s">
        <v>96</v>
      </c>
      <c r="AF69" t="s">
        <v>96</v>
      </c>
      <c r="AG69">
        <v>104.3</v>
      </c>
      <c r="AH69">
        <v>234.88</v>
      </c>
      <c r="AI69" s="1" t="s">
        <v>96</v>
      </c>
      <c r="AJ69" s="1" t="s">
        <v>96</v>
      </c>
      <c r="AK69" s="1" t="s">
        <v>96</v>
      </c>
      <c r="AL69" s="1" t="s">
        <v>96</v>
      </c>
      <c r="AM69" s="1" t="s">
        <v>96</v>
      </c>
      <c r="AN69" s="1" t="s">
        <v>96</v>
      </c>
      <c r="AO69">
        <v>44.64</v>
      </c>
      <c r="AP69">
        <v>59.5</v>
      </c>
      <c r="AQ69" s="1" t="s">
        <v>96</v>
      </c>
      <c r="AR69" s="1" t="s">
        <v>96</v>
      </c>
      <c r="AS69">
        <v>92.3</v>
      </c>
      <c r="AT69">
        <v>14.28</v>
      </c>
      <c r="AU69" s="1" t="s">
        <v>96</v>
      </c>
      <c r="AV69" s="1" t="s">
        <v>96</v>
      </c>
      <c r="AW69" t="s">
        <v>96</v>
      </c>
      <c r="AX69" s="1" t="s">
        <v>96</v>
      </c>
      <c r="AY69">
        <v>1328.7</v>
      </c>
      <c r="AZ69">
        <v>196.36</v>
      </c>
      <c r="BA69">
        <v>168.85</v>
      </c>
      <c r="BB69" s="1" t="s">
        <v>96</v>
      </c>
      <c r="BC69">
        <v>319.77</v>
      </c>
      <c r="BD69" s="1" t="s">
        <v>96</v>
      </c>
      <c r="BE69" s="1" t="s">
        <v>96</v>
      </c>
      <c r="BF69">
        <v>29.64</v>
      </c>
      <c r="BG69" s="1">
        <v>6.45</v>
      </c>
      <c r="BH69" s="1" t="s">
        <v>96</v>
      </c>
      <c r="BI69">
        <v>127.12</v>
      </c>
      <c r="BJ69">
        <v>25.84</v>
      </c>
      <c r="BK69" s="1" t="s">
        <v>96</v>
      </c>
      <c r="BL69" s="1">
        <v>2.83</v>
      </c>
      <c r="BM69">
        <v>2.56</v>
      </c>
      <c r="BN69">
        <v>36.33</v>
      </c>
      <c r="BO69">
        <v>84.8</v>
      </c>
      <c r="BP69">
        <v>4.51</v>
      </c>
      <c r="BQ69" s="1" t="s">
        <v>96</v>
      </c>
      <c r="BR69" s="1" t="s">
        <v>96</v>
      </c>
      <c r="BS69" s="1" t="s">
        <v>96</v>
      </c>
      <c r="BT69" s="1">
        <v>3.01</v>
      </c>
      <c r="BU69" s="1" t="s">
        <v>96</v>
      </c>
      <c r="BV69">
        <v>142.54</v>
      </c>
      <c r="BW69">
        <v>25.78</v>
      </c>
      <c r="BX69" s="1" t="s">
        <v>96</v>
      </c>
      <c r="BY69">
        <v>283.81</v>
      </c>
      <c r="BZ69">
        <v>24.43</v>
      </c>
      <c r="CA69" s="1" t="s">
        <v>96</v>
      </c>
      <c r="CB69">
        <v>33.200000000000003</v>
      </c>
      <c r="CC69">
        <v>64.010000000000005</v>
      </c>
      <c r="CD69" s="1" t="s">
        <v>96</v>
      </c>
    </row>
    <row r="70" spans="1:82">
      <c r="A70">
        <v>123</v>
      </c>
      <c r="B70" t="s">
        <v>464</v>
      </c>
      <c r="D70" t="b">
        <v>1</v>
      </c>
      <c r="E70" t="s">
        <v>465</v>
      </c>
      <c r="F70">
        <v>10</v>
      </c>
      <c r="G70">
        <v>4</v>
      </c>
      <c r="J70" t="s">
        <v>466</v>
      </c>
      <c r="K70" t="s">
        <v>94</v>
      </c>
      <c r="L70" t="s">
        <v>95</v>
      </c>
      <c r="M70">
        <v>100</v>
      </c>
      <c r="N70" s="1" t="s">
        <v>96</v>
      </c>
      <c r="O70" s="1" t="s">
        <v>96</v>
      </c>
      <c r="P70">
        <v>30.35</v>
      </c>
      <c r="Q70" s="1" t="s">
        <v>96</v>
      </c>
      <c r="R70" s="1">
        <v>21.28</v>
      </c>
      <c r="S70" s="1">
        <v>6.3</v>
      </c>
      <c r="T70" s="1" t="s">
        <v>96</v>
      </c>
      <c r="U70" s="1" t="s">
        <v>96</v>
      </c>
      <c r="V70" s="1" t="s">
        <v>96</v>
      </c>
      <c r="W70" s="1" t="s">
        <v>96</v>
      </c>
      <c r="X70" s="1" t="s">
        <v>96</v>
      </c>
      <c r="Y70" s="1" t="s">
        <v>96</v>
      </c>
      <c r="Z70" t="s">
        <v>96</v>
      </c>
      <c r="AA70" s="1" t="s">
        <v>96</v>
      </c>
      <c r="AB70">
        <v>11.57</v>
      </c>
      <c r="AC70">
        <v>23.19</v>
      </c>
      <c r="AD70">
        <v>84.25</v>
      </c>
      <c r="AE70" s="1" t="s">
        <v>96</v>
      </c>
      <c r="AF70">
        <v>12.66</v>
      </c>
      <c r="AG70">
        <v>663.78</v>
      </c>
      <c r="AH70">
        <v>216.63</v>
      </c>
      <c r="AI70" s="1">
        <v>8</v>
      </c>
      <c r="AJ70" s="1" t="s">
        <v>96</v>
      </c>
      <c r="AK70" s="1" t="s">
        <v>96</v>
      </c>
      <c r="AL70" s="1" t="s">
        <v>96</v>
      </c>
      <c r="AM70" s="1" t="s">
        <v>96</v>
      </c>
      <c r="AN70" s="1">
        <v>1.1000000000000001</v>
      </c>
      <c r="AO70">
        <v>241.95</v>
      </c>
      <c r="AP70" t="s">
        <v>133</v>
      </c>
      <c r="AQ70" s="1">
        <v>2.38</v>
      </c>
      <c r="AR70" s="1">
        <v>3.86</v>
      </c>
      <c r="AS70">
        <v>581.29999999999995</v>
      </c>
      <c r="AT70">
        <v>17.41</v>
      </c>
      <c r="AU70" s="1" t="s">
        <v>96</v>
      </c>
      <c r="AV70" s="1" t="s">
        <v>96</v>
      </c>
      <c r="AW70">
        <v>58.62</v>
      </c>
      <c r="AX70" s="1" t="s">
        <v>96</v>
      </c>
      <c r="AY70" t="s">
        <v>133</v>
      </c>
      <c r="AZ70" t="s">
        <v>133</v>
      </c>
      <c r="BA70" t="s">
        <v>133</v>
      </c>
      <c r="BB70" s="1" t="s">
        <v>96</v>
      </c>
      <c r="BC70" t="s">
        <v>133</v>
      </c>
      <c r="BD70" s="1" t="s">
        <v>96</v>
      </c>
      <c r="BE70" s="1">
        <v>30.56</v>
      </c>
      <c r="BF70">
        <v>159.79</v>
      </c>
      <c r="BG70" s="1" t="s">
        <v>133</v>
      </c>
      <c r="BH70" s="1" t="s">
        <v>96</v>
      </c>
      <c r="BI70">
        <v>911.64</v>
      </c>
      <c r="BJ70">
        <v>798.6</v>
      </c>
      <c r="BK70" s="1" t="s">
        <v>96</v>
      </c>
      <c r="BL70" s="1">
        <v>21.47</v>
      </c>
      <c r="BM70">
        <v>42.18</v>
      </c>
      <c r="BN70" t="s">
        <v>133</v>
      </c>
      <c r="BO70">
        <v>522.46</v>
      </c>
      <c r="BP70">
        <v>26.67</v>
      </c>
      <c r="BQ70" s="1" t="s">
        <v>96</v>
      </c>
      <c r="BR70" s="1" t="s">
        <v>96</v>
      </c>
      <c r="BS70" s="1">
        <v>15.07</v>
      </c>
      <c r="BT70" s="1">
        <v>2.9</v>
      </c>
      <c r="BU70" s="1">
        <v>449.64</v>
      </c>
      <c r="BV70">
        <v>913.3</v>
      </c>
      <c r="BW70">
        <v>99.13</v>
      </c>
      <c r="BX70" s="1">
        <v>124.93</v>
      </c>
      <c r="BY70" t="s">
        <v>133</v>
      </c>
      <c r="BZ70">
        <v>256.83</v>
      </c>
      <c r="CA70" s="1">
        <v>853.44</v>
      </c>
      <c r="CB70" t="s">
        <v>133</v>
      </c>
      <c r="CC70">
        <v>2361.91</v>
      </c>
      <c r="CD70" s="1">
        <v>9.8000000000000007</v>
      </c>
    </row>
    <row r="71" spans="1:82">
      <c r="A71">
        <v>221</v>
      </c>
      <c r="B71" t="s">
        <v>758</v>
      </c>
      <c r="D71" t="b">
        <v>1</v>
      </c>
      <c r="E71" t="s">
        <v>759</v>
      </c>
      <c r="F71">
        <v>332</v>
      </c>
      <c r="G71">
        <v>6</v>
      </c>
      <c r="J71" t="s">
        <v>760</v>
      </c>
      <c r="K71" t="s">
        <v>94</v>
      </c>
      <c r="L71" t="s">
        <v>95</v>
      </c>
      <c r="M71">
        <v>100</v>
      </c>
      <c r="N71" s="1" t="s">
        <v>96</v>
      </c>
      <c r="O71" s="1" t="s">
        <v>96</v>
      </c>
      <c r="P71">
        <v>12.76</v>
      </c>
      <c r="Q71" s="1" t="s">
        <v>96</v>
      </c>
      <c r="R71" s="1" t="s">
        <v>96</v>
      </c>
      <c r="S71" s="1">
        <v>6.61</v>
      </c>
      <c r="T71" s="1" t="s">
        <v>96</v>
      </c>
      <c r="U71" s="1" t="s">
        <v>96</v>
      </c>
      <c r="V71" s="1" t="s">
        <v>96</v>
      </c>
      <c r="W71" s="1" t="s">
        <v>96</v>
      </c>
      <c r="X71" s="1" t="s">
        <v>96</v>
      </c>
      <c r="Y71" s="1" t="s">
        <v>96</v>
      </c>
      <c r="Z71" t="s">
        <v>96</v>
      </c>
      <c r="AA71" s="1" t="s">
        <v>96</v>
      </c>
      <c r="AB71">
        <v>1.53</v>
      </c>
      <c r="AC71">
        <v>7.85</v>
      </c>
      <c r="AD71">
        <v>60.12</v>
      </c>
      <c r="AE71" s="1" t="s">
        <v>96</v>
      </c>
      <c r="AF71">
        <v>12.94</v>
      </c>
      <c r="AG71">
        <v>118.63</v>
      </c>
      <c r="AH71">
        <v>53.67</v>
      </c>
      <c r="AI71" s="1">
        <v>4.71</v>
      </c>
      <c r="AJ71" s="1" t="s">
        <v>96</v>
      </c>
      <c r="AK71" s="1" t="s">
        <v>96</v>
      </c>
      <c r="AL71" s="1" t="s">
        <v>96</v>
      </c>
      <c r="AM71" s="1" t="s">
        <v>96</v>
      </c>
      <c r="AN71" s="1" t="s">
        <v>96</v>
      </c>
      <c r="AO71">
        <v>115.19</v>
      </c>
      <c r="AP71">
        <v>9.43</v>
      </c>
      <c r="AQ71" s="1" t="s">
        <v>96</v>
      </c>
      <c r="AR71" s="1">
        <v>1.05</v>
      </c>
      <c r="AS71">
        <v>14.79</v>
      </c>
      <c r="AT71">
        <v>2.4700000000000002</v>
      </c>
      <c r="AU71" s="1" t="s">
        <v>96</v>
      </c>
      <c r="AV71" s="1" t="s">
        <v>96</v>
      </c>
      <c r="AW71">
        <v>9.74</v>
      </c>
      <c r="AX71" s="1" t="s">
        <v>96</v>
      </c>
      <c r="AY71">
        <v>2126.12</v>
      </c>
      <c r="AZ71">
        <v>1057.4100000000001</v>
      </c>
      <c r="BA71">
        <v>123.88</v>
      </c>
      <c r="BB71" s="1" t="s">
        <v>96</v>
      </c>
      <c r="BC71">
        <v>462.58</v>
      </c>
      <c r="BD71" s="1" t="s">
        <v>96</v>
      </c>
      <c r="BE71" s="1">
        <v>18.190000000000001</v>
      </c>
      <c r="BF71">
        <v>70.900000000000006</v>
      </c>
      <c r="BG71" s="1">
        <v>16.32</v>
      </c>
      <c r="BH71" s="1" t="s">
        <v>96</v>
      </c>
      <c r="BI71">
        <v>635.29</v>
      </c>
      <c r="BJ71">
        <v>406.48</v>
      </c>
      <c r="BK71" s="1" t="s">
        <v>96</v>
      </c>
      <c r="BL71" s="1">
        <v>23.93</v>
      </c>
      <c r="BM71">
        <v>49.53</v>
      </c>
      <c r="BN71">
        <v>188.49</v>
      </c>
      <c r="BO71">
        <v>545.91</v>
      </c>
      <c r="BP71" t="s">
        <v>96</v>
      </c>
      <c r="BQ71" s="1" t="s">
        <v>96</v>
      </c>
      <c r="BR71" s="1" t="s">
        <v>96</v>
      </c>
      <c r="BS71" s="1" t="s">
        <v>96</v>
      </c>
      <c r="BT71" s="1" t="s">
        <v>96</v>
      </c>
      <c r="BU71" s="1">
        <v>12.39</v>
      </c>
      <c r="BV71">
        <v>245.88</v>
      </c>
      <c r="BW71">
        <v>88.02</v>
      </c>
      <c r="BX71" s="1" t="s">
        <v>96</v>
      </c>
      <c r="BY71">
        <v>1003.52</v>
      </c>
      <c r="BZ71">
        <v>186.27</v>
      </c>
      <c r="CA71" s="1">
        <v>12.08</v>
      </c>
      <c r="CB71">
        <v>48.85</v>
      </c>
      <c r="CC71">
        <v>304.36</v>
      </c>
      <c r="CD71" s="1" t="s">
        <v>96</v>
      </c>
    </row>
    <row r="72" spans="1:82">
      <c r="A72">
        <v>40</v>
      </c>
      <c r="B72" t="s">
        <v>215</v>
      </c>
      <c r="D72" t="b">
        <v>1</v>
      </c>
      <c r="E72" t="s">
        <v>216</v>
      </c>
      <c r="F72">
        <v>67</v>
      </c>
      <c r="G72">
        <v>2</v>
      </c>
      <c r="J72" t="s">
        <v>217</v>
      </c>
      <c r="K72" t="s">
        <v>94</v>
      </c>
      <c r="L72" t="s">
        <v>95</v>
      </c>
      <c r="M72">
        <v>100</v>
      </c>
      <c r="N72" s="1" t="s">
        <v>96</v>
      </c>
      <c r="O72" s="1" t="s">
        <v>96</v>
      </c>
      <c r="P72">
        <v>15.84</v>
      </c>
      <c r="Q72" s="1" t="s">
        <v>96</v>
      </c>
      <c r="R72" s="1" t="s">
        <v>96</v>
      </c>
      <c r="S72" s="1" t="s">
        <v>96</v>
      </c>
      <c r="T72" s="1" t="s">
        <v>96</v>
      </c>
      <c r="U72" s="1" t="s">
        <v>96</v>
      </c>
      <c r="V72" s="1" t="s">
        <v>96</v>
      </c>
      <c r="W72" s="1" t="s">
        <v>96</v>
      </c>
      <c r="X72" s="1" t="s">
        <v>96</v>
      </c>
      <c r="Y72" s="1" t="s">
        <v>96</v>
      </c>
      <c r="Z72">
        <v>2.76</v>
      </c>
      <c r="AA72" s="1" t="s">
        <v>96</v>
      </c>
      <c r="AB72">
        <v>14.01</v>
      </c>
      <c r="AC72">
        <v>2.59</v>
      </c>
      <c r="AD72">
        <v>784.48</v>
      </c>
      <c r="AE72" s="1" t="s">
        <v>96</v>
      </c>
      <c r="AF72">
        <v>19.98</v>
      </c>
      <c r="AG72">
        <v>437.54</v>
      </c>
      <c r="AH72">
        <v>924.63</v>
      </c>
      <c r="AI72" s="1" t="s">
        <v>96</v>
      </c>
      <c r="AJ72" s="1" t="s">
        <v>96</v>
      </c>
      <c r="AK72" s="1" t="s">
        <v>96</v>
      </c>
      <c r="AL72" s="1" t="s">
        <v>96</v>
      </c>
      <c r="AM72" s="1" t="s">
        <v>96</v>
      </c>
      <c r="AN72" s="1">
        <v>1.29</v>
      </c>
      <c r="AO72">
        <v>89.26</v>
      </c>
      <c r="AP72">
        <v>275.74</v>
      </c>
      <c r="AQ72" s="1">
        <v>2.71</v>
      </c>
      <c r="AR72" s="1" t="s">
        <v>96</v>
      </c>
      <c r="AS72">
        <v>253.84</v>
      </c>
      <c r="AT72">
        <v>9.7200000000000006</v>
      </c>
      <c r="AU72" s="1" t="s">
        <v>96</v>
      </c>
      <c r="AV72" s="1" t="s">
        <v>96</v>
      </c>
      <c r="AW72">
        <v>2.62</v>
      </c>
      <c r="AX72" s="1">
        <v>5.22</v>
      </c>
      <c r="AY72" t="s">
        <v>133</v>
      </c>
      <c r="AZ72">
        <v>878.97</v>
      </c>
      <c r="BA72">
        <v>779.13</v>
      </c>
      <c r="BB72" s="1" t="s">
        <v>96</v>
      </c>
      <c r="BC72">
        <v>893.74</v>
      </c>
      <c r="BD72" s="1" t="s">
        <v>96</v>
      </c>
      <c r="BE72" s="1" t="s">
        <v>96</v>
      </c>
      <c r="BF72">
        <v>30.91</v>
      </c>
      <c r="BG72" s="1">
        <v>15.18</v>
      </c>
      <c r="BH72" s="1" t="s">
        <v>96</v>
      </c>
      <c r="BI72">
        <v>145.16</v>
      </c>
      <c r="BJ72">
        <v>39.840000000000003</v>
      </c>
      <c r="BK72" s="1" t="s">
        <v>96</v>
      </c>
      <c r="BL72" s="1" t="s">
        <v>96</v>
      </c>
      <c r="BM72" t="s">
        <v>96</v>
      </c>
      <c r="BN72">
        <v>40.82</v>
      </c>
      <c r="BO72" t="s">
        <v>96</v>
      </c>
      <c r="BP72" t="s">
        <v>96</v>
      </c>
      <c r="BQ72" s="1" t="s">
        <v>96</v>
      </c>
      <c r="BR72" s="1" t="s">
        <v>96</v>
      </c>
      <c r="BS72" s="1" t="s">
        <v>96</v>
      </c>
      <c r="BT72" s="1" t="s">
        <v>96</v>
      </c>
      <c r="BU72" s="1" t="s">
        <v>96</v>
      </c>
      <c r="BV72">
        <v>194</v>
      </c>
      <c r="BW72">
        <v>9.7100000000000009</v>
      </c>
      <c r="BX72" s="1" t="s">
        <v>96</v>
      </c>
      <c r="BY72">
        <v>97.87</v>
      </c>
      <c r="BZ72">
        <v>9.48</v>
      </c>
      <c r="CA72" s="1">
        <v>10.44</v>
      </c>
      <c r="CB72">
        <v>235.39</v>
      </c>
      <c r="CC72">
        <v>159.38999999999999</v>
      </c>
      <c r="CD72" s="1" t="s">
        <v>96</v>
      </c>
    </row>
    <row r="73" spans="1:82">
      <c r="A73">
        <v>7</v>
      </c>
      <c r="B73" t="s">
        <v>115</v>
      </c>
      <c r="D73" t="b">
        <v>1</v>
      </c>
      <c r="E73" t="s">
        <v>116</v>
      </c>
      <c r="F73">
        <v>194</v>
      </c>
      <c r="G73">
        <v>1</v>
      </c>
      <c r="J73" t="s">
        <v>117</v>
      </c>
      <c r="K73" t="s">
        <v>94</v>
      </c>
      <c r="L73" t="s">
        <v>95</v>
      </c>
      <c r="M73">
        <v>100</v>
      </c>
      <c r="N73" s="1" t="s">
        <v>96</v>
      </c>
      <c r="O73" s="1" t="s">
        <v>96</v>
      </c>
      <c r="P73">
        <v>10.69</v>
      </c>
      <c r="Q73" s="1" t="s">
        <v>96</v>
      </c>
      <c r="R73" s="1" t="s">
        <v>96</v>
      </c>
      <c r="S73" s="1" t="s">
        <v>96</v>
      </c>
      <c r="T73" s="1" t="s">
        <v>96</v>
      </c>
      <c r="U73" s="1" t="s">
        <v>96</v>
      </c>
      <c r="V73" s="1" t="s">
        <v>96</v>
      </c>
      <c r="W73" s="1" t="s">
        <v>96</v>
      </c>
      <c r="X73" s="1" t="s">
        <v>96</v>
      </c>
      <c r="Y73" s="1" t="s">
        <v>96</v>
      </c>
      <c r="Z73">
        <v>1.18</v>
      </c>
      <c r="AA73" s="1" t="s">
        <v>96</v>
      </c>
      <c r="AB73">
        <v>3.82</v>
      </c>
      <c r="AC73">
        <v>2.63</v>
      </c>
      <c r="AD73">
        <v>93.12</v>
      </c>
      <c r="AE73" s="1" t="s">
        <v>96</v>
      </c>
      <c r="AF73">
        <v>7.23</v>
      </c>
      <c r="AG73">
        <v>65.69</v>
      </c>
      <c r="AH73">
        <v>136.81</v>
      </c>
      <c r="AI73" s="1" t="s">
        <v>96</v>
      </c>
      <c r="AJ73" s="1" t="s">
        <v>96</v>
      </c>
      <c r="AK73" s="1" t="s">
        <v>96</v>
      </c>
      <c r="AL73" s="1" t="s">
        <v>96</v>
      </c>
      <c r="AM73" s="1" t="s">
        <v>96</v>
      </c>
      <c r="AN73" s="1" t="s">
        <v>96</v>
      </c>
      <c r="AO73">
        <v>29.7</v>
      </c>
      <c r="AP73">
        <v>33.869999999999997</v>
      </c>
      <c r="AQ73" s="1" t="s">
        <v>96</v>
      </c>
      <c r="AR73" s="1" t="s">
        <v>96</v>
      </c>
      <c r="AS73">
        <v>37.53</v>
      </c>
      <c r="AT73">
        <v>6.55</v>
      </c>
      <c r="AU73" s="1" t="s">
        <v>96</v>
      </c>
      <c r="AV73" s="1" t="s">
        <v>96</v>
      </c>
      <c r="AW73" t="s">
        <v>96</v>
      </c>
      <c r="AX73" s="1" t="s">
        <v>96</v>
      </c>
      <c r="AY73">
        <v>475.41</v>
      </c>
      <c r="AZ73">
        <v>40.01</v>
      </c>
      <c r="BA73">
        <v>35.020000000000003</v>
      </c>
      <c r="BB73" s="1" t="s">
        <v>96</v>
      </c>
      <c r="BC73">
        <v>201.93</v>
      </c>
      <c r="BD73" s="1" t="s">
        <v>96</v>
      </c>
      <c r="BE73" s="1" t="s">
        <v>96</v>
      </c>
      <c r="BF73">
        <v>13.81</v>
      </c>
      <c r="BG73" s="1">
        <v>2.85</v>
      </c>
      <c r="BH73" s="1" t="s">
        <v>96</v>
      </c>
      <c r="BI73">
        <v>106.77</v>
      </c>
      <c r="BJ73">
        <v>14.88</v>
      </c>
      <c r="BK73" s="1" t="s">
        <v>96</v>
      </c>
      <c r="BL73" s="1">
        <v>4.68</v>
      </c>
      <c r="BM73" t="s">
        <v>96</v>
      </c>
      <c r="BN73">
        <v>44.62</v>
      </c>
      <c r="BO73">
        <v>29.25</v>
      </c>
      <c r="BP73" t="s">
        <v>96</v>
      </c>
      <c r="BQ73" s="1" t="s">
        <v>96</v>
      </c>
      <c r="BR73" s="1" t="s">
        <v>96</v>
      </c>
      <c r="BS73" s="1" t="s">
        <v>96</v>
      </c>
      <c r="BT73" s="1" t="s">
        <v>96</v>
      </c>
      <c r="BU73" s="1">
        <v>6.22</v>
      </c>
      <c r="BV73">
        <v>163.04</v>
      </c>
      <c r="BW73">
        <v>52.42</v>
      </c>
      <c r="BX73" s="1" t="s">
        <v>96</v>
      </c>
      <c r="BY73">
        <v>77.459999999999994</v>
      </c>
      <c r="BZ73">
        <v>22.74</v>
      </c>
      <c r="CA73" s="1" t="s">
        <v>96</v>
      </c>
      <c r="CB73">
        <v>42.43</v>
      </c>
      <c r="CC73">
        <v>38.659999999999997</v>
      </c>
      <c r="CD73" s="1" t="s">
        <v>96</v>
      </c>
    </row>
    <row r="74" spans="1:82">
      <c r="A74">
        <v>77</v>
      </c>
      <c r="B74" t="s">
        <v>326</v>
      </c>
      <c r="D74" t="b">
        <v>1</v>
      </c>
      <c r="E74" t="s">
        <v>327</v>
      </c>
      <c r="F74">
        <v>110</v>
      </c>
      <c r="G74">
        <v>2</v>
      </c>
      <c r="J74" t="s">
        <v>328</v>
      </c>
      <c r="K74" t="s">
        <v>94</v>
      </c>
      <c r="L74" t="s">
        <v>95</v>
      </c>
      <c r="M74">
        <v>100</v>
      </c>
      <c r="N74" s="1" t="s">
        <v>96</v>
      </c>
      <c r="O74" s="1" t="s">
        <v>96</v>
      </c>
      <c r="P74">
        <v>23.99</v>
      </c>
      <c r="Q74" s="1" t="s">
        <v>96</v>
      </c>
      <c r="R74" s="1" t="s">
        <v>96</v>
      </c>
      <c r="S74" s="1" t="s">
        <v>96</v>
      </c>
      <c r="T74" s="1" t="s">
        <v>96</v>
      </c>
      <c r="U74" s="1" t="s">
        <v>96</v>
      </c>
      <c r="V74" s="1" t="s">
        <v>96</v>
      </c>
      <c r="W74" s="1" t="s">
        <v>96</v>
      </c>
      <c r="X74" s="1" t="s">
        <v>96</v>
      </c>
      <c r="Y74" s="1" t="s">
        <v>96</v>
      </c>
      <c r="Z74">
        <v>1.89</v>
      </c>
      <c r="AA74" s="1" t="s">
        <v>96</v>
      </c>
      <c r="AB74">
        <v>3.6</v>
      </c>
      <c r="AC74">
        <v>6.09</v>
      </c>
      <c r="AD74">
        <v>160.52000000000001</v>
      </c>
      <c r="AE74" s="1" t="s">
        <v>96</v>
      </c>
      <c r="AF74">
        <v>29.51</v>
      </c>
      <c r="AG74">
        <v>546.88</v>
      </c>
      <c r="AH74">
        <v>415.03</v>
      </c>
      <c r="AI74" s="1" t="s">
        <v>96</v>
      </c>
      <c r="AJ74" s="1">
        <v>1.64</v>
      </c>
      <c r="AK74" s="1" t="s">
        <v>96</v>
      </c>
      <c r="AL74" s="1" t="s">
        <v>96</v>
      </c>
      <c r="AM74" s="1" t="s">
        <v>96</v>
      </c>
      <c r="AN74" s="1">
        <v>3.46</v>
      </c>
      <c r="AO74">
        <v>189.06</v>
      </c>
      <c r="AP74">
        <v>80.67</v>
      </c>
      <c r="AQ74" s="1" t="s">
        <v>96</v>
      </c>
      <c r="AR74" s="1" t="s">
        <v>96</v>
      </c>
      <c r="AS74">
        <v>111.84</v>
      </c>
      <c r="AT74">
        <v>12.51</v>
      </c>
      <c r="AU74" s="1" t="s">
        <v>96</v>
      </c>
      <c r="AV74" s="1" t="s">
        <v>96</v>
      </c>
      <c r="AW74">
        <v>11.53</v>
      </c>
      <c r="AX74" s="1">
        <v>4.28</v>
      </c>
      <c r="AY74" t="s">
        <v>133</v>
      </c>
      <c r="AZ74">
        <v>1127.8599999999999</v>
      </c>
      <c r="BA74">
        <v>304.43</v>
      </c>
      <c r="BB74" s="1" t="s">
        <v>96</v>
      </c>
      <c r="BC74">
        <v>788.93</v>
      </c>
      <c r="BD74" s="1" t="s">
        <v>96</v>
      </c>
      <c r="BE74" s="1">
        <v>8.14</v>
      </c>
      <c r="BF74">
        <v>23.46</v>
      </c>
      <c r="BG74" s="1">
        <v>22.09</v>
      </c>
      <c r="BH74" s="1" t="s">
        <v>96</v>
      </c>
      <c r="BI74">
        <v>369.65</v>
      </c>
      <c r="BJ74">
        <v>190.28</v>
      </c>
      <c r="BK74" s="1" t="s">
        <v>96</v>
      </c>
      <c r="BL74" s="1" t="s">
        <v>96</v>
      </c>
      <c r="BM74">
        <v>3.2</v>
      </c>
      <c r="BN74">
        <v>133.43</v>
      </c>
      <c r="BO74">
        <v>158.97999999999999</v>
      </c>
      <c r="BP74">
        <v>8.07</v>
      </c>
      <c r="BQ74" s="1" t="s">
        <v>96</v>
      </c>
      <c r="BR74" s="1" t="s">
        <v>96</v>
      </c>
      <c r="BS74" s="1" t="s">
        <v>96</v>
      </c>
      <c r="BT74" s="1" t="s">
        <v>96</v>
      </c>
      <c r="BU74" s="1">
        <v>17.43</v>
      </c>
      <c r="BV74">
        <v>292.45999999999998</v>
      </c>
      <c r="BW74">
        <v>41.47</v>
      </c>
      <c r="BX74" s="1" t="s">
        <v>96</v>
      </c>
      <c r="BY74">
        <v>602.01</v>
      </c>
      <c r="BZ74">
        <v>42.32</v>
      </c>
      <c r="CA74" s="1">
        <v>16.37</v>
      </c>
      <c r="CB74">
        <v>117.37</v>
      </c>
      <c r="CC74">
        <v>203.36</v>
      </c>
      <c r="CD74" s="1" t="s">
        <v>96</v>
      </c>
    </row>
    <row r="75" spans="1:82">
      <c r="A75">
        <v>25</v>
      </c>
      <c r="B75" t="s">
        <v>170</v>
      </c>
      <c r="D75" t="b">
        <v>1</v>
      </c>
      <c r="E75" t="s">
        <v>171</v>
      </c>
      <c r="F75">
        <v>216</v>
      </c>
      <c r="G75">
        <v>1</v>
      </c>
      <c r="J75" t="s">
        <v>172</v>
      </c>
      <c r="K75" t="s">
        <v>94</v>
      </c>
      <c r="L75" t="s">
        <v>95</v>
      </c>
      <c r="M75">
        <v>100</v>
      </c>
      <c r="N75" s="1" t="s">
        <v>96</v>
      </c>
      <c r="O75" s="1" t="s">
        <v>96</v>
      </c>
      <c r="P75">
        <v>10.95</v>
      </c>
      <c r="Q75" s="1" t="s">
        <v>96</v>
      </c>
      <c r="R75" s="1" t="s">
        <v>96</v>
      </c>
      <c r="S75" s="1">
        <v>6.51</v>
      </c>
      <c r="T75" s="1" t="s">
        <v>96</v>
      </c>
      <c r="U75" s="1" t="s">
        <v>96</v>
      </c>
      <c r="V75" s="1" t="s">
        <v>96</v>
      </c>
      <c r="W75" s="1" t="s">
        <v>96</v>
      </c>
      <c r="X75" s="1" t="s">
        <v>96</v>
      </c>
      <c r="Y75" s="1" t="s">
        <v>96</v>
      </c>
      <c r="Z75" t="s">
        <v>96</v>
      </c>
      <c r="AA75" s="1" t="s">
        <v>96</v>
      </c>
      <c r="AB75">
        <v>7.18</v>
      </c>
      <c r="AC75">
        <v>34.229999999999997</v>
      </c>
      <c r="AD75">
        <v>26.32</v>
      </c>
      <c r="AE75" s="1" t="s">
        <v>96</v>
      </c>
      <c r="AF75">
        <v>14.23</v>
      </c>
      <c r="AG75">
        <v>198.32</v>
      </c>
      <c r="AH75">
        <v>107.53</v>
      </c>
      <c r="AI75" s="1" t="s">
        <v>96</v>
      </c>
      <c r="AJ75" s="1">
        <v>9.51</v>
      </c>
      <c r="AK75" s="1" t="s">
        <v>96</v>
      </c>
      <c r="AL75" s="1" t="s">
        <v>96</v>
      </c>
      <c r="AM75" s="1" t="s">
        <v>96</v>
      </c>
      <c r="AN75" s="1" t="s">
        <v>96</v>
      </c>
      <c r="AO75">
        <v>562.15</v>
      </c>
      <c r="AP75">
        <v>52.6</v>
      </c>
      <c r="AQ75" s="1" t="s">
        <v>96</v>
      </c>
      <c r="AR75" s="1">
        <v>3.62</v>
      </c>
      <c r="AS75">
        <v>164.06</v>
      </c>
      <c r="AT75">
        <v>10.49</v>
      </c>
      <c r="AU75" s="1" t="s">
        <v>96</v>
      </c>
      <c r="AV75" s="1" t="s">
        <v>96</v>
      </c>
      <c r="AW75">
        <v>22.45</v>
      </c>
      <c r="AX75" s="1" t="s">
        <v>96</v>
      </c>
      <c r="AY75">
        <v>1269.01</v>
      </c>
      <c r="AZ75">
        <v>650.87</v>
      </c>
      <c r="BA75">
        <v>101.85</v>
      </c>
      <c r="BB75" s="1" t="s">
        <v>96</v>
      </c>
      <c r="BC75">
        <v>428.93</v>
      </c>
      <c r="BD75" s="1" t="s">
        <v>96</v>
      </c>
      <c r="BE75" s="1">
        <v>7.05</v>
      </c>
      <c r="BF75">
        <v>18.52</v>
      </c>
      <c r="BG75" s="1">
        <v>4.84</v>
      </c>
      <c r="BH75" s="1" t="s">
        <v>96</v>
      </c>
      <c r="BI75">
        <v>132.52000000000001</v>
      </c>
      <c r="BJ75">
        <v>79.06</v>
      </c>
      <c r="BK75" s="1" t="s">
        <v>96</v>
      </c>
      <c r="BL75" s="1" t="s">
        <v>96</v>
      </c>
      <c r="BM75">
        <v>6.74</v>
      </c>
      <c r="BN75">
        <v>60.93</v>
      </c>
      <c r="BO75">
        <v>133.81</v>
      </c>
      <c r="BP75">
        <v>25.55</v>
      </c>
      <c r="BQ75" s="1" t="s">
        <v>96</v>
      </c>
      <c r="BR75" s="1" t="s">
        <v>96</v>
      </c>
      <c r="BS75" s="1">
        <v>15.33</v>
      </c>
      <c r="BT75" s="1">
        <v>3.53</v>
      </c>
      <c r="BU75" s="1">
        <v>12.15</v>
      </c>
      <c r="BV75">
        <v>86.71</v>
      </c>
      <c r="BW75">
        <v>21.98</v>
      </c>
      <c r="BX75" s="1" t="s">
        <v>96</v>
      </c>
      <c r="BY75">
        <v>699.92</v>
      </c>
      <c r="BZ75">
        <v>32.68</v>
      </c>
      <c r="CA75" s="1" t="s">
        <v>96</v>
      </c>
      <c r="CB75">
        <v>21.11</v>
      </c>
      <c r="CC75">
        <v>132.71</v>
      </c>
      <c r="CD75" s="1" t="s">
        <v>96</v>
      </c>
    </row>
    <row r="76" spans="1:82">
      <c r="A76">
        <v>157</v>
      </c>
      <c r="B76" t="s">
        <v>566</v>
      </c>
      <c r="D76" t="b">
        <v>1</v>
      </c>
      <c r="E76" t="s">
        <v>567</v>
      </c>
      <c r="F76">
        <v>50</v>
      </c>
      <c r="G76">
        <v>4</v>
      </c>
      <c r="J76" t="s">
        <v>568</v>
      </c>
      <c r="K76" t="s">
        <v>94</v>
      </c>
      <c r="L76" t="s">
        <v>95</v>
      </c>
      <c r="M76">
        <v>100</v>
      </c>
      <c r="N76" s="1" t="s">
        <v>96</v>
      </c>
      <c r="O76" s="1" t="s">
        <v>96</v>
      </c>
      <c r="P76">
        <v>25.01</v>
      </c>
      <c r="Q76" s="1" t="s">
        <v>96</v>
      </c>
      <c r="R76" s="1" t="s">
        <v>96</v>
      </c>
      <c r="S76" s="1" t="s">
        <v>96</v>
      </c>
      <c r="T76" s="1" t="s">
        <v>96</v>
      </c>
      <c r="U76" s="1" t="s">
        <v>96</v>
      </c>
      <c r="V76" s="1" t="s">
        <v>96</v>
      </c>
      <c r="W76" s="1" t="s">
        <v>96</v>
      </c>
      <c r="X76" s="1" t="s">
        <v>96</v>
      </c>
      <c r="Y76" s="1" t="s">
        <v>96</v>
      </c>
      <c r="Z76" t="s">
        <v>96</v>
      </c>
      <c r="AA76" s="1" t="s">
        <v>96</v>
      </c>
      <c r="AB76" t="s">
        <v>96</v>
      </c>
      <c r="AC76" t="s">
        <v>96</v>
      </c>
      <c r="AD76">
        <v>57.15</v>
      </c>
      <c r="AE76" s="1" t="s">
        <v>96</v>
      </c>
      <c r="AF76" t="s">
        <v>96</v>
      </c>
      <c r="AG76">
        <v>61.68</v>
      </c>
      <c r="AH76">
        <v>106.49</v>
      </c>
      <c r="AI76" s="1" t="s">
        <v>96</v>
      </c>
      <c r="AJ76" s="1" t="s">
        <v>96</v>
      </c>
      <c r="AK76" s="1" t="s">
        <v>96</v>
      </c>
      <c r="AL76" s="1" t="s">
        <v>96</v>
      </c>
      <c r="AM76" s="1" t="s">
        <v>96</v>
      </c>
      <c r="AN76" s="1" t="s">
        <v>96</v>
      </c>
      <c r="AO76" t="s">
        <v>96</v>
      </c>
      <c r="AP76">
        <v>19.399999999999999</v>
      </c>
      <c r="AQ76" s="1" t="s">
        <v>96</v>
      </c>
      <c r="AR76" s="1" t="s">
        <v>96</v>
      </c>
      <c r="AS76">
        <v>33.590000000000003</v>
      </c>
      <c r="AT76">
        <v>9.94</v>
      </c>
      <c r="AU76" s="1" t="s">
        <v>96</v>
      </c>
      <c r="AV76" s="1" t="s">
        <v>96</v>
      </c>
      <c r="AW76" t="s">
        <v>96</v>
      </c>
      <c r="AX76" s="1" t="s">
        <v>96</v>
      </c>
      <c r="AY76">
        <v>395.08</v>
      </c>
      <c r="AZ76">
        <v>27.14</v>
      </c>
      <c r="BA76">
        <v>38.39</v>
      </c>
      <c r="BB76" s="1" t="s">
        <v>96</v>
      </c>
      <c r="BC76">
        <v>105.17</v>
      </c>
      <c r="BD76" s="1" t="s">
        <v>96</v>
      </c>
      <c r="BE76" s="1" t="s">
        <v>96</v>
      </c>
      <c r="BF76">
        <v>21.87</v>
      </c>
      <c r="BG76" s="1" t="s">
        <v>96</v>
      </c>
      <c r="BH76" s="1" t="s">
        <v>96</v>
      </c>
      <c r="BI76">
        <v>33.28</v>
      </c>
      <c r="BJ76">
        <v>3.16</v>
      </c>
      <c r="BK76" s="1" t="s">
        <v>96</v>
      </c>
      <c r="BL76" s="1" t="s">
        <v>96</v>
      </c>
      <c r="BM76" t="s">
        <v>96</v>
      </c>
      <c r="BN76">
        <v>9.81</v>
      </c>
      <c r="BO76" t="s">
        <v>96</v>
      </c>
      <c r="BP76" t="s">
        <v>96</v>
      </c>
      <c r="BQ76" s="1" t="s">
        <v>96</v>
      </c>
      <c r="BR76" s="1" t="s">
        <v>96</v>
      </c>
      <c r="BS76" s="1" t="s">
        <v>96</v>
      </c>
      <c r="BT76" s="1" t="s">
        <v>96</v>
      </c>
      <c r="BU76" s="1" t="s">
        <v>96</v>
      </c>
      <c r="BV76">
        <v>75.06</v>
      </c>
      <c r="BW76">
        <v>13.17</v>
      </c>
      <c r="BX76" s="1" t="s">
        <v>96</v>
      </c>
      <c r="BY76">
        <v>37.1</v>
      </c>
      <c r="BZ76" t="s">
        <v>96</v>
      </c>
      <c r="CA76" s="1" t="s">
        <v>96</v>
      </c>
      <c r="CB76">
        <v>15.01</v>
      </c>
      <c r="CC76">
        <v>15.75</v>
      </c>
      <c r="CD76" s="1" t="s">
        <v>96</v>
      </c>
    </row>
    <row r="77" spans="1:82">
      <c r="A77">
        <v>52</v>
      </c>
      <c r="B77" t="s">
        <v>251</v>
      </c>
      <c r="D77" t="b">
        <v>1</v>
      </c>
      <c r="E77" t="s">
        <v>252</v>
      </c>
      <c r="F77">
        <v>81</v>
      </c>
      <c r="G77">
        <v>2</v>
      </c>
      <c r="J77" t="s">
        <v>253</v>
      </c>
      <c r="K77" t="s">
        <v>94</v>
      </c>
      <c r="L77" t="s">
        <v>95</v>
      </c>
      <c r="M77">
        <v>100</v>
      </c>
      <c r="N77" s="1" t="s">
        <v>96</v>
      </c>
      <c r="O77" s="1" t="s">
        <v>96</v>
      </c>
      <c r="P77">
        <v>14.93</v>
      </c>
      <c r="Q77" s="1" t="s">
        <v>96</v>
      </c>
      <c r="R77" s="1" t="s">
        <v>96</v>
      </c>
      <c r="S77" s="1" t="s">
        <v>96</v>
      </c>
      <c r="T77" s="1" t="s">
        <v>96</v>
      </c>
      <c r="U77" s="1" t="s">
        <v>96</v>
      </c>
      <c r="V77" s="1" t="s">
        <v>96</v>
      </c>
      <c r="W77" s="1" t="s">
        <v>96</v>
      </c>
      <c r="X77" s="1" t="s">
        <v>96</v>
      </c>
      <c r="Y77" s="1" t="s">
        <v>96</v>
      </c>
      <c r="Z77" t="s">
        <v>96</v>
      </c>
      <c r="AA77" s="1" t="s">
        <v>96</v>
      </c>
      <c r="AB77">
        <v>1.39</v>
      </c>
      <c r="AC77">
        <v>1.95</v>
      </c>
      <c r="AD77">
        <v>6.41</v>
      </c>
      <c r="AE77" s="1" t="s">
        <v>96</v>
      </c>
      <c r="AF77" t="s">
        <v>96</v>
      </c>
      <c r="AG77">
        <v>78.28</v>
      </c>
      <c r="AH77">
        <v>25.71</v>
      </c>
      <c r="AI77" s="1" t="s">
        <v>96</v>
      </c>
      <c r="AJ77" s="1" t="s">
        <v>96</v>
      </c>
      <c r="AK77" s="1" t="s">
        <v>96</v>
      </c>
      <c r="AL77" s="1" t="s">
        <v>96</v>
      </c>
      <c r="AM77" s="1" t="s">
        <v>96</v>
      </c>
      <c r="AN77" s="1" t="s">
        <v>96</v>
      </c>
      <c r="AO77" t="s">
        <v>96</v>
      </c>
      <c r="AP77">
        <v>2.31</v>
      </c>
      <c r="AQ77" s="1" t="s">
        <v>96</v>
      </c>
      <c r="AR77" s="1" t="s">
        <v>96</v>
      </c>
      <c r="AS77">
        <v>77.03</v>
      </c>
      <c r="AT77">
        <v>3.36</v>
      </c>
      <c r="AU77" s="1" t="s">
        <v>96</v>
      </c>
      <c r="AV77" s="1" t="s">
        <v>96</v>
      </c>
      <c r="AW77" t="s">
        <v>96</v>
      </c>
      <c r="AX77" s="1" t="s">
        <v>96</v>
      </c>
      <c r="AY77">
        <v>2246.52</v>
      </c>
      <c r="AZ77">
        <v>284.49</v>
      </c>
      <c r="BA77">
        <v>32.18</v>
      </c>
      <c r="BB77" s="1" t="s">
        <v>96</v>
      </c>
      <c r="BC77" t="s">
        <v>133</v>
      </c>
      <c r="BD77" s="1" t="s">
        <v>96</v>
      </c>
      <c r="BE77" s="1" t="s">
        <v>96</v>
      </c>
      <c r="BF77">
        <v>74.22</v>
      </c>
      <c r="BG77" s="1" t="s">
        <v>96</v>
      </c>
      <c r="BH77" s="1" t="s">
        <v>96</v>
      </c>
      <c r="BI77">
        <v>40.619999999999997</v>
      </c>
      <c r="BJ77">
        <v>5.62</v>
      </c>
      <c r="BK77" s="1" t="s">
        <v>96</v>
      </c>
      <c r="BL77" s="1">
        <v>2.72</v>
      </c>
      <c r="BM77" t="s">
        <v>96</v>
      </c>
      <c r="BN77">
        <v>46.64</v>
      </c>
      <c r="BO77" t="s">
        <v>96</v>
      </c>
      <c r="BP77" t="s">
        <v>96</v>
      </c>
      <c r="BQ77" s="1" t="s">
        <v>96</v>
      </c>
      <c r="BR77" s="1" t="s">
        <v>96</v>
      </c>
      <c r="BS77" s="1" t="s">
        <v>96</v>
      </c>
      <c r="BT77" s="1" t="s">
        <v>96</v>
      </c>
      <c r="BU77" s="1" t="s">
        <v>96</v>
      </c>
      <c r="BV77">
        <v>220.68</v>
      </c>
      <c r="BW77" t="s">
        <v>96</v>
      </c>
      <c r="BX77" s="1">
        <v>8.57</v>
      </c>
      <c r="BY77">
        <v>140.76</v>
      </c>
      <c r="BZ77" t="s">
        <v>96</v>
      </c>
      <c r="CA77" s="1" t="s">
        <v>96</v>
      </c>
      <c r="CB77">
        <v>11.21</v>
      </c>
      <c r="CC77">
        <v>111.52</v>
      </c>
      <c r="CD77" s="1" t="s">
        <v>96</v>
      </c>
    </row>
    <row r="78" spans="1:82">
      <c r="A78">
        <v>208</v>
      </c>
      <c r="B78" t="s">
        <v>719</v>
      </c>
      <c r="D78" t="b">
        <v>1</v>
      </c>
      <c r="E78" t="s">
        <v>720</v>
      </c>
      <c r="F78">
        <v>315</v>
      </c>
      <c r="G78">
        <v>6</v>
      </c>
      <c r="J78" t="s">
        <v>721</v>
      </c>
      <c r="K78" t="s">
        <v>94</v>
      </c>
      <c r="L78" t="s">
        <v>95</v>
      </c>
      <c r="M78">
        <v>100</v>
      </c>
      <c r="N78" s="1" t="s">
        <v>96</v>
      </c>
      <c r="O78" s="1" t="s">
        <v>96</v>
      </c>
      <c r="P78">
        <v>21.74</v>
      </c>
      <c r="Q78" s="1" t="s">
        <v>96</v>
      </c>
      <c r="R78" s="1" t="s">
        <v>96</v>
      </c>
      <c r="S78" s="1" t="s">
        <v>96</v>
      </c>
      <c r="T78" s="1" t="s">
        <v>96</v>
      </c>
      <c r="U78" s="1" t="s">
        <v>96</v>
      </c>
      <c r="V78" s="1" t="s">
        <v>96</v>
      </c>
      <c r="W78" s="1" t="s">
        <v>96</v>
      </c>
      <c r="X78" s="1" t="s">
        <v>96</v>
      </c>
      <c r="Y78" s="1" t="s">
        <v>96</v>
      </c>
      <c r="Z78" t="s">
        <v>96</v>
      </c>
      <c r="AA78" s="1" t="s">
        <v>96</v>
      </c>
      <c r="AB78">
        <v>1.48</v>
      </c>
      <c r="AC78" t="s">
        <v>96</v>
      </c>
      <c r="AD78">
        <v>12.04</v>
      </c>
      <c r="AE78" s="1" t="s">
        <v>96</v>
      </c>
      <c r="AF78" t="s">
        <v>96</v>
      </c>
      <c r="AG78">
        <v>18.86</v>
      </c>
      <c r="AH78">
        <v>61.98</v>
      </c>
      <c r="AI78" s="1" t="s">
        <v>96</v>
      </c>
      <c r="AJ78" s="1">
        <v>2.2400000000000002</v>
      </c>
      <c r="AK78" s="1" t="s">
        <v>96</v>
      </c>
      <c r="AL78" s="1" t="s">
        <v>96</v>
      </c>
      <c r="AM78" s="1" t="s">
        <v>96</v>
      </c>
      <c r="AN78" s="1" t="s">
        <v>96</v>
      </c>
      <c r="AO78" t="s">
        <v>96</v>
      </c>
      <c r="AP78">
        <v>7.64</v>
      </c>
      <c r="AQ78" s="1" t="s">
        <v>96</v>
      </c>
      <c r="AR78" s="1" t="s">
        <v>96</v>
      </c>
      <c r="AS78">
        <v>11.7</v>
      </c>
      <c r="AT78">
        <v>2.1</v>
      </c>
      <c r="AU78" s="1" t="s">
        <v>96</v>
      </c>
      <c r="AV78" s="1" t="s">
        <v>96</v>
      </c>
      <c r="AW78" t="s">
        <v>96</v>
      </c>
      <c r="AX78" s="1" t="s">
        <v>96</v>
      </c>
      <c r="AY78">
        <v>377.23</v>
      </c>
      <c r="AZ78">
        <v>52.14</v>
      </c>
      <c r="BA78">
        <v>68.38</v>
      </c>
      <c r="BB78" s="1" t="s">
        <v>96</v>
      </c>
      <c r="BC78">
        <v>69.540000000000006</v>
      </c>
      <c r="BD78" s="1" t="s">
        <v>96</v>
      </c>
      <c r="BE78" s="1" t="s">
        <v>96</v>
      </c>
      <c r="BF78">
        <v>38.17</v>
      </c>
      <c r="BG78" s="1" t="s">
        <v>96</v>
      </c>
      <c r="BH78" s="1" t="s">
        <v>96</v>
      </c>
      <c r="BI78">
        <v>27.48</v>
      </c>
      <c r="BJ78">
        <v>5.9</v>
      </c>
      <c r="BK78" s="1" t="s">
        <v>96</v>
      </c>
      <c r="BL78" s="1">
        <v>2.68</v>
      </c>
      <c r="BM78">
        <v>2.81</v>
      </c>
      <c r="BN78">
        <v>5.64</v>
      </c>
      <c r="BO78">
        <v>71.790000000000006</v>
      </c>
      <c r="BP78" t="s">
        <v>96</v>
      </c>
      <c r="BQ78" s="1" t="s">
        <v>96</v>
      </c>
      <c r="BR78" s="1" t="s">
        <v>96</v>
      </c>
      <c r="BS78" s="1" t="s">
        <v>96</v>
      </c>
      <c r="BT78" s="1" t="s">
        <v>96</v>
      </c>
      <c r="BU78" s="1" t="s">
        <v>96</v>
      </c>
      <c r="BV78">
        <v>260.14</v>
      </c>
      <c r="BW78">
        <v>29.01</v>
      </c>
      <c r="BX78" s="1" t="s">
        <v>96</v>
      </c>
      <c r="BY78">
        <v>108.45</v>
      </c>
      <c r="BZ78">
        <v>58.5</v>
      </c>
      <c r="CA78" s="1" t="s">
        <v>96</v>
      </c>
      <c r="CB78">
        <v>82.32</v>
      </c>
      <c r="CC78">
        <v>260.24</v>
      </c>
      <c r="CD78" s="1" t="s">
        <v>96</v>
      </c>
    </row>
    <row r="79" spans="1:82">
      <c r="A79">
        <v>5</v>
      </c>
      <c r="B79" t="s">
        <v>109</v>
      </c>
      <c r="D79" t="b">
        <v>1</v>
      </c>
      <c r="E79" t="s">
        <v>110</v>
      </c>
      <c r="F79">
        <v>192</v>
      </c>
      <c r="G79">
        <v>1</v>
      </c>
      <c r="J79" t="s">
        <v>111</v>
      </c>
      <c r="K79" t="s">
        <v>94</v>
      </c>
      <c r="L79" t="s">
        <v>95</v>
      </c>
      <c r="M79">
        <v>100</v>
      </c>
      <c r="N79" s="1" t="s">
        <v>96</v>
      </c>
      <c r="O79" s="1" t="s">
        <v>96</v>
      </c>
      <c r="P79">
        <v>10.53</v>
      </c>
      <c r="Q79" s="1" t="s">
        <v>96</v>
      </c>
      <c r="R79" s="1" t="s">
        <v>96</v>
      </c>
      <c r="S79" s="1" t="s">
        <v>96</v>
      </c>
      <c r="T79" s="1" t="s">
        <v>96</v>
      </c>
      <c r="U79" s="1" t="s">
        <v>96</v>
      </c>
      <c r="V79" s="1" t="s">
        <v>96</v>
      </c>
      <c r="W79" s="1" t="s">
        <v>96</v>
      </c>
      <c r="X79" s="1" t="s">
        <v>96</v>
      </c>
      <c r="Y79" s="1" t="s">
        <v>96</v>
      </c>
      <c r="Z79" t="s">
        <v>96</v>
      </c>
      <c r="AA79" s="1" t="s">
        <v>96</v>
      </c>
      <c r="AB79" t="s">
        <v>96</v>
      </c>
      <c r="AC79">
        <v>1.85</v>
      </c>
      <c r="AD79">
        <v>61.91</v>
      </c>
      <c r="AE79" s="1" t="s">
        <v>96</v>
      </c>
      <c r="AF79" t="s">
        <v>96</v>
      </c>
      <c r="AG79">
        <v>45.85</v>
      </c>
      <c r="AH79">
        <v>23.42</v>
      </c>
      <c r="AI79" s="1" t="s">
        <v>96</v>
      </c>
      <c r="AJ79" s="1" t="s">
        <v>96</v>
      </c>
      <c r="AK79" s="1" t="s">
        <v>96</v>
      </c>
      <c r="AL79" s="1" t="s">
        <v>96</v>
      </c>
      <c r="AM79" s="1" t="s">
        <v>96</v>
      </c>
      <c r="AN79" s="1" t="s">
        <v>96</v>
      </c>
      <c r="AO79">
        <v>26.92</v>
      </c>
      <c r="AP79">
        <v>9.91</v>
      </c>
      <c r="AQ79" s="1" t="s">
        <v>96</v>
      </c>
      <c r="AR79" s="1" t="s">
        <v>96</v>
      </c>
      <c r="AS79">
        <v>24.42</v>
      </c>
      <c r="AT79">
        <v>1.8</v>
      </c>
      <c r="AU79" s="1" t="s">
        <v>96</v>
      </c>
      <c r="AV79" s="1" t="s">
        <v>96</v>
      </c>
      <c r="AW79" t="s">
        <v>96</v>
      </c>
      <c r="AX79" s="1" t="s">
        <v>96</v>
      </c>
      <c r="AY79">
        <v>173.33</v>
      </c>
      <c r="AZ79">
        <v>30.93</v>
      </c>
      <c r="BA79">
        <v>21.97</v>
      </c>
      <c r="BB79" s="1" t="s">
        <v>96</v>
      </c>
      <c r="BC79">
        <v>88</v>
      </c>
      <c r="BD79" s="1" t="s">
        <v>96</v>
      </c>
      <c r="BE79" s="1" t="s">
        <v>96</v>
      </c>
      <c r="BF79">
        <v>8</v>
      </c>
      <c r="BG79" s="1" t="s">
        <v>96</v>
      </c>
      <c r="BH79" s="1" t="s">
        <v>96</v>
      </c>
      <c r="BI79">
        <v>40.33</v>
      </c>
      <c r="BJ79">
        <v>8.4700000000000006</v>
      </c>
      <c r="BK79" s="1" t="s">
        <v>96</v>
      </c>
      <c r="BL79" s="1" t="s">
        <v>96</v>
      </c>
      <c r="BM79" t="s">
        <v>96</v>
      </c>
      <c r="BN79">
        <v>18.37</v>
      </c>
      <c r="BO79">
        <v>55.36</v>
      </c>
      <c r="BP79" t="s">
        <v>96</v>
      </c>
      <c r="BQ79" s="1" t="s">
        <v>96</v>
      </c>
      <c r="BR79" s="1" t="s">
        <v>96</v>
      </c>
      <c r="BS79" s="1" t="s">
        <v>96</v>
      </c>
      <c r="BT79" s="1" t="s">
        <v>96</v>
      </c>
      <c r="BU79" s="1">
        <v>5.0999999999999996</v>
      </c>
      <c r="BV79">
        <v>99.52</v>
      </c>
      <c r="BW79">
        <v>27.81</v>
      </c>
      <c r="BX79" s="1" t="s">
        <v>96</v>
      </c>
      <c r="BY79">
        <v>152.35</v>
      </c>
      <c r="BZ79">
        <v>16.760000000000002</v>
      </c>
      <c r="CA79" s="1" t="s">
        <v>96</v>
      </c>
      <c r="CB79">
        <v>31.26</v>
      </c>
      <c r="CC79">
        <v>43.37</v>
      </c>
      <c r="CD79" s="1" t="s">
        <v>96</v>
      </c>
    </row>
    <row r="80" spans="1:82">
      <c r="A80">
        <v>165</v>
      </c>
      <c r="B80" t="s">
        <v>590</v>
      </c>
      <c r="D80" t="b">
        <v>1</v>
      </c>
      <c r="E80" t="s">
        <v>591</v>
      </c>
      <c r="F80">
        <v>252</v>
      </c>
      <c r="G80">
        <v>5</v>
      </c>
      <c r="J80" t="s">
        <v>592</v>
      </c>
      <c r="K80" t="s">
        <v>94</v>
      </c>
      <c r="L80" t="s">
        <v>95</v>
      </c>
      <c r="M80">
        <v>100</v>
      </c>
      <c r="N80" s="1" t="s">
        <v>96</v>
      </c>
      <c r="O80" s="1" t="s">
        <v>96</v>
      </c>
      <c r="P80">
        <v>17.98</v>
      </c>
      <c r="Q80" s="1" t="s">
        <v>96</v>
      </c>
      <c r="R80" s="1" t="s">
        <v>96</v>
      </c>
      <c r="S80" s="1" t="s">
        <v>96</v>
      </c>
      <c r="T80" s="1" t="s">
        <v>96</v>
      </c>
      <c r="U80" s="1" t="s">
        <v>96</v>
      </c>
      <c r="V80" s="1" t="s">
        <v>96</v>
      </c>
      <c r="W80" s="1" t="s">
        <v>96</v>
      </c>
      <c r="X80" s="1" t="s">
        <v>96</v>
      </c>
      <c r="Y80" s="1" t="s">
        <v>96</v>
      </c>
      <c r="Z80" t="s">
        <v>96</v>
      </c>
      <c r="AA80" s="1" t="s">
        <v>96</v>
      </c>
      <c r="AB80">
        <v>3.72</v>
      </c>
      <c r="AC80" t="s">
        <v>96</v>
      </c>
      <c r="AD80">
        <v>46.35</v>
      </c>
      <c r="AE80" s="1" t="s">
        <v>96</v>
      </c>
      <c r="AF80" t="s">
        <v>96</v>
      </c>
      <c r="AG80">
        <v>85.96</v>
      </c>
      <c r="AH80">
        <v>176.19</v>
      </c>
      <c r="AI80" s="1" t="s">
        <v>96</v>
      </c>
      <c r="AJ80" s="1" t="s">
        <v>96</v>
      </c>
      <c r="AK80" s="1" t="s">
        <v>96</v>
      </c>
      <c r="AL80" s="1" t="s">
        <v>96</v>
      </c>
      <c r="AM80" s="1" t="s">
        <v>96</v>
      </c>
      <c r="AN80" s="1" t="s">
        <v>96</v>
      </c>
      <c r="AO80" t="s">
        <v>96</v>
      </c>
      <c r="AP80">
        <v>52.73</v>
      </c>
      <c r="AQ80" s="1" t="s">
        <v>96</v>
      </c>
      <c r="AR80" s="1" t="s">
        <v>96</v>
      </c>
      <c r="AS80">
        <v>159.97</v>
      </c>
      <c r="AT80">
        <v>13.78</v>
      </c>
      <c r="AU80" s="1" t="s">
        <v>96</v>
      </c>
      <c r="AV80" s="1" t="s">
        <v>96</v>
      </c>
      <c r="AW80" t="s">
        <v>96</v>
      </c>
      <c r="AX80" s="1" t="s">
        <v>96</v>
      </c>
      <c r="AY80" t="s">
        <v>133</v>
      </c>
      <c r="AZ80">
        <v>152.26</v>
      </c>
      <c r="BA80">
        <v>189.42</v>
      </c>
      <c r="BB80" s="1" t="s">
        <v>96</v>
      </c>
      <c r="BC80" t="s">
        <v>133</v>
      </c>
      <c r="BD80" s="1" t="s">
        <v>96</v>
      </c>
      <c r="BE80" s="1" t="s">
        <v>96</v>
      </c>
      <c r="BF80">
        <v>39.96</v>
      </c>
      <c r="BG80" s="1">
        <v>2.88</v>
      </c>
      <c r="BH80" s="1" t="s">
        <v>96</v>
      </c>
      <c r="BI80">
        <v>157.15</v>
      </c>
      <c r="BJ80">
        <v>8.85</v>
      </c>
      <c r="BK80" s="1" t="s">
        <v>96</v>
      </c>
      <c r="BL80" s="1">
        <v>2.7</v>
      </c>
      <c r="BM80" t="s">
        <v>96</v>
      </c>
      <c r="BN80">
        <v>46.53</v>
      </c>
      <c r="BO80" t="s">
        <v>96</v>
      </c>
      <c r="BP80" t="s">
        <v>96</v>
      </c>
      <c r="BQ80" s="1" t="s">
        <v>96</v>
      </c>
      <c r="BR80" s="1" t="s">
        <v>96</v>
      </c>
      <c r="BS80" s="1" t="s">
        <v>96</v>
      </c>
      <c r="BT80" s="1">
        <v>8.06</v>
      </c>
      <c r="BU80" s="1" t="s">
        <v>96</v>
      </c>
      <c r="BV80">
        <v>336.54</v>
      </c>
      <c r="BW80">
        <v>35.71</v>
      </c>
      <c r="BX80" s="1">
        <v>10.37</v>
      </c>
      <c r="BY80">
        <v>60.79</v>
      </c>
      <c r="BZ80">
        <v>8.56</v>
      </c>
      <c r="CA80" s="1" t="s">
        <v>96</v>
      </c>
      <c r="CB80">
        <v>34.92</v>
      </c>
      <c r="CC80">
        <v>43.24</v>
      </c>
      <c r="CD80" s="1" t="s">
        <v>96</v>
      </c>
    </row>
    <row r="81" spans="1:82">
      <c r="A81">
        <v>198</v>
      </c>
      <c r="B81" t="s">
        <v>689</v>
      </c>
      <c r="D81" t="b">
        <v>1</v>
      </c>
      <c r="E81" t="s">
        <v>690</v>
      </c>
      <c r="F81">
        <v>291</v>
      </c>
      <c r="G81">
        <v>5</v>
      </c>
      <c r="J81" t="s">
        <v>691</v>
      </c>
      <c r="K81" t="s">
        <v>94</v>
      </c>
      <c r="L81" t="s">
        <v>95</v>
      </c>
      <c r="M81">
        <v>100</v>
      </c>
      <c r="N81" s="1" t="s">
        <v>96</v>
      </c>
      <c r="O81" s="1" t="s">
        <v>96</v>
      </c>
      <c r="P81">
        <v>16.899999999999999</v>
      </c>
      <c r="Q81" s="1" t="s">
        <v>96</v>
      </c>
      <c r="R81" s="1" t="s">
        <v>96</v>
      </c>
      <c r="S81" s="1" t="s">
        <v>96</v>
      </c>
      <c r="T81" s="1" t="s">
        <v>96</v>
      </c>
      <c r="U81" s="1" t="s">
        <v>96</v>
      </c>
      <c r="V81" s="1" t="s">
        <v>96</v>
      </c>
      <c r="W81" s="1" t="s">
        <v>96</v>
      </c>
      <c r="X81" s="1" t="s">
        <v>96</v>
      </c>
      <c r="Y81" s="1" t="s">
        <v>96</v>
      </c>
      <c r="Z81">
        <v>1.28</v>
      </c>
      <c r="AA81" s="1" t="s">
        <v>96</v>
      </c>
      <c r="AB81">
        <v>3.74</v>
      </c>
      <c r="AC81" t="s">
        <v>96</v>
      </c>
      <c r="AD81">
        <v>44.51</v>
      </c>
      <c r="AE81" s="1" t="s">
        <v>96</v>
      </c>
      <c r="AF81" t="s">
        <v>96</v>
      </c>
      <c r="AG81" t="s">
        <v>96</v>
      </c>
      <c r="AH81">
        <v>264.85000000000002</v>
      </c>
      <c r="AI81" s="1" t="s">
        <v>96</v>
      </c>
      <c r="AJ81" s="1" t="s">
        <v>96</v>
      </c>
      <c r="AK81" s="1" t="s">
        <v>96</v>
      </c>
      <c r="AL81" s="1" t="s">
        <v>96</v>
      </c>
      <c r="AM81" s="1" t="s">
        <v>96</v>
      </c>
      <c r="AN81" s="1" t="s">
        <v>96</v>
      </c>
      <c r="AO81" t="s">
        <v>96</v>
      </c>
      <c r="AP81">
        <v>24.29</v>
      </c>
      <c r="AQ81" s="1" t="s">
        <v>96</v>
      </c>
      <c r="AR81" s="1" t="s">
        <v>96</v>
      </c>
      <c r="AS81">
        <v>26.92</v>
      </c>
      <c r="AT81">
        <v>10.64</v>
      </c>
      <c r="AU81" s="1" t="s">
        <v>96</v>
      </c>
      <c r="AV81" s="1" t="s">
        <v>96</v>
      </c>
      <c r="AW81" t="s">
        <v>96</v>
      </c>
      <c r="AX81" s="1" t="s">
        <v>96</v>
      </c>
      <c r="AY81">
        <v>564.41999999999996</v>
      </c>
      <c r="AZ81" t="s">
        <v>96</v>
      </c>
      <c r="BA81">
        <v>48.51</v>
      </c>
      <c r="BB81" s="1" t="s">
        <v>96</v>
      </c>
      <c r="BC81">
        <v>51.16</v>
      </c>
      <c r="BD81" s="1" t="s">
        <v>96</v>
      </c>
      <c r="BE81" s="1" t="s">
        <v>96</v>
      </c>
      <c r="BF81">
        <v>26.49</v>
      </c>
      <c r="BG81" s="1" t="s">
        <v>96</v>
      </c>
      <c r="BH81" s="1" t="s">
        <v>96</v>
      </c>
      <c r="BI81">
        <v>61.17</v>
      </c>
      <c r="BJ81" t="s">
        <v>96</v>
      </c>
      <c r="BK81" s="1" t="s">
        <v>96</v>
      </c>
      <c r="BL81" s="1">
        <v>3.37</v>
      </c>
      <c r="BM81" t="s">
        <v>96</v>
      </c>
      <c r="BN81">
        <v>6.16</v>
      </c>
      <c r="BO81" t="s">
        <v>96</v>
      </c>
      <c r="BP81" t="s">
        <v>96</v>
      </c>
      <c r="BQ81" s="1" t="s">
        <v>96</v>
      </c>
      <c r="BR81" s="1" t="s">
        <v>96</v>
      </c>
      <c r="BS81" s="1" t="s">
        <v>96</v>
      </c>
      <c r="BT81" s="1" t="s">
        <v>96</v>
      </c>
      <c r="BU81" s="1" t="s">
        <v>96</v>
      </c>
      <c r="BV81">
        <v>110.42</v>
      </c>
      <c r="BW81">
        <v>26.2</v>
      </c>
      <c r="BX81" s="1" t="s">
        <v>96</v>
      </c>
      <c r="BY81" t="s">
        <v>96</v>
      </c>
      <c r="BZ81" t="s">
        <v>96</v>
      </c>
      <c r="CA81" s="1" t="s">
        <v>96</v>
      </c>
      <c r="CB81">
        <v>26.52</v>
      </c>
      <c r="CC81" t="s">
        <v>96</v>
      </c>
      <c r="CD81" s="1" t="s">
        <v>96</v>
      </c>
    </row>
    <row r="82" spans="1:82">
      <c r="A82">
        <v>107</v>
      </c>
      <c r="B82" t="s">
        <v>416</v>
      </c>
      <c r="D82" t="b">
        <v>1</v>
      </c>
      <c r="E82" t="s">
        <v>417</v>
      </c>
      <c r="F82">
        <v>158</v>
      </c>
      <c r="G82">
        <v>3</v>
      </c>
      <c r="J82" t="s">
        <v>418</v>
      </c>
      <c r="K82" t="s">
        <v>94</v>
      </c>
      <c r="L82" t="s">
        <v>95</v>
      </c>
      <c r="M82">
        <v>100</v>
      </c>
      <c r="N82" s="1" t="s">
        <v>96</v>
      </c>
      <c r="O82" s="1" t="s">
        <v>96</v>
      </c>
      <c r="P82">
        <v>10.69</v>
      </c>
      <c r="Q82" s="1" t="s">
        <v>96</v>
      </c>
      <c r="R82" s="1" t="s">
        <v>96</v>
      </c>
      <c r="S82" s="1" t="s">
        <v>96</v>
      </c>
      <c r="T82" s="1" t="s">
        <v>96</v>
      </c>
      <c r="U82" s="1" t="s">
        <v>96</v>
      </c>
      <c r="V82" s="1" t="s">
        <v>96</v>
      </c>
      <c r="W82" s="1" t="s">
        <v>96</v>
      </c>
      <c r="X82" s="1" t="s">
        <v>96</v>
      </c>
      <c r="Y82" s="1" t="s">
        <v>96</v>
      </c>
      <c r="Z82" t="s">
        <v>96</v>
      </c>
      <c r="AA82" s="1" t="s">
        <v>96</v>
      </c>
      <c r="AB82" t="s">
        <v>96</v>
      </c>
      <c r="AC82" t="s">
        <v>96</v>
      </c>
      <c r="AD82">
        <v>8.3699999999999992</v>
      </c>
      <c r="AE82" s="1" t="s">
        <v>96</v>
      </c>
      <c r="AF82" t="s">
        <v>96</v>
      </c>
      <c r="AG82">
        <v>32.46</v>
      </c>
      <c r="AH82">
        <v>28.7</v>
      </c>
      <c r="AI82" s="1" t="s">
        <v>96</v>
      </c>
      <c r="AJ82" s="1" t="s">
        <v>96</v>
      </c>
      <c r="AK82" s="1" t="s">
        <v>96</v>
      </c>
      <c r="AL82" s="1" t="s">
        <v>96</v>
      </c>
      <c r="AM82" s="1" t="s">
        <v>96</v>
      </c>
      <c r="AN82" s="1" t="s">
        <v>96</v>
      </c>
      <c r="AO82" t="s">
        <v>96</v>
      </c>
      <c r="AP82">
        <v>4.6900000000000004</v>
      </c>
      <c r="AQ82" s="1" t="s">
        <v>96</v>
      </c>
      <c r="AR82" s="1" t="s">
        <v>96</v>
      </c>
      <c r="AS82">
        <v>44.12</v>
      </c>
      <c r="AT82">
        <v>2.33</v>
      </c>
      <c r="AU82" s="1" t="s">
        <v>96</v>
      </c>
      <c r="AV82" s="1" t="s">
        <v>96</v>
      </c>
      <c r="AW82" t="s">
        <v>96</v>
      </c>
      <c r="AX82" s="1" t="s">
        <v>96</v>
      </c>
      <c r="AY82">
        <v>1202.24</v>
      </c>
      <c r="AZ82">
        <v>94.31</v>
      </c>
      <c r="BA82">
        <v>36.630000000000003</v>
      </c>
      <c r="BB82" s="1" t="s">
        <v>96</v>
      </c>
      <c r="BC82">
        <v>711.74</v>
      </c>
      <c r="BD82" s="1" t="s">
        <v>96</v>
      </c>
      <c r="BE82" s="1" t="s">
        <v>96</v>
      </c>
      <c r="BF82">
        <v>46.62</v>
      </c>
      <c r="BG82" s="1" t="s">
        <v>96</v>
      </c>
      <c r="BH82" s="1" t="s">
        <v>96</v>
      </c>
      <c r="BI82">
        <v>105.42</v>
      </c>
      <c r="BJ82">
        <v>13.92</v>
      </c>
      <c r="BK82" s="1" t="s">
        <v>96</v>
      </c>
      <c r="BL82" s="1">
        <v>8.42</v>
      </c>
      <c r="BM82">
        <v>2.7</v>
      </c>
      <c r="BN82">
        <v>65.040000000000006</v>
      </c>
      <c r="BO82">
        <v>47.11</v>
      </c>
      <c r="BP82" t="s">
        <v>96</v>
      </c>
      <c r="BQ82" s="1" t="s">
        <v>96</v>
      </c>
      <c r="BR82" s="1" t="s">
        <v>96</v>
      </c>
      <c r="BS82" s="1" t="s">
        <v>96</v>
      </c>
      <c r="BT82" s="1" t="s">
        <v>96</v>
      </c>
      <c r="BU82" s="1" t="s">
        <v>96</v>
      </c>
      <c r="BV82">
        <v>298.27</v>
      </c>
      <c r="BW82">
        <v>48.58</v>
      </c>
      <c r="BX82" s="1">
        <v>5.29</v>
      </c>
      <c r="BY82">
        <v>151.91</v>
      </c>
      <c r="BZ82">
        <v>18.47</v>
      </c>
      <c r="CA82" s="1" t="s">
        <v>96</v>
      </c>
      <c r="CB82">
        <v>16.87</v>
      </c>
      <c r="CC82">
        <v>58.73</v>
      </c>
      <c r="CD82" s="1" t="s">
        <v>96</v>
      </c>
    </row>
    <row r="83" spans="1:82">
      <c r="A83">
        <v>87</v>
      </c>
      <c r="B83" t="s">
        <v>356</v>
      </c>
      <c r="D83" t="b">
        <v>1</v>
      </c>
      <c r="E83" t="s">
        <v>357</v>
      </c>
      <c r="F83">
        <v>134</v>
      </c>
      <c r="G83">
        <v>3</v>
      </c>
      <c r="J83" t="s">
        <v>358</v>
      </c>
      <c r="K83" t="s">
        <v>94</v>
      </c>
      <c r="L83" t="s">
        <v>95</v>
      </c>
      <c r="M83">
        <v>100</v>
      </c>
      <c r="N83" s="1" t="s">
        <v>96</v>
      </c>
      <c r="O83" s="1" t="s">
        <v>96</v>
      </c>
      <c r="P83">
        <v>16.690000000000001</v>
      </c>
      <c r="Q83" s="1" t="s">
        <v>96</v>
      </c>
      <c r="R83" s="1" t="s">
        <v>96</v>
      </c>
      <c r="S83" s="1" t="s">
        <v>96</v>
      </c>
      <c r="T83" s="1" t="s">
        <v>96</v>
      </c>
      <c r="U83" s="1" t="s">
        <v>96</v>
      </c>
      <c r="V83" s="1" t="s">
        <v>96</v>
      </c>
      <c r="W83" s="1" t="s">
        <v>96</v>
      </c>
      <c r="X83" s="1" t="s">
        <v>96</v>
      </c>
      <c r="Y83" s="1" t="s">
        <v>96</v>
      </c>
      <c r="Z83" t="s">
        <v>96</v>
      </c>
      <c r="AA83" s="1" t="s">
        <v>96</v>
      </c>
      <c r="AB83" t="s">
        <v>96</v>
      </c>
      <c r="AC83">
        <v>1.52</v>
      </c>
      <c r="AD83">
        <v>45.79</v>
      </c>
      <c r="AE83" s="1" t="s">
        <v>96</v>
      </c>
      <c r="AF83" t="s">
        <v>96</v>
      </c>
      <c r="AG83">
        <v>47.42</v>
      </c>
      <c r="AH83">
        <v>18.309999999999999</v>
      </c>
      <c r="AI83" s="1" t="s">
        <v>96</v>
      </c>
      <c r="AJ83" s="1" t="s">
        <v>96</v>
      </c>
      <c r="AK83" s="1" t="s">
        <v>96</v>
      </c>
      <c r="AL83" s="1" t="s">
        <v>96</v>
      </c>
      <c r="AM83" s="1" t="s">
        <v>96</v>
      </c>
      <c r="AN83" s="1" t="s">
        <v>96</v>
      </c>
      <c r="AO83" t="s">
        <v>96</v>
      </c>
      <c r="AP83">
        <v>8.33</v>
      </c>
      <c r="AQ83" s="1" t="s">
        <v>96</v>
      </c>
      <c r="AR83" s="1" t="s">
        <v>96</v>
      </c>
      <c r="AS83">
        <v>8.7100000000000009</v>
      </c>
      <c r="AT83">
        <v>1.45</v>
      </c>
      <c r="AU83" s="1" t="s">
        <v>96</v>
      </c>
      <c r="AV83" s="1" t="s">
        <v>96</v>
      </c>
      <c r="AW83" t="s">
        <v>96</v>
      </c>
      <c r="AX83" s="1" t="s">
        <v>96</v>
      </c>
      <c r="AY83">
        <v>732.91</v>
      </c>
      <c r="AZ83">
        <v>159.65</v>
      </c>
      <c r="BA83">
        <v>108.52</v>
      </c>
      <c r="BB83" s="1" t="s">
        <v>96</v>
      </c>
      <c r="BC83">
        <v>155.52000000000001</v>
      </c>
      <c r="BD83" s="1" t="s">
        <v>96</v>
      </c>
      <c r="BE83" s="1" t="s">
        <v>96</v>
      </c>
      <c r="BF83">
        <v>16.059999999999999</v>
      </c>
      <c r="BG83" s="1">
        <v>5.0599999999999996</v>
      </c>
      <c r="BH83" s="1" t="s">
        <v>96</v>
      </c>
      <c r="BI83">
        <v>96.5</v>
      </c>
      <c r="BJ83">
        <v>22.39</v>
      </c>
      <c r="BK83" s="1" t="s">
        <v>96</v>
      </c>
      <c r="BL83" s="1" t="s">
        <v>96</v>
      </c>
      <c r="BM83" t="s">
        <v>96</v>
      </c>
      <c r="BN83">
        <v>17.21</v>
      </c>
      <c r="BO83">
        <v>35.979999999999997</v>
      </c>
      <c r="BP83" t="s">
        <v>96</v>
      </c>
      <c r="BQ83" s="1" t="s">
        <v>96</v>
      </c>
      <c r="BR83" s="1" t="s">
        <v>96</v>
      </c>
      <c r="BS83" s="1" t="s">
        <v>96</v>
      </c>
      <c r="BT83" s="1" t="s">
        <v>96</v>
      </c>
      <c r="BU83" s="1" t="s">
        <v>96</v>
      </c>
      <c r="BV83">
        <v>91.49</v>
      </c>
      <c r="BW83">
        <v>21.13</v>
      </c>
      <c r="BX83" s="1" t="s">
        <v>96</v>
      </c>
      <c r="BY83">
        <v>247.48</v>
      </c>
      <c r="BZ83">
        <v>23.48</v>
      </c>
      <c r="CA83" s="1" t="s">
        <v>96</v>
      </c>
      <c r="CB83">
        <v>46.33</v>
      </c>
      <c r="CC83">
        <v>87.24</v>
      </c>
      <c r="CD83" s="1" t="s">
        <v>96</v>
      </c>
    </row>
    <row r="84" spans="1:82">
      <c r="A84">
        <v>174</v>
      </c>
      <c r="B84" t="s">
        <v>617</v>
      </c>
      <c r="D84" t="b">
        <v>1</v>
      </c>
      <c r="E84" t="s">
        <v>618</v>
      </c>
      <c r="F84">
        <v>263</v>
      </c>
      <c r="G84">
        <v>5</v>
      </c>
      <c r="J84" t="s">
        <v>619</v>
      </c>
      <c r="K84" t="s">
        <v>94</v>
      </c>
      <c r="L84" t="s">
        <v>95</v>
      </c>
      <c r="M84">
        <v>100</v>
      </c>
      <c r="N84" s="1" t="s">
        <v>96</v>
      </c>
      <c r="O84" s="1" t="s">
        <v>96</v>
      </c>
      <c r="P84">
        <v>12.87</v>
      </c>
      <c r="Q84" s="1" t="s">
        <v>96</v>
      </c>
      <c r="R84" s="1" t="s">
        <v>96</v>
      </c>
      <c r="S84" s="1" t="s">
        <v>96</v>
      </c>
      <c r="T84" s="1" t="s">
        <v>96</v>
      </c>
      <c r="U84" s="1" t="s">
        <v>96</v>
      </c>
      <c r="V84" s="1" t="s">
        <v>96</v>
      </c>
      <c r="W84" s="1" t="s">
        <v>96</v>
      </c>
      <c r="X84" s="1" t="s">
        <v>96</v>
      </c>
      <c r="Y84" s="1" t="s">
        <v>96</v>
      </c>
      <c r="Z84" t="s">
        <v>96</v>
      </c>
      <c r="AA84" s="1" t="s">
        <v>96</v>
      </c>
      <c r="AB84">
        <v>1.24</v>
      </c>
      <c r="AC84">
        <v>3.09</v>
      </c>
      <c r="AD84">
        <v>71.790000000000006</v>
      </c>
      <c r="AE84" s="1" t="s">
        <v>96</v>
      </c>
      <c r="AF84">
        <v>7.22</v>
      </c>
      <c r="AG84">
        <v>94.97</v>
      </c>
      <c r="AH84">
        <v>21.43</v>
      </c>
      <c r="AI84" s="1" t="s">
        <v>96</v>
      </c>
      <c r="AJ84" s="1" t="s">
        <v>96</v>
      </c>
      <c r="AK84" s="1" t="s">
        <v>96</v>
      </c>
      <c r="AL84" s="1" t="s">
        <v>96</v>
      </c>
      <c r="AM84" s="1" t="s">
        <v>96</v>
      </c>
      <c r="AN84" s="1" t="s">
        <v>96</v>
      </c>
      <c r="AO84" t="s">
        <v>96</v>
      </c>
      <c r="AP84">
        <v>19.52</v>
      </c>
      <c r="AQ84" s="1" t="s">
        <v>96</v>
      </c>
      <c r="AR84" s="1" t="s">
        <v>96</v>
      </c>
      <c r="AS84">
        <v>4.74</v>
      </c>
      <c r="AT84">
        <v>1.28</v>
      </c>
      <c r="AU84" s="1" t="s">
        <v>96</v>
      </c>
      <c r="AV84" s="1" t="s">
        <v>96</v>
      </c>
      <c r="AW84" t="s">
        <v>96</v>
      </c>
      <c r="AX84" s="1" t="s">
        <v>96</v>
      </c>
      <c r="AY84">
        <v>645.21</v>
      </c>
      <c r="AZ84">
        <v>76.36</v>
      </c>
      <c r="BA84">
        <v>39.54</v>
      </c>
      <c r="BB84" s="1" t="s">
        <v>96</v>
      </c>
      <c r="BC84">
        <v>182.32</v>
      </c>
      <c r="BD84" s="1" t="s">
        <v>96</v>
      </c>
      <c r="BE84" s="1" t="s">
        <v>96</v>
      </c>
      <c r="BF84">
        <v>7.67</v>
      </c>
      <c r="BG84" s="1" t="s">
        <v>96</v>
      </c>
      <c r="BH84" s="1" t="s">
        <v>96</v>
      </c>
      <c r="BI84">
        <v>42.36</v>
      </c>
      <c r="BJ84">
        <v>8.77</v>
      </c>
      <c r="BK84" s="1" t="s">
        <v>96</v>
      </c>
      <c r="BL84" s="1" t="s">
        <v>96</v>
      </c>
      <c r="BM84" t="s">
        <v>96</v>
      </c>
      <c r="BN84">
        <v>21.95</v>
      </c>
      <c r="BO84" t="s">
        <v>96</v>
      </c>
      <c r="BP84">
        <v>6.44</v>
      </c>
      <c r="BQ84" s="1" t="s">
        <v>96</v>
      </c>
      <c r="BR84" s="1" t="s">
        <v>96</v>
      </c>
      <c r="BS84" s="1" t="s">
        <v>96</v>
      </c>
      <c r="BT84" s="1" t="s">
        <v>96</v>
      </c>
      <c r="BU84" s="1" t="s">
        <v>96</v>
      </c>
      <c r="BV84">
        <v>63.86</v>
      </c>
      <c r="BW84">
        <v>10.45</v>
      </c>
      <c r="BX84" s="1" t="s">
        <v>96</v>
      </c>
      <c r="BY84">
        <v>83.1</v>
      </c>
      <c r="BZ84">
        <v>10.87</v>
      </c>
      <c r="CA84" s="1" t="s">
        <v>96</v>
      </c>
      <c r="CB84">
        <v>15.59</v>
      </c>
      <c r="CC84">
        <v>41.82</v>
      </c>
      <c r="CD84" s="1" t="s">
        <v>96</v>
      </c>
    </row>
    <row r="85" spans="1:82">
      <c r="A85">
        <v>72</v>
      </c>
      <c r="B85" t="s">
        <v>311</v>
      </c>
      <c r="D85" t="b">
        <v>1</v>
      </c>
      <c r="E85" t="s">
        <v>312</v>
      </c>
      <c r="F85">
        <v>105</v>
      </c>
      <c r="G85">
        <v>2</v>
      </c>
      <c r="J85" t="s">
        <v>313</v>
      </c>
      <c r="K85" t="s">
        <v>94</v>
      </c>
      <c r="L85" t="s">
        <v>95</v>
      </c>
      <c r="M85">
        <v>100</v>
      </c>
      <c r="N85" s="1" t="s">
        <v>96</v>
      </c>
      <c r="O85" s="1" t="s">
        <v>96</v>
      </c>
      <c r="P85">
        <v>20.329999999999998</v>
      </c>
      <c r="Q85" s="1" t="s">
        <v>96</v>
      </c>
      <c r="R85" s="1" t="s">
        <v>96</v>
      </c>
      <c r="S85" s="1">
        <v>5.01</v>
      </c>
      <c r="T85" s="1" t="s">
        <v>96</v>
      </c>
      <c r="U85" s="1" t="s">
        <v>96</v>
      </c>
      <c r="V85" s="1" t="s">
        <v>96</v>
      </c>
      <c r="W85" s="1" t="s">
        <v>96</v>
      </c>
      <c r="X85" s="1" t="s">
        <v>96</v>
      </c>
      <c r="Y85" s="1" t="s">
        <v>96</v>
      </c>
      <c r="Z85" t="s">
        <v>96</v>
      </c>
      <c r="AA85" s="1" t="s">
        <v>96</v>
      </c>
      <c r="AB85">
        <v>2.33</v>
      </c>
      <c r="AC85">
        <v>4.07</v>
      </c>
      <c r="AD85">
        <v>147.13999999999999</v>
      </c>
      <c r="AE85" s="1" t="s">
        <v>96</v>
      </c>
      <c r="AF85">
        <v>9.98</v>
      </c>
      <c r="AG85">
        <v>281.39999999999998</v>
      </c>
      <c r="AH85">
        <v>53.27</v>
      </c>
      <c r="AI85" s="1" t="s">
        <v>96</v>
      </c>
      <c r="AJ85" s="1">
        <v>2.74</v>
      </c>
      <c r="AK85" s="1" t="s">
        <v>96</v>
      </c>
      <c r="AL85" s="1" t="s">
        <v>96</v>
      </c>
      <c r="AM85" s="1" t="s">
        <v>96</v>
      </c>
      <c r="AN85" s="1" t="s">
        <v>96</v>
      </c>
      <c r="AO85">
        <v>448.71</v>
      </c>
      <c r="AP85">
        <v>44.12</v>
      </c>
      <c r="AQ85" s="1" t="s">
        <v>96</v>
      </c>
      <c r="AR85" s="1" t="s">
        <v>96</v>
      </c>
      <c r="AS85">
        <v>10.65</v>
      </c>
      <c r="AT85">
        <v>1.0900000000000001</v>
      </c>
      <c r="AU85" s="1" t="s">
        <v>96</v>
      </c>
      <c r="AV85" s="1" t="s">
        <v>96</v>
      </c>
      <c r="AW85">
        <v>24.03</v>
      </c>
      <c r="AX85" s="1" t="s">
        <v>96</v>
      </c>
      <c r="AY85">
        <v>1002.69</v>
      </c>
      <c r="AZ85">
        <v>506.96</v>
      </c>
      <c r="BA85">
        <v>147.69999999999999</v>
      </c>
      <c r="BB85" s="1" t="s">
        <v>96</v>
      </c>
      <c r="BC85">
        <v>158.91</v>
      </c>
      <c r="BD85" s="1" t="s">
        <v>96</v>
      </c>
      <c r="BE85" s="1">
        <v>11.76</v>
      </c>
      <c r="BF85">
        <v>7.91</v>
      </c>
      <c r="BG85" s="1">
        <v>7.36</v>
      </c>
      <c r="BH85" s="1" t="s">
        <v>96</v>
      </c>
      <c r="BI85">
        <v>124.24</v>
      </c>
      <c r="BJ85">
        <v>88.75</v>
      </c>
      <c r="BK85" s="1" t="s">
        <v>96</v>
      </c>
      <c r="BL85" s="1" t="s">
        <v>96</v>
      </c>
      <c r="BM85" t="s">
        <v>96</v>
      </c>
      <c r="BN85">
        <v>27.62</v>
      </c>
      <c r="BO85">
        <v>185.52</v>
      </c>
      <c r="BP85">
        <v>5.74</v>
      </c>
      <c r="BQ85" s="1" t="s">
        <v>96</v>
      </c>
      <c r="BR85" s="1" t="s">
        <v>96</v>
      </c>
      <c r="BS85" s="1" t="s">
        <v>96</v>
      </c>
      <c r="BT85" s="1" t="s">
        <v>96</v>
      </c>
      <c r="BU85" s="1" t="s">
        <v>96</v>
      </c>
      <c r="BV85">
        <v>47.36</v>
      </c>
      <c r="BW85">
        <v>9.65</v>
      </c>
      <c r="BX85" s="1" t="s">
        <v>96</v>
      </c>
      <c r="BY85">
        <v>697.44</v>
      </c>
      <c r="BZ85">
        <v>22.15</v>
      </c>
      <c r="CA85" s="1" t="s">
        <v>96</v>
      </c>
      <c r="CB85">
        <v>18.05</v>
      </c>
      <c r="CC85">
        <v>55.27</v>
      </c>
      <c r="CD85" s="1" t="s">
        <v>96</v>
      </c>
    </row>
    <row r="86" spans="1:82">
      <c r="A86">
        <v>50</v>
      </c>
      <c r="B86" t="s">
        <v>245</v>
      </c>
      <c r="D86" t="b">
        <v>1</v>
      </c>
      <c r="E86" t="s">
        <v>246</v>
      </c>
      <c r="F86">
        <v>79</v>
      </c>
      <c r="G86">
        <v>2</v>
      </c>
      <c r="J86" t="s">
        <v>247</v>
      </c>
      <c r="K86" t="s">
        <v>94</v>
      </c>
      <c r="L86" t="s">
        <v>95</v>
      </c>
      <c r="M86">
        <v>100</v>
      </c>
      <c r="N86" s="1" t="s">
        <v>96</v>
      </c>
      <c r="O86" s="1" t="s">
        <v>96</v>
      </c>
      <c r="P86">
        <v>5.41</v>
      </c>
      <c r="Q86" s="1" t="s">
        <v>96</v>
      </c>
      <c r="R86" s="1" t="s">
        <v>96</v>
      </c>
      <c r="S86" s="1" t="s">
        <v>96</v>
      </c>
      <c r="T86" s="1" t="s">
        <v>96</v>
      </c>
      <c r="U86" s="1" t="s">
        <v>96</v>
      </c>
      <c r="V86" s="1" t="s">
        <v>96</v>
      </c>
      <c r="W86" s="1" t="s">
        <v>96</v>
      </c>
      <c r="X86" s="1" t="s">
        <v>96</v>
      </c>
      <c r="Y86" s="1" t="s">
        <v>96</v>
      </c>
      <c r="Z86" t="s">
        <v>96</v>
      </c>
      <c r="AA86" s="1" t="s">
        <v>96</v>
      </c>
      <c r="AB86" t="s">
        <v>96</v>
      </c>
      <c r="AC86" t="s">
        <v>96</v>
      </c>
      <c r="AD86" t="s">
        <v>96</v>
      </c>
      <c r="AE86" s="1" t="s">
        <v>96</v>
      </c>
      <c r="AF86" t="s">
        <v>96</v>
      </c>
      <c r="AG86" t="s">
        <v>96</v>
      </c>
      <c r="AH86">
        <v>29.76</v>
      </c>
      <c r="AI86" s="1" t="s">
        <v>96</v>
      </c>
      <c r="AJ86" s="1" t="s">
        <v>96</v>
      </c>
      <c r="AK86" s="1" t="s">
        <v>96</v>
      </c>
      <c r="AL86" s="1" t="s">
        <v>96</v>
      </c>
      <c r="AM86" s="1" t="s">
        <v>96</v>
      </c>
      <c r="AN86" s="1">
        <v>1.19</v>
      </c>
      <c r="AO86" t="s">
        <v>96</v>
      </c>
      <c r="AP86">
        <v>1.31</v>
      </c>
      <c r="AQ86" s="1" t="s">
        <v>96</v>
      </c>
      <c r="AR86" s="1" t="s">
        <v>96</v>
      </c>
      <c r="AS86">
        <v>56.2</v>
      </c>
      <c r="AT86" t="s">
        <v>96</v>
      </c>
      <c r="AU86" s="1" t="s">
        <v>96</v>
      </c>
      <c r="AV86" s="1" t="s">
        <v>96</v>
      </c>
      <c r="AW86" t="s">
        <v>96</v>
      </c>
      <c r="AX86" s="1" t="s">
        <v>96</v>
      </c>
      <c r="AY86">
        <v>1267.3499999999999</v>
      </c>
      <c r="AZ86" t="s">
        <v>96</v>
      </c>
      <c r="BA86">
        <v>8.73</v>
      </c>
      <c r="BB86" s="1" t="s">
        <v>96</v>
      </c>
      <c r="BC86" t="s">
        <v>133</v>
      </c>
      <c r="BD86" s="1" t="s">
        <v>96</v>
      </c>
      <c r="BE86" s="1" t="s">
        <v>96</v>
      </c>
      <c r="BF86">
        <v>14.62</v>
      </c>
      <c r="BG86" s="1" t="s">
        <v>96</v>
      </c>
      <c r="BH86" s="1" t="s">
        <v>96</v>
      </c>
      <c r="BI86">
        <v>9.5399999999999991</v>
      </c>
      <c r="BJ86" t="s">
        <v>96</v>
      </c>
      <c r="BK86" s="1" t="s">
        <v>96</v>
      </c>
      <c r="BL86" s="1" t="s">
        <v>96</v>
      </c>
      <c r="BM86" t="s">
        <v>96</v>
      </c>
      <c r="BN86">
        <v>23.32</v>
      </c>
      <c r="BO86" t="s">
        <v>96</v>
      </c>
      <c r="BP86" t="s">
        <v>96</v>
      </c>
      <c r="BQ86" s="1" t="s">
        <v>96</v>
      </c>
      <c r="BR86" s="1" t="s">
        <v>96</v>
      </c>
      <c r="BS86" s="1" t="s">
        <v>96</v>
      </c>
      <c r="BT86" s="1" t="s">
        <v>96</v>
      </c>
      <c r="BU86" s="1" t="s">
        <v>96</v>
      </c>
      <c r="BV86">
        <v>332.48</v>
      </c>
      <c r="BW86" t="s">
        <v>96</v>
      </c>
      <c r="BX86" s="1">
        <v>56.89</v>
      </c>
      <c r="BY86" t="s">
        <v>96</v>
      </c>
      <c r="BZ86" t="s">
        <v>96</v>
      </c>
      <c r="CA86" s="1" t="s">
        <v>96</v>
      </c>
      <c r="CB86">
        <v>36.71</v>
      </c>
      <c r="CC86" t="s">
        <v>96</v>
      </c>
      <c r="CD86" s="1" t="s">
        <v>96</v>
      </c>
    </row>
    <row r="87" spans="1:82">
      <c r="A87">
        <v>46</v>
      </c>
      <c r="B87" t="s">
        <v>233</v>
      </c>
      <c r="D87" t="b">
        <v>1</v>
      </c>
      <c r="E87" t="s">
        <v>234</v>
      </c>
      <c r="F87">
        <v>73</v>
      </c>
      <c r="G87">
        <v>2</v>
      </c>
      <c r="J87" t="s">
        <v>235</v>
      </c>
      <c r="K87" t="s">
        <v>94</v>
      </c>
      <c r="L87" t="s">
        <v>95</v>
      </c>
      <c r="M87">
        <v>100</v>
      </c>
      <c r="N87" s="1" t="s">
        <v>96</v>
      </c>
      <c r="O87" s="1" t="s">
        <v>96</v>
      </c>
      <c r="P87">
        <v>6.59</v>
      </c>
      <c r="Q87" s="1" t="s">
        <v>96</v>
      </c>
      <c r="R87" s="1" t="s">
        <v>96</v>
      </c>
      <c r="S87" s="1" t="s">
        <v>96</v>
      </c>
      <c r="T87" s="1" t="s">
        <v>96</v>
      </c>
      <c r="U87" s="1" t="s">
        <v>96</v>
      </c>
      <c r="V87" s="1" t="s">
        <v>96</v>
      </c>
      <c r="W87" s="1" t="s">
        <v>96</v>
      </c>
      <c r="X87" s="1" t="s">
        <v>96</v>
      </c>
      <c r="Y87" s="1" t="s">
        <v>96</v>
      </c>
      <c r="Z87" t="s">
        <v>96</v>
      </c>
      <c r="AA87" s="1" t="s">
        <v>96</v>
      </c>
      <c r="AB87" t="s">
        <v>96</v>
      </c>
      <c r="AC87" t="s">
        <v>96</v>
      </c>
      <c r="AD87" t="s">
        <v>96</v>
      </c>
      <c r="AE87" s="1" t="s">
        <v>96</v>
      </c>
      <c r="AF87" t="s">
        <v>96</v>
      </c>
      <c r="AG87" t="s">
        <v>96</v>
      </c>
      <c r="AH87">
        <v>117.25</v>
      </c>
      <c r="AI87" s="1" t="s">
        <v>96</v>
      </c>
      <c r="AJ87" s="1" t="s">
        <v>96</v>
      </c>
      <c r="AK87" s="1" t="s">
        <v>96</v>
      </c>
      <c r="AL87" s="1" t="s">
        <v>96</v>
      </c>
      <c r="AM87" s="1" t="s">
        <v>96</v>
      </c>
      <c r="AN87" s="1">
        <v>1.1299999999999999</v>
      </c>
      <c r="AO87" t="s">
        <v>96</v>
      </c>
      <c r="AP87">
        <v>2.1800000000000002</v>
      </c>
      <c r="AQ87" s="1" t="s">
        <v>96</v>
      </c>
      <c r="AR87" s="1" t="s">
        <v>96</v>
      </c>
      <c r="AS87">
        <v>76.89</v>
      </c>
      <c r="AT87">
        <v>1.41</v>
      </c>
      <c r="AU87" s="1" t="s">
        <v>96</v>
      </c>
      <c r="AV87" s="1" t="s">
        <v>96</v>
      </c>
      <c r="AW87" t="s">
        <v>96</v>
      </c>
      <c r="AX87" s="1" t="s">
        <v>96</v>
      </c>
      <c r="AY87">
        <v>1126.0999999999999</v>
      </c>
      <c r="AZ87" t="s">
        <v>96</v>
      </c>
      <c r="BA87" t="s">
        <v>96</v>
      </c>
      <c r="BB87" s="1" t="s">
        <v>96</v>
      </c>
      <c r="BC87" t="s">
        <v>133</v>
      </c>
      <c r="BD87" s="1" t="s">
        <v>96</v>
      </c>
      <c r="BE87" s="1" t="s">
        <v>96</v>
      </c>
      <c r="BF87">
        <v>4.38</v>
      </c>
      <c r="BG87" s="1" t="s">
        <v>96</v>
      </c>
      <c r="BH87" s="1" t="s">
        <v>96</v>
      </c>
      <c r="BI87">
        <v>5.68</v>
      </c>
      <c r="BJ87" t="s">
        <v>96</v>
      </c>
      <c r="BK87" s="1" t="s">
        <v>96</v>
      </c>
      <c r="BL87" s="1" t="s">
        <v>96</v>
      </c>
      <c r="BM87" t="s">
        <v>96</v>
      </c>
      <c r="BN87">
        <v>10.11</v>
      </c>
      <c r="BO87" t="s">
        <v>96</v>
      </c>
      <c r="BP87" t="s">
        <v>96</v>
      </c>
      <c r="BQ87" s="1" t="s">
        <v>96</v>
      </c>
      <c r="BR87" s="1" t="s">
        <v>96</v>
      </c>
      <c r="BS87" s="1" t="s">
        <v>96</v>
      </c>
      <c r="BT87" s="1" t="s">
        <v>96</v>
      </c>
      <c r="BU87" s="1" t="s">
        <v>96</v>
      </c>
      <c r="BV87">
        <v>64.900000000000006</v>
      </c>
      <c r="BW87" t="s">
        <v>96</v>
      </c>
      <c r="BX87" s="1">
        <v>8.41</v>
      </c>
      <c r="BY87" t="s">
        <v>96</v>
      </c>
      <c r="BZ87" t="s">
        <v>96</v>
      </c>
      <c r="CA87" s="1" t="s">
        <v>96</v>
      </c>
      <c r="CB87" t="s">
        <v>96</v>
      </c>
      <c r="CC87" t="s">
        <v>96</v>
      </c>
      <c r="CD87" s="1" t="s">
        <v>96</v>
      </c>
    </row>
    <row r="88" spans="1:82">
      <c r="A88">
        <v>51</v>
      </c>
      <c r="B88" t="s">
        <v>248</v>
      </c>
      <c r="D88" t="b">
        <v>1</v>
      </c>
      <c r="E88" t="s">
        <v>249</v>
      </c>
      <c r="F88">
        <v>80</v>
      </c>
      <c r="G88">
        <v>2</v>
      </c>
      <c r="J88" t="s">
        <v>250</v>
      </c>
      <c r="K88" t="s">
        <v>94</v>
      </c>
      <c r="L88" t="s">
        <v>95</v>
      </c>
      <c r="M88">
        <v>100</v>
      </c>
      <c r="N88" s="1" t="s">
        <v>96</v>
      </c>
      <c r="O88" s="1" t="s">
        <v>96</v>
      </c>
      <c r="P88">
        <v>7.3</v>
      </c>
      <c r="Q88" s="1" t="s">
        <v>96</v>
      </c>
      <c r="R88" s="1" t="s">
        <v>96</v>
      </c>
      <c r="S88" s="1" t="s">
        <v>96</v>
      </c>
      <c r="T88" s="1" t="s">
        <v>96</v>
      </c>
      <c r="U88" s="1" t="s">
        <v>96</v>
      </c>
      <c r="V88" s="1" t="s">
        <v>96</v>
      </c>
      <c r="W88" s="1" t="s">
        <v>96</v>
      </c>
      <c r="X88" s="1" t="s">
        <v>96</v>
      </c>
      <c r="Y88" s="1" t="s">
        <v>96</v>
      </c>
      <c r="Z88" t="s">
        <v>96</v>
      </c>
      <c r="AA88" s="1" t="s">
        <v>96</v>
      </c>
      <c r="AB88">
        <v>1.58</v>
      </c>
      <c r="AC88" t="s">
        <v>96</v>
      </c>
      <c r="AD88" t="s">
        <v>96</v>
      </c>
      <c r="AE88" s="1" t="s">
        <v>96</v>
      </c>
      <c r="AF88" t="s">
        <v>96</v>
      </c>
      <c r="AG88" t="s">
        <v>96</v>
      </c>
      <c r="AH88">
        <v>67.59</v>
      </c>
      <c r="AI88" s="1" t="s">
        <v>96</v>
      </c>
      <c r="AJ88" s="1" t="s">
        <v>96</v>
      </c>
      <c r="AK88" s="1" t="s">
        <v>96</v>
      </c>
      <c r="AL88" s="1" t="s">
        <v>96</v>
      </c>
      <c r="AM88" s="1" t="s">
        <v>96</v>
      </c>
      <c r="AN88" s="1" t="s">
        <v>96</v>
      </c>
      <c r="AO88" t="s">
        <v>96</v>
      </c>
      <c r="AP88">
        <v>1.1200000000000001</v>
      </c>
      <c r="AQ88" s="1" t="s">
        <v>96</v>
      </c>
      <c r="AR88" s="1" t="s">
        <v>96</v>
      </c>
      <c r="AS88">
        <v>59.46</v>
      </c>
      <c r="AT88" t="s">
        <v>96</v>
      </c>
      <c r="AU88" s="1" t="s">
        <v>96</v>
      </c>
      <c r="AV88" s="1" t="s">
        <v>96</v>
      </c>
      <c r="AW88" t="s">
        <v>96</v>
      </c>
      <c r="AX88" s="1" t="s">
        <v>96</v>
      </c>
      <c r="AY88">
        <v>2311.4299999999998</v>
      </c>
      <c r="AZ88" t="s">
        <v>96</v>
      </c>
      <c r="BA88">
        <v>7.95</v>
      </c>
      <c r="BB88" s="1" t="s">
        <v>96</v>
      </c>
      <c r="BC88" t="s">
        <v>133</v>
      </c>
      <c r="BD88" s="1" t="s">
        <v>96</v>
      </c>
      <c r="BE88" s="1" t="s">
        <v>96</v>
      </c>
      <c r="BF88">
        <v>32.11</v>
      </c>
      <c r="BG88" s="1" t="s">
        <v>96</v>
      </c>
      <c r="BH88" s="1" t="s">
        <v>96</v>
      </c>
      <c r="BI88">
        <v>17.989999999999998</v>
      </c>
      <c r="BJ88" t="s">
        <v>96</v>
      </c>
      <c r="BK88" s="1" t="s">
        <v>96</v>
      </c>
      <c r="BL88" s="1" t="s">
        <v>96</v>
      </c>
      <c r="BM88" t="s">
        <v>96</v>
      </c>
      <c r="BN88">
        <v>35.78</v>
      </c>
      <c r="BO88" t="s">
        <v>96</v>
      </c>
      <c r="BP88" t="s">
        <v>96</v>
      </c>
      <c r="BQ88" s="1" t="s">
        <v>96</v>
      </c>
      <c r="BR88" s="1" t="s">
        <v>96</v>
      </c>
      <c r="BS88" s="1" t="s">
        <v>96</v>
      </c>
      <c r="BT88" s="1" t="s">
        <v>96</v>
      </c>
      <c r="BU88" s="1" t="s">
        <v>96</v>
      </c>
      <c r="BV88">
        <v>114.95</v>
      </c>
      <c r="BW88" t="s">
        <v>96</v>
      </c>
      <c r="BX88" s="1">
        <v>6.6</v>
      </c>
      <c r="BY88" t="s">
        <v>96</v>
      </c>
      <c r="BZ88" t="s">
        <v>96</v>
      </c>
      <c r="CA88" s="1" t="s">
        <v>96</v>
      </c>
      <c r="CB88" t="s">
        <v>96</v>
      </c>
      <c r="CC88" t="s">
        <v>96</v>
      </c>
      <c r="CD88" s="1" t="s">
        <v>96</v>
      </c>
    </row>
    <row r="89" spans="1:82">
      <c r="A89">
        <v>163</v>
      </c>
      <c r="B89" t="s">
        <v>584</v>
      </c>
      <c r="D89" t="b">
        <v>1</v>
      </c>
      <c r="E89" t="s">
        <v>585</v>
      </c>
      <c r="F89">
        <v>250</v>
      </c>
      <c r="G89">
        <v>5</v>
      </c>
      <c r="J89" t="s">
        <v>586</v>
      </c>
      <c r="K89" t="s">
        <v>94</v>
      </c>
      <c r="L89" t="s">
        <v>95</v>
      </c>
      <c r="M89">
        <v>100</v>
      </c>
      <c r="N89" s="1" t="s">
        <v>96</v>
      </c>
      <c r="O89" s="1" t="s">
        <v>96</v>
      </c>
      <c r="P89">
        <v>21.83</v>
      </c>
      <c r="Q89" s="1" t="s">
        <v>96</v>
      </c>
      <c r="R89" s="1" t="s">
        <v>96</v>
      </c>
      <c r="S89" s="1" t="s">
        <v>96</v>
      </c>
      <c r="T89" s="1" t="s">
        <v>96</v>
      </c>
      <c r="U89" s="1" t="s">
        <v>96</v>
      </c>
      <c r="V89" s="1" t="s">
        <v>96</v>
      </c>
      <c r="W89" s="1" t="s">
        <v>96</v>
      </c>
      <c r="X89" s="1" t="s">
        <v>96</v>
      </c>
      <c r="Y89" s="1" t="s">
        <v>96</v>
      </c>
      <c r="Z89">
        <v>3.73</v>
      </c>
      <c r="AA89" s="1" t="s">
        <v>96</v>
      </c>
      <c r="AB89">
        <v>12.42</v>
      </c>
      <c r="AC89">
        <v>3.23</v>
      </c>
      <c r="AD89">
        <v>147.13999999999999</v>
      </c>
      <c r="AE89" s="1" t="s">
        <v>96</v>
      </c>
      <c r="AF89">
        <v>8.19</v>
      </c>
      <c r="AG89">
        <v>73.64</v>
      </c>
      <c r="AH89">
        <v>217.14</v>
      </c>
      <c r="AI89" s="1" t="s">
        <v>96</v>
      </c>
      <c r="AJ89" s="1" t="s">
        <v>96</v>
      </c>
      <c r="AK89" s="1" t="s">
        <v>96</v>
      </c>
      <c r="AL89" s="1" t="s">
        <v>96</v>
      </c>
      <c r="AM89" s="1" t="s">
        <v>96</v>
      </c>
      <c r="AN89" s="1">
        <v>3.33</v>
      </c>
      <c r="AO89">
        <v>63.33</v>
      </c>
      <c r="AP89">
        <v>26.78</v>
      </c>
      <c r="AQ89" s="1" t="s">
        <v>96</v>
      </c>
      <c r="AR89" s="1" t="s">
        <v>96</v>
      </c>
      <c r="AS89">
        <v>50.58</v>
      </c>
      <c r="AT89">
        <v>52.65</v>
      </c>
      <c r="AU89" s="1" t="s">
        <v>96</v>
      </c>
      <c r="AV89" s="1" t="s">
        <v>96</v>
      </c>
      <c r="AW89" t="s">
        <v>96</v>
      </c>
      <c r="AX89" s="1" t="s">
        <v>96</v>
      </c>
      <c r="AY89">
        <v>1071.29</v>
      </c>
      <c r="AZ89">
        <v>161.43</v>
      </c>
      <c r="BA89">
        <v>82.52</v>
      </c>
      <c r="BB89" s="1" t="s">
        <v>96</v>
      </c>
      <c r="BC89">
        <v>642.49</v>
      </c>
      <c r="BD89" s="1" t="s">
        <v>96</v>
      </c>
      <c r="BE89" s="1" t="s">
        <v>96</v>
      </c>
      <c r="BF89">
        <v>90.05</v>
      </c>
      <c r="BG89" s="1">
        <v>16.579999999999998</v>
      </c>
      <c r="BH89" s="1" t="s">
        <v>96</v>
      </c>
      <c r="BI89">
        <v>441.62</v>
      </c>
      <c r="BJ89">
        <v>67.75</v>
      </c>
      <c r="BK89" s="1" t="s">
        <v>96</v>
      </c>
      <c r="BL89" s="1">
        <v>33.96</v>
      </c>
      <c r="BM89">
        <v>22.06</v>
      </c>
      <c r="BN89">
        <v>369.12</v>
      </c>
      <c r="BO89">
        <v>31.18</v>
      </c>
      <c r="BP89" t="s">
        <v>96</v>
      </c>
      <c r="BQ89" s="1" t="s">
        <v>96</v>
      </c>
      <c r="BR89" s="1" t="s">
        <v>96</v>
      </c>
      <c r="BS89" s="1" t="s">
        <v>96</v>
      </c>
      <c r="BT89" s="1" t="s">
        <v>96</v>
      </c>
      <c r="BU89" s="1" t="s">
        <v>96</v>
      </c>
      <c r="BV89">
        <v>155.81</v>
      </c>
      <c r="BW89">
        <v>68.14</v>
      </c>
      <c r="BX89" s="1" t="s">
        <v>96</v>
      </c>
      <c r="BY89">
        <v>27.46</v>
      </c>
      <c r="BZ89">
        <v>38.26</v>
      </c>
      <c r="CA89" s="1" t="s">
        <v>96</v>
      </c>
      <c r="CB89">
        <v>30.84</v>
      </c>
      <c r="CC89">
        <v>58.41</v>
      </c>
      <c r="CD89" s="1" t="s">
        <v>96</v>
      </c>
    </row>
    <row r="90" spans="1:82">
      <c r="A90">
        <v>175</v>
      </c>
      <c r="B90" t="s">
        <v>620</v>
      </c>
      <c r="D90" t="b">
        <v>1</v>
      </c>
      <c r="E90" t="s">
        <v>621</v>
      </c>
      <c r="F90">
        <v>264</v>
      </c>
      <c r="G90">
        <v>5</v>
      </c>
      <c r="J90" t="s">
        <v>622</v>
      </c>
      <c r="K90" t="s">
        <v>94</v>
      </c>
      <c r="L90" t="s">
        <v>95</v>
      </c>
      <c r="M90">
        <v>100</v>
      </c>
      <c r="N90" s="1" t="s">
        <v>96</v>
      </c>
      <c r="O90" s="1" t="s">
        <v>96</v>
      </c>
      <c r="P90">
        <v>7.83</v>
      </c>
      <c r="Q90" s="1" t="s">
        <v>96</v>
      </c>
      <c r="R90" s="1" t="s">
        <v>96</v>
      </c>
      <c r="S90" s="1" t="s">
        <v>96</v>
      </c>
      <c r="T90" s="1" t="s">
        <v>96</v>
      </c>
      <c r="U90" s="1" t="s">
        <v>96</v>
      </c>
      <c r="V90" s="1" t="s">
        <v>96</v>
      </c>
      <c r="W90" s="1" t="s">
        <v>96</v>
      </c>
      <c r="X90" s="1" t="s">
        <v>96</v>
      </c>
      <c r="Y90" s="1" t="s">
        <v>96</v>
      </c>
      <c r="Z90" t="s">
        <v>96</v>
      </c>
      <c r="AA90" s="1" t="s">
        <v>96</v>
      </c>
      <c r="AB90" t="s">
        <v>96</v>
      </c>
      <c r="AC90">
        <v>1.95</v>
      </c>
      <c r="AD90">
        <v>34.380000000000003</v>
      </c>
      <c r="AE90" s="1" t="s">
        <v>96</v>
      </c>
      <c r="AF90" t="s">
        <v>96</v>
      </c>
      <c r="AG90">
        <v>32.04</v>
      </c>
      <c r="AH90">
        <v>16.84</v>
      </c>
      <c r="AI90" s="1" t="s">
        <v>96</v>
      </c>
      <c r="AJ90" s="1">
        <v>1.65</v>
      </c>
      <c r="AK90" s="1" t="s">
        <v>96</v>
      </c>
      <c r="AL90" s="1" t="s">
        <v>96</v>
      </c>
      <c r="AM90" s="1" t="s">
        <v>96</v>
      </c>
      <c r="AN90" s="1" t="s">
        <v>96</v>
      </c>
      <c r="AO90" t="s">
        <v>96</v>
      </c>
      <c r="AP90">
        <v>6.94</v>
      </c>
      <c r="AQ90" s="1" t="s">
        <v>96</v>
      </c>
      <c r="AR90" s="1" t="s">
        <v>96</v>
      </c>
      <c r="AS90">
        <v>35.04</v>
      </c>
      <c r="AT90" t="s">
        <v>96</v>
      </c>
      <c r="AU90" s="1" t="s">
        <v>96</v>
      </c>
      <c r="AV90" s="1" t="s">
        <v>96</v>
      </c>
      <c r="AW90">
        <v>2.69</v>
      </c>
      <c r="AX90" s="1">
        <v>3.02</v>
      </c>
      <c r="AY90">
        <v>1887.52</v>
      </c>
      <c r="AZ90">
        <v>284.08999999999997</v>
      </c>
      <c r="BA90">
        <v>93.55</v>
      </c>
      <c r="BB90" s="1" t="s">
        <v>96</v>
      </c>
      <c r="BC90" t="s">
        <v>133</v>
      </c>
      <c r="BD90" s="1" t="s">
        <v>96</v>
      </c>
      <c r="BE90" s="1" t="s">
        <v>96</v>
      </c>
      <c r="BF90">
        <v>20.23</v>
      </c>
      <c r="BG90" s="1">
        <v>5.01</v>
      </c>
      <c r="BH90" s="1" t="s">
        <v>96</v>
      </c>
      <c r="BI90">
        <v>208.38</v>
      </c>
      <c r="BJ90">
        <v>52.5</v>
      </c>
      <c r="BK90" s="1" t="s">
        <v>96</v>
      </c>
      <c r="BL90" s="1">
        <v>3.62</v>
      </c>
      <c r="BM90">
        <v>2.8</v>
      </c>
      <c r="BN90">
        <v>236.37</v>
      </c>
      <c r="BO90">
        <v>38.35</v>
      </c>
      <c r="BP90" t="s">
        <v>96</v>
      </c>
      <c r="BQ90" s="1" t="s">
        <v>96</v>
      </c>
      <c r="BR90" s="1" t="s">
        <v>96</v>
      </c>
      <c r="BS90" s="1" t="s">
        <v>96</v>
      </c>
      <c r="BT90" s="1" t="s">
        <v>96</v>
      </c>
      <c r="BU90" s="1" t="s">
        <v>96</v>
      </c>
      <c r="BV90">
        <v>146.25</v>
      </c>
      <c r="BW90">
        <v>25.25</v>
      </c>
      <c r="BX90" s="1">
        <v>7.6</v>
      </c>
      <c r="BY90">
        <v>175.88</v>
      </c>
      <c r="BZ90">
        <v>26.77</v>
      </c>
      <c r="CA90" s="1" t="s">
        <v>96</v>
      </c>
      <c r="CB90">
        <v>25.78</v>
      </c>
      <c r="CC90">
        <v>80.010000000000005</v>
      </c>
      <c r="CD90" s="1" t="s">
        <v>96</v>
      </c>
    </row>
    <row r="91" spans="1:82">
      <c r="A91">
        <v>162</v>
      </c>
      <c r="B91" t="s">
        <v>581</v>
      </c>
      <c r="D91" t="b">
        <v>1</v>
      </c>
      <c r="E91" t="s">
        <v>582</v>
      </c>
      <c r="F91">
        <v>249</v>
      </c>
      <c r="G91">
        <v>5</v>
      </c>
      <c r="J91" t="s">
        <v>583</v>
      </c>
      <c r="K91" t="s">
        <v>94</v>
      </c>
      <c r="L91" t="s">
        <v>95</v>
      </c>
      <c r="M91">
        <v>100</v>
      </c>
      <c r="N91" s="1" t="s">
        <v>96</v>
      </c>
      <c r="O91" s="1" t="s">
        <v>96</v>
      </c>
      <c r="P91">
        <v>12.74</v>
      </c>
      <c r="Q91" s="1" t="s">
        <v>96</v>
      </c>
      <c r="R91" s="1" t="s">
        <v>96</v>
      </c>
      <c r="S91" s="1" t="s">
        <v>96</v>
      </c>
      <c r="T91" s="1" t="s">
        <v>96</v>
      </c>
      <c r="U91" s="1" t="s">
        <v>96</v>
      </c>
      <c r="V91" s="1" t="s">
        <v>96</v>
      </c>
      <c r="W91" s="1" t="s">
        <v>96</v>
      </c>
      <c r="X91" s="1" t="s">
        <v>96</v>
      </c>
      <c r="Y91" s="1" t="s">
        <v>96</v>
      </c>
      <c r="Z91" t="s">
        <v>96</v>
      </c>
      <c r="AA91" s="1" t="s">
        <v>96</v>
      </c>
      <c r="AB91">
        <v>1.89</v>
      </c>
      <c r="AC91" t="s">
        <v>96</v>
      </c>
      <c r="AD91">
        <v>18.600000000000001</v>
      </c>
      <c r="AE91" s="1" t="s">
        <v>96</v>
      </c>
      <c r="AF91" t="s">
        <v>96</v>
      </c>
      <c r="AG91">
        <v>8.41</v>
      </c>
      <c r="AH91">
        <v>26.49</v>
      </c>
      <c r="AI91" s="1">
        <v>2.8</v>
      </c>
      <c r="AJ91" s="1" t="s">
        <v>96</v>
      </c>
      <c r="AK91" s="1" t="s">
        <v>96</v>
      </c>
      <c r="AL91" s="1" t="s">
        <v>96</v>
      </c>
      <c r="AM91" s="1" t="s">
        <v>96</v>
      </c>
      <c r="AN91" s="1" t="s">
        <v>96</v>
      </c>
      <c r="AO91" t="s">
        <v>96</v>
      </c>
      <c r="AP91">
        <v>5.28</v>
      </c>
      <c r="AQ91" s="1" t="s">
        <v>96</v>
      </c>
      <c r="AR91" s="1">
        <v>1.42</v>
      </c>
      <c r="AS91">
        <v>13.94</v>
      </c>
      <c r="AT91">
        <v>15.42</v>
      </c>
      <c r="AU91" s="1" t="s">
        <v>96</v>
      </c>
      <c r="AV91" s="1" t="s">
        <v>96</v>
      </c>
      <c r="AW91" t="s">
        <v>96</v>
      </c>
      <c r="AX91" s="1" t="s">
        <v>96</v>
      </c>
      <c r="AY91">
        <v>362.13</v>
      </c>
      <c r="AZ91">
        <v>35.58</v>
      </c>
      <c r="BA91">
        <v>47.69</v>
      </c>
      <c r="BB91" s="1" t="s">
        <v>96</v>
      </c>
      <c r="BC91">
        <v>60.49</v>
      </c>
      <c r="BD91" s="1" t="s">
        <v>96</v>
      </c>
      <c r="BE91" s="1" t="s">
        <v>96</v>
      </c>
      <c r="BF91">
        <v>107.76</v>
      </c>
      <c r="BG91" s="1">
        <v>5.71</v>
      </c>
      <c r="BH91" s="1" t="s">
        <v>96</v>
      </c>
      <c r="BI91">
        <v>110.4</v>
      </c>
      <c r="BJ91">
        <v>15.69</v>
      </c>
      <c r="BK91" s="1" t="s">
        <v>96</v>
      </c>
      <c r="BL91" s="1">
        <v>32.82</v>
      </c>
      <c r="BM91">
        <v>21.36</v>
      </c>
      <c r="BN91">
        <v>21.73</v>
      </c>
      <c r="BO91">
        <v>189.78</v>
      </c>
      <c r="BP91">
        <v>2.93</v>
      </c>
      <c r="BQ91" s="1" t="s">
        <v>96</v>
      </c>
      <c r="BR91" s="1" t="s">
        <v>96</v>
      </c>
      <c r="BS91" s="1" t="s">
        <v>96</v>
      </c>
      <c r="BT91" s="1" t="s">
        <v>96</v>
      </c>
      <c r="BU91" s="1" t="s">
        <v>96</v>
      </c>
      <c r="BV91">
        <v>277.27</v>
      </c>
      <c r="BW91">
        <v>156.37</v>
      </c>
      <c r="BX91" s="1" t="s">
        <v>96</v>
      </c>
      <c r="BY91">
        <v>248.27</v>
      </c>
      <c r="BZ91">
        <v>119.94</v>
      </c>
      <c r="CA91" s="1">
        <v>15.29</v>
      </c>
      <c r="CB91">
        <v>55.36</v>
      </c>
      <c r="CC91">
        <v>141.47</v>
      </c>
      <c r="CD91" s="1" t="s">
        <v>96</v>
      </c>
    </row>
    <row r="92" spans="1:82">
      <c r="A92">
        <v>202</v>
      </c>
      <c r="B92" t="s">
        <v>701</v>
      </c>
      <c r="D92" t="b">
        <v>1</v>
      </c>
      <c r="E92" t="s">
        <v>702</v>
      </c>
      <c r="F92">
        <v>309</v>
      </c>
      <c r="G92">
        <v>6</v>
      </c>
      <c r="J92" t="s">
        <v>703</v>
      </c>
      <c r="K92" t="s">
        <v>94</v>
      </c>
      <c r="L92" t="s">
        <v>95</v>
      </c>
      <c r="M92">
        <v>100</v>
      </c>
      <c r="N92" s="1" t="s">
        <v>96</v>
      </c>
      <c r="O92" s="1" t="s">
        <v>96</v>
      </c>
      <c r="P92">
        <v>13.92</v>
      </c>
      <c r="Q92" s="1" t="s">
        <v>96</v>
      </c>
      <c r="R92" s="1" t="s">
        <v>96</v>
      </c>
      <c r="S92" s="1" t="s">
        <v>96</v>
      </c>
      <c r="T92" s="1" t="s">
        <v>96</v>
      </c>
      <c r="U92" s="1" t="s">
        <v>96</v>
      </c>
      <c r="V92" s="1" t="s">
        <v>96</v>
      </c>
      <c r="W92" s="1" t="s">
        <v>96</v>
      </c>
      <c r="X92" s="1" t="s">
        <v>96</v>
      </c>
      <c r="Y92" s="1" t="s">
        <v>96</v>
      </c>
      <c r="Z92" t="s">
        <v>96</v>
      </c>
      <c r="AA92" s="1" t="s">
        <v>96</v>
      </c>
      <c r="AB92">
        <v>2.09</v>
      </c>
      <c r="AC92">
        <v>7.66</v>
      </c>
      <c r="AD92">
        <v>300.47000000000003</v>
      </c>
      <c r="AE92" s="1" t="s">
        <v>96</v>
      </c>
      <c r="AF92">
        <v>8.44</v>
      </c>
      <c r="AG92">
        <v>171.76</v>
      </c>
      <c r="AH92">
        <v>31.13</v>
      </c>
      <c r="AI92" s="1" t="s">
        <v>96</v>
      </c>
      <c r="AJ92" s="1">
        <v>3.47</v>
      </c>
      <c r="AK92" s="1" t="s">
        <v>96</v>
      </c>
      <c r="AL92" s="1" t="s">
        <v>96</v>
      </c>
      <c r="AM92" s="1" t="s">
        <v>96</v>
      </c>
      <c r="AN92" s="1" t="s">
        <v>96</v>
      </c>
      <c r="AO92">
        <v>313.5</v>
      </c>
      <c r="AP92">
        <v>50.93</v>
      </c>
      <c r="AQ92" s="1">
        <v>1.73</v>
      </c>
      <c r="AR92" s="1" t="s">
        <v>96</v>
      </c>
      <c r="AS92">
        <v>8.48</v>
      </c>
      <c r="AT92">
        <v>3.25</v>
      </c>
      <c r="AU92" s="1" t="s">
        <v>96</v>
      </c>
      <c r="AV92" s="1" t="s">
        <v>96</v>
      </c>
      <c r="AW92">
        <v>3.22</v>
      </c>
      <c r="AX92" s="1" t="s">
        <v>96</v>
      </c>
      <c r="AY92">
        <v>559.58000000000004</v>
      </c>
      <c r="AZ92">
        <v>141.46</v>
      </c>
      <c r="BA92">
        <v>206.2</v>
      </c>
      <c r="BB92" s="1" t="s">
        <v>96</v>
      </c>
      <c r="BC92">
        <v>130.44999999999999</v>
      </c>
      <c r="BD92" s="1" t="s">
        <v>96</v>
      </c>
      <c r="BE92" s="1" t="s">
        <v>96</v>
      </c>
      <c r="BF92">
        <v>20.190000000000001</v>
      </c>
      <c r="BG92" s="1">
        <v>4.2300000000000004</v>
      </c>
      <c r="BH92" s="1" t="s">
        <v>96</v>
      </c>
      <c r="BI92">
        <v>32.42</v>
      </c>
      <c r="BJ92">
        <v>11.93</v>
      </c>
      <c r="BK92" s="1" t="s">
        <v>96</v>
      </c>
      <c r="BL92" s="1" t="s">
        <v>96</v>
      </c>
      <c r="BM92" t="s">
        <v>96</v>
      </c>
      <c r="BN92">
        <v>9.15</v>
      </c>
      <c r="BO92">
        <v>45.39</v>
      </c>
      <c r="BP92">
        <v>3.03</v>
      </c>
      <c r="BQ92" s="1" t="s">
        <v>96</v>
      </c>
      <c r="BR92" s="1" t="s">
        <v>96</v>
      </c>
      <c r="BS92" s="1" t="s">
        <v>96</v>
      </c>
      <c r="BT92" s="1" t="s">
        <v>96</v>
      </c>
      <c r="BU92" s="1">
        <v>7.11</v>
      </c>
      <c r="BV92">
        <v>118.63</v>
      </c>
      <c r="BW92">
        <v>10.57</v>
      </c>
      <c r="BX92" s="1" t="s">
        <v>96</v>
      </c>
      <c r="BY92">
        <v>372.86</v>
      </c>
      <c r="BZ92">
        <v>13.38</v>
      </c>
      <c r="CA92" s="1" t="s">
        <v>96</v>
      </c>
      <c r="CB92">
        <v>96.9</v>
      </c>
      <c r="CC92">
        <v>101.65</v>
      </c>
      <c r="CD92" s="1" t="s">
        <v>96</v>
      </c>
    </row>
    <row r="93" spans="1:82">
      <c r="A93">
        <v>28</v>
      </c>
      <c r="B93" t="s">
        <v>179</v>
      </c>
      <c r="D93" t="b">
        <v>1</v>
      </c>
      <c r="E93" t="s">
        <v>180</v>
      </c>
      <c r="F93">
        <v>219</v>
      </c>
      <c r="G93">
        <v>1</v>
      </c>
      <c r="J93" t="s">
        <v>181</v>
      </c>
      <c r="K93" t="s">
        <v>94</v>
      </c>
      <c r="L93" t="s">
        <v>95</v>
      </c>
      <c r="M93">
        <v>100</v>
      </c>
      <c r="N93" s="1" t="s">
        <v>96</v>
      </c>
      <c r="O93" s="1" t="s">
        <v>96</v>
      </c>
      <c r="P93">
        <v>12.9</v>
      </c>
      <c r="Q93" s="1" t="s">
        <v>96</v>
      </c>
      <c r="R93" s="1" t="s">
        <v>96</v>
      </c>
      <c r="S93" s="1" t="s">
        <v>96</v>
      </c>
      <c r="T93" s="1" t="s">
        <v>96</v>
      </c>
      <c r="U93" s="1" t="s">
        <v>96</v>
      </c>
      <c r="V93" s="1" t="s">
        <v>96</v>
      </c>
      <c r="W93" s="1" t="s">
        <v>96</v>
      </c>
      <c r="X93" s="1" t="s">
        <v>96</v>
      </c>
      <c r="Y93" s="1" t="s">
        <v>96</v>
      </c>
      <c r="Z93" t="s">
        <v>96</v>
      </c>
      <c r="AA93" s="1" t="s">
        <v>96</v>
      </c>
      <c r="AB93" t="s">
        <v>96</v>
      </c>
      <c r="AC93" t="s">
        <v>96</v>
      </c>
      <c r="AD93">
        <v>11.21</v>
      </c>
      <c r="AE93" s="1" t="s">
        <v>96</v>
      </c>
      <c r="AF93" t="s">
        <v>96</v>
      </c>
      <c r="AG93">
        <v>28.47</v>
      </c>
      <c r="AH93">
        <v>29.83</v>
      </c>
      <c r="AI93" s="1" t="s">
        <v>96</v>
      </c>
      <c r="AJ93" s="1" t="s">
        <v>96</v>
      </c>
      <c r="AK93" s="1" t="s">
        <v>96</v>
      </c>
      <c r="AL93" s="1" t="s">
        <v>96</v>
      </c>
      <c r="AM93" s="1" t="s">
        <v>96</v>
      </c>
      <c r="AN93" s="1" t="s">
        <v>96</v>
      </c>
      <c r="AO93" t="s">
        <v>96</v>
      </c>
      <c r="AP93">
        <v>3.91</v>
      </c>
      <c r="AQ93" s="1" t="s">
        <v>96</v>
      </c>
      <c r="AR93" s="1" t="s">
        <v>96</v>
      </c>
      <c r="AS93">
        <v>10.73</v>
      </c>
      <c r="AT93">
        <v>3.54</v>
      </c>
      <c r="AU93" s="1" t="s">
        <v>96</v>
      </c>
      <c r="AV93" s="1" t="s">
        <v>96</v>
      </c>
      <c r="AW93" t="s">
        <v>96</v>
      </c>
      <c r="AX93" s="1" t="s">
        <v>96</v>
      </c>
      <c r="AY93">
        <v>137.41</v>
      </c>
      <c r="AZ93">
        <v>31.09</v>
      </c>
      <c r="BA93">
        <v>10.79</v>
      </c>
      <c r="BB93" s="1" t="s">
        <v>96</v>
      </c>
      <c r="BC93">
        <v>19.59</v>
      </c>
      <c r="BD93" s="1" t="s">
        <v>96</v>
      </c>
      <c r="BE93" s="1" t="s">
        <v>96</v>
      </c>
      <c r="BF93">
        <v>4.2699999999999996</v>
      </c>
      <c r="BG93" s="1" t="s">
        <v>96</v>
      </c>
      <c r="BH93" s="1" t="s">
        <v>96</v>
      </c>
      <c r="BI93">
        <v>26.74</v>
      </c>
      <c r="BJ93">
        <v>4.46</v>
      </c>
      <c r="BK93" s="1" t="s">
        <v>96</v>
      </c>
      <c r="BL93" s="1" t="s">
        <v>96</v>
      </c>
      <c r="BM93" t="s">
        <v>96</v>
      </c>
      <c r="BN93">
        <v>3.97</v>
      </c>
      <c r="BO93">
        <v>36.21</v>
      </c>
      <c r="BP93" t="s">
        <v>96</v>
      </c>
      <c r="BQ93" s="1" t="s">
        <v>96</v>
      </c>
      <c r="BR93" s="1" t="s">
        <v>96</v>
      </c>
      <c r="BS93" s="1" t="s">
        <v>96</v>
      </c>
      <c r="BT93" s="1" t="s">
        <v>96</v>
      </c>
      <c r="BU93" s="1" t="s">
        <v>96</v>
      </c>
      <c r="BV93">
        <v>51.11</v>
      </c>
      <c r="BW93">
        <v>10.97</v>
      </c>
      <c r="BX93" s="1" t="s">
        <v>96</v>
      </c>
      <c r="BY93">
        <v>107.36</v>
      </c>
      <c r="BZ93">
        <v>13.35</v>
      </c>
      <c r="CA93" s="1" t="s">
        <v>96</v>
      </c>
      <c r="CB93">
        <v>17.510000000000002</v>
      </c>
      <c r="CC93">
        <v>49.1</v>
      </c>
      <c r="CD93" s="1" t="s">
        <v>96</v>
      </c>
    </row>
    <row r="94" spans="1:82">
      <c r="A94">
        <v>237</v>
      </c>
      <c r="B94" t="s">
        <v>806</v>
      </c>
      <c r="D94" t="b">
        <v>1</v>
      </c>
      <c r="E94" t="s">
        <v>807</v>
      </c>
      <c r="F94">
        <v>350</v>
      </c>
      <c r="G94">
        <v>6</v>
      </c>
      <c r="J94" t="s">
        <v>808</v>
      </c>
      <c r="K94" t="s">
        <v>94</v>
      </c>
      <c r="L94" t="s">
        <v>95</v>
      </c>
      <c r="M94">
        <v>100</v>
      </c>
      <c r="N94" s="1" t="s">
        <v>96</v>
      </c>
      <c r="O94" s="1" t="s">
        <v>96</v>
      </c>
      <c r="P94">
        <v>14.14</v>
      </c>
      <c r="Q94" s="1" t="s">
        <v>96</v>
      </c>
      <c r="R94" s="1" t="s">
        <v>96</v>
      </c>
      <c r="S94" s="1">
        <v>5.52</v>
      </c>
      <c r="T94" s="1" t="s">
        <v>96</v>
      </c>
      <c r="U94" s="1" t="s">
        <v>96</v>
      </c>
      <c r="V94" s="1" t="s">
        <v>96</v>
      </c>
      <c r="W94" s="1" t="s">
        <v>96</v>
      </c>
      <c r="X94" s="1" t="s">
        <v>96</v>
      </c>
      <c r="Y94" s="1" t="s">
        <v>96</v>
      </c>
      <c r="Z94" t="s">
        <v>96</v>
      </c>
      <c r="AA94" s="1" t="s">
        <v>96</v>
      </c>
      <c r="AB94">
        <v>1.37</v>
      </c>
      <c r="AC94">
        <v>4.03</v>
      </c>
      <c r="AD94">
        <v>74.83</v>
      </c>
      <c r="AE94" s="1" t="s">
        <v>96</v>
      </c>
      <c r="AF94">
        <v>16.11</v>
      </c>
      <c r="AG94">
        <v>151.56</v>
      </c>
      <c r="AH94">
        <v>120.21</v>
      </c>
      <c r="AI94" s="1" t="s">
        <v>96</v>
      </c>
      <c r="AJ94" s="1">
        <v>1.77</v>
      </c>
      <c r="AK94" s="1" t="s">
        <v>96</v>
      </c>
      <c r="AL94" s="1" t="s">
        <v>96</v>
      </c>
      <c r="AM94" s="1" t="s">
        <v>96</v>
      </c>
      <c r="AN94" s="1" t="s">
        <v>96</v>
      </c>
      <c r="AO94">
        <v>25.77</v>
      </c>
      <c r="AP94">
        <v>15.99</v>
      </c>
      <c r="AQ94" s="1" t="s">
        <v>96</v>
      </c>
      <c r="AR94" s="1" t="s">
        <v>96</v>
      </c>
      <c r="AS94">
        <v>60.77</v>
      </c>
      <c r="AT94">
        <v>4.3499999999999996</v>
      </c>
      <c r="AU94" s="1" t="s">
        <v>96</v>
      </c>
      <c r="AV94" s="1" t="s">
        <v>96</v>
      </c>
      <c r="AW94" t="s">
        <v>96</v>
      </c>
      <c r="AX94" s="1" t="s">
        <v>96</v>
      </c>
      <c r="AY94">
        <v>558.91999999999996</v>
      </c>
      <c r="AZ94">
        <v>174.59</v>
      </c>
      <c r="BA94">
        <v>56.71</v>
      </c>
      <c r="BB94" s="1" t="s">
        <v>96</v>
      </c>
      <c r="BC94">
        <v>237.29</v>
      </c>
      <c r="BD94" s="1" t="s">
        <v>96</v>
      </c>
      <c r="BE94" s="1" t="s">
        <v>96</v>
      </c>
      <c r="BF94">
        <v>8.01</v>
      </c>
      <c r="BG94" s="1">
        <v>2.87</v>
      </c>
      <c r="BH94" s="1" t="s">
        <v>96</v>
      </c>
      <c r="BI94">
        <v>53.28</v>
      </c>
      <c r="BJ94">
        <v>19.11</v>
      </c>
      <c r="BK94" s="1" t="s">
        <v>96</v>
      </c>
      <c r="BL94" s="1" t="s">
        <v>96</v>
      </c>
      <c r="BM94">
        <v>3.36</v>
      </c>
      <c r="BN94">
        <v>37.479999999999997</v>
      </c>
      <c r="BO94">
        <v>24.93</v>
      </c>
      <c r="BP94" t="s">
        <v>96</v>
      </c>
      <c r="BQ94" s="1" t="s">
        <v>96</v>
      </c>
      <c r="BR94" s="1" t="s">
        <v>96</v>
      </c>
      <c r="BS94" s="1" t="s">
        <v>96</v>
      </c>
      <c r="BT94" s="1" t="s">
        <v>96</v>
      </c>
      <c r="BU94" s="1">
        <v>9.7100000000000009</v>
      </c>
      <c r="BV94">
        <v>64.39</v>
      </c>
      <c r="BW94">
        <v>8.2200000000000006</v>
      </c>
      <c r="BX94" s="1" t="s">
        <v>96</v>
      </c>
      <c r="BY94">
        <v>132.32</v>
      </c>
      <c r="BZ94">
        <v>5.46</v>
      </c>
      <c r="CA94" s="1" t="s">
        <v>96</v>
      </c>
      <c r="CB94">
        <v>18.73</v>
      </c>
      <c r="CC94">
        <v>42.36</v>
      </c>
      <c r="CD94" s="1" t="s">
        <v>96</v>
      </c>
    </row>
    <row r="95" spans="1:82">
      <c r="A95">
        <v>124</v>
      </c>
      <c r="B95" t="s">
        <v>467</v>
      </c>
      <c r="D95" t="b">
        <v>1</v>
      </c>
      <c r="E95" t="s">
        <v>468</v>
      </c>
      <c r="F95">
        <v>11</v>
      </c>
      <c r="G95">
        <v>4</v>
      </c>
      <c r="J95" t="s">
        <v>469</v>
      </c>
      <c r="K95" t="s">
        <v>94</v>
      </c>
      <c r="L95" t="s">
        <v>95</v>
      </c>
      <c r="M95">
        <v>100</v>
      </c>
      <c r="N95" s="1" t="s">
        <v>96</v>
      </c>
      <c r="O95" s="1" t="s">
        <v>96</v>
      </c>
      <c r="P95">
        <v>46.77</v>
      </c>
      <c r="Q95" s="1" t="s">
        <v>96</v>
      </c>
      <c r="R95" s="1">
        <v>21.13</v>
      </c>
      <c r="S95" s="1">
        <v>5.54</v>
      </c>
      <c r="T95" s="1" t="s">
        <v>96</v>
      </c>
      <c r="U95" s="1" t="s">
        <v>96</v>
      </c>
      <c r="V95" s="1" t="s">
        <v>96</v>
      </c>
      <c r="W95" s="1" t="s">
        <v>96</v>
      </c>
      <c r="X95" s="1" t="s">
        <v>96</v>
      </c>
      <c r="Y95" s="1" t="s">
        <v>96</v>
      </c>
      <c r="Z95" t="s">
        <v>96</v>
      </c>
      <c r="AA95" s="1" t="s">
        <v>96</v>
      </c>
      <c r="AB95">
        <v>9.2799999999999994</v>
      </c>
      <c r="AC95">
        <v>14.41</v>
      </c>
      <c r="AD95">
        <v>203.61</v>
      </c>
      <c r="AE95" s="1" t="s">
        <v>96</v>
      </c>
      <c r="AF95">
        <v>11.61</v>
      </c>
      <c r="AG95">
        <v>320.49</v>
      </c>
      <c r="AH95">
        <v>62.27</v>
      </c>
      <c r="AI95" s="1">
        <v>10.050000000000001</v>
      </c>
      <c r="AJ95" s="1" t="s">
        <v>96</v>
      </c>
      <c r="AK95" s="1" t="s">
        <v>96</v>
      </c>
      <c r="AL95" s="1" t="s">
        <v>96</v>
      </c>
      <c r="AM95" s="1" t="s">
        <v>96</v>
      </c>
      <c r="AN95" s="1" t="s">
        <v>96</v>
      </c>
      <c r="AO95">
        <v>86.76</v>
      </c>
      <c r="AP95" t="s">
        <v>133</v>
      </c>
      <c r="AQ95" s="1">
        <v>6.69</v>
      </c>
      <c r="AR95" s="1">
        <v>3.72</v>
      </c>
      <c r="AS95">
        <v>51.2</v>
      </c>
      <c r="AT95">
        <v>17.829999999999998</v>
      </c>
      <c r="AU95" s="1" t="s">
        <v>96</v>
      </c>
      <c r="AV95" s="1" t="s">
        <v>96</v>
      </c>
      <c r="AW95">
        <v>62.85</v>
      </c>
      <c r="AX95" s="1">
        <v>3.33</v>
      </c>
      <c r="AY95" t="s">
        <v>133</v>
      </c>
      <c r="AZ95" t="s">
        <v>133</v>
      </c>
      <c r="BA95" t="s">
        <v>133</v>
      </c>
      <c r="BB95" s="1" t="s">
        <v>96</v>
      </c>
      <c r="BC95" t="s">
        <v>133</v>
      </c>
      <c r="BD95" s="1" t="s">
        <v>96</v>
      </c>
      <c r="BE95" s="1">
        <v>55.49</v>
      </c>
      <c r="BF95">
        <v>145.24</v>
      </c>
      <c r="BG95" s="1" t="s">
        <v>133</v>
      </c>
      <c r="BH95" s="1" t="s">
        <v>96</v>
      </c>
      <c r="BI95">
        <v>969.19</v>
      </c>
      <c r="BJ95">
        <v>402.55</v>
      </c>
      <c r="BK95" s="1" t="s">
        <v>96</v>
      </c>
      <c r="BL95" s="1">
        <v>30.41</v>
      </c>
      <c r="BM95">
        <v>26.74</v>
      </c>
      <c r="BN95" t="s">
        <v>133</v>
      </c>
      <c r="BO95">
        <v>512.66</v>
      </c>
      <c r="BP95">
        <v>15.4</v>
      </c>
      <c r="BQ95" s="1" t="s">
        <v>96</v>
      </c>
      <c r="BR95" s="1" t="s">
        <v>96</v>
      </c>
      <c r="BS95" s="1">
        <v>6.49</v>
      </c>
      <c r="BT95" s="1">
        <v>2.99</v>
      </c>
      <c r="BU95" s="1">
        <v>161.74</v>
      </c>
      <c r="BV95">
        <v>631.99</v>
      </c>
      <c r="BW95">
        <v>121.01</v>
      </c>
      <c r="BX95" s="1">
        <v>87.71</v>
      </c>
      <c r="BY95">
        <v>2191.2600000000002</v>
      </c>
      <c r="BZ95">
        <v>154.69999999999999</v>
      </c>
      <c r="CA95" s="1" t="s">
        <v>133</v>
      </c>
      <c r="CB95" t="s">
        <v>133</v>
      </c>
      <c r="CC95">
        <v>853.18</v>
      </c>
      <c r="CD95" s="1">
        <v>8.52</v>
      </c>
    </row>
    <row r="96" spans="1:82">
      <c r="A96">
        <v>54</v>
      </c>
      <c r="B96" t="s">
        <v>257</v>
      </c>
      <c r="D96" t="b">
        <v>1</v>
      </c>
      <c r="E96" t="s">
        <v>258</v>
      </c>
      <c r="F96">
        <v>83</v>
      </c>
      <c r="G96">
        <v>2</v>
      </c>
      <c r="J96" t="s">
        <v>259</v>
      </c>
      <c r="K96" t="s">
        <v>94</v>
      </c>
      <c r="L96" t="s">
        <v>95</v>
      </c>
      <c r="M96">
        <v>100</v>
      </c>
      <c r="N96" s="1" t="s">
        <v>96</v>
      </c>
      <c r="O96" s="1" t="s">
        <v>96</v>
      </c>
      <c r="P96">
        <v>7.22</v>
      </c>
      <c r="Q96" s="1" t="s">
        <v>96</v>
      </c>
      <c r="R96" s="1" t="s">
        <v>96</v>
      </c>
      <c r="S96" s="1" t="s">
        <v>96</v>
      </c>
      <c r="T96" s="1" t="s">
        <v>96</v>
      </c>
      <c r="U96" s="1" t="s">
        <v>96</v>
      </c>
      <c r="V96" s="1" t="s">
        <v>96</v>
      </c>
      <c r="W96" s="1" t="s">
        <v>96</v>
      </c>
      <c r="X96" s="1" t="s">
        <v>96</v>
      </c>
      <c r="Y96" s="1" t="s">
        <v>96</v>
      </c>
      <c r="Z96" t="s">
        <v>96</v>
      </c>
      <c r="AA96" s="1" t="s">
        <v>96</v>
      </c>
      <c r="AB96">
        <v>2.95</v>
      </c>
      <c r="AC96" t="s">
        <v>96</v>
      </c>
      <c r="AD96">
        <v>2.54</v>
      </c>
      <c r="AE96" s="1" t="s">
        <v>96</v>
      </c>
      <c r="AF96" t="s">
        <v>96</v>
      </c>
      <c r="AG96" t="s">
        <v>96</v>
      </c>
      <c r="AH96">
        <v>84.93</v>
      </c>
      <c r="AI96" s="1" t="s">
        <v>96</v>
      </c>
      <c r="AJ96" s="1" t="s">
        <v>96</v>
      </c>
      <c r="AK96" s="1" t="s">
        <v>96</v>
      </c>
      <c r="AL96" s="1" t="s">
        <v>96</v>
      </c>
      <c r="AM96" s="1" t="s">
        <v>96</v>
      </c>
      <c r="AN96" s="1" t="s">
        <v>96</v>
      </c>
      <c r="AO96">
        <v>57.58</v>
      </c>
      <c r="AP96" t="s">
        <v>96</v>
      </c>
      <c r="AQ96" s="1" t="s">
        <v>96</v>
      </c>
      <c r="AR96" s="1" t="s">
        <v>96</v>
      </c>
      <c r="AS96">
        <v>92.91</v>
      </c>
      <c r="AT96">
        <v>3.78</v>
      </c>
      <c r="AU96" s="1" t="s">
        <v>96</v>
      </c>
      <c r="AV96" s="1" t="s">
        <v>96</v>
      </c>
      <c r="AW96" t="s">
        <v>96</v>
      </c>
      <c r="AX96" s="1" t="s">
        <v>96</v>
      </c>
      <c r="AY96" t="s">
        <v>133</v>
      </c>
      <c r="AZ96" t="s">
        <v>96</v>
      </c>
      <c r="BA96">
        <v>6.36</v>
      </c>
      <c r="BB96" s="1" t="s">
        <v>96</v>
      </c>
      <c r="BC96" t="s">
        <v>133</v>
      </c>
      <c r="BD96" s="1" t="s">
        <v>96</v>
      </c>
      <c r="BE96" s="1" t="s">
        <v>96</v>
      </c>
      <c r="BF96">
        <v>42.33</v>
      </c>
      <c r="BG96" s="1" t="s">
        <v>96</v>
      </c>
      <c r="BH96" s="1" t="s">
        <v>96</v>
      </c>
      <c r="BI96">
        <v>27.48</v>
      </c>
      <c r="BJ96" t="s">
        <v>96</v>
      </c>
      <c r="BK96" s="1" t="s">
        <v>96</v>
      </c>
      <c r="BL96" s="1" t="s">
        <v>96</v>
      </c>
      <c r="BM96" t="s">
        <v>96</v>
      </c>
      <c r="BN96">
        <v>45.7</v>
      </c>
      <c r="BO96" t="s">
        <v>96</v>
      </c>
      <c r="BP96" t="s">
        <v>96</v>
      </c>
      <c r="BQ96" s="1" t="s">
        <v>96</v>
      </c>
      <c r="BR96" s="1" t="s">
        <v>96</v>
      </c>
      <c r="BS96" s="1" t="s">
        <v>96</v>
      </c>
      <c r="BT96" s="1" t="s">
        <v>96</v>
      </c>
      <c r="BU96" s="1" t="s">
        <v>96</v>
      </c>
      <c r="BV96">
        <v>125.88</v>
      </c>
      <c r="BW96" t="s">
        <v>96</v>
      </c>
      <c r="BX96" s="1">
        <v>6.98</v>
      </c>
      <c r="BY96">
        <v>5.7</v>
      </c>
      <c r="BZ96" t="s">
        <v>96</v>
      </c>
      <c r="CA96" s="1" t="s">
        <v>96</v>
      </c>
      <c r="CB96" t="s">
        <v>96</v>
      </c>
      <c r="CC96" t="s">
        <v>96</v>
      </c>
      <c r="CD96" s="1" t="s">
        <v>96</v>
      </c>
    </row>
    <row r="97" spans="1:82">
      <c r="A97">
        <v>100</v>
      </c>
      <c r="B97" t="s">
        <v>395</v>
      </c>
      <c r="D97" t="b">
        <v>1</v>
      </c>
      <c r="E97" t="s">
        <v>396</v>
      </c>
      <c r="F97">
        <v>151</v>
      </c>
      <c r="G97">
        <v>3</v>
      </c>
      <c r="J97" t="s">
        <v>397</v>
      </c>
      <c r="K97" t="s">
        <v>94</v>
      </c>
      <c r="L97" t="s">
        <v>95</v>
      </c>
      <c r="M97">
        <v>100</v>
      </c>
      <c r="N97" s="1" t="s">
        <v>96</v>
      </c>
      <c r="O97" s="1" t="s">
        <v>96</v>
      </c>
      <c r="P97">
        <v>13.38</v>
      </c>
      <c r="Q97" s="1" t="s">
        <v>96</v>
      </c>
      <c r="R97" s="1" t="s">
        <v>96</v>
      </c>
      <c r="S97" s="1" t="s">
        <v>96</v>
      </c>
      <c r="T97" s="1" t="s">
        <v>96</v>
      </c>
      <c r="U97" s="1" t="s">
        <v>96</v>
      </c>
      <c r="V97" s="1" t="s">
        <v>96</v>
      </c>
      <c r="W97" s="1" t="s">
        <v>96</v>
      </c>
      <c r="X97" s="1" t="s">
        <v>96</v>
      </c>
      <c r="Y97" s="1" t="s">
        <v>96</v>
      </c>
      <c r="Z97">
        <v>1.48</v>
      </c>
      <c r="AA97" s="1" t="s">
        <v>96</v>
      </c>
      <c r="AB97">
        <v>24.96</v>
      </c>
      <c r="AC97">
        <v>6.99</v>
      </c>
      <c r="AD97">
        <v>19.8</v>
      </c>
      <c r="AE97" s="1" t="s">
        <v>96</v>
      </c>
      <c r="AF97" t="s">
        <v>96</v>
      </c>
      <c r="AG97">
        <v>419.89</v>
      </c>
      <c r="AH97" t="s">
        <v>133</v>
      </c>
      <c r="AI97" s="1" t="s">
        <v>96</v>
      </c>
      <c r="AJ97" s="1">
        <v>1.82</v>
      </c>
      <c r="AK97" s="1" t="s">
        <v>96</v>
      </c>
      <c r="AL97" s="1" t="s">
        <v>96</v>
      </c>
      <c r="AM97" s="1" t="s">
        <v>96</v>
      </c>
      <c r="AN97" s="1">
        <v>4.68</v>
      </c>
      <c r="AO97">
        <v>710.69</v>
      </c>
      <c r="AP97">
        <v>268.08</v>
      </c>
      <c r="AQ97" s="1" t="s">
        <v>96</v>
      </c>
      <c r="AR97" s="1">
        <v>2.2799999999999998</v>
      </c>
      <c r="AS97" t="s">
        <v>133</v>
      </c>
      <c r="AT97">
        <v>73.38</v>
      </c>
      <c r="AU97" s="1">
        <v>1.8</v>
      </c>
      <c r="AV97" s="1" t="s">
        <v>96</v>
      </c>
      <c r="AW97" t="s">
        <v>96</v>
      </c>
      <c r="AX97" s="1" t="s">
        <v>96</v>
      </c>
      <c r="AY97" t="s">
        <v>133</v>
      </c>
      <c r="AZ97">
        <v>279.10000000000002</v>
      </c>
      <c r="BA97">
        <v>381.59</v>
      </c>
      <c r="BB97" s="1" t="s">
        <v>96</v>
      </c>
      <c r="BC97">
        <v>599.12</v>
      </c>
      <c r="BD97" s="1" t="s">
        <v>96</v>
      </c>
      <c r="BE97" s="1" t="s">
        <v>96</v>
      </c>
      <c r="BF97">
        <v>41.06</v>
      </c>
      <c r="BG97" s="1">
        <v>3.72</v>
      </c>
      <c r="BH97" s="1" t="s">
        <v>96</v>
      </c>
      <c r="BI97">
        <v>58.19</v>
      </c>
      <c r="BJ97">
        <v>5.57</v>
      </c>
      <c r="BK97" s="1" t="s">
        <v>96</v>
      </c>
      <c r="BL97" s="1" t="s">
        <v>96</v>
      </c>
      <c r="BM97" t="s">
        <v>96</v>
      </c>
      <c r="BN97">
        <v>14.45</v>
      </c>
      <c r="BO97">
        <v>13.48</v>
      </c>
      <c r="BP97">
        <v>9.0500000000000007</v>
      </c>
      <c r="BQ97" s="1" t="s">
        <v>96</v>
      </c>
      <c r="BR97" s="1" t="s">
        <v>96</v>
      </c>
      <c r="BS97" s="1">
        <v>8.99</v>
      </c>
      <c r="BT97" s="1">
        <v>7.42</v>
      </c>
      <c r="BU97" s="1">
        <v>6.19</v>
      </c>
      <c r="BV97">
        <v>109.43</v>
      </c>
      <c r="BW97">
        <v>6.45</v>
      </c>
      <c r="BX97" s="1" t="s">
        <v>96</v>
      </c>
      <c r="BY97">
        <v>173.06</v>
      </c>
      <c r="BZ97" t="s">
        <v>96</v>
      </c>
      <c r="CA97" s="1" t="s">
        <v>96</v>
      </c>
      <c r="CB97">
        <v>59.79</v>
      </c>
      <c r="CC97">
        <v>35.93</v>
      </c>
      <c r="CD97" s="1" t="s">
        <v>96</v>
      </c>
    </row>
    <row r="98" spans="1:82">
      <c r="A98">
        <v>53</v>
      </c>
      <c r="B98" t="s">
        <v>254</v>
      </c>
      <c r="D98" t="b">
        <v>1</v>
      </c>
      <c r="E98" t="s">
        <v>255</v>
      </c>
      <c r="F98">
        <v>82</v>
      </c>
      <c r="G98">
        <v>2</v>
      </c>
      <c r="J98" t="s">
        <v>256</v>
      </c>
      <c r="K98" t="s">
        <v>94</v>
      </c>
      <c r="L98" t="s">
        <v>95</v>
      </c>
      <c r="M98">
        <v>100</v>
      </c>
      <c r="N98" s="1" t="s">
        <v>96</v>
      </c>
      <c r="O98" s="1" t="s">
        <v>96</v>
      </c>
      <c r="P98">
        <v>10.87</v>
      </c>
      <c r="Q98" s="1" t="s">
        <v>96</v>
      </c>
      <c r="R98" s="1" t="s">
        <v>96</v>
      </c>
      <c r="S98" s="1" t="s">
        <v>96</v>
      </c>
      <c r="T98" s="1" t="s">
        <v>96</v>
      </c>
      <c r="U98" s="1" t="s">
        <v>96</v>
      </c>
      <c r="V98" s="1" t="s">
        <v>96</v>
      </c>
      <c r="W98" s="1" t="s">
        <v>96</v>
      </c>
      <c r="X98" s="1" t="s">
        <v>96</v>
      </c>
      <c r="Y98" s="1" t="s">
        <v>96</v>
      </c>
      <c r="Z98">
        <v>1.1499999999999999</v>
      </c>
      <c r="AA98" s="1" t="s">
        <v>96</v>
      </c>
      <c r="AB98">
        <v>8.67</v>
      </c>
      <c r="AC98" t="s">
        <v>96</v>
      </c>
      <c r="AD98">
        <v>19.010000000000002</v>
      </c>
      <c r="AE98" s="1" t="s">
        <v>96</v>
      </c>
      <c r="AF98" t="s">
        <v>96</v>
      </c>
      <c r="AG98" t="s">
        <v>96</v>
      </c>
      <c r="AH98">
        <v>166.79</v>
      </c>
      <c r="AI98" s="1" t="s">
        <v>96</v>
      </c>
      <c r="AJ98" s="1" t="s">
        <v>96</v>
      </c>
      <c r="AK98" s="1" t="s">
        <v>96</v>
      </c>
      <c r="AL98" s="1" t="s">
        <v>96</v>
      </c>
      <c r="AM98" s="1" t="s">
        <v>96</v>
      </c>
      <c r="AN98" s="1">
        <v>3.09</v>
      </c>
      <c r="AO98">
        <v>594.80999999999995</v>
      </c>
      <c r="AP98">
        <v>1.79</v>
      </c>
      <c r="AQ98" s="1" t="s">
        <v>96</v>
      </c>
      <c r="AR98" s="1">
        <v>1.1299999999999999</v>
      </c>
      <c r="AS98">
        <v>280.73</v>
      </c>
      <c r="AT98">
        <v>13.48</v>
      </c>
      <c r="AU98" s="1" t="s">
        <v>96</v>
      </c>
      <c r="AV98" s="1" t="s">
        <v>96</v>
      </c>
      <c r="AW98" t="s">
        <v>96</v>
      </c>
      <c r="AX98" s="1" t="s">
        <v>96</v>
      </c>
      <c r="AY98" t="s">
        <v>133</v>
      </c>
      <c r="AZ98" t="s">
        <v>96</v>
      </c>
      <c r="BA98">
        <v>16.62</v>
      </c>
      <c r="BB98" s="1" t="s">
        <v>96</v>
      </c>
      <c r="BC98" t="s">
        <v>133</v>
      </c>
      <c r="BD98" s="1" t="s">
        <v>96</v>
      </c>
      <c r="BE98" s="1" t="s">
        <v>96</v>
      </c>
      <c r="BF98">
        <v>66.7</v>
      </c>
      <c r="BG98" s="1" t="s">
        <v>96</v>
      </c>
      <c r="BH98" s="1" t="s">
        <v>96</v>
      </c>
      <c r="BI98">
        <v>37.299999999999997</v>
      </c>
      <c r="BJ98" t="s">
        <v>96</v>
      </c>
      <c r="BK98" s="1" t="s">
        <v>96</v>
      </c>
      <c r="BL98" s="1" t="s">
        <v>96</v>
      </c>
      <c r="BM98" t="s">
        <v>96</v>
      </c>
      <c r="BN98">
        <v>62.05</v>
      </c>
      <c r="BO98" t="s">
        <v>96</v>
      </c>
      <c r="BP98" t="s">
        <v>96</v>
      </c>
      <c r="BQ98" s="1" t="s">
        <v>96</v>
      </c>
      <c r="BR98" s="1" t="s">
        <v>96</v>
      </c>
      <c r="BS98" s="1" t="s">
        <v>96</v>
      </c>
      <c r="BT98" s="1" t="s">
        <v>96</v>
      </c>
      <c r="BU98" s="1" t="s">
        <v>96</v>
      </c>
      <c r="BV98">
        <v>180.56</v>
      </c>
      <c r="BW98" t="s">
        <v>96</v>
      </c>
      <c r="BX98" s="1">
        <v>11.46</v>
      </c>
      <c r="BY98">
        <v>5.36</v>
      </c>
      <c r="BZ98" t="s">
        <v>96</v>
      </c>
      <c r="CA98" s="1" t="s">
        <v>96</v>
      </c>
      <c r="CB98">
        <v>7.95</v>
      </c>
      <c r="CC98" t="s">
        <v>96</v>
      </c>
      <c r="CD98" s="1" t="s">
        <v>96</v>
      </c>
    </row>
    <row r="99" spans="1:82">
      <c r="A99">
        <v>244</v>
      </c>
      <c r="B99" t="s">
        <v>827</v>
      </c>
      <c r="D99" t="b">
        <v>1</v>
      </c>
      <c r="E99" t="s">
        <v>828</v>
      </c>
      <c r="F99">
        <v>375</v>
      </c>
      <c r="G99">
        <v>7</v>
      </c>
      <c r="J99" t="s">
        <v>829</v>
      </c>
      <c r="K99" t="s">
        <v>94</v>
      </c>
      <c r="L99" t="s">
        <v>95</v>
      </c>
      <c r="M99">
        <v>100</v>
      </c>
      <c r="N99" s="1" t="s">
        <v>96</v>
      </c>
      <c r="O99" s="1" t="s">
        <v>96</v>
      </c>
      <c r="P99">
        <v>9.91</v>
      </c>
      <c r="Q99" s="1" t="s">
        <v>96</v>
      </c>
      <c r="R99" s="1" t="s">
        <v>96</v>
      </c>
      <c r="S99" s="1" t="s">
        <v>96</v>
      </c>
      <c r="T99" s="1" t="s">
        <v>96</v>
      </c>
      <c r="U99" s="1" t="s">
        <v>96</v>
      </c>
      <c r="V99" s="1" t="s">
        <v>96</v>
      </c>
      <c r="W99" s="1" t="s">
        <v>96</v>
      </c>
      <c r="X99" s="1" t="s">
        <v>96</v>
      </c>
      <c r="Y99" s="1" t="s">
        <v>96</v>
      </c>
      <c r="Z99" t="s">
        <v>96</v>
      </c>
      <c r="AA99" s="1" t="s">
        <v>96</v>
      </c>
      <c r="AB99" t="s">
        <v>96</v>
      </c>
      <c r="AC99">
        <v>2.46</v>
      </c>
      <c r="AD99">
        <v>31.08</v>
      </c>
      <c r="AE99" s="1" t="s">
        <v>96</v>
      </c>
      <c r="AF99" t="s">
        <v>96</v>
      </c>
      <c r="AG99">
        <v>49.34</v>
      </c>
      <c r="AH99">
        <v>14.52</v>
      </c>
      <c r="AI99" s="1" t="s">
        <v>96</v>
      </c>
      <c r="AJ99" s="1" t="s">
        <v>96</v>
      </c>
      <c r="AK99" s="1" t="s">
        <v>96</v>
      </c>
      <c r="AL99" s="1" t="s">
        <v>96</v>
      </c>
      <c r="AM99" s="1" t="s">
        <v>96</v>
      </c>
      <c r="AN99" s="1" t="s">
        <v>96</v>
      </c>
      <c r="AO99" t="s">
        <v>96</v>
      </c>
      <c r="AP99">
        <v>3.56</v>
      </c>
      <c r="AQ99" s="1" t="s">
        <v>96</v>
      </c>
      <c r="AR99" s="1" t="s">
        <v>96</v>
      </c>
      <c r="AS99">
        <v>18.13</v>
      </c>
      <c r="AT99">
        <v>1.88</v>
      </c>
      <c r="AU99" s="1" t="s">
        <v>96</v>
      </c>
      <c r="AV99" s="1" t="s">
        <v>96</v>
      </c>
      <c r="AW99" t="s">
        <v>96</v>
      </c>
      <c r="AX99" s="1" t="s">
        <v>96</v>
      </c>
      <c r="AY99">
        <v>156.9</v>
      </c>
      <c r="AZ99">
        <v>68.77</v>
      </c>
      <c r="BA99">
        <v>7.98</v>
      </c>
      <c r="BB99" s="1" t="s">
        <v>96</v>
      </c>
      <c r="BC99">
        <v>46.83</v>
      </c>
      <c r="BD99" s="1" t="s">
        <v>96</v>
      </c>
      <c r="BE99" s="1" t="s">
        <v>96</v>
      </c>
      <c r="BF99">
        <v>3.27</v>
      </c>
      <c r="BG99" s="1" t="s">
        <v>96</v>
      </c>
      <c r="BH99" s="1" t="s">
        <v>96</v>
      </c>
      <c r="BI99">
        <v>15.54</v>
      </c>
      <c r="BJ99">
        <v>7.33</v>
      </c>
      <c r="BK99" s="1" t="s">
        <v>96</v>
      </c>
      <c r="BL99" s="1" t="s">
        <v>96</v>
      </c>
      <c r="BM99" t="s">
        <v>96</v>
      </c>
      <c r="BN99">
        <v>11.75</v>
      </c>
      <c r="BO99">
        <v>58.86</v>
      </c>
      <c r="BP99">
        <v>3.14</v>
      </c>
      <c r="BQ99" s="1" t="s">
        <v>96</v>
      </c>
      <c r="BR99" s="1" t="s">
        <v>96</v>
      </c>
      <c r="BS99" s="1" t="s">
        <v>96</v>
      </c>
      <c r="BT99" s="1" t="s">
        <v>96</v>
      </c>
      <c r="BU99" s="1">
        <v>6.08</v>
      </c>
      <c r="BV99">
        <v>35.47</v>
      </c>
      <c r="BW99">
        <v>5.32</v>
      </c>
      <c r="BX99" s="1" t="s">
        <v>96</v>
      </c>
      <c r="BY99">
        <v>262.2</v>
      </c>
      <c r="BZ99">
        <v>13.65</v>
      </c>
      <c r="CA99" s="1" t="s">
        <v>96</v>
      </c>
      <c r="CB99">
        <v>14.9</v>
      </c>
      <c r="CC99">
        <v>73.31</v>
      </c>
      <c r="CD99" s="1" t="s">
        <v>96</v>
      </c>
    </row>
    <row r="100" spans="1:82">
      <c r="A100">
        <v>227</v>
      </c>
      <c r="B100" t="s">
        <v>776</v>
      </c>
      <c r="D100" t="b">
        <v>1</v>
      </c>
      <c r="E100" t="s">
        <v>777</v>
      </c>
      <c r="F100">
        <v>338</v>
      </c>
      <c r="G100">
        <v>6</v>
      </c>
      <c r="J100" t="s">
        <v>778</v>
      </c>
      <c r="K100" t="s">
        <v>94</v>
      </c>
      <c r="L100" t="s">
        <v>95</v>
      </c>
      <c r="M100">
        <v>100</v>
      </c>
      <c r="N100" s="1" t="s">
        <v>96</v>
      </c>
      <c r="O100" s="1" t="s">
        <v>96</v>
      </c>
      <c r="P100">
        <v>9.7899999999999991</v>
      </c>
      <c r="Q100" s="1" t="s">
        <v>96</v>
      </c>
      <c r="R100" s="1" t="s">
        <v>96</v>
      </c>
      <c r="S100" s="1" t="s">
        <v>96</v>
      </c>
      <c r="T100" s="1" t="s">
        <v>96</v>
      </c>
      <c r="U100" s="1" t="s">
        <v>96</v>
      </c>
      <c r="V100" s="1" t="s">
        <v>96</v>
      </c>
      <c r="W100" s="1" t="s">
        <v>96</v>
      </c>
      <c r="X100" s="1" t="s">
        <v>96</v>
      </c>
      <c r="Y100" s="1" t="s">
        <v>96</v>
      </c>
      <c r="Z100" t="s">
        <v>96</v>
      </c>
      <c r="AA100" s="1" t="s">
        <v>96</v>
      </c>
      <c r="AB100">
        <v>1.63</v>
      </c>
      <c r="AC100" t="s">
        <v>96</v>
      </c>
      <c r="AD100">
        <v>15.66</v>
      </c>
      <c r="AE100" s="1" t="s">
        <v>96</v>
      </c>
      <c r="AF100" t="s">
        <v>96</v>
      </c>
      <c r="AG100">
        <v>7.4</v>
      </c>
      <c r="AH100">
        <v>37.6</v>
      </c>
      <c r="AI100" s="1" t="s">
        <v>96</v>
      </c>
      <c r="AJ100" s="1">
        <v>2.48</v>
      </c>
      <c r="AK100" s="1" t="s">
        <v>96</v>
      </c>
      <c r="AL100" s="1" t="s">
        <v>96</v>
      </c>
      <c r="AM100" s="1" t="s">
        <v>96</v>
      </c>
      <c r="AN100" s="1" t="s">
        <v>96</v>
      </c>
      <c r="AO100" t="s">
        <v>96</v>
      </c>
      <c r="AP100">
        <v>6.75</v>
      </c>
      <c r="AQ100" s="1" t="s">
        <v>96</v>
      </c>
      <c r="AR100" s="1" t="s">
        <v>96</v>
      </c>
      <c r="AS100">
        <v>47.89</v>
      </c>
      <c r="AT100">
        <v>1.92</v>
      </c>
      <c r="AU100" s="1" t="s">
        <v>96</v>
      </c>
      <c r="AV100" s="1" t="s">
        <v>96</v>
      </c>
      <c r="AW100">
        <v>4.71</v>
      </c>
      <c r="AX100" s="1" t="s">
        <v>96</v>
      </c>
      <c r="AY100" t="s">
        <v>133</v>
      </c>
      <c r="AZ100">
        <v>285.51</v>
      </c>
      <c r="BA100">
        <v>98.36</v>
      </c>
      <c r="BB100" s="1" t="s">
        <v>96</v>
      </c>
      <c r="BC100" t="s">
        <v>133</v>
      </c>
      <c r="BD100" s="1" t="s">
        <v>96</v>
      </c>
      <c r="BE100" s="1">
        <v>5.43</v>
      </c>
      <c r="BF100">
        <v>61.38</v>
      </c>
      <c r="BG100" s="1">
        <v>11.18</v>
      </c>
      <c r="BH100" s="1" t="s">
        <v>96</v>
      </c>
      <c r="BI100">
        <v>720.08</v>
      </c>
      <c r="BJ100">
        <v>68.11</v>
      </c>
      <c r="BK100" s="1" t="s">
        <v>96</v>
      </c>
      <c r="BL100" s="1">
        <v>14.64</v>
      </c>
      <c r="BM100">
        <v>7.22</v>
      </c>
      <c r="BN100">
        <v>233.36</v>
      </c>
      <c r="BO100">
        <v>262.10000000000002</v>
      </c>
      <c r="BP100" t="s">
        <v>96</v>
      </c>
      <c r="BQ100" s="1" t="s">
        <v>96</v>
      </c>
      <c r="BR100" s="1" t="s">
        <v>96</v>
      </c>
      <c r="BS100" s="1" t="s">
        <v>96</v>
      </c>
      <c r="BT100" s="1" t="s">
        <v>96</v>
      </c>
      <c r="BU100" s="1" t="s">
        <v>96</v>
      </c>
      <c r="BV100">
        <v>298.74</v>
      </c>
      <c r="BW100">
        <v>64.709999999999994</v>
      </c>
      <c r="BX100" s="1" t="s">
        <v>96</v>
      </c>
      <c r="BY100">
        <v>521</v>
      </c>
      <c r="BZ100">
        <v>19.190000000000001</v>
      </c>
      <c r="CA100" s="1" t="s">
        <v>96</v>
      </c>
      <c r="CB100">
        <v>29.17</v>
      </c>
      <c r="CC100">
        <v>58.72</v>
      </c>
      <c r="CD100" s="1" t="s">
        <v>96</v>
      </c>
    </row>
    <row r="101" spans="1:82">
      <c r="A101">
        <v>164</v>
      </c>
      <c r="B101" t="s">
        <v>587</v>
      </c>
      <c r="D101" t="b">
        <v>1</v>
      </c>
      <c r="E101" t="s">
        <v>588</v>
      </c>
      <c r="F101">
        <v>251</v>
      </c>
      <c r="G101">
        <v>5</v>
      </c>
      <c r="J101" t="s">
        <v>589</v>
      </c>
      <c r="K101" t="s">
        <v>94</v>
      </c>
      <c r="L101" t="s">
        <v>95</v>
      </c>
      <c r="M101">
        <v>100</v>
      </c>
      <c r="N101" s="1" t="s">
        <v>96</v>
      </c>
      <c r="O101" s="1" t="s">
        <v>96</v>
      </c>
      <c r="P101">
        <v>21.44</v>
      </c>
      <c r="Q101" s="1" t="s">
        <v>96</v>
      </c>
      <c r="R101" s="1" t="s">
        <v>96</v>
      </c>
      <c r="S101" s="1" t="s">
        <v>96</v>
      </c>
      <c r="T101" s="1" t="s">
        <v>96</v>
      </c>
      <c r="U101" s="1" t="s">
        <v>96</v>
      </c>
      <c r="V101" s="1" t="s">
        <v>96</v>
      </c>
      <c r="W101" s="1" t="s">
        <v>96</v>
      </c>
      <c r="X101" s="1" t="s">
        <v>96</v>
      </c>
      <c r="Y101" s="1" t="s">
        <v>96</v>
      </c>
      <c r="Z101" t="s">
        <v>96</v>
      </c>
      <c r="AA101" s="1" t="s">
        <v>96</v>
      </c>
      <c r="AB101">
        <v>1.29</v>
      </c>
      <c r="AC101">
        <v>2.29</v>
      </c>
      <c r="AD101">
        <v>98.94</v>
      </c>
      <c r="AE101" s="1" t="s">
        <v>96</v>
      </c>
      <c r="AF101" t="s">
        <v>96</v>
      </c>
      <c r="AG101">
        <v>43.49</v>
      </c>
      <c r="AH101">
        <v>36.29</v>
      </c>
      <c r="AI101" s="1">
        <v>3.95</v>
      </c>
      <c r="AJ101" s="1" t="s">
        <v>96</v>
      </c>
      <c r="AK101" s="1" t="s">
        <v>96</v>
      </c>
      <c r="AL101" s="1" t="s">
        <v>96</v>
      </c>
      <c r="AM101" s="1" t="s">
        <v>96</v>
      </c>
      <c r="AN101" s="1" t="s">
        <v>96</v>
      </c>
      <c r="AO101">
        <v>42.03</v>
      </c>
      <c r="AP101">
        <v>16.010000000000002</v>
      </c>
      <c r="AQ101" s="1" t="s">
        <v>96</v>
      </c>
      <c r="AR101" s="1">
        <v>1.48</v>
      </c>
      <c r="AS101">
        <v>26.57</v>
      </c>
      <c r="AT101">
        <v>19.829999999999998</v>
      </c>
      <c r="AU101" s="1" t="s">
        <v>96</v>
      </c>
      <c r="AV101" s="1" t="s">
        <v>96</v>
      </c>
      <c r="AW101" t="s">
        <v>96</v>
      </c>
      <c r="AX101" s="1" t="s">
        <v>96</v>
      </c>
      <c r="AY101">
        <v>533.77</v>
      </c>
      <c r="AZ101">
        <v>109.4</v>
      </c>
      <c r="BA101">
        <v>103.33</v>
      </c>
      <c r="BB101" s="1" t="s">
        <v>96</v>
      </c>
      <c r="BC101">
        <v>201.66</v>
      </c>
      <c r="BD101" s="1" t="s">
        <v>96</v>
      </c>
      <c r="BE101" s="1" t="s">
        <v>96</v>
      </c>
      <c r="BF101">
        <v>68.02</v>
      </c>
      <c r="BG101" s="1">
        <v>12.93</v>
      </c>
      <c r="BH101" s="1" t="s">
        <v>96</v>
      </c>
      <c r="BI101">
        <v>170.04</v>
      </c>
      <c r="BJ101">
        <v>41.5</v>
      </c>
      <c r="BK101" s="1" t="s">
        <v>96</v>
      </c>
      <c r="BL101" s="1">
        <v>33.090000000000003</v>
      </c>
      <c r="BM101">
        <v>20.190000000000001</v>
      </c>
      <c r="BN101">
        <v>65.89</v>
      </c>
      <c r="BO101">
        <v>48.99</v>
      </c>
      <c r="BP101" t="s">
        <v>96</v>
      </c>
      <c r="BQ101" s="1" t="s">
        <v>96</v>
      </c>
      <c r="BR101" s="1" t="s">
        <v>96</v>
      </c>
      <c r="BS101" s="1" t="s">
        <v>96</v>
      </c>
      <c r="BT101" s="1" t="s">
        <v>96</v>
      </c>
      <c r="BU101" s="1" t="s">
        <v>96</v>
      </c>
      <c r="BV101">
        <v>72.34</v>
      </c>
      <c r="BW101">
        <v>50.01</v>
      </c>
      <c r="BX101" s="1" t="s">
        <v>96</v>
      </c>
      <c r="BY101">
        <v>65.790000000000006</v>
      </c>
      <c r="BZ101">
        <v>43.54</v>
      </c>
      <c r="CA101" s="1">
        <v>11.17</v>
      </c>
      <c r="CB101">
        <v>33.479999999999997</v>
      </c>
      <c r="CC101">
        <v>56.67</v>
      </c>
      <c r="CD101" s="1" t="s">
        <v>96</v>
      </c>
    </row>
    <row r="102" spans="1:82">
      <c r="A102">
        <v>6</v>
      </c>
      <c r="B102" t="s">
        <v>112</v>
      </c>
      <c r="D102" t="b">
        <v>1</v>
      </c>
      <c r="E102" t="s">
        <v>113</v>
      </c>
      <c r="F102">
        <v>193</v>
      </c>
      <c r="G102">
        <v>1</v>
      </c>
      <c r="J102" t="s">
        <v>114</v>
      </c>
      <c r="K102" t="s">
        <v>94</v>
      </c>
      <c r="L102" t="s">
        <v>95</v>
      </c>
      <c r="M102">
        <v>100</v>
      </c>
      <c r="N102" s="1" t="s">
        <v>96</v>
      </c>
      <c r="O102" s="1" t="s">
        <v>96</v>
      </c>
      <c r="P102">
        <v>11.36</v>
      </c>
      <c r="Q102" s="1" t="s">
        <v>96</v>
      </c>
      <c r="R102" s="1" t="s">
        <v>96</v>
      </c>
      <c r="S102" s="1" t="s">
        <v>96</v>
      </c>
      <c r="T102" s="1" t="s">
        <v>96</v>
      </c>
      <c r="U102" s="1" t="s">
        <v>96</v>
      </c>
      <c r="V102" s="1" t="s">
        <v>96</v>
      </c>
      <c r="W102" s="1" t="s">
        <v>96</v>
      </c>
      <c r="X102" s="1" t="s">
        <v>96</v>
      </c>
      <c r="Y102" s="1" t="s">
        <v>96</v>
      </c>
      <c r="Z102" t="s">
        <v>96</v>
      </c>
      <c r="AA102" s="1" t="s">
        <v>96</v>
      </c>
      <c r="AB102">
        <v>3.23</v>
      </c>
      <c r="AC102">
        <v>9.9700000000000006</v>
      </c>
      <c r="AD102">
        <v>42.15</v>
      </c>
      <c r="AE102" s="1" t="s">
        <v>96</v>
      </c>
      <c r="AF102">
        <v>15</v>
      </c>
      <c r="AG102">
        <v>173.5</v>
      </c>
      <c r="AH102">
        <v>159.94</v>
      </c>
      <c r="AI102" s="1" t="s">
        <v>96</v>
      </c>
      <c r="AJ102" s="1" t="s">
        <v>96</v>
      </c>
      <c r="AK102" s="1" t="s">
        <v>96</v>
      </c>
      <c r="AL102" s="1" t="s">
        <v>96</v>
      </c>
      <c r="AM102" s="1" t="s">
        <v>96</v>
      </c>
      <c r="AN102" s="1" t="s">
        <v>96</v>
      </c>
      <c r="AO102">
        <v>151.55000000000001</v>
      </c>
      <c r="AP102">
        <v>17.93</v>
      </c>
      <c r="AQ102" s="1" t="s">
        <v>96</v>
      </c>
      <c r="AR102" s="1" t="s">
        <v>96</v>
      </c>
      <c r="AS102">
        <v>54.18</v>
      </c>
      <c r="AT102">
        <v>4.8</v>
      </c>
      <c r="AU102" s="1" t="s">
        <v>96</v>
      </c>
      <c r="AV102" s="1" t="s">
        <v>96</v>
      </c>
      <c r="AW102">
        <v>6.58</v>
      </c>
      <c r="AX102" s="1" t="s">
        <v>96</v>
      </c>
      <c r="AY102">
        <v>926.37</v>
      </c>
      <c r="AZ102">
        <v>205.3</v>
      </c>
      <c r="BA102">
        <v>48.69</v>
      </c>
      <c r="BB102" s="1" t="s">
        <v>96</v>
      </c>
      <c r="BC102">
        <v>462.62</v>
      </c>
      <c r="BD102" s="1" t="s">
        <v>96</v>
      </c>
      <c r="BE102" s="1">
        <v>7.74</v>
      </c>
      <c r="BF102">
        <v>16.13</v>
      </c>
      <c r="BG102" s="1">
        <v>15.06</v>
      </c>
      <c r="BH102" s="1" t="s">
        <v>96</v>
      </c>
      <c r="BI102">
        <v>563.54999999999995</v>
      </c>
      <c r="BJ102">
        <v>142.30000000000001</v>
      </c>
      <c r="BK102" s="1" t="s">
        <v>96</v>
      </c>
      <c r="BL102" s="1">
        <v>11.11</v>
      </c>
      <c r="BM102">
        <v>5.99</v>
      </c>
      <c r="BN102">
        <v>232.79</v>
      </c>
      <c r="BO102">
        <v>200.99</v>
      </c>
      <c r="BP102">
        <v>4.24</v>
      </c>
      <c r="BQ102" s="1" t="s">
        <v>96</v>
      </c>
      <c r="BR102" s="1" t="s">
        <v>96</v>
      </c>
      <c r="BS102" s="1" t="s">
        <v>96</v>
      </c>
      <c r="BT102" s="1" t="s">
        <v>96</v>
      </c>
      <c r="BU102" s="1">
        <v>34.840000000000003</v>
      </c>
      <c r="BV102">
        <v>194.12</v>
      </c>
      <c r="BW102">
        <v>100.41</v>
      </c>
      <c r="BX102" s="1" t="s">
        <v>96</v>
      </c>
      <c r="BY102">
        <v>343.39</v>
      </c>
      <c r="BZ102">
        <v>75.260000000000005</v>
      </c>
      <c r="CA102" s="1">
        <v>11.62</v>
      </c>
      <c r="CB102">
        <v>31.55</v>
      </c>
      <c r="CC102">
        <v>106.56</v>
      </c>
      <c r="CD102" s="1" t="s">
        <v>96</v>
      </c>
    </row>
    <row r="103" spans="1:82">
      <c r="A103">
        <v>29</v>
      </c>
      <c r="B103" t="s">
        <v>182</v>
      </c>
      <c r="D103" t="b">
        <v>1</v>
      </c>
      <c r="E103" t="s">
        <v>183</v>
      </c>
      <c r="F103">
        <v>220</v>
      </c>
      <c r="G103">
        <v>1</v>
      </c>
      <c r="J103" t="s">
        <v>184</v>
      </c>
      <c r="K103" t="s">
        <v>94</v>
      </c>
      <c r="L103" t="s">
        <v>95</v>
      </c>
      <c r="M103">
        <v>100</v>
      </c>
      <c r="N103" s="1" t="s">
        <v>96</v>
      </c>
      <c r="O103" s="1" t="s">
        <v>96</v>
      </c>
      <c r="P103">
        <v>17.309999999999999</v>
      </c>
      <c r="Q103" s="1" t="s">
        <v>96</v>
      </c>
      <c r="R103" s="1" t="s">
        <v>96</v>
      </c>
      <c r="S103" s="1">
        <v>6.85</v>
      </c>
      <c r="T103" s="1" t="s">
        <v>96</v>
      </c>
      <c r="U103" s="1" t="s">
        <v>96</v>
      </c>
      <c r="V103" s="1" t="s">
        <v>96</v>
      </c>
      <c r="W103" s="1" t="s">
        <v>96</v>
      </c>
      <c r="X103" s="1" t="s">
        <v>96</v>
      </c>
      <c r="Y103" s="1" t="s">
        <v>96</v>
      </c>
      <c r="Z103" t="s">
        <v>96</v>
      </c>
      <c r="AA103" s="1" t="s">
        <v>96</v>
      </c>
      <c r="AB103">
        <v>23.03</v>
      </c>
      <c r="AC103">
        <v>8.1199999999999992</v>
      </c>
      <c r="AD103">
        <v>12.87</v>
      </c>
      <c r="AE103" s="1" t="s">
        <v>96</v>
      </c>
      <c r="AF103">
        <v>10.210000000000001</v>
      </c>
      <c r="AG103">
        <v>452.94</v>
      </c>
      <c r="AH103">
        <v>508.28</v>
      </c>
      <c r="AI103" s="1" t="s">
        <v>96</v>
      </c>
      <c r="AJ103" s="1" t="s">
        <v>96</v>
      </c>
      <c r="AK103" s="1" t="s">
        <v>96</v>
      </c>
      <c r="AL103" s="1" t="s">
        <v>96</v>
      </c>
      <c r="AM103" s="1" t="s">
        <v>96</v>
      </c>
      <c r="AN103" s="1" t="s">
        <v>96</v>
      </c>
      <c r="AO103">
        <v>85.98</v>
      </c>
      <c r="AP103">
        <v>27.01</v>
      </c>
      <c r="AQ103" s="1" t="s">
        <v>96</v>
      </c>
      <c r="AR103" s="1">
        <v>1.93</v>
      </c>
      <c r="AS103">
        <v>535.67999999999995</v>
      </c>
      <c r="AT103">
        <v>13.76</v>
      </c>
      <c r="AU103" s="1" t="s">
        <v>96</v>
      </c>
      <c r="AV103" s="1" t="s">
        <v>96</v>
      </c>
      <c r="AW103">
        <v>8.42</v>
      </c>
      <c r="AX103" s="1" t="s">
        <v>96</v>
      </c>
      <c r="AY103">
        <v>1891.74</v>
      </c>
      <c r="AZ103">
        <v>553.82000000000005</v>
      </c>
      <c r="BA103">
        <v>75.73</v>
      </c>
      <c r="BB103" s="1" t="s">
        <v>96</v>
      </c>
      <c r="BC103">
        <v>214.66</v>
      </c>
      <c r="BD103" s="1" t="s">
        <v>96</v>
      </c>
      <c r="BE103" s="1">
        <v>2.88</v>
      </c>
      <c r="BF103">
        <v>7.08</v>
      </c>
      <c r="BG103" s="1" t="s">
        <v>96</v>
      </c>
      <c r="BH103" s="1" t="s">
        <v>96</v>
      </c>
      <c r="BI103">
        <v>134.25</v>
      </c>
      <c r="BJ103">
        <v>38.32</v>
      </c>
      <c r="BK103" s="1" t="s">
        <v>96</v>
      </c>
      <c r="BL103" s="1" t="s">
        <v>96</v>
      </c>
      <c r="BM103">
        <v>3.09</v>
      </c>
      <c r="BN103">
        <v>23.99</v>
      </c>
      <c r="BO103">
        <v>76.56</v>
      </c>
      <c r="BP103">
        <v>8.52</v>
      </c>
      <c r="BQ103" s="1" t="s">
        <v>96</v>
      </c>
      <c r="BR103" s="1" t="s">
        <v>96</v>
      </c>
      <c r="BS103" s="1">
        <v>10.1</v>
      </c>
      <c r="BT103" s="1" t="s">
        <v>96</v>
      </c>
      <c r="BU103" s="1">
        <v>13.89</v>
      </c>
      <c r="BV103">
        <v>74.150000000000006</v>
      </c>
      <c r="BW103">
        <v>10.130000000000001</v>
      </c>
      <c r="BX103" s="1" t="s">
        <v>96</v>
      </c>
      <c r="BY103">
        <v>482.5</v>
      </c>
      <c r="BZ103">
        <v>28.72</v>
      </c>
      <c r="CA103" s="1" t="s">
        <v>96</v>
      </c>
      <c r="CB103">
        <v>23.76</v>
      </c>
      <c r="CC103">
        <v>127.8</v>
      </c>
      <c r="CD103" s="1" t="s">
        <v>96</v>
      </c>
    </row>
    <row r="104" spans="1:82">
      <c r="A104">
        <v>219</v>
      </c>
      <c r="B104" t="s">
        <v>752</v>
      </c>
      <c r="D104" t="b">
        <v>1</v>
      </c>
      <c r="E104" t="s">
        <v>753</v>
      </c>
      <c r="F104">
        <v>328</v>
      </c>
      <c r="G104">
        <v>6</v>
      </c>
      <c r="J104" t="s">
        <v>754</v>
      </c>
      <c r="K104" t="s">
        <v>94</v>
      </c>
      <c r="L104" t="s">
        <v>95</v>
      </c>
      <c r="M104">
        <v>100</v>
      </c>
      <c r="N104" s="1" t="s">
        <v>96</v>
      </c>
      <c r="O104" s="1" t="s">
        <v>96</v>
      </c>
      <c r="P104">
        <v>16.54</v>
      </c>
      <c r="Q104" s="1" t="s">
        <v>96</v>
      </c>
      <c r="R104" s="1" t="s">
        <v>96</v>
      </c>
      <c r="S104" s="1">
        <v>8.27</v>
      </c>
      <c r="T104" s="1" t="s">
        <v>96</v>
      </c>
      <c r="U104" s="1" t="s">
        <v>96</v>
      </c>
      <c r="V104" s="1" t="s">
        <v>96</v>
      </c>
      <c r="W104" s="1" t="s">
        <v>96</v>
      </c>
      <c r="X104" s="1" t="s">
        <v>96</v>
      </c>
      <c r="Y104" s="1" t="s">
        <v>96</v>
      </c>
      <c r="Z104">
        <v>1.67</v>
      </c>
      <c r="AA104" s="1" t="s">
        <v>96</v>
      </c>
      <c r="AB104">
        <v>2.08</v>
      </c>
      <c r="AC104">
        <v>11.73</v>
      </c>
      <c r="AD104">
        <v>208.22</v>
      </c>
      <c r="AE104" s="1" t="s">
        <v>96</v>
      </c>
      <c r="AF104">
        <v>35.44</v>
      </c>
      <c r="AG104">
        <v>291.97000000000003</v>
      </c>
      <c r="AH104">
        <v>229.64</v>
      </c>
      <c r="AI104" s="1" t="s">
        <v>96</v>
      </c>
      <c r="AJ104" s="1" t="s">
        <v>96</v>
      </c>
      <c r="AK104" s="1" t="s">
        <v>96</v>
      </c>
      <c r="AL104" s="1" t="s">
        <v>96</v>
      </c>
      <c r="AM104" s="1" t="s">
        <v>96</v>
      </c>
      <c r="AN104" s="1" t="s">
        <v>96</v>
      </c>
      <c r="AO104">
        <v>456.32</v>
      </c>
      <c r="AP104">
        <v>52.81</v>
      </c>
      <c r="AQ104" s="1" t="s">
        <v>96</v>
      </c>
      <c r="AR104" s="1" t="s">
        <v>96</v>
      </c>
      <c r="AS104">
        <v>20.28</v>
      </c>
      <c r="AT104" t="s">
        <v>96</v>
      </c>
      <c r="AU104" s="1" t="s">
        <v>96</v>
      </c>
      <c r="AV104" s="1" t="s">
        <v>96</v>
      </c>
      <c r="AW104">
        <v>3.85</v>
      </c>
      <c r="AX104" s="1" t="s">
        <v>96</v>
      </c>
      <c r="AY104">
        <v>1035.46</v>
      </c>
      <c r="AZ104">
        <v>290.2</v>
      </c>
      <c r="BA104">
        <v>92.94</v>
      </c>
      <c r="BB104" s="1" t="s">
        <v>96</v>
      </c>
      <c r="BC104">
        <v>180.71</v>
      </c>
      <c r="BD104" s="1" t="s">
        <v>96</v>
      </c>
      <c r="BE104" s="1" t="s">
        <v>96</v>
      </c>
      <c r="BF104">
        <v>8.5500000000000007</v>
      </c>
      <c r="BG104" s="1" t="s">
        <v>96</v>
      </c>
      <c r="BH104" s="1" t="s">
        <v>96</v>
      </c>
      <c r="BI104">
        <v>70.540000000000006</v>
      </c>
      <c r="BJ104">
        <v>21.18</v>
      </c>
      <c r="BK104" s="1" t="s">
        <v>96</v>
      </c>
      <c r="BL104" s="1" t="s">
        <v>96</v>
      </c>
      <c r="BM104" t="s">
        <v>96</v>
      </c>
      <c r="BN104">
        <v>11.71</v>
      </c>
      <c r="BO104">
        <v>153.96</v>
      </c>
      <c r="BP104">
        <v>9.9600000000000009</v>
      </c>
      <c r="BQ104" s="1" t="s">
        <v>96</v>
      </c>
      <c r="BR104" s="1" t="s">
        <v>96</v>
      </c>
      <c r="BS104" s="1" t="s">
        <v>96</v>
      </c>
      <c r="BT104" s="1" t="s">
        <v>96</v>
      </c>
      <c r="BU104" s="1">
        <v>23.28</v>
      </c>
      <c r="BV104">
        <v>193.3</v>
      </c>
      <c r="BW104">
        <v>17.600000000000001</v>
      </c>
      <c r="BX104" s="1" t="s">
        <v>96</v>
      </c>
      <c r="BY104">
        <v>1567.36</v>
      </c>
      <c r="BZ104">
        <v>18.010000000000002</v>
      </c>
      <c r="CA104" s="1" t="s">
        <v>96</v>
      </c>
      <c r="CB104">
        <v>32.36</v>
      </c>
      <c r="CC104">
        <v>168.56</v>
      </c>
      <c r="CD104" s="1" t="s">
        <v>96</v>
      </c>
    </row>
    <row r="105" spans="1:82">
      <c r="A105">
        <v>156</v>
      </c>
      <c r="B105" t="s">
        <v>563</v>
      </c>
      <c r="D105" t="b">
        <v>1</v>
      </c>
      <c r="E105" t="s">
        <v>564</v>
      </c>
      <c r="F105">
        <v>49</v>
      </c>
      <c r="G105">
        <v>4</v>
      </c>
      <c r="J105" t="s">
        <v>565</v>
      </c>
      <c r="K105" t="s">
        <v>94</v>
      </c>
      <c r="L105" t="s">
        <v>95</v>
      </c>
      <c r="M105">
        <v>100</v>
      </c>
      <c r="N105" s="1" t="s">
        <v>96</v>
      </c>
      <c r="O105" s="1" t="s">
        <v>96</v>
      </c>
      <c r="P105">
        <v>28.1</v>
      </c>
      <c r="Q105" s="1" t="s">
        <v>96</v>
      </c>
      <c r="R105" s="1" t="s">
        <v>96</v>
      </c>
      <c r="S105" s="1" t="s">
        <v>96</v>
      </c>
      <c r="T105" s="1" t="s">
        <v>96</v>
      </c>
      <c r="U105" s="1" t="s">
        <v>96</v>
      </c>
      <c r="V105" s="1" t="s">
        <v>96</v>
      </c>
      <c r="W105" s="1" t="s">
        <v>96</v>
      </c>
      <c r="X105" s="1" t="s">
        <v>96</v>
      </c>
      <c r="Y105" s="1" t="s">
        <v>96</v>
      </c>
      <c r="Z105" t="s">
        <v>96</v>
      </c>
      <c r="AA105" s="1" t="s">
        <v>96</v>
      </c>
      <c r="AB105">
        <v>1.06</v>
      </c>
      <c r="AC105" t="s">
        <v>96</v>
      </c>
      <c r="AD105">
        <v>20.91</v>
      </c>
      <c r="AE105" s="1" t="s">
        <v>96</v>
      </c>
      <c r="AF105" t="s">
        <v>96</v>
      </c>
      <c r="AG105">
        <v>67.37</v>
      </c>
      <c r="AH105">
        <v>219.59</v>
      </c>
      <c r="AI105" s="1" t="s">
        <v>96</v>
      </c>
      <c r="AJ105" s="1" t="s">
        <v>96</v>
      </c>
      <c r="AK105" s="1" t="s">
        <v>96</v>
      </c>
      <c r="AL105" s="1" t="s">
        <v>96</v>
      </c>
      <c r="AM105" s="1" t="s">
        <v>96</v>
      </c>
      <c r="AN105" s="1" t="s">
        <v>96</v>
      </c>
      <c r="AO105" t="s">
        <v>96</v>
      </c>
      <c r="AP105">
        <v>14.82</v>
      </c>
      <c r="AQ105" s="1" t="s">
        <v>96</v>
      </c>
      <c r="AR105" s="1" t="s">
        <v>96</v>
      </c>
      <c r="AS105">
        <v>33.22</v>
      </c>
      <c r="AT105">
        <v>9.8000000000000007</v>
      </c>
      <c r="AU105" s="1" t="s">
        <v>96</v>
      </c>
      <c r="AV105" s="1" t="s">
        <v>96</v>
      </c>
      <c r="AW105">
        <v>7.53</v>
      </c>
      <c r="AX105" s="1" t="s">
        <v>96</v>
      </c>
      <c r="AY105">
        <v>1828.76</v>
      </c>
      <c r="AZ105">
        <v>142</v>
      </c>
      <c r="BA105">
        <v>92.01</v>
      </c>
      <c r="BB105" s="1" t="s">
        <v>96</v>
      </c>
      <c r="BC105">
        <v>325.74</v>
      </c>
      <c r="BD105" s="1" t="s">
        <v>96</v>
      </c>
      <c r="BE105" s="1" t="s">
        <v>96</v>
      </c>
      <c r="BF105">
        <v>48.96</v>
      </c>
      <c r="BG105" s="1">
        <v>4.99</v>
      </c>
      <c r="BH105" s="1" t="s">
        <v>96</v>
      </c>
      <c r="BI105">
        <v>162.13999999999999</v>
      </c>
      <c r="BJ105">
        <v>20.309999999999999</v>
      </c>
      <c r="BK105" s="1" t="s">
        <v>96</v>
      </c>
      <c r="BL105" s="1">
        <v>6.57</v>
      </c>
      <c r="BM105" t="s">
        <v>96</v>
      </c>
      <c r="BN105">
        <v>34.01</v>
      </c>
      <c r="BO105">
        <v>34.020000000000003</v>
      </c>
      <c r="BP105" t="s">
        <v>96</v>
      </c>
      <c r="BQ105" s="1" t="s">
        <v>96</v>
      </c>
      <c r="BR105" s="1" t="s">
        <v>96</v>
      </c>
      <c r="BS105" s="1" t="s">
        <v>96</v>
      </c>
      <c r="BT105" s="1" t="s">
        <v>96</v>
      </c>
      <c r="BU105" s="1" t="s">
        <v>96</v>
      </c>
      <c r="BV105">
        <v>134.4</v>
      </c>
      <c r="BW105">
        <v>20.36</v>
      </c>
      <c r="BX105" s="1" t="s">
        <v>96</v>
      </c>
      <c r="BY105">
        <v>167.45</v>
      </c>
      <c r="BZ105">
        <v>8.43</v>
      </c>
      <c r="CA105" s="1" t="s">
        <v>96</v>
      </c>
      <c r="CB105">
        <v>14.71</v>
      </c>
      <c r="CC105">
        <v>39.85</v>
      </c>
      <c r="CD105" s="1" t="s">
        <v>96</v>
      </c>
    </row>
    <row r="106" spans="1:82">
      <c r="A106">
        <v>132</v>
      </c>
      <c r="B106" t="s">
        <v>491</v>
      </c>
      <c r="D106" t="b">
        <v>1</v>
      </c>
      <c r="E106" t="s">
        <v>492</v>
      </c>
      <c r="F106">
        <v>21</v>
      </c>
      <c r="G106">
        <v>4</v>
      </c>
      <c r="J106" t="s">
        <v>493</v>
      </c>
      <c r="K106" t="s">
        <v>94</v>
      </c>
      <c r="L106" t="s">
        <v>95</v>
      </c>
      <c r="M106">
        <v>100</v>
      </c>
      <c r="N106" s="1" t="s">
        <v>96</v>
      </c>
      <c r="O106" s="1" t="s">
        <v>96</v>
      </c>
      <c r="P106">
        <v>14.99</v>
      </c>
      <c r="Q106" s="1" t="s">
        <v>96</v>
      </c>
      <c r="R106" s="1" t="s">
        <v>96</v>
      </c>
      <c r="S106" s="1" t="s">
        <v>96</v>
      </c>
      <c r="T106" s="1" t="s">
        <v>96</v>
      </c>
      <c r="U106" s="1" t="s">
        <v>96</v>
      </c>
      <c r="V106" s="1" t="s">
        <v>96</v>
      </c>
      <c r="W106" s="1" t="s">
        <v>96</v>
      </c>
      <c r="X106" s="1" t="s">
        <v>96</v>
      </c>
      <c r="Y106" s="1" t="s">
        <v>96</v>
      </c>
      <c r="Z106" t="s">
        <v>96</v>
      </c>
      <c r="AA106" s="1" t="s">
        <v>96</v>
      </c>
      <c r="AB106">
        <v>2.77</v>
      </c>
      <c r="AC106">
        <v>3.72</v>
      </c>
      <c r="AD106">
        <v>46.81</v>
      </c>
      <c r="AE106" s="1" t="s">
        <v>96</v>
      </c>
      <c r="AF106" t="s">
        <v>96</v>
      </c>
      <c r="AG106">
        <v>125.08</v>
      </c>
      <c r="AH106">
        <v>251.04</v>
      </c>
      <c r="AI106" s="1" t="s">
        <v>96</v>
      </c>
      <c r="AJ106" s="1">
        <v>8.06</v>
      </c>
      <c r="AK106" s="1" t="s">
        <v>96</v>
      </c>
      <c r="AL106" s="1" t="s">
        <v>96</v>
      </c>
      <c r="AM106" s="1" t="s">
        <v>96</v>
      </c>
      <c r="AN106" s="1" t="s">
        <v>96</v>
      </c>
      <c r="AO106" t="s">
        <v>96</v>
      </c>
      <c r="AP106">
        <v>30.8</v>
      </c>
      <c r="AQ106" s="1" t="s">
        <v>96</v>
      </c>
      <c r="AR106" s="1" t="s">
        <v>96</v>
      </c>
      <c r="AS106">
        <v>76.3</v>
      </c>
      <c r="AT106">
        <v>4.66</v>
      </c>
      <c r="AU106" s="1" t="s">
        <v>96</v>
      </c>
      <c r="AV106" s="1" t="s">
        <v>96</v>
      </c>
      <c r="AW106">
        <v>4.04</v>
      </c>
      <c r="AX106" s="1">
        <v>2.96</v>
      </c>
      <c r="AY106">
        <v>1758.15</v>
      </c>
      <c r="AZ106">
        <v>303.01</v>
      </c>
      <c r="BA106">
        <v>137.56</v>
      </c>
      <c r="BB106" s="1" t="s">
        <v>96</v>
      </c>
      <c r="BC106">
        <v>597.35</v>
      </c>
      <c r="BD106" s="1" t="s">
        <v>96</v>
      </c>
      <c r="BE106" s="1" t="s">
        <v>96</v>
      </c>
      <c r="BF106">
        <v>24.71</v>
      </c>
      <c r="BG106" s="1">
        <v>10.23</v>
      </c>
      <c r="BH106" s="1" t="s">
        <v>96</v>
      </c>
      <c r="BI106">
        <v>263.32</v>
      </c>
      <c r="BJ106">
        <v>51.49</v>
      </c>
      <c r="BK106" s="1" t="s">
        <v>96</v>
      </c>
      <c r="BL106" s="1">
        <v>4.59</v>
      </c>
      <c r="BM106" t="s">
        <v>96</v>
      </c>
      <c r="BN106">
        <v>95.48</v>
      </c>
      <c r="BO106">
        <v>149.88999999999999</v>
      </c>
      <c r="BP106" t="s">
        <v>96</v>
      </c>
      <c r="BQ106" s="1" t="s">
        <v>96</v>
      </c>
      <c r="BR106" s="1" t="s">
        <v>96</v>
      </c>
      <c r="BS106" s="1" t="s">
        <v>96</v>
      </c>
      <c r="BT106" s="1" t="s">
        <v>96</v>
      </c>
      <c r="BU106" s="1">
        <v>7.9</v>
      </c>
      <c r="BV106">
        <v>306.07</v>
      </c>
      <c r="BW106">
        <v>94.35</v>
      </c>
      <c r="BX106" s="1">
        <v>5.03</v>
      </c>
      <c r="BY106">
        <v>621.32000000000005</v>
      </c>
      <c r="BZ106">
        <v>52.57</v>
      </c>
      <c r="CA106" s="1">
        <v>14.17</v>
      </c>
      <c r="CB106">
        <v>66.72</v>
      </c>
      <c r="CC106">
        <v>164.97</v>
      </c>
      <c r="CD106" s="1" t="s">
        <v>96</v>
      </c>
    </row>
    <row r="107" spans="1:82">
      <c r="A107">
        <v>79</v>
      </c>
      <c r="B107" t="s">
        <v>332</v>
      </c>
      <c r="D107" t="b">
        <v>1</v>
      </c>
      <c r="E107" t="s">
        <v>333</v>
      </c>
      <c r="F107">
        <v>112</v>
      </c>
      <c r="G107">
        <v>2</v>
      </c>
      <c r="J107" t="s">
        <v>334</v>
      </c>
      <c r="K107" t="s">
        <v>94</v>
      </c>
      <c r="L107" t="s">
        <v>95</v>
      </c>
      <c r="M107">
        <v>100</v>
      </c>
      <c r="N107" s="1" t="s">
        <v>96</v>
      </c>
      <c r="O107" s="1" t="s">
        <v>96</v>
      </c>
      <c r="P107">
        <v>21.6</v>
      </c>
      <c r="Q107" s="1" t="s">
        <v>96</v>
      </c>
      <c r="R107" s="1" t="s">
        <v>96</v>
      </c>
      <c r="S107" s="1">
        <v>10.83</v>
      </c>
      <c r="T107" s="1" t="s">
        <v>96</v>
      </c>
      <c r="U107" s="1" t="s">
        <v>96</v>
      </c>
      <c r="V107" s="1" t="s">
        <v>96</v>
      </c>
      <c r="W107" s="1" t="s">
        <v>96</v>
      </c>
      <c r="X107" s="1" t="s">
        <v>96</v>
      </c>
      <c r="Y107" s="1" t="s">
        <v>96</v>
      </c>
      <c r="Z107" t="s">
        <v>96</v>
      </c>
      <c r="AA107" s="1" t="s">
        <v>96</v>
      </c>
      <c r="AB107">
        <v>2.09</v>
      </c>
      <c r="AC107">
        <v>5.89</v>
      </c>
      <c r="AD107">
        <v>60.62</v>
      </c>
      <c r="AE107" s="1" t="s">
        <v>96</v>
      </c>
      <c r="AF107">
        <v>16.13</v>
      </c>
      <c r="AG107">
        <v>200.22</v>
      </c>
      <c r="AH107">
        <v>130.55000000000001</v>
      </c>
      <c r="AI107" s="1">
        <v>3.45</v>
      </c>
      <c r="AJ107" s="1">
        <v>1.67</v>
      </c>
      <c r="AK107" s="1" t="s">
        <v>96</v>
      </c>
      <c r="AL107" s="1" t="s">
        <v>96</v>
      </c>
      <c r="AM107" s="1" t="s">
        <v>96</v>
      </c>
      <c r="AN107" s="1" t="s">
        <v>96</v>
      </c>
      <c r="AO107">
        <v>758.16</v>
      </c>
      <c r="AP107">
        <v>31.58</v>
      </c>
      <c r="AQ107" s="1" t="s">
        <v>96</v>
      </c>
      <c r="AR107" s="1">
        <v>1.1499999999999999</v>
      </c>
      <c r="AS107">
        <v>98.58</v>
      </c>
      <c r="AT107">
        <v>11.53</v>
      </c>
      <c r="AU107" s="1" t="s">
        <v>96</v>
      </c>
      <c r="AV107" s="1" t="s">
        <v>96</v>
      </c>
      <c r="AW107">
        <v>21.11</v>
      </c>
      <c r="AX107" s="1">
        <v>3.18</v>
      </c>
      <c r="AY107" t="s">
        <v>133</v>
      </c>
      <c r="AZ107">
        <v>1405.42</v>
      </c>
      <c r="BA107">
        <v>232.91</v>
      </c>
      <c r="BB107" s="1" t="s">
        <v>96</v>
      </c>
      <c r="BC107" t="s">
        <v>133</v>
      </c>
      <c r="BD107" s="1" t="s">
        <v>96</v>
      </c>
      <c r="BE107" s="1">
        <v>17.649999999999999</v>
      </c>
      <c r="BF107">
        <v>40.43</v>
      </c>
      <c r="BG107" s="1">
        <v>26.22</v>
      </c>
      <c r="BH107" s="1" t="s">
        <v>96</v>
      </c>
      <c r="BI107">
        <v>589.41999999999996</v>
      </c>
      <c r="BJ107">
        <v>324.29000000000002</v>
      </c>
      <c r="BK107" s="1" t="s">
        <v>96</v>
      </c>
      <c r="BL107" s="1">
        <v>7.52</v>
      </c>
      <c r="BM107">
        <v>7.22</v>
      </c>
      <c r="BN107">
        <v>251.25</v>
      </c>
      <c r="BO107">
        <v>429.79</v>
      </c>
      <c r="BP107">
        <v>22.92</v>
      </c>
      <c r="BQ107" s="1" t="s">
        <v>96</v>
      </c>
      <c r="BR107" s="1" t="s">
        <v>96</v>
      </c>
      <c r="BS107" s="1">
        <v>12.85</v>
      </c>
      <c r="BT107" s="1">
        <v>3.58</v>
      </c>
      <c r="BU107" s="1">
        <v>14.48</v>
      </c>
      <c r="BV107">
        <v>348.69</v>
      </c>
      <c r="BW107">
        <v>52.31</v>
      </c>
      <c r="BX107" s="1" t="s">
        <v>96</v>
      </c>
      <c r="BY107">
        <v>1172.31</v>
      </c>
      <c r="BZ107">
        <v>61.61</v>
      </c>
      <c r="CA107" s="1">
        <v>13.32</v>
      </c>
      <c r="CB107">
        <v>81.28</v>
      </c>
      <c r="CC107">
        <v>211.37</v>
      </c>
      <c r="CD107" s="1" t="s">
        <v>96</v>
      </c>
    </row>
    <row r="108" spans="1:82">
      <c r="A108">
        <v>137</v>
      </c>
      <c r="B108" t="s">
        <v>506</v>
      </c>
      <c r="D108" t="b">
        <v>1</v>
      </c>
      <c r="E108" t="s">
        <v>507</v>
      </c>
      <c r="F108">
        <v>26</v>
      </c>
      <c r="G108">
        <v>4</v>
      </c>
      <c r="J108" t="s">
        <v>508</v>
      </c>
      <c r="K108" t="s">
        <v>94</v>
      </c>
      <c r="L108" t="s">
        <v>95</v>
      </c>
      <c r="M108">
        <v>100</v>
      </c>
      <c r="N108" s="1" t="s">
        <v>96</v>
      </c>
      <c r="O108" s="1" t="s">
        <v>96</v>
      </c>
      <c r="P108">
        <v>18.38</v>
      </c>
      <c r="Q108" s="1" t="s">
        <v>96</v>
      </c>
      <c r="R108" s="1" t="s">
        <v>96</v>
      </c>
      <c r="S108" s="1" t="s">
        <v>96</v>
      </c>
      <c r="T108" s="1" t="s">
        <v>96</v>
      </c>
      <c r="U108" s="1" t="s">
        <v>96</v>
      </c>
      <c r="V108" s="1" t="s">
        <v>96</v>
      </c>
      <c r="W108" s="1" t="s">
        <v>96</v>
      </c>
      <c r="X108" s="1" t="s">
        <v>96</v>
      </c>
      <c r="Y108" s="1" t="s">
        <v>96</v>
      </c>
      <c r="Z108" t="s">
        <v>96</v>
      </c>
      <c r="AA108" s="1" t="s">
        <v>96</v>
      </c>
      <c r="AB108">
        <v>3.57</v>
      </c>
      <c r="AC108">
        <v>19.920000000000002</v>
      </c>
      <c r="AD108">
        <v>92.63</v>
      </c>
      <c r="AE108" s="1" t="s">
        <v>96</v>
      </c>
      <c r="AF108">
        <v>58.14</v>
      </c>
      <c r="AG108">
        <v>409.96</v>
      </c>
      <c r="AH108">
        <v>104.58</v>
      </c>
      <c r="AI108" s="1" t="s">
        <v>96</v>
      </c>
      <c r="AJ108" s="1">
        <v>1.4</v>
      </c>
      <c r="AK108" s="1" t="s">
        <v>96</v>
      </c>
      <c r="AL108" s="1" t="s">
        <v>96</v>
      </c>
      <c r="AM108" s="1" t="s">
        <v>96</v>
      </c>
      <c r="AN108" s="1" t="s">
        <v>96</v>
      </c>
      <c r="AO108">
        <v>1154.25</v>
      </c>
      <c r="AP108">
        <v>29.8</v>
      </c>
      <c r="AQ108" s="1" t="s">
        <v>96</v>
      </c>
      <c r="AR108" s="1">
        <v>1.59</v>
      </c>
      <c r="AS108">
        <v>74.349999999999994</v>
      </c>
      <c r="AT108">
        <v>1.06</v>
      </c>
      <c r="AU108" s="1" t="s">
        <v>96</v>
      </c>
      <c r="AV108" s="1" t="s">
        <v>96</v>
      </c>
      <c r="AW108" t="s">
        <v>96</v>
      </c>
      <c r="AX108" s="1" t="s">
        <v>96</v>
      </c>
      <c r="AY108">
        <v>1505.83</v>
      </c>
      <c r="AZ108">
        <v>1299.6300000000001</v>
      </c>
      <c r="BA108">
        <v>72.989999999999995</v>
      </c>
      <c r="BB108" s="1" t="s">
        <v>96</v>
      </c>
      <c r="BC108" t="s">
        <v>133</v>
      </c>
      <c r="BD108" s="1" t="s">
        <v>96</v>
      </c>
      <c r="BE108" s="1" t="s">
        <v>96</v>
      </c>
      <c r="BF108">
        <v>38.64</v>
      </c>
      <c r="BG108" s="1" t="s">
        <v>96</v>
      </c>
      <c r="BH108" s="1" t="s">
        <v>96</v>
      </c>
      <c r="BI108">
        <v>57.84</v>
      </c>
      <c r="BJ108">
        <v>87.94</v>
      </c>
      <c r="BK108" s="1" t="s">
        <v>96</v>
      </c>
      <c r="BL108" s="1" t="s">
        <v>96</v>
      </c>
      <c r="BM108">
        <v>8.74</v>
      </c>
      <c r="BN108">
        <v>59.69</v>
      </c>
      <c r="BO108">
        <v>97.14</v>
      </c>
      <c r="BP108">
        <v>3.71</v>
      </c>
      <c r="BQ108" s="1" t="s">
        <v>96</v>
      </c>
      <c r="BR108" s="1" t="s">
        <v>96</v>
      </c>
      <c r="BS108" s="1">
        <v>8.9600000000000009</v>
      </c>
      <c r="BT108" s="1" t="s">
        <v>96</v>
      </c>
      <c r="BU108" s="1">
        <v>69.3</v>
      </c>
      <c r="BV108">
        <v>325.49</v>
      </c>
      <c r="BW108">
        <v>14.78</v>
      </c>
      <c r="BX108" s="1">
        <v>12.93</v>
      </c>
      <c r="BY108">
        <v>1360.04</v>
      </c>
      <c r="BZ108">
        <v>119.54</v>
      </c>
      <c r="CA108" s="1" t="s">
        <v>96</v>
      </c>
      <c r="CB108">
        <v>29.25</v>
      </c>
      <c r="CC108">
        <v>1178.56</v>
      </c>
      <c r="CD108" s="1" t="s">
        <v>96</v>
      </c>
    </row>
    <row r="109" spans="1:82">
      <c r="A109">
        <v>9</v>
      </c>
      <c r="B109" t="s">
        <v>121</v>
      </c>
      <c r="D109" t="b">
        <v>1</v>
      </c>
      <c r="E109" t="s">
        <v>122</v>
      </c>
      <c r="F109">
        <v>196</v>
      </c>
      <c r="G109">
        <v>1</v>
      </c>
      <c r="J109" t="s">
        <v>123</v>
      </c>
      <c r="K109" t="s">
        <v>94</v>
      </c>
      <c r="L109" t="s">
        <v>95</v>
      </c>
      <c r="M109">
        <v>100</v>
      </c>
      <c r="N109" s="1" t="s">
        <v>96</v>
      </c>
      <c r="O109" s="1" t="s">
        <v>96</v>
      </c>
      <c r="P109">
        <v>24.6</v>
      </c>
      <c r="Q109" s="1" t="s">
        <v>96</v>
      </c>
      <c r="R109" s="1" t="s">
        <v>96</v>
      </c>
      <c r="S109" s="1" t="s">
        <v>96</v>
      </c>
      <c r="T109" s="1" t="s">
        <v>96</v>
      </c>
      <c r="U109" s="1" t="s">
        <v>96</v>
      </c>
      <c r="V109" s="1" t="s">
        <v>96</v>
      </c>
      <c r="W109" s="1" t="s">
        <v>96</v>
      </c>
      <c r="X109" s="1" t="s">
        <v>96</v>
      </c>
      <c r="Y109" s="1" t="s">
        <v>96</v>
      </c>
      <c r="Z109" t="s">
        <v>96</v>
      </c>
      <c r="AA109" s="1" t="s">
        <v>96</v>
      </c>
      <c r="AB109">
        <v>5.45</v>
      </c>
      <c r="AC109">
        <v>3.05</v>
      </c>
      <c r="AD109">
        <v>364.23</v>
      </c>
      <c r="AE109" s="1" t="s">
        <v>96</v>
      </c>
      <c r="AF109">
        <v>11.06</v>
      </c>
      <c r="AG109">
        <v>106.17</v>
      </c>
      <c r="AH109">
        <v>140.9</v>
      </c>
      <c r="AI109" s="1" t="s">
        <v>96</v>
      </c>
      <c r="AJ109" s="1">
        <v>1.23</v>
      </c>
      <c r="AK109" s="1" t="s">
        <v>96</v>
      </c>
      <c r="AL109" s="1" t="s">
        <v>96</v>
      </c>
      <c r="AM109" s="1" t="s">
        <v>96</v>
      </c>
      <c r="AN109" s="1">
        <v>1.0900000000000001</v>
      </c>
      <c r="AO109">
        <v>66.760000000000005</v>
      </c>
      <c r="AP109">
        <v>70.44</v>
      </c>
      <c r="AQ109" s="1" t="s">
        <v>96</v>
      </c>
      <c r="AR109" s="1" t="s">
        <v>96</v>
      </c>
      <c r="AS109">
        <v>153.84</v>
      </c>
      <c r="AT109">
        <v>9.67</v>
      </c>
      <c r="AU109" s="1" t="s">
        <v>96</v>
      </c>
      <c r="AV109" s="1" t="s">
        <v>96</v>
      </c>
      <c r="AW109" t="s">
        <v>96</v>
      </c>
      <c r="AX109" s="1" t="s">
        <v>96</v>
      </c>
      <c r="AY109">
        <v>517.97</v>
      </c>
      <c r="AZ109">
        <v>75.84</v>
      </c>
      <c r="BA109">
        <v>104.43</v>
      </c>
      <c r="BB109" s="1" t="s">
        <v>96</v>
      </c>
      <c r="BC109">
        <v>174.82</v>
      </c>
      <c r="BD109" s="1" t="s">
        <v>96</v>
      </c>
      <c r="BE109" s="1" t="s">
        <v>96</v>
      </c>
      <c r="BF109">
        <v>9.6999999999999993</v>
      </c>
      <c r="BG109" s="1">
        <v>3.46</v>
      </c>
      <c r="BH109" s="1" t="s">
        <v>96</v>
      </c>
      <c r="BI109">
        <v>45.18</v>
      </c>
      <c r="BJ109">
        <v>7.4</v>
      </c>
      <c r="BK109" s="1" t="s">
        <v>96</v>
      </c>
      <c r="BL109" s="1" t="s">
        <v>96</v>
      </c>
      <c r="BM109" t="s">
        <v>96</v>
      </c>
      <c r="BN109">
        <v>14.94</v>
      </c>
      <c r="BO109">
        <v>39.799999999999997</v>
      </c>
      <c r="BP109">
        <v>3.12</v>
      </c>
      <c r="BQ109" s="1" t="s">
        <v>96</v>
      </c>
      <c r="BR109" s="1" t="s">
        <v>96</v>
      </c>
      <c r="BS109" s="1" t="s">
        <v>96</v>
      </c>
      <c r="BT109" s="1">
        <v>3.63</v>
      </c>
      <c r="BU109" s="1">
        <v>7.04</v>
      </c>
      <c r="BV109">
        <v>52.55</v>
      </c>
      <c r="BW109">
        <v>12.55</v>
      </c>
      <c r="BX109" s="1" t="s">
        <v>96</v>
      </c>
      <c r="BY109">
        <v>122.41</v>
      </c>
      <c r="BZ109">
        <v>10.94</v>
      </c>
      <c r="CA109" s="1" t="s">
        <v>96</v>
      </c>
      <c r="CB109">
        <v>38.53</v>
      </c>
      <c r="CC109">
        <v>29.1</v>
      </c>
      <c r="CD109" s="1" t="s">
        <v>96</v>
      </c>
    </row>
    <row r="110" spans="1:82">
      <c r="A110">
        <v>177</v>
      </c>
      <c r="B110" t="s">
        <v>626</v>
      </c>
      <c r="D110" t="b">
        <v>1</v>
      </c>
      <c r="E110" t="s">
        <v>627</v>
      </c>
      <c r="F110">
        <v>266</v>
      </c>
      <c r="G110">
        <v>5</v>
      </c>
      <c r="J110" t="s">
        <v>628</v>
      </c>
      <c r="K110" t="s">
        <v>94</v>
      </c>
      <c r="L110" t="s">
        <v>95</v>
      </c>
      <c r="M110">
        <v>100</v>
      </c>
      <c r="N110" s="1" t="s">
        <v>96</v>
      </c>
      <c r="O110" s="1" t="s">
        <v>96</v>
      </c>
      <c r="P110">
        <v>11.83</v>
      </c>
      <c r="Q110" s="1" t="s">
        <v>96</v>
      </c>
      <c r="R110" s="1" t="s">
        <v>96</v>
      </c>
      <c r="S110" s="1" t="s">
        <v>96</v>
      </c>
      <c r="T110" s="1" t="s">
        <v>96</v>
      </c>
      <c r="U110" s="1" t="s">
        <v>96</v>
      </c>
      <c r="V110" s="1" t="s">
        <v>96</v>
      </c>
      <c r="W110" s="1" t="s">
        <v>96</v>
      </c>
      <c r="X110" s="1" t="s">
        <v>96</v>
      </c>
      <c r="Y110" s="1" t="s">
        <v>96</v>
      </c>
      <c r="Z110">
        <v>5.0199999999999996</v>
      </c>
      <c r="AA110" s="1" t="s">
        <v>96</v>
      </c>
      <c r="AB110">
        <v>60.2</v>
      </c>
      <c r="AC110">
        <v>10.1</v>
      </c>
      <c r="AD110">
        <v>462.25</v>
      </c>
      <c r="AE110" s="1" t="s">
        <v>96</v>
      </c>
      <c r="AF110">
        <v>15.46</v>
      </c>
      <c r="AG110">
        <v>370</v>
      </c>
      <c r="AH110">
        <v>343.29</v>
      </c>
      <c r="AI110" s="1" t="s">
        <v>96</v>
      </c>
      <c r="AJ110" s="1" t="s">
        <v>96</v>
      </c>
      <c r="AK110" s="1" t="s">
        <v>96</v>
      </c>
      <c r="AL110" s="1" t="s">
        <v>96</v>
      </c>
      <c r="AM110" s="1" t="s">
        <v>96</v>
      </c>
      <c r="AN110" s="1">
        <v>1.27</v>
      </c>
      <c r="AO110">
        <v>271.68</v>
      </c>
      <c r="AP110">
        <v>97.61</v>
      </c>
      <c r="AQ110" s="1">
        <v>1.62</v>
      </c>
      <c r="AR110" s="1">
        <v>1.6</v>
      </c>
      <c r="AS110">
        <v>43.61</v>
      </c>
      <c r="AT110">
        <v>6.14</v>
      </c>
      <c r="AU110" s="1" t="s">
        <v>96</v>
      </c>
      <c r="AV110" s="1" t="s">
        <v>96</v>
      </c>
      <c r="AW110" t="s">
        <v>96</v>
      </c>
      <c r="AX110" s="1" t="s">
        <v>96</v>
      </c>
      <c r="AY110">
        <v>1729.73</v>
      </c>
      <c r="AZ110">
        <v>344.33</v>
      </c>
      <c r="BA110">
        <v>262.44</v>
      </c>
      <c r="BB110" s="1" t="s">
        <v>96</v>
      </c>
      <c r="BC110">
        <v>268.06</v>
      </c>
      <c r="BD110" s="1" t="s">
        <v>96</v>
      </c>
      <c r="BE110" s="1" t="s">
        <v>96</v>
      </c>
      <c r="BF110">
        <v>25.55</v>
      </c>
      <c r="BG110" s="1">
        <v>12</v>
      </c>
      <c r="BH110" s="1" t="s">
        <v>96</v>
      </c>
      <c r="BI110">
        <v>153.51</v>
      </c>
      <c r="BJ110">
        <v>40.54</v>
      </c>
      <c r="BK110" s="1" t="s">
        <v>96</v>
      </c>
      <c r="BL110" s="1">
        <v>2.99</v>
      </c>
      <c r="BM110">
        <v>12.95</v>
      </c>
      <c r="BN110">
        <v>32.44</v>
      </c>
      <c r="BO110">
        <v>28.12</v>
      </c>
      <c r="BP110" t="s">
        <v>96</v>
      </c>
      <c r="BQ110" s="1" t="s">
        <v>96</v>
      </c>
      <c r="BR110" s="1" t="s">
        <v>96</v>
      </c>
      <c r="BS110" s="1" t="s">
        <v>96</v>
      </c>
      <c r="BT110" s="1" t="s">
        <v>96</v>
      </c>
      <c r="BU110" s="1" t="s">
        <v>96</v>
      </c>
      <c r="BV110">
        <v>86.93</v>
      </c>
      <c r="BW110">
        <v>12.7</v>
      </c>
      <c r="BX110" s="1" t="s">
        <v>96</v>
      </c>
      <c r="BY110">
        <v>102.76</v>
      </c>
      <c r="BZ110">
        <v>13.72</v>
      </c>
      <c r="CA110" s="1" t="s">
        <v>96</v>
      </c>
      <c r="CB110">
        <v>58.46</v>
      </c>
      <c r="CC110">
        <v>64.23</v>
      </c>
      <c r="CD110" s="1" t="s">
        <v>96</v>
      </c>
    </row>
    <row r="111" spans="1:82">
      <c r="A111">
        <v>88</v>
      </c>
      <c r="B111" t="s">
        <v>359</v>
      </c>
      <c r="D111" t="b">
        <v>1</v>
      </c>
      <c r="E111" t="s">
        <v>360</v>
      </c>
      <c r="F111">
        <v>135</v>
      </c>
      <c r="G111">
        <v>3</v>
      </c>
      <c r="J111" t="s">
        <v>361</v>
      </c>
      <c r="K111" t="s">
        <v>94</v>
      </c>
      <c r="L111" t="s">
        <v>95</v>
      </c>
      <c r="M111">
        <v>100</v>
      </c>
      <c r="N111" s="1" t="s">
        <v>96</v>
      </c>
      <c r="O111" s="1" t="s">
        <v>96</v>
      </c>
      <c r="P111">
        <v>8.7799999999999994</v>
      </c>
      <c r="Q111" s="1" t="s">
        <v>96</v>
      </c>
      <c r="R111" s="1" t="s">
        <v>96</v>
      </c>
      <c r="S111" s="1" t="s">
        <v>96</v>
      </c>
      <c r="T111" s="1" t="s">
        <v>96</v>
      </c>
      <c r="U111" s="1" t="s">
        <v>96</v>
      </c>
      <c r="V111" s="1" t="s">
        <v>96</v>
      </c>
      <c r="W111" s="1" t="s">
        <v>96</v>
      </c>
      <c r="X111" s="1" t="s">
        <v>96</v>
      </c>
      <c r="Y111" s="1" t="s">
        <v>96</v>
      </c>
      <c r="Z111" t="s">
        <v>96</v>
      </c>
      <c r="AA111" s="1" t="s">
        <v>96</v>
      </c>
      <c r="AB111">
        <v>1.07</v>
      </c>
      <c r="AC111">
        <v>1.1499999999999999</v>
      </c>
      <c r="AD111">
        <v>11.98</v>
      </c>
      <c r="AE111" s="1" t="s">
        <v>96</v>
      </c>
      <c r="AF111" t="s">
        <v>96</v>
      </c>
      <c r="AG111">
        <v>68.569999999999993</v>
      </c>
      <c r="AH111">
        <v>34.369999999999997</v>
      </c>
      <c r="AI111" s="1" t="s">
        <v>96</v>
      </c>
      <c r="AJ111" s="1">
        <v>5.36</v>
      </c>
      <c r="AK111" s="1" t="s">
        <v>96</v>
      </c>
      <c r="AL111" s="1" t="s">
        <v>96</v>
      </c>
      <c r="AM111" s="1" t="s">
        <v>96</v>
      </c>
      <c r="AN111" s="1" t="s">
        <v>96</v>
      </c>
      <c r="AO111" t="s">
        <v>96</v>
      </c>
      <c r="AP111">
        <v>11.36</v>
      </c>
      <c r="AQ111" s="1" t="s">
        <v>96</v>
      </c>
      <c r="AR111" s="1" t="s">
        <v>96</v>
      </c>
      <c r="AS111">
        <v>12.18</v>
      </c>
      <c r="AT111">
        <v>4.6900000000000004</v>
      </c>
      <c r="AU111" s="1" t="s">
        <v>96</v>
      </c>
      <c r="AV111" s="1" t="s">
        <v>96</v>
      </c>
      <c r="AW111" t="s">
        <v>96</v>
      </c>
      <c r="AX111" s="1" t="s">
        <v>96</v>
      </c>
      <c r="AY111">
        <v>844.42</v>
      </c>
      <c r="AZ111">
        <v>269</v>
      </c>
      <c r="BA111">
        <v>82.87</v>
      </c>
      <c r="BB111" s="1" t="s">
        <v>96</v>
      </c>
      <c r="BC111">
        <v>325.45999999999998</v>
      </c>
      <c r="BD111" s="1" t="s">
        <v>96</v>
      </c>
      <c r="BE111" s="1">
        <v>2.76</v>
      </c>
      <c r="BF111">
        <v>27.43</v>
      </c>
      <c r="BG111" s="1">
        <v>12.65</v>
      </c>
      <c r="BH111" s="1" t="s">
        <v>96</v>
      </c>
      <c r="BI111">
        <v>310.77999999999997</v>
      </c>
      <c r="BJ111">
        <v>113.48</v>
      </c>
      <c r="BK111" s="1" t="s">
        <v>96</v>
      </c>
      <c r="BL111" s="1">
        <v>15.21</v>
      </c>
      <c r="BM111">
        <v>14.42</v>
      </c>
      <c r="BN111">
        <v>145.46</v>
      </c>
      <c r="BO111">
        <v>94.45</v>
      </c>
      <c r="BP111" t="s">
        <v>96</v>
      </c>
      <c r="BQ111" s="1" t="s">
        <v>96</v>
      </c>
      <c r="BR111" s="1" t="s">
        <v>96</v>
      </c>
      <c r="BS111" s="1" t="s">
        <v>96</v>
      </c>
      <c r="BT111" s="1" t="s">
        <v>96</v>
      </c>
      <c r="BU111" s="1" t="s">
        <v>96</v>
      </c>
      <c r="BV111">
        <v>76.97</v>
      </c>
      <c r="BW111">
        <v>44.39</v>
      </c>
      <c r="BX111" s="1" t="s">
        <v>96</v>
      </c>
      <c r="BY111">
        <v>136.38</v>
      </c>
      <c r="BZ111">
        <v>63.89</v>
      </c>
      <c r="CA111" s="1" t="s">
        <v>96</v>
      </c>
      <c r="CB111">
        <v>28.81</v>
      </c>
      <c r="CC111">
        <v>87.68</v>
      </c>
      <c r="CD111" s="1" t="s">
        <v>96</v>
      </c>
    </row>
    <row r="112" spans="1:82">
      <c r="A112">
        <v>62</v>
      </c>
      <c r="B112" t="s">
        <v>281</v>
      </c>
      <c r="D112" t="b">
        <v>1</v>
      </c>
      <c r="E112" t="s">
        <v>282</v>
      </c>
      <c r="F112">
        <v>93</v>
      </c>
      <c r="G112">
        <v>2</v>
      </c>
      <c r="J112" t="s">
        <v>283</v>
      </c>
      <c r="K112" t="s">
        <v>94</v>
      </c>
      <c r="L112" t="s">
        <v>95</v>
      </c>
      <c r="M112">
        <v>100</v>
      </c>
      <c r="N112" s="1" t="s">
        <v>96</v>
      </c>
      <c r="O112" s="1" t="s">
        <v>96</v>
      </c>
      <c r="P112">
        <v>9.1999999999999993</v>
      </c>
      <c r="Q112" s="1" t="s">
        <v>96</v>
      </c>
      <c r="R112" s="1" t="s">
        <v>96</v>
      </c>
      <c r="S112" s="1" t="s">
        <v>96</v>
      </c>
      <c r="T112" s="1" t="s">
        <v>96</v>
      </c>
      <c r="U112" s="1" t="s">
        <v>96</v>
      </c>
      <c r="V112" s="1" t="s">
        <v>96</v>
      </c>
      <c r="W112" s="1" t="s">
        <v>96</v>
      </c>
      <c r="X112" s="1" t="s">
        <v>96</v>
      </c>
      <c r="Y112" s="1" t="s">
        <v>96</v>
      </c>
      <c r="Z112">
        <v>4.08</v>
      </c>
      <c r="AA112" s="1" t="s">
        <v>96</v>
      </c>
      <c r="AB112">
        <v>22.07</v>
      </c>
      <c r="AC112" t="s">
        <v>96</v>
      </c>
      <c r="AD112" t="s">
        <v>133</v>
      </c>
      <c r="AE112" s="1" t="s">
        <v>96</v>
      </c>
      <c r="AF112" t="s">
        <v>96</v>
      </c>
      <c r="AG112" t="s">
        <v>96</v>
      </c>
      <c r="AH112">
        <v>555.4</v>
      </c>
      <c r="AI112" s="1" t="s">
        <v>96</v>
      </c>
      <c r="AJ112" s="1" t="s">
        <v>96</v>
      </c>
      <c r="AK112" s="1" t="s">
        <v>96</v>
      </c>
      <c r="AL112" s="1" t="s">
        <v>96</v>
      </c>
      <c r="AM112" s="1" t="s">
        <v>96</v>
      </c>
      <c r="AN112" s="1">
        <v>1.68</v>
      </c>
      <c r="AO112">
        <v>187.81</v>
      </c>
      <c r="AP112">
        <v>309.16000000000003</v>
      </c>
      <c r="AQ112" s="1">
        <v>4.55</v>
      </c>
      <c r="AR112" s="1" t="s">
        <v>96</v>
      </c>
      <c r="AS112">
        <v>44.23</v>
      </c>
      <c r="AT112">
        <v>1.18</v>
      </c>
      <c r="AU112" s="1" t="s">
        <v>96</v>
      </c>
      <c r="AV112" s="1" t="s">
        <v>96</v>
      </c>
      <c r="AW112" t="s">
        <v>96</v>
      </c>
      <c r="AX112" s="1">
        <v>3.2</v>
      </c>
      <c r="AY112">
        <v>2171.29</v>
      </c>
      <c r="AZ112" t="s">
        <v>96</v>
      </c>
      <c r="BA112">
        <v>380.93</v>
      </c>
      <c r="BB112" s="1" t="s">
        <v>96</v>
      </c>
      <c r="BC112">
        <v>453.63</v>
      </c>
      <c r="BD112" s="1" t="s">
        <v>96</v>
      </c>
      <c r="BE112" s="1" t="s">
        <v>96</v>
      </c>
      <c r="BF112">
        <v>5.4</v>
      </c>
      <c r="BG112" s="1" t="s">
        <v>96</v>
      </c>
      <c r="BH112" s="1" t="s">
        <v>96</v>
      </c>
      <c r="BI112">
        <v>5.74</v>
      </c>
      <c r="BJ112" t="s">
        <v>96</v>
      </c>
      <c r="BK112" s="1" t="s">
        <v>96</v>
      </c>
      <c r="BL112" s="1" t="s">
        <v>96</v>
      </c>
      <c r="BM112" t="s">
        <v>96</v>
      </c>
      <c r="BN112" t="s">
        <v>96</v>
      </c>
      <c r="BO112" t="s">
        <v>96</v>
      </c>
      <c r="BP112" t="s">
        <v>96</v>
      </c>
      <c r="BQ112" s="1" t="s">
        <v>96</v>
      </c>
      <c r="BR112" s="1" t="s">
        <v>96</v>
      </c>
      <c r="BS112" s="1" t="s">
        <v>96</v>
      </c>
      <c r="BT112" s="1" t="s">
        <v>96</v>
      </c>
      <c r="BU112" s="1" t="s">
        <v>96</v>
      </c>
      <c r="BV112">
        <v>81.96</v>
      </c>
      <c r="BW112" t="s">
        <v>96</v>
      </c>
      <c r="BX112" s="1" t="s">
        <v>96</v>
      </c>
      <c r="BY112">
        <v>5.39</v>
      </c>
      <c r="BZ112" t="s">
        <v>96</v>
      </c>
      <c r="CA112" s="1" t="s">
        <v>96</v>
      </c>
      <c r="CB112">
        <v>113.52</v>
      </c>
      <c r="CC112" t="s">
        <v>96</v>
      </c>
      <c r="CD112" s="1" t="s">
        <v>96</v>
      </c>
    </row>
    <row r="113" spans="1:82">
      <c r="A113">
        <v>181</v>
      </c>
      <c r="B113" t="s">
        <v>638</v>
      </c>
      <c r="D113" t="b">
        <v>1</v>
      </c>
      <c r="E113" t="s">
        <v>639</v>
      </c>
      <c r="F113">
        <v>272</v>
      </c>
      <c r="G113">
        <v>5</v>
      </c>
      <c r="J113" t="s">
        <v>640</v>
      </c>
      <c r="K113" t="s">
        <v>94</v>
      </c>
      <c r="L113" t="s">
        <v>95</v>
      </c>
      <c r="M113">
        <v>100</v>
      </c>
      <c r="N113" s="1" t="s">
        <v>96</v>
      </c>
      <c r="O113" s="1" t="s">
        <v>96</v>
      </c>
      <c r="P113">
        <v>13.26</v>
      </c>
      <c r="Q113" s="1" t="s">
        <v>96</v>
      </c>
      <c r="R113" s="1" t="s">
        <v>96</v>
      </c>
      <c r="S113" s="1">
        <v>24.1</v>
      </c>
      <c r="T113" s="1" t="s">
        <v>96</v>
      </c>
      <c r="U113" s="1" t="s">
        <v>96</v>
      </c>
      <c r="V113" s="1" t="s">
        <v>96</v>
      </c>
      <c r="W113" s="1" t="s">
        <v>96</v>
      </c>
      <c r="X113" s="1" t="s">
        <v>96</v>
      </c>
      <c r="Y113" s="1" t="s">
        <v>96</v>
      </c>
      <c r="Z113" t="s">
        <v>96</v>
      </c>
      <c r="AA113" s="1" t="s">
        <v>96</v>
      </c>
      <c r="AB113">
        <v>2.94</v>
      </c>
      <c r="AC113">
        <v>53.62</v>
      </c>
      <c r="AD113">
        <v>252.02</v>
      </c>
      <c r="AE113" s="1" t="s">
        <v>96</v>
      </c>
      <c r="AF113">
        <v>77.510000000000005</v>
      </c>
      <c r="AG113">
        <v>331.16</v>
      </c>
      <c r="AH113">
        <v>36.56</v>
      </c>
      <c r="AI113" s="1">
        <v>4.29</v>
      </c>
      <c r="AJ113" s="1" t="s">
        <v>96</v>
      </c>
      <c r="AK113" s="1" t="s">
        <v>96</v>
      </c>
      <c r="AL113" s="1" t="s">
        <v>96</v>
      </c>
      <c r="AM113" s="1" t="s">
        <v>96</v>
      </c>
      <c r="AN113" s="1" t="s">
        <v>96</v>
      </c>
      <c r="AO113">
        <v>127.48</v>
      </c>
      <c r="AP113">
        <v>57.95</v>
      </c>
      <c r="AQ113" s="1">
        <v>1.3</v>
      </c>
      <c r="AR113" s="1">
        <v>5.98</v>
      </c>
      <c r="AS113">
        <v>31.99</v>
      </c>
      <c r="AT113">
        <v>3.62</v>
      </c>
      <c r="AU113" s="1" t="s">
        <v>96</v>
      </c>
      <c r="AV113" s="1" t="s">
        <v>96</v>
      </c>
      <c r="AW113">
        <v>4.43</v>
      </c>
      <c r="AX113" s="1" t="s">
        <v>96</v>
      </c>
      <c r="AY113">
        <v>503.11</v>
      </c>
      <c r="AZ113">
        <v>314.06</v>
      </c>
      <c r="BA113">
        <v>56.47</v>
      </c>
      <c r="BB113" s="1" t="s">
        <v>96</v>
      </c>
      <c r="BC113">
        <v>349.51</v>
      </c>
      <c r="BD113" s="1" t="s">
        <v>96</v>
      </c>
      <c r="BE113" s="1">
        <v>2.78</v>
      </c>
      <c r="BF113">
        <v>22.81</v>
      </c>
      <c r="BG113" s="1">
        <v>2.8</v>
      </c>
      <c r="BH113" s="1" t="s">
        <v>96</v>
      </c>
      <c r="BI113">
        <v>53.7</v>
      </c>
      <c r="BJ113">
        <v>34.9</v>
      </c>
      <c r="BK113" s="1" t="s">
        <v>96</v>
      </c>
      <c r="BL113" s="1">
        <v>3.16</v>
      </c>
      <c r="BM113">
        <v>3.95</v>
      </c>
      <c r="BN113">
        <v>31.49</v>
      </c>
      <c r="BO113">
        <v>69.72</v>
      </c>
      <c r="BP113">
        <v>3.23</v>
      </c>
      <c r="BQ113" s="1" t="s">
        <v>96</v>
      </c>
      <c r="BR113" s="1" t="s">
        <v>96</v>
      </c>
      <c r="BS113" s="1" t="s">
        <v>96</v>
      </c>
      <c r="BT113" s="1" t="s">
        <v>96</v>
      </c>
      <c r="BU113" s="1">
        <v>25.4</v>
      </c>
      <c r="BV113">
        <v>60.5</v>
      </c>
      <c r="BW113">
        <v>9.5299999999999994</v>
      </c>
      <c r="BX113" s="1" t="s">
        <v>96</v>
      </c>
      <c r="BY113">
        <v>476.69</v>
      </c>
      <c r="BZ113">
        <v>14.06</v>
      </c>
      <c r="CA113" s="1" t="s">
        <v>96</v>
      </c>
      <c r="CB113">
        <v>11.28</v>
      </c>
      <c r="CC113">
        <v>77.209999999999994</v>
      </c>
      <c r="CD113" s="1" t="s">
        <v>96</v>
      </c>
    </row>
    <row r="114" spans="1:82">
      <c r="A114">
        <v>138</v>
      </c>
      <c r="B114" t="s">
        <v>509</v>
      </c>
      <c r="D114" t="b">
        <v>1</v>
      </c>
      <c r="E114" t="s">
        <v>510</v>
      </c>
      <c r="F114">
        <v>27</v>
      </c>
      <c r="G114">
        <v>4</v>
      </c>
      <c r="J114" t="s">
        <v>511</v>
      </c>
      <c r="K114" t="s">
        <v>94</v>
      </c>
      <c r="L114" t="s">
        <v>95</v>
      </c>
      <c r="M114">
        <v>100</v>
      </c>
      <c r="N114" s="1" t="s">
        <v>96</v>
      </c>
      <c r="O114" s="1" t="s">
        <v>96</v>
      </c>
      <c r="P114">
        <v>13.79</v>
      </c>
      <c r="Q114" s="1" t="s">
        <v>96</v>
      </c>
      <c r="R114" s="1" t="s">
        <v>96</v>
      </c>
      <c r="S114" s="1" t="s">
        <v>96</v>
      </c>
      <c r="T114" s="1" t="s">
        <v>96</v>
      </c>
      <c r="U114" s="1" t="s">
        <v>96</v>
      </c>
      <c r="V114" s="1" t="s">
        <v>96</v>
      </c>
      <c r="W114" s="1" t="s">
        <v>96</v>
      </c>
      <c r="X114" s="1" t="s">
        <v>96</v>
      </c>
      <c r="Y114" s="1" t="s">
        <v>96</v>
      </c>
      <c r="Z114" t="s">
        <v>96</v>
      </c>
      <c r="AA114" s="1" t="s">
        <v>96</v>
      </c>
      <c r="AB114" t="s">
        <v>96</v>
      </c>
      <c r="AC114">
        <v>1.22</v>
      </c>
      <c r="AD114">
        <v>9.2899999999999991</v>
      </c>
      <c r="AE114" s="1" t="s">
        <v>96</v>
      </c>
      <c r="AF114" t="s">
        <v>96</v>
      </c>
      <c r="AG114">
        <v>70.02</v>
      </c>
      <c r="AH114">
        <v>22.15</v>
      </c>
      <c r="AI114" s="1" t="s">
        <v>96</v>
      </c>
      <c r="AJ114" s="1" t="s">
        <v>96</v>
      </c>
      <c r="AK114" s="1" t="s">
        <v>96</v>
      </c>
      <c r="AL114" s="1" t="s">
        <v>96</v>
      </c>
      <c r="AM114" s="1" t="s">
        <v>96</v>
      </c>
      <c r="AN114" s="1">
        <v>1.23</v>
      </c>
      <c r="AO114">
        <v>646.46</v>
      </c>
      <c r="AP114">
        <v>4.16</v>
      </c>
      <c r="AQ114" s="1" t="s">
        <v>96</v>
      </c>
      <c r="AR114" s="1">
        <v>1.1299999999999999</v>
      </c>
      <c r="AS114">
        <v>67.75</v>
      </c>
      <c r="AT114" t="s">
        <v>96</v>
      </c>
      <c r="AU114" s="1" t="s">
        <v>96</v>
      </c>
      <c r="AV114" s="1" t="s">
        <v>96</v>
      </c>
      <c r="AW114" t="s">
        <v>96</v>
      </c>
      <c r="AX114" s="1" t="s">
        <v>96</v>
      </c>
      <c r="AY114">
        <v>884.8</v>
      </c>
      <c r="AZ114">
        <v>575.29</v>
      </c>
      <c r="BA114">
        <v>57.36</v>
      </c>
      <c r="BB114" s="1" t="s">
        <v>96</v>
      </c>
      <c r="BC114">
        <v>387.23</v>
      </c>
      <c r="BD114" s="1" t="s">
        <v>96</v>
      </c>
      <c r="BE114" s="1" t="s">
        <v>96</v>
      </c>
      <c r="BF114">
        <v>32.340000000000003</v>
      </c>
      <c r="BG114" s="1" t="s">
        <v>96</v>
      </c>
      <c r="BH114" s="1" t="s">
        <v>96</v>
      </c>
      <c r="BI114">
        <v>37.020000000000003</v>
      </c>
      <c r="BJ114">
        <v>30.82</v>
      </c>
      <c r="BK114" s="1" t="s">
        <v>96</v>
      </c>
      <c r="BL114" s="1" t="s">
        <v>96</v>
      </c>
      <c r="BM114">
        <v>4.54</v>
      </c>
      <c r="BN114">
        <v>13.94</v>
      </c>
      <c r="BO114">
        <v>80.53</v>
      </c>
      <c r="BP114">
        <v>17.16</v>
      </c>
      <c r="BQ114" s="1" t="s">
        <v>96</v>
      </c>
      <c r="BR114" s="1" t="s">
        <v>96</v>
      </c>
      <c r="BS114" s="1">
        <v>43.37</v>
      </c>
      <c r="BT114" s="1" t="s">
        <v>96</v>
      </c>
      <c r="BU114" s="1">
        <v>12.88</v>
      </c>
      <c r="BV114">
        <v>213.62</v>
      </c>
      <c r="BW114">
        <v>14.2</v>
      </c>
      <c r="BX114" s="1">
        <v>6.34</v>
      </c>
      <c r="BY114">
        <v>666.98</v>
      </c>
      <c r="BZ114">
        <v>70.58</v>
      </c>
      <c r="CA114" s="1" t="s">
        <v>96</v>
      </c>
      <c r="CB114">
        <v>33.31</v>
      </c>
      <c r="CC114">
        <v>754.92</v>
      </c>
      <c r="CD114" s="1" t="s">
        <v>96</v>
      </c>
    </row>
    <row r="115" spans="1:82">
      <c r="A115">
        <v>180</v>
      </c>
      <c r="B115" t="s">
        <v>635</v>
      </c>
      <c r="D115" t="b">
        <v>1</v>
      </c>
      <c r="E115" t="s">
        <v>636</v>
      </c>
      <c r="F115">
        <v>271</v>
      </c>
      <c r="G115">
        <v>5</v>
      </c>
      <c r="J115" t="s">
        <v>637</v>
      </c>
      <c r="K115" t="s">
        <v>94</v>
      </c>
      <c r="L115" t="s">
        <v>95</v>
      </c>
      <c r="M115">
        <v>100</v>
      </c>
      <c r="N115" s="1" t="s">
        <v>96</v>
      </c>
      <c r="O115" s="1" t="s">
        <v>96</v>
      </c>
      <c r="P115">
        <v>26.93</v>
      </c>
      <c r="Q115" s="1" t="s">
        <v>96</v>
      </c>
      <c r="R115" s="1" t="s">
        <v>96</v>
      </c>
      <c r="S115" s="1">
        <v>7.26</v>
      </c>
      <c r="T115" s="1" t="s">
        <v>96</v>
      </c>
      <c r="U115" s="1" t="s">
        <v>96</v>
      </c>
      <c r="V115" s="1" t="s">
        <v>96</v>
      </c>
      <c r="W115" s="1" t="s">
        <v>96</v>
      </c>
      <c r="X115" s="1" t="s">
        <v>96</v>
      </c>
      <c r="Y115" s="1" t="s">
        <v>96</v>
      </c>
      <c r="Z115">
        <v>1.52</v>
      </c>
      <c r="AA115" s="1" t="s">
        <v>96</v>
      </c>
      <c r="AB115">
        <v>6.41</v>
      </c>
      <c r="AC115">
        <v>16.21</v>
      </c>
      <c r="AD115">
        <v>116.19</v>
      </c>
      <c r="AE115" s="1" t="s">
        <v>96</v>
      </c>
      <c r="AF115">
        <v>33.99</v>
      </c>
      <c r="AG115" t="s">
        <v>133</v>
      </c>
      <c r="AH115">
        <v>345.56</v>
      </c>
      <c r="AI115" s="1">
        <v>2.95</v>
      </c>
      <c r="AJ115" s="1">
        <v>5.83</v>
      </c>
      <c r="AK115" s="1" t="s">
        <v>96</v>
      </c>
      <c r="AL115" s="1" t="s">
        <v>96</v>
      </c>
      <c r="AM115" s="1" t="s">
        <v>96</v>
      </c>
      <c r="AN115" s="1">
        <v>1.01</v>
      </c>
      <c r="AO115">
        <v>72.75</v>
      </c>
      <c r="AP115">
        <v>66</v>
      </c>
      <c r="AQ115" s="1" t="s">
        <v>96</v>
      </c>
      <c r="AR115" s="1">
        <v>1.1599999999999999</v>
      </c>
      <c r="AS115">
        <v>30.61</v>
      </c>
      <c r="AT115">
        <v>5.1100000000000003</v>
      </c>
      <c r="AU115" s="1" t="s">
        <v>96</v>
      </c>
      <c r="AV115" s="1" t="s">
        <v>96</v>
      </c>
      <c r="AW115">
        <v>28.45</v>
      </c>
      <c r="AX115" s="1" t="s">
        <v>96</v>
      </c>
      <c r="AY115">
        <v>1415.73</v>
      </c>
      <c r="AZ115">
        <v>1281.5999999999999</v>
      </c>
      <c r="BA115">
        <v>116.14</v>
      </c>
      <c r="BB115" s="1" t="s">
        <v>96</v>
      </c>
      <c r="BC115">
        <v>340.97</v>
      </c>
      <c r="BD115" s="1" t="s">
        <v>96</v>
      </c>
      <c r="BE115" s="1">
        <v>13.51</v>
      </c>
      <c r="BF115">
        <v>13.42</v>
      </c>
      <c r="BG115" s="1">
        <v>8.33</v>
      </c>
      <c r="BH115" s="1" t="s">
        <v>96</v>
      </c>
      <c r="BI115">
        <v>202.4</v>
      </c>
      <c r="BJ115">
        <v>225.55</v>
      </c>
      <c r="BK115" s="1" t="s">
        <v>96</v>
      </c>
      <c r="BL115" s="1" t="s">
        <v>96</v>
      </c>
      <c r="BM115">
        <v>6.57</v>
      </c>
      <c r="BN115">
        <v>59.45</v>
      </c>
      <c r="BO115">
        <v>305.17</v>
      </c>
      <c r="BP115">
        <v>5.86</v>
      </c>
      <c r="BQ115" s="1" t="s">
        <v>96</v>
      </c>
      <c r="BR115" s="1" t="s">
        <v>96</v>
      </c>
      <c r="BS115" s="1" t="s">
        <v>96</v>
      </c>
      <c r="BT115" s="1" t="s">
        <v>96</v>
      </c>
      <c r="BU115" s="1">
        <v>13.23</v>
      </c>
      <c r="BV115">
        <v>86.48</v>
      </c>
      <c r="BW115">
        <v>15.42</v>
      </c>
      <c r="BX115" s="1" t="s">
        <v>96</v>
      </c>
      <c r="BY115">
        <v>1203.4100000000001</v>
      </c>
      <c r="BZ115">
        <v>66.12</v>
      </c>
      <c r="CA115" s="1" t="s">
        <v>96</v>
      </c>
      <c r="CB115">
        <v>23.9</v>
      </c>
      <c r="CC115">
        <v>304.77</v>
      </c>
      <c r="CD115" s="1" t="s">
        <v>96</v>
      </c>
    </row>
    <row r="116" spans="1:82">
      <c r="A116">
        <v>91</v>
      </c>
      <c r="B116" t="s">
        <v>368</v>
      </c>
      <c r="D116" t="b">
        <v>1</v>
      </c>
      <c r="E116" t="s">
        <v>369</v>
      </c>
      <c r="F116">
        <v>140</v>
      </c>
      <c r="G116">
        <v>3</v>
      </c>
      <c r="J116" t="s">
        <v>370</v>
      </c>
      <c r="K116" t="s">
        <v>94</v>
      </c>
      <c r="L116" t="s">
        <v>95</v>
      </c>
      <c r="M116">
        <v>100</v>
      </c>
      <c r="N116" s="1" t="s">
        <v>96</v>
      </c>
      <c r="O116" s="1" t="s">
        <v>96</v>
      </c>
      <c r="P116">
        <v>9.6300000000000008</v>
      </c>
      <c r="Q116" s="1" t="s">
        <v>96</v>
      </c>
      <c r="R116" s="1" t="s">
        <v>96</v>
      </c>
      <c r="S116" s="1" t="s">
        <v>96</v>
      </c>
      <c r="T116" s="1" t="s">
        <v>96</v>
      </c>
      <c r="U116" s="1" t="s">
        <v>96</v>
      </c>
      <c r="V116" s="1" t="s">
        <v>96</v>
      </c>
      <c r="W116" s="1" t="s">
        <v>96</v>
      </c>
      <c r="X116" s="1" t="s">
        <v>96</v>
      </c>
      <c r="Y116" s="1" t="s">
        <v>96</v>
      </c>
      <c r="Z116" t="s">
        <v>96</v>
      </c>
      <c r="AA116" s="1" t="s">
        <v>96</v>
      </c>
      <c r="AB116">
        <v>2.5299999999999998</v>
      </c>
      <c r="AC116">
        <v>16.399999999999999</v>
      </c>
      <c r="AD116">
        <v>90.82</v>
      </c>
      <c r="AE116" s="1" t="s">
        <v>96</v>
      </c>
      <c r="AF116">
        <v>22.66</v>
      </c>
      <c r="AG116">
        <v>182.52</v>
      </c>
      <c r="AH116">
        <v>68.599999999999994</v>
      </c>
      <c r="AI116" s="1" t="s">
        <v>96</v>
      </c>
      <c r="AJ116" s="1" t="s">
        <v>96</v>
      </c>
      <c r="AK116" s="1" t="s">
        <v>96</v>
      </c>
      <c r="AL116" s="1" t="s">
        <v>96</v>
      </c>
      <c r="AM116" s="1" t="s">
        <v>96</v>
      </c>
      <c r="AN116" s="1" t="s">
        <v>96</v>
      </c>
      <c r="AO116">
        <v>170.47</v>
      </c>
      <c r="AP116">
        <v>10.44</v>
      </c>
      <c r="AQ116" s="1" t="s">
        <v>96</v>
      </c>
      <c r="AR116" s="1" t="s">
        <v>96</v>
      </c>
      <c r="AS116">
        <v>24.57</v>
      </c>
      <c r="AT116" t="s">
        <v>96</v>
      </c>
      <c r="AU116" s="1" t="s">
        <v>96</v>
      </c>
      <c r="AV116" s="1" t="s">
        <v>96</v>
      </c>
      <c r="AW116" t="s">
        <v>96</v>
      </c>
      <c r="AX116" s="1" t="s">
        <v>96</v>
      </c>
      <c r="AY116">
        <v>877.53</v>
      </c>
      <c r="AZ116">
        <v>954.48</v>
      </c>
      <c r="BA116">
        <v>35.340000000000003</v>
      </c>
      <c r="BB116" s="1" t="s">
        <v>96</v>
      </c>
      <c r="BC116" t="s">
        <v>133</v>
      </c>
      <c r="BD116" s="1" t="s">
        <v>96</v>
      </c>
      <c r="BE116" s="1" t="s">
        <v>96</v>
      </c>
      <c r="BF116">
        <v>10.53</v>
      </c>
      <c r="BG116" s="1" t="s">
        <v>96</v>
      </c>
      <c r="BH116" s="1" t="s">
        <v>96</v>
      </c>
      <c r="BI116">
        <v>73.42</v>
      </c>
      <c r="BJ116">
        <v>99.07</v>
      </c>
      <c r="BK116" s="1" t="s">
        <v>96</v>
      </c>
      <c r="BL116" s="1" t="s">
        <v>96</v>
      </c>
      <c r="BM116" t="s">
        <v>96</v>
      </c>
      <c r="BN116">
        <v>237.2</v>
      </c>
      <c r="BO116">
        <v>46.08</v>
      </c>
      <c r="BP116">
        <v>3.39</v>
      </c>
      <c r="BQ116" s="1" t="s">
        <v>96</v>
      </c>
      <c r="BR116" s="1" t="s">
        <v>96</v>
      </c>
      <c r="BS116" s="1">
        <v>5.97</v>
      </c>
      <c r="BT116" s="1" t="s">
        <v>96</v>
      </c>
      <c r="BU116" s="1">
        <v>24.77</v>
      </c>
      <c r="BV116">
        <v>111.13</v>
      </c>
      <c r="BW116">
        <v>8.77</v>
      </c>
      <c r="BX116" s="1">
        <v>7.39</v>
      </c>
      <c r="BY116">
        <v>425.04</v>
      </c>
      <c r="BZ116">
        <v>79.89</v>
      </c>
      <c r="CA116" s="1" t="s">
        <v>96</v>
      </c>
      <c r="CB116">
        <v>12.91</v>
      </c>
      <c r="CC116">
        <v>650.41999999999996</v>
      </c>
      <c r="CD116" s="1" t="s">
        <v>96</v>
      </c>
    </row>
    <row r="117" spans="1:82">
      <c r="A117">
        <v>232</v>
      </c>
      <c r="B117" t="s">
        <v>791</v>
      </c>
      <c r="D117" t="b">
        <v>1</v>
      </c>
      <c r="E117" t="s">
        <v>792</v>
      </c>
      <c r="F117">
        <v>345</v>
      </c>
      <c r="G117">
        <v>6</v>
      </c>
      <c r="J117" t="s">
        <v>793</v>
      </c>
      <c r="K117" t="s">
        <v>94</v>
      </c>
      <c r="L117" t="s">
        <v>95</v>
      </c>
      <c r="M117">
        <v>100</v>
      </c>
      <c r="N117" s="1" t="s">
        <v>96</v>
      </c>
      <c r="O117" s="1" t="s">
        <v>96</v>
      </c>
      <c r="P117">
        <v>5.3</v>
      </c>
      <c r="Q117" s="1" t="s">
        <v>96</v>
      </c>
      <c r="R117" s="1" t="s">
        <v>96</v>
      </c>
      <c r="S117" s="1" t="s">
        <v>96</v>
      </c>
      <c r="T117" s="1" t="s">
        <v>96</v>
      </c>
      <c r="U117" s="1" t="s">
        <v>96</v>
      </c>
      <c r="V117" s="1" t="s">
        <v>96</v>
      </c>
      <c r="W117" s="1" t="s">
        <v>96</v>
      </c>
      <c r="X117" s="1" t="s">
        <v>96</v>
      </c>
      <c r="Y117" s="1" t="s">
        <v>96</v>
      </c>
      <c r="Z117">
        <v>1.84</v>
      </c>
      <c r="AA117" s="1" t="s">
        <v>96</v>
      </c>
      <c r="AB117">
        <v>9.18</v>
      </c>
      <c r="AC117">
        <v>17.100000000000001</v>
      </c>
      <c r="AD117">
        <v>459.95</v>
      </c>
      <c r="AE117" s="1" t="s">
        <v>96</v>
      </c>
      <c r="AF117">
        <v>110.29</v>
      </c>
      <c r="AG117">
        <v>593.26</v>
      </c>
      <c r="AH117">
        <v>172.54</v>
      </c>
      <c r="AI117" s="1" t="s">
        <v>96</v>
      </c>
      <c r="AJ117" s="1" t="s">
        <v>96</v>
      </c>
      <c r="AK117" s="1" t="s">
        <v>96</v>
      </c>
      <c r="AL117" s="1" t="s">
        <v>96</v>
      </c>
      <c r="AM117" s="1" t="s">
        <v>96</v>
      </c>
      <c r="AN117" s="1">
        <v>1.35</v>
      </c>
      <c r="AO117">
        <v>153.46</v>
      </c>
      <c r="AP117">
        <v>72.430000000000007</v>
      </c>
      <c r="AQ117" s="1">
        <v>1.3</v>
      </c>
      <c r="AR117" s="1" t="s">
        <v>96</v>
      </c>
      <c r="AS117">
        <v>71.650000000000006</v>
      </c>
      <c r="AT117">
        <v>9.3699999999999992</v>
      </c>
      <c r="AU117" s="1" t="s">
        <v>96</v>
      </c>
      <c r="AV117" s="1" t="s">
        <v>96</v>
      </c>
      <c r="AW117">
        <v>9.09</v>
      </c>
      <c r="AX117" s="1" t="s">
        <v>96</v>
      </c>
      <c r="AY117">
        <v>934.92</v>
      </c>
      <c r="AZ117">
        <v>404.41</v>
      </c>
      <c r="BA117">
        <v>100.5</v>
      </c>
      <c r="BB117" s="1" t="s">
        <v>96</v>
      </c>
      <c r="BC117">
        <v>244.26</v>
      </c>
      <c r="BD117" s="1" t="s">
        <v>96</v>
      </c>
      <c r="BE117" s="1" t="s">
        <v>96</v>
      </c>
      <c r="BF117">
        <v>17.940000000000001</v>
      </c>
      <c r="BG117" s="1" t="s">
        <v>96</v>
      </c>
      <c r="BH117" s="1" t="s">
        <v>96</v>
      </c>
      <c r="BI117">
        <v>13.72</v>
      </c>
      <c r="BJ117">
        <v>6.34</v>
      </c>
      <c r="BK117" s="1" t="s">
        <v>96</v>
      </c>
      <c r="BL117" s="1" t="s">
        <v>96</v>
      </c>
      <c r="BM117" t="s">
        <v>96</v>
      </c>
      <c r="BN117">
        <v>3.29</v>
      </c>
      <c r="BO117">
        <v>14.44</v>
      </c>
      <c r="BP117">
        <v>8.1999999999999993</v>
      </c>
      <c r="BQ117" s="1" t="s">
        <v>96</v>
      </c>
      <c r="BR117" s="1" t="s">
        <v>96</v>
      </c>
      <c r="BS117" s="1">
        <v>5.71</v>
      </c>
      <c r="BT117" s="1" t="s">
        <v>96</v>
      </c>
      <c r="BU117" s="1">
        <v>23.66</v>
      </c>
      <c r="BV117">
        <v>110.46</v>
      </c>
      <c r="BW117" t="s">
        <v>96</v>
      </c>
      <c r="BX117" s="1" t="s">
        <v>96</v>
      </c>
      <c r="BY117">
        <v>611.29</v>
      </c>
      <c r="BZ117">
        <v>5.9</v>
      </c>
      <c r="CA117" s="1" t="s">
        <v>96</v>
      </c>
      <c r="CB117">
        <v>51.14</v>
      </c>
      <c r="CC117">
        <v>194.22</v>
      </c>
      <c r="CD117" s="1" t="s">
        <v>96</v>
      </c>
    </row>
    <row r="118" spans="1:82">
      <c r="A118">
        <v>92</v>
      </c>
      <c r="B118" t="s">
        <v>371</v>
      </c>
      <c r="D118" t="b">
        <v>1</v>
      </c>
      <c r="E118" t="s">
        <v>372</v>
      </c>
      <c r="F118">
        <v>141</v>
      </c>
      <c r="G118">
        <v>3</v>
      </c>
      <c r="J118" t="s">
        <v>373</v>
      </c>
      <c r="K118" t="s">
        <v>94</v>
      </c>
      <c r="L118" t="s">
        <v>95</v>
      </c>
      <c r="M118">
        <v>100</v>
      </c>
      <c r="N118" s="1" t="s">
        <v>96</v>
      </c>
      <c r="O118" s="1" t="s">
        <v>96</v>
      </c>
      <c r="P118">
        <v>9.36</v>
      </c>
      <c r="Q118" s="1" t="s">
        <v>96</v>
      </c>
      <c r="R118" s="1" t="s">
        <v>96</v>
      </c>
      <c r="S118" s="1" t="s">
        <v>96</v>
      </c>
      <c r="T118" s="1" t="s">
        <v>96</v>
      </c>
      <c r="U118" s="1" t="s">
        <v>96</v>
      </c>
      <c r="V118" s="1" t="s">
        <v>96</v>
      </c>
      <c r="W118" s="1" t="s">
        <v>96</v>
      </c>
      <c r="X118" s="1" t="s">
        <v>96</v>
      </c>
      <c r="Y118" s="1" t="s">
        <v>96</v>
      </c>
      <c r="Z118" t="s">
        <v>96</v>
      </c>
      <c r="AA118" s="1" t="s">
        <v>96</v>
      </c>
      <c r="AB118" t="s">
        <v>96</v>
      </c>
      <c r="AC118">
        <v>18.510000000000002</v>
      </c>
      <c r="AD118">
        <v>7.24</v>
      </c>
      <c r="AE118" s="1" t="s">
        <v>96</v>
      </c>
      <c r="AF118">
        <v>8.7100000000000009</v>
      </c>
      <c r="AG118">
        <v>252.45</v>
      </c>
      <c r="AH118">
        <v>9.19</v>
      </c>
      <c r="AI118" s="1" t="s">
        <v>96</v>
      </c>
      <c r="AJ118" s="1" t="s">
        <v>96</v>
      </c>
      <c r="AK118" s="1" t="s">
        <v>96</v>
      </c>
      <c r="AL118" s="1" t="s">
        <v>96</v>
      </c>
      <c r="AM118" s="1" t="s">
        <v>96</v>
      </c>
      <c r="AN118" s="1" t="s">
        <v>96</v>
      </c>
      <c r="AO118">
        <v>108.54</v>
      </c>
      <c r="AP118">
        <v>2.5499999999999998</v>
      </c>
      <c r="AQ118" s="1" t="s">
        <v>96</v>
      </c>
      <c r="AR118" s="1" t="s">
        <v>96</v>
      </c>
      <c r="AS118">
        <v>31.69</v>
      </c>
      <c r="AT118">
        <v>1.05</v>
      </c>
      <c r="AU118" s="1" t="s">
        <v>96</v>
      </c>
      <c r="AV118" s="1" t="s">
        <v>96</v>
      </c>
      <c r="AW118">
        <v>23.4</v>
      </c>
      <c r="AX118" s="1">
        <v>2.81</v>
      </c>
      <c r="AY118" t="s">
        <v>133</v>
      </c>
      <c r="AZ118" t="s">
        <v>133</v>
      </c>
      <c r="BA118">
        <v>62.33</v>
      </c>
      <c r="BB118" s="1" t="s">
        <v>96</v>
      </c>
      <c r="BC118" t="s">
        <v>133</v>
      </c>
      <c r="BD118" s="1" t="s">
        <v>96</v>
      </c>
      <c r="BE118" s="1">
        <v>18.989999999999998</v>
      </c>
      <c r="BF118">
        <v>31.97</v>
      </c>
      <c r="BG118" s="1">
        <v>4.53</v>
      </c>
      <c r="BH118" s="1" t="s">
        <v>96</v>
      </c>
      <c r="BI118">
        <v>400.67</v>
      </c>
      <c r="BJ118">
        <v>732.61</v>
      </c>
      <c r="BK118" s="1" t="s">
        <v>96</v>
      </c>
      <c r="BL118" s="1">
        <v>4.96</v>
      </c>
      <c r="BM118">
        <v>11</v>
      </c>
      <c r="BN118" t="s">
        <v>133</v>
      </c>
      <c r="BO118">
        <v>50.05</v>
      </c>
      <c r="BP118">
        <v>8.99</v>
      </c>
      <c r="BQ118" s="1" t="s">
        <v>96</v>
      </c>
      <c r="BR118" s="1" t="s">
        <v>96</v>
      </c>
      <c r="BS118" s="1">
        <v>18.39</v>
      </c>
      <c r="BT118" s="1" t="s">
        <v>96</v>
      </c>
      <c r="BU118" s="1">
        <v>13.89</v>
      </c>
      <c r="BV118">
        <v>98.33</v>
      </c>
      <c r="BW118">
        <v>6.76</v>
      </c>
      <c r="BX118" s="1" t="s">
        <v>96</v>
      </c>
      <c r="BY118">
        <v>526.05999999999995</v>
      </c>
      <c r="BZ118">
        <v>65.72</v>
      </c>
      <c r="CA118" s="1" t="s">
        <v>96</v>
      </c>
      <c r="CB118" t="s">
        <v>96</v>
      </c>
      <c r="CC118">
        <v>632.80999999999995</v>
      </c>
      <c r="CD118" s="1" t="s">
        <v>96</v>
      </c>
    </row>
    <row r="119" spans="1:82">
      <c r="A119">
        <v>136</v>
      </c>
      <c r="B119" t="s">
        <v>503</v>
      </c>
      <c r="D119" t="b">
        <v>1</v>
      </c>
      <c r="E119" t="s">
        <v>504</v>
      </c>
      <c r="F119">
        <v>25</v>
      </c>
      <c r="G119">
        <v>4</v>
      </c>
      <c r="J119" t="s">
        <v>505</v>
      </c>
      <c r="K119" t="s">
        <v>94</v>
      </c>
      <c r="L119" t="s">
        <v>95</v>
      </c>
      <c r="M119">
        <v>100</v>
      </c>
      <c r="N119" s="1" t="s">
        <v>96</v>
      </c>
      <c r="O119" s="1" t="s">
        <v>96</v>
      </c>
      <c r="P119">
        <v>23.58</v>
      </c>
      <c r="Q119" s="1" t="s">
        <v>96</v>
      </c>
      <c r="R119" s="1" t="s">
        <v>96</v>
      </c>
      <c r="S119" s="1">
        <v>10.62</v>
      </c>
      <c r="T119" s="1" t="s">
        <v>96</v>
      </c>
      <c r="U119" s="1" t="s">
        <v>96</v>
      </c>
      <c r="V119" s="1" t="s">
        <v>96</v>
      </c>
      <c r="W119" s="1" t="s">
        <v>96</v>
      </c>
      <c r="X119" s="1" t="s">
        <v>96</v>
      </c>
      <c r="Y119" s="1" t="s">
        <v>96</v>
      </c>
      <c r="Z119" t="s">
        <v>96</v>
      </c>
      <c r="AA119" s="1" t="s">
        <v>96</v>
      </c>
      <c r="AB119">
        <v>2.63</v>
      </c>
      <c r="AC119">
        <v>30.29</v>
      </c>
      <c r="AD119">
        <v>23.76</v>
      </c>
      <c r="AE119" s="1" t="s">
        <v>96</v>
      </c>
      <c r="AF119">
        <v>69.7</v>
      </c>
      <c r="AG119">
        <v>384.8</v>
      </c>
      <c r="AH119">
        <v>29.78</v>
      </c>
      <c r="AI119" s="1">
        <v>7.21</v>
      </c>
      <c r="AJ119" s="1">
        <v>2.63</v>
      </c>
      <c r="AK119" s="1" t="s">
        <v>96</v>
      </c>
      <c r="AL119" s="1" t="s">
        <v>96</v>
      </c>
      <c r="AM119" s="1" t="s">
        <v>96</v>
      </c>
      <c r="AN119" s="1" t="s">
        <v>96</v>
      </c>
      <c r="AO119">
        <v>704.74</v>
      </c>
      <c r="AP119">
        <v>35.24</v>
      </c>
      <c r="AQ119" s="1" t="s">
        <v>96</v>
      </c>
      <c r="AR119" s="1">
        <v>3.12</v>
      </c>
      <c r="AS119">
        <v>29.82</v>
      </c>
      <c r="AT119">
        <v>1.92</v>
      </c>
      <c r="AU119" s="1" t="s">
        <v>96</v>
      </c>
      <c r="AV119" s="1" t="s">
        <v>96</v>
      </c>
      <c r="AW119">
        <v>10.88</v>
      </c>
      <c r="AX119" s="1" t="s">
        <v>96</v>
      </c>
      <c r="AY119">
        <v>898.58</v>
      </c>
      <c r="AZ119">
        <v>629.57000000000005</v>
      </c>
      <c r="BA119">
        <v>33.85</v>
      </c>
      <c r="BB119" s="1" t="s">
        <v>96</v>
      </c>
      <c r="BC119">
        <v>611.92999999999995</v>
      </c>
      <c r="BD119" s="1" t="s">
        <v>96</v>
      </c>
      <c r="BE119" s="1" t="s">
        <v>96</v>
      </c>
      <c r="BF119">
        <v>51.1</v>
      </c>
      <c r="BG119" s="1" t="s">
        <v>96</v>
      </c>
      <c r="BH119" s="1" t="s">
        <v>96</v>
      </c>
      <c r="BI119">
        <v>29.15</v>
      </c>
      <c r="BJ119">
        <v>32.979999999999997</v>
      </c>
      <c r="BK119" s="1" t="s">
        <v>96</v>
      </c>
      <c r="BL119" s="1" t="s">
        <v>96</v>
      </c>
      <c r="BM119">
        <v>5.39</v>
      </c>
      <c r="BN119">
        <v>23.53</v>
      </c>
      <c r="BO119">
        <v>181.6</v>
      </c>
      <c r="BP119">
        <v>9.24</v>
      </c>
      <c r="BQ119" s="1" t="s">
        <v>96</v>
      </c>
      <c r="BR119" s="1" t="s">
        <v>96</v>
      </c>
      <c r="BS119" s="1">
        <v>7.33</v>
      </c>
      <c r="BT119" s="1" t="s">
        <v>96</v>
      </c>
      <c r="BU119" s="1">
        <v>56.41</v>
      </c>
      <c r="BV119">
        <v>347.59</v>
      </c>
      <c r="BW119">
        <v>17.23</v>
      </c>
      <c r="BX119" s="1">
        <v>9.6</v>
      </c>
      <c r="BY119" t="s">
        <v>133</v>
      </c>
      <c r="BZ119">
        <v>74.02</v>
      </c>
      <c r="CA119" s="1" t="s">
        <v>96</v>
      </c>
      <c r="CB119">
        <v>12.58</v>
      </c>
      <c r="CC119">
        <v>1055.08</v>
      </c>
      <c r="CD119" s="1" t="s">
        <v>96</v>
      </c>
    </row>
    <row r="120" spans="1:82">
      <c r="A120">
        <v>89</v>
      </c>
      <c r="B120" t="s">
        <v>362</v>
      </c>
      <c r="D120" t="b">
        <v>1</v>
      </c>
      <c r="E120" t="s">
        <v>363</v>
      </c>
      <c r="F120">
        <v>136</v>
      </c>
      <c r="G120">
        <v>3</v>
      </c>
      <c r="J120" t="s">
        <v>364</v>
      </c>
      <c r="K120" t="s">
        <v>94</v>
      </c>
      <c r="L120" t="s">
        <v>95</v>
      </c>
      <c r="M120">
        <v>100</v>
      </c>
      <c r="N120" s="1" t="s">
        <v>96</v>
      </c>
      <c r="O120" s="1" t="s">
        <v>96</v>
      </c>
      <c r="P120">
        <v>6.05</v>
      </c>
      <c r="Q120" s="1" t="s">
        <v>96</v>
      </c>
      <c r="R120" s="1" t="s">
        <v>96</v>
      </c>
      <c r="S120" s="1" t="s">
        <v>96</v>
      </c>
      <c r="T120" s="1" t="s">
        <v>96</v>
      </c>
      <c r="U120" s="1" t="s">
        <v>96</v>
      </c>
      <c r="V120" s="1" t="s">
        <v>96</v>
      </c>
      <c r="W120" s="1" t="s">
        <v>96</v>
      </c>
      <c r="X120" s="1" t="s">
        <v>96</v>
      </c>
      <c r="Y120" s="1" t="s">
        <v>96</v>
      </c>
      <c r="Z120" t="s">
        <v>96</v>
      </c>
      <c r="AA120" s="1" t="s">
        <v>96</v>
      </c>
      <c r="AB120" t="s">
        <v>96</v>
      </c>
      <c r="AC120">
        <v>1.79</v>
      </c>
      <c r="AD120">
        <v>1.9</v>
      </c>
      <c r="AE120" s="1" t="s">
        <v>96</v>
      </c>
      <c r="AF120" t="s">
        <v>96</v>
      </c>
      <c r="AG120">
        <v>20.61</v>
      </c>
      <c r="AH120">
        <v>7.7</v>
      </c>
      <c r="AI120" s="1" t="s">
        <v>96</v>
      </c>
      <c r="AJ120" s="1" t="s">
        <v>96</v>
      </c>
      <c r="AK120" s="1" t="s">
        <v>96</v>
      </c>
      <c r="AL120" s="1" t="s">
        <v>96</v>
      </c>
      <c r="AM120" s="1" t="s">
        <v>96</v>
      </c>
      <c r="AN120" s="1" t="s">
        <v>96</v>
      </c>
      <c r="AO120" t="s">
        <v>96</v>
      </c>
      <c r="AP120">
        <v>1.89</v>
      </c>
      <c r="AQ120" s="1" t="s">
        <v>96</v>
      </c>
      <c r="AR120" s="1" t="s">
        <v>96</v>
      </c>
      <c r="AS120">
        <v>14.22</v>
      </c>
      <c r="AT120" t="s">
        <v>96</v>
      </c>
      <c r="AU120" s="1" t="s">
        <v>96</v>
      </c>
      <c r="AV120" s="1" t="s">
        <v>96</v>
      </c>
      <c r="AW120">
        <v>2.98</v>
      </c>
      <c r="AX120" s="1" t="s">
        <v>96</v>
      </c>
      <c r="AY120">
        <v>886.15</v>
      </c>
      <c r="AZ120">
        <v>61.54</v>
      </c>
      <c r="BA120">
        <v>44.32</v>
      </c>
      <c r="BB120" s="1" t="s">
        <v>96</v>
      </c>
      <c r="BC120">
        <v>376.42</v>
      </c>
      <c r="BD120" s="1" t="s">
        <v>96</v>
      </c>
      <c r="BE120" s="1" t="s">
        <v>96</v>
      </c>
      <c r="BF120">
        <v>9.42</v>
      </c>
      <c r="BG120" s="1">
        <v>3.88</v>
      </c>
      <c r="BH120" s="1" t="s">
        <v>96</v>
      </c>
      <c r="BI120">
        <v>111.4</v>
      </c>
      <c r="BJ120">
        <v>9.48</v>
      </c>
      <c r="BK120" s="1" t="s">
        <v>96</v>
      </c>
      <c r="BL120" s="1" t="s">
        <v>96</v>
      </c>
      <c r="BM120">
        <v>2.67</v>
      </c>
      <c r="BN120">
        <v>49.08</v>
      </c>
      <c r="BO120">
        <v>34.31</v>
      </c>
      <c r="BP120" t="s">
        <v>96</v>
      </c>
      <c r="BQ120" s="1" t="s">
        <v>96</v>
      </c>
      <c r="BR120" s="1" t="s">
        <v>96</v>
      </c>
      <c r="BS120" s="1" t="s">
        <v>96</v>
      </c>
      <c r="BT120" s="1" t="s">
        <v>96</v>
      </c>
      <c r="BU120" s="1" t="s">
        <v>96</v>
      </c>
      <c r="BV120">
        <v>104.72</v>
      </c>
      <c r="BW120">
        <v>22.27</v>
      </c>
      <c r="BX120" s="1" t="s">
        <v>96</v>
      </c>
      <c r="BY120">
        <v>107.93</v>
      </c>
      <c r="BZ120" t="s">
        <v>96</v>
      </c>
      <c r="CA120" s="1" t="s">
        <v>96</v>
      </c>
      <c r="CB120">
        <v>16.91</v>
      </c>
      <c r="CC120">
        <v>19.7</v>
      </c>
      <c r="CD120" s="1" t="s">
        <v>96</v>
      </c>
    </row>
    <row r="121" spans="1:82">
      <c r="A121">
        <v>44</v>
      </c>
      <c r="B121" t="s">
        <v>227</v>
      </c>
      <c r="D121" t="b">
        <v>1</v>
      </c>
      <c r="E121" t="s">
        <v>228</v>
      </c>
      <c r="F121">
        <v>71</v>
      </c>
      <c r="G121">
        <v>2</v>
      </c>
      <c r="J121" t="s">
        <v>229</v>
      </c>
      <c r="K121" t="s">
        <v>94</v>
      </c>
      <c r="L121" t="s">
        <v>95</v>
      </c>
      <c r="M121">
        <v>100</v>
      </c>
      <c r="N121" s="1" t="s">
        <v>96</v>
      </c>
      <c r="O121" s="1" t="s">
        <v>96</v>
      </c>
      <c r="P121">
        <v>16.489999999999998</v>
      </c>
      <c r="Q121" s="1" t="s">
        <v>96</v>
      </c>
      <c r="R121" s="1" t="s">
        <v>96</v>
      </c>
      <c r="S121" s="1" t="s">
        <v>96</v>
      </c>
      <c r="T121" s="1" t="s">
        <v>96</v>
      </c>
      <c r="U121" s="1" t="s">
        <v>96</v>
      </c>
      <c r="V121" s="1" t="s">
        <v>96</v>
      </c>
      <c r="W121" s="1" t="s">
        <v>96</v>
      </c>
      <c r="X121" s="1" t="s">
        <v>96</v>
      </c>
      <c r="Y121" s="1" t="s">
        <v>96</v>
      </c>
      <c r="Z121" t="s">
        <v>96</v>
      </c>
      <c r="AA121" s="1" t="s">
        <v>96</v>
      </c>
      <c r="AB121">
        <v>3.95</v>
      </c>
      <c r="AC121">
        <v>1.87</v>
      </c>
      <c r="AD121">
        <v>374.05</v>
      </c>
      <c r="AE121" s="1" t="s">
        <v>96</v>
      </c>
      <c r="AF121">
        <v>6.16</v>
      </c>
      <c r="AG121">
        <v>84.06</v>
      </c>
      <c r="AH121">
        <v>83.4</v>
      </c>
      <c r="AI121" s="1" t="s">
        <v>96</v>
      </c>
      <c r="AJ121" s="1">
        <v>1.68</v>
      </c>
      <c r="AK121" s="1" t="s">
        <v>96</v>
      </c>
      <c r="AL121" s="1" t="s">
        <v>96</v>
      </c>
      <c r="AM121" s="1" t="s">
        <v>96</v>
      </c>
      <c r="AN121" s="1" t="s">
        <v>96</v>
      </c>
      <c r="AO121" t="s">
        <v>96</v>
      </c>
      <c r="AP121">
        <v>58.5</v>
      </c>
      <c r="AQ121" s="1">
        <v>2.76</v>
      </c>
      <c r="AR121" s="1" t="s">
        <v>96</v>
      </c>
      <c r="AS121">
        <v>57.05</v>
      </c>
      <c r="AT121">
        <v>4.75</v>
      </c>
      <c r="AU121" s="1" t="s">
        <v>96</v>
      </c>
      <c r="AV121" s="1" t="s">
        <v>96</v>
      </c>
      <c r="AW121">
        <v>8.84</v>
      </c>
      <c r="AX121" s="1" t="s">
        <v>96</v>
      </c>
      <c r="AY121" t="s">
        <v>133</v>
      </c>
      <c r="AZ121">
        <v>1184.73</v>
      </c>
      <c r="BA121">
        <v>613.33000000000004</v>
      </c>
      <c r="BB121" s="1" t="s">
        <v>96</v>
      </c>
      <c r="BC121" t="s">
        <v>133</v>
      </c>
      <c r="BD121" s="1" t="s">
        <v>96</v>
      </c>
      <c r="BE121" s="1">
        <v>3.87</v>
      </c>
      <c r="BF121">
        <v>43.25</v>
      </c>
      <c r="BG121" s="1">
        <v>27.27</v>
      </c>
      <c r="BH121" s="1" t="s">
        <v>96</v>
      </c>
      <c r="BI121">
        <v>262.12</v>
      </c>
      <c r="BJ121">
        <v>117.18</v>
      </c>
      <c r="BK121" s="1" t="s">
        <v>96</v>
      </c>
      <c r="BL121" s="1">
        <v>5.48</v>
      </c>
      <c r="BM121">
        <v>10.39</v>
      </c>
      <c r="BN121">
        <v>116.89</v>
      </c>
      <c r="BO121">
        <v>82.89</v>
      </c>
      <c r="BP121" t="s">
        <v>96</v>
      </c>
      <c r="BQ121" s="1" t="s">
        <v>96</v>
      </c>
      <c r="BR121" s="1" t="s">
        <v>96</v>
      </c>
      <c r="BS121" s="1" t="s">
        <v>96</v>
      </c>
      <c r="BT121" s="1" t="s">
        <v>96</v>
      </c>
      <c r="BU121" s="1" t="s">
        <v>96</v>
      </c>
      <c r="BV121">
        <v>136.15</v>
      </c>
      <c r="BW121">
        <v>17.190000000000001</v>
      </c>
      <c r="BX121" s="1" t="s">
        <v>96</v>
      </c>
      <c r="BY121">
        <v>443.77</v>
      </c>
      <c r="BZ121">
        <v>24.66</v>
      </c>
      <c r="CA121" s="1" t="s">
        <v>96</v>
      </c>
      <c r="CB121">
        <v>53.54</v>
      </c>
      <c r="CC121">
        <v>153.97999999999999</v>
      </c>
      <c r="CD121" s="1" t="s">
        <v>96</v>
      </c>
    </row>
    <row r="122" spans="1:82">
      <c r="A122">
        <v>58</v>
      </c>
      <c r="B122" t="s">
        <v>269</v>
      </c>
      <c r="D122" t="b">
        <v>1</v>
      </c>
      <c r="E122" t="s">
        <v>270</v>
      </c>
      <c r="F122">
        <v>87</v>
      </c>
      <c r="G122">
        <v>2</v>
      </c>
      <c r="J122" t="s">
        <v>271</v>
      </c>
      <c r="K122" t="s">
        <v>94</v>
      </c>
      <c r="L122" t="s">
        <v>95</v>
      </c>
      <c r="M122">
        <v>100</v>
      </c>
      <c r="N122" s="1" t="s">
        <v>96</v>
      </c>
      <c r="O122" s="1" t="s">
        <v>96</v>
      </c>
      <c r="P122">
        <v>11.44</v>
      </c>
      <c r="Q122" s="1" t="s">
        <v>96</v>
      </c>
      <c r="R122" s="1" t="s">
        <v>96</v>
      </c>
      <c r="S122" s="1" t="s">
        <v>96</v>
      </c>
      <c r="T122" s="1" t="s">
        <v>96</v>
      </c>
      <c r="U122" s="1" t="s">
        <v>96</v>
      </c>
      <c r="V122" s="1" t="s">
        <v>96</v>
      </c>
      <c r="W122" s="1" t="s">
        <v>96</v>
      </c>
      <c r="X122" s="1" t="s">
        <v>96</v>
      </c>
      <c r="Y122" s="1" t="s">
        <v>96</v>
      </c>
      <c r="Z122" t="s">
        <v>96</v>
      </c>
      <c r="AA122" s="1" t="s">
        <v>96</v>
      </c>
      <c r="AB122">
        <v>1.96</v>
      </c>
      <c r="AC122">
        <v>5.73</v>
      </c>
      <c r="AD122">
        <v>34.4</v>
      </c>
      <c r="AE122" s="1" t="s">
        <v>96</v>
      </c>
      <c r="AF122" t="s">
        <v>96</v>
      </c>
      <c r="AG122">
        <v>201.95</v>
      </c>
      <c r="AH122">
        <v>98.57</v>
      </c>
      <c r="AI122" s="1" t="s">
        <v>96</v>
      </c>
      <c r="AJ122" s="1" t="s">
        <v>96</v>
      </c>
      <c r="AK122" s="1" t="s">
        <v>96</v>
      </c>
      <c r="AL122" s="1" t="s">
        <v>96</v>
      </c>
      <c r="AM122" s="1" t="s">
        <v>96</v>
      </c>
      <c r="AN122" s="1">
        <v>1.36</v>
      </c>
      <c r="AO122">
        <v>370.27</v>
      </c>
      <c r="AP122">
        <v>40.86</v>
      </c>
      <c r="AQ122" s="1" t="s">
        <v>96</v>
      </c>
      <c r="AR122" s="1" t="s">
        <v>96</v>
      </c>
      <c r="AS122">
        <v>96.77</v>
      </c>
      <c r="AT122">
        <v>8.0500000000000007</v>
      </c>
      <c r="AU122" s="1" t="s">
        <v>96</v>
      </c>
      <c r="AV122" s="1" t="s">
        <v>96</v>
      </c>
      <c r="AW122">
        <v>5.41</v>
      </c>
      <c r="AX122" s="1" t="s">
        <v>96</v>
      </c>
      <c r="AY122">
        <v>1726.15</v>
      </c>
      <c r="AZ122">
        <v>352.14</v>
      </c>
      <c r="BA122">
        <v>104.17</v>
      </c>
      <c r="BB122" s="1" t="s">
        <v>96</v>
      </c>
      <c r="BC122">
        <v>423.21</v>
      </c>
      <c r="BD122" s="1" t="s">
        <v>96</v>
      </c>
      <c r="BE122" s="1" t="s">
        <v>96</v>
      </c>
      <c r="BF122">
        <v>10.25</v>
      </c>
      <c r="BG122" s="1">
        <v>9.2200000000000006</v>
      </c>
      <c r="BH122" s="1" t="s">
        <v>96</v>
      </c>
      <c r="BI122">
        <v>368.48</v>
      </c>
      <c r="BJ122">
        <v>78.87</v>
      </c>
      <c r="BK122" s="1" t="s">
        <v>96</v>
      </c>
      <c r="BL122" s="1">
        <v>4.09</v>
      </c>
      <c r="BM122">
        <v>4.04</v>
      </c>
      <c r="BN122">
        <v>112.32</v>
      </c>
      <c r="BO122">
        <v>29.72</v>
      </c>
      <c r="BP122" t="s">
        <v>96</v>
      </c>
      <c r="BQ122" s="1" t="s">
        <v>96</v>
      </c>
      <c r="BR122" s="1" t="s">
        <v>96</v>
      </c>
      <c r="BS122" s="1" t="s">
        <v>96</v>
      </c>
      <c r="BT122" s="1">
        <v>5.17</v>
      </c>
      <c r="BU122" s="1" t="s">
        <v>96</v>
      </c>
      <c r="BV122">
        <v>109.87</v>
      </c>
      <c r="BW122">
        <v>54.54</v>
      </c>
      <c r="BX122" s="1" t="s">
        <v>96</v>
      </c>
      <c r="BY122">
        <v>110.91</v>
      </c>
      <c r="BZ122">
        <v>41.25</v>
      </c>
      <c r="CA122" s="1" t="s">
        <v>96</v>
      </c>
      <c r="CB122">
        <v>31.34</v>
      </c>
      <c r="CC122">
        <v>68.709999999999994</v>
      </c>
      <c r="CD122" s="1" t="s">
        <v>96</v>
      </c>
    </row>
    <row r="123" spans="1:82">
      <c r="A123">
        <v>15</v>
      </c>
      <c r="B123" t="s">
        <v>140</v>
      </c>
      <c r="D123" t="b">
        <v>1</v>
      </c>
      <c r="E123" t="s">
        <v>141</v>
      </c>
      <c r="F123">
        <v>204</v>
      </c>
      <c r="G123">
        <v>1</v>
      </c>
      <c r="J123" t="s">
        <v>142</v>
      </c>
      <c r="K123" t="s">
        <v>94</v>
      </c>
      <c r="L123" t="s">
        <v>95</v>
      </c>
      <c r="M123">
        <v>100</v>
      </c>
      <c r="N123" s="1" t="s">
        <v>96</v>
      </c>
      <c r="O123" s="1" t="s">
        <v>96</v>
      </c>
      <c r="P123">
        <v>19.27</v>
      </c>
      <c r="Q123" s="1" t="s">
        <v>96</v>
      </c>
      <c r="R123" s="1" t="s">
        <v>96</v>
      </c>
      <c r="S123" s="1" t="s">
        <v>96</v>
      </c>
      <c r="T123" s="1" t="s">
        <v>96</v>
      </c>
      <c r="U123" s="1" t="s">
        <v>96</v>
      </c>
      <c r="V123" s="1" t="s">
        <v>96</v>
      </c>
      <c r="W123" s="1" t="s">
        <v>96</v>
      </c>
      <c r="X123" s="1" t="s">
        <v>96</v>
      </c>
      <c r="Y123" s="1" t="s">
        <v>96</v>
      </c>
      <c r="Z123">
        <v>1.19</v>
      </c>
      <c r="AA123" s="1" t="s">
        <v>96</v>
      </c>
      <c r="AB123">
        <v>2.13</v>
      </c>
      <c r="AC123" t="s">
        <v>96</v>
      </c>
      <c r="AD123">
        <v>123.6</v>
      </c>
      <c r="AE123" s="1" t="s">
        <v>96</v>
      </c>
      <c r="AF123" t="s">
        <v>96</v>
      </c>
      <c r="AG123" t="s">
        <v>96</v>
      </c>
      <c r="AH123">
        <v>18.600000000000001</v>
      </c>
      <c r="AI123" s="1" t="s">
        <v>96</v>
      </c>
      <c r="AJ123" s="1" t="s">
        <v>96</v>
      </c>
      <c r="AK123" s="1" t="s">
        <v>96</v>
      </c>
      <c r="AL123" s="1" t="s">
        <v>96</v>
      </c>
      <c r="AM123" s="1" t="s">
        <v>96</v>
      </c>
      <c r="AN123" s="1">
        <v>1.38</v>
      </c>
      <c r="AO123">
        <v>167.28</v>
      </c>
      <c r="AP123">
        <v>10.3</v>
      </c>
      <c r="AQ123" s="1">
        <v>1.59</v>
      </c>
      <c r="AR123" s="1" t="s">
        <v>96</v>
      </c>
      <c r="AS123">
        <v>24.06</v>
      </c>
      <c r="AT123">
        <v>3.3</v>
      </c>
      <c r="AU123" s="1" t="s">
        <v>96</v>
      </c>
      <c r="AV123" s="1" t="s">
        <v>96</v>
      </c>
      <c r="AW123" t="s">
        <v>96</v>
      </c>
      <c r="AX123" s="1" t="s">
        <v>96</v>
      </c>
      <c r="AY123">
        <v>146.1</v>
      </c>
      <c r="AZ123" t="s">
        <v>96</v>
      </c>
      <c r="BA123">
        <v>11.9</v>
      </c>
      <c r="BB123" s="1" t="s">
        <v>96</v>
      </c>
      <c r="BC123">
        <v>103.36</v>
      </c>
      <c r="BD123" s="1" t="s">
        <v>96</v>
      </c>
      <c r="BE123" s="1" t="s">
        <v>96</v>
      </c>
      <c r="BF123">
        <v>11.15</v>
      </c>
      <c r="BG123" s="1" t="s">
        <v>96</v>
      </c>
      <c r="BH123" s="1" t="s">
        <v>96</v>
      </c>
      <c r="BI123">
        <v>9.42</v>
      </c>
      <c r="BJ123" t="s">
        <v>96</v>
      </c>
      <c r="BK123" s="1" t="s">
        <v>96</v>
      </c>
      <c r="BL123" s="1" t="s">
        <v>96</v>
      </c>
      <c r="BM123" t="s">
        <v>96</v>
      </c>
      <c r="BN123">
        <v>4.1100000000000003</v>
      </c>
      <c r="BO123" t="s">
        <v>96</v>
      </c>
      <c r="BP123" t="s">
        <v>96</v>
      </c>
      <c r="BQ123" s="1" t="s">
        <v>96</v>
      </c>
      <c r="BR123" s="1" t="s">
        <v>96</v>
      </c>
      <c r="BS123" s="1" t="s">
        <v>96</v>
      </c>
      <c r="BT123" s="1" t="s">
        <v>96</v>
      </c>
      <c r="BU123" s="1" t="s">
        <v>96</v>
      </c>
      <c r="BV123">
        <v>74.27</v>
      </c>
      <c r="BW123" t="s">
        <v>96</v>
      </c>
      <c r="BX123" s="1" t="s">
        <v>96</v>
      </c>
      <c r="BY123" t="s">
        <v>96</v>
      </c>
      <c r="BZ123" t="s">
        <v>96</v>
      </c>
      <c r="CA123" s="1" t="s">
        <v>96</v>
      </c>
      <c r="CB123">
        <v>17.45</v>
      </c>
      <c r="CC123" t="s">
        <v>96</v>
      </c>
      <c r="CD123" s="1" t="s">
        <v>96</v>
      </c>
    </row>
    <row r="124" spans="1:82">
      <c r="A124">
        <v>57</v>
      </c>
      <c r="B124" t="s">
        <v>266</v>
      </c>
      <c r="D124" t="b">
        <v>1</v>
      </c>
      <c r="E124" t="s">
        <v>267</v>
      </c>
      <c r="F124">
        <v>86</v>
      </c>
      <c r="G124">
        <v>2</v>
      </c>
      <c r="J124" t="s">
        <v>268</v>
      </c>
      <c r="K124" t="s">
        <v>94</v>
      </c>
      <c r="L124" t="s">
        <v>95</v>
      </c>
      <c r="M124">
        <v>100</v>
      </c>
      <c r="N124" s="1" t="s">
        <v>96</v>
      </c>
      <c r="O124" s="1" t="s">
        <v>96</v>
      </c>
      <c r="P124">
        <v>9.7899999999999991</v>
      </c>
      <c r="Q124" s="1" t="s">
        <v>96</v>
      </c>
      <c r="R124" s="1" t="s">
        <v>96</v>
      </c>
      <c r="S124" s="1" t="s">
        <v>96</v>
      </c>
      <c r="T124" s="1" t="s">
        <v>96</v>
      </c>
      <c r="U124" s="1" t="s">
        <v>96</v>
      </c>
      <c r="V124" s="1" t="s">
        <v>96</v>
      </c>
      <c r="W124" s="1" t="s">
        <v>96</v>
      </c>
      <c r="X124" s="1" t="s">
        <v>96</v>
      </c>
      <c r="Y124" s="1" t="s">
        <v>96</v>
      </c>
      <c r="Z124" t="s">
        <v>96</v>
      </c>
      <c r="AA124" s="1" t="s">
        <v>96</v>
      </c>
      <c r="AB124" t="s">
        <v>96</v>
      </c>
      <c r="AC124">
        <v>2.58</v>
      </c>
      <c r="AD124">
        <v>21.59</v>
      </c>
      <c r="AE124" s="1" t="s">
        <v>96</v>
      </c>
      <c r="AF124" t="s">
        <v>96</v>
      </c>
      <c r="AG124">
        <v>123.16</v>
      </c>
      <c r="AH124">
        <v>51</v>
      </c>
      <c r="AI124" s="1" t="s">
        <v>96</v>
      </c>
      <c r="AJ124" s="1" t="s">
        <v>96</v>
      </c>
      <c r="AK124" s="1" t="s">
        <v>96</v>
      </c>
      <c r="AL124" s="1" t="s">
        <v>96</v>
      </c>
      <c r="AM124" s="1" t="s">
        <v>96</v>
      </c>
      <c r="AN124" s="1">
        <v>14.11</v>
      </c>
      <c r="AO124">
        <v>68.67</v>
      </c>
      <c r="AP124">
        <v>12.52</v>
      </c>
      <c r="AQ124" s="1" t="s">
        <v>96</v>
      </c>
      <c r="AR124" s="1" t="s">
        <v>96</v>
      </c>
      <c r="AS124">
        <v>61.33</v>
      </c>
      <c r="AT124">
        <v>1.82</v>
      </c>
      <c r="AU124" s="1" t="s">
        <v>96</v>
      </c>
      <c r="AV124" s="1" t="s">
        <v>96</v>
      </c>
      <c r="AW124">
        <v>21.28</v>
      </c>
      <c r="AX124" s="1" t="s">
        <v>96</v>
      </c>
      <c r="AY124" t="s">
        <v>133</v>
      </c>
      <c r="AZ124">
        <v>1567.22</v>
      </c>
      <c r="BA124">
        <v>250.72</v>
      </c>
      <c r="BB124" s="1" t="s">
        <v>96</v>
      </c>
      <c r="BC124" t="s">
        <v>133</v>
      </c>
      <c r="BD124" s="1" t="s">
        <v>96</v>
      </c>
      <c r="BE124" s="1">
        <v>16.100000000000001</v>
      </c>
      <c r="BF124">
        <v>11.18</v>
      </c>
      <c r="BG124" s="1">
        <v>43.89</v>
      </c>
      <c r="BH124" s="1" t="s">
        <v>96</v>
      </c>
      <c r="BI124">
        <v>1726.98</v>
      </c>
      <c r="BJ124">
        <v>485.43</v>
      </c>
      <c r="BK124" s="1" t="s">
        <v>96</v>
      </c>
      <c r="BL124" s="1">
        <v>8.11</v>
      </c>
      <c r="BM124">
        <v>5.86</v>
      </c>
      <c r="BN124">
        <v>754.42</v>
      </c>
      <c r="BO124">
        <v>118.72</v>
      </c>
      <c r="BP124">
        <v>4.7300000000000004</v>
      </c>
      <c r="BQ124" s="1" t="s">
        <v>96</v>
      </c>
      <c r="BR124" s="1" t="s">
        <v>96</v>
      </c>
      <c r="BS124" s="1" t="s">
        <v>96</v>
      </c>
      <c r="BT124" s="1" t="s">
        <v>96</v>
      </c>
      <c r="BU124" s="1" t="s">
        <v>96</v>
      </c>
      <c r="BV124">
        <v>95.63</v>
      </c>
      <c r="BW124">
        <v>41.79</v>
      </c>
      <c r="BX124" s="1" t="s">
        <v>96</v>
      </c>
      <c r="BY124">
        <v>511.77</v>
      </c>
      <c r="BZ124">
        <v>47.29</v>
      </c>
      <c r="CA124" s="1" t="s">
        <v>96</v>
      </c>
      <c r="CB124">
        <v>29.6</v>
      </c>
      <c r="CC124">
        <v>114.39</v>
      </c>
      <c r="CD124" s="1" t="s">
        <v>96</v>
      </c>
    </row>
    <row r="125" spans="1:82">
      <c r="A125">
        <v>8</v>
      </c>
      <c r="B125" t="s">
        <v>118</v>
      </c>
      <c r="D125" t="b">
        <v>1</v>
      </c>
      <c r="E125" t="s">
        <v>119</v>
      </c>
      <c r="F125">
        <v>195</v>
      </c>
      <c r="G125">
        <v>1</v>
      </c>
      <c r="J125" t="s">
        <v>120</v>
      </c>
      <c r="K125" t="s">
        <v>94</v>
      </c>
      <c r="L125" t="s">
        <v>95</v>
      </c>
      <c r="M125">
        <v>100</v>
      </c>
      <c r="N125" s="1" t="s">
        <v>96</v>
      </c>
      <c r="O125" s="1" t="s">
        <v>96</v>
      </c>
      <c r="P125">
        <v>13.34</v>
      </c>
      <c r="Q125" s="1" t="s">
        <v>96</v>
      </c>
      <c r="R125" s="1" t="s">
        <v>96</v>
      </c>
      <c r="S125" s="1">
        <v>7.24</v>
      </c>
      <c r="T125" s="1" t="s">
        <v>96</v>
      </c>
      <c r="U125" s="1" t="s">
        <v>96</v>
      </c>
      <c r="V125" s="1" t="s">
        <v>96</v>
      </c>
      <c r="W125" s="1" t="s">
        <v>96</v>
      </c>
      <c r="X125" s="1" t="s">
        <v>96</v>
      </c>
      <c r="Y125" s="1" t="s">
        <v>96</v>
      </c>
      <c r="Z125" t="s">
        <v>96</v>
      </c>
      <c r="AA125" s="1" t="s">
        <v>96</v>
      </c>
      <c r="AB125">
        <v>4</v>
      </c>
      <c r="AC125">
        <v>1.39</v>
      </c>
      <c r="AD125">
        <v>153.62</v>
      </c>
      <c r="AE125" s="1" t="s">
        <v>96</v>
      </c>
      <c r="AF125" t="s">
        <v>96</v>
      </c>
      <c r="AG125">
        <v>32.71</v>
      </c>
      <c r="AH125">
        <v>160.76</v>
      </c>
      <c r="AI125" s="1" t="s">
        <v>96</v>
      </c>
      <c r="AJ125" s="1">
        <v>1.36</v>
      </c>
      <c r="AK125" s="1" t="s">
        <v>96</v>
      </c>
      <c r="AL125" s="1" t="s">
        <v>96</v>
      </c>
      <c r="AM125" s="1" t="s">
        <v>96</v>
      </c>
      <c r="AN125" s="1" t="s">
        <v>96</v>
      </c>
      <c r="AO125" t="s">
        <v>96</v>
      </c>
      <c r="AP125">
        <v>21.58</v>
      </c>
      <c r="AQ125" s="1" t="s">
        <v>96</v>
      </c>
      <c r="AR125" s="1" t="s">
        <v>96</v>
      </c>
      <c r="AS125">
        <v>81.72</v>
      </c>
      <c r="AT125">
        <v>11.01</v>
      </c>
      <c r="AU125" s="1" t="s">
        <v>96</v>
      </c>
      <c r="AV125" s="1" t="s">
        <v>96</v>
      </c>
      <c r="AW125">
        <v>6.56</v>
      </c>
      <c r="AX125" s="1" t="s">
        <v>96</v>
      </c>
      <c r="AY125">
        <v>2470.5700000000002</v>
      </c>
      <c r="AZ125">
        <v>121.68</v>
      </c>
      <c r="BA125">
        <v>303.16000000000003</v>
      </c>
      <c r="BB125" s="1" t="s">
        <v>96</v>
      </c>
      <c r="BC125">
        <v>550.25</v>
      </c>
      <c r="BD125" s="1" t="s">
        <v>96</v>
      </c>
      <c r="BE125" s="1">
        <v>3.8</v>
      </c>
      <c r="BF125">
        <v>38.409999999999997</v>
      </c>
      <c r="BG125" s="1">
        <v>24.49</v>
      </c>
      <c r="BH125" s="1" t="s">
        <v>96</v>
      </c>
      <c r="BI125">
        <v>440.37</v>
      </c>
      <c r="BJ125">
        <v>25.12</v>
      </c>
      <c r="BK125" s="1" t="s">
        <v>96</v>
      </c>
      <c r="BL125" s="1">
        <v>14.1</v>
      </c>
      <c r="BM125" t="s">
        <v>96</v>
      </c>
      <c r="BN125">
        <v>111.75</v>
      </c>
      <c r="BO125">
        <v>149.69</v>
      </c>
      <c r="BP125" t="s">
        <v>96</v>
      </c>
      <c r="BQ125" s="1" t="s">
        <v>96</v>
      </c>
      <c r="BR125" s="1" t="s">
        <v>96</v>
      </c>
      <c r="BS125" s="1" t="s">
        <v>96</v>
      </c>
      <c r="BT125" s="1" t="s">
        <v>96</v>
      </c>
      <c r="BU125" s="1" t="s">
        <v>96</v>
      </c>
      <c r="BV125">
        <v>261.26</v>
      </c>
      <c r="BW125">
        <v>75.58</v>
      </c>
      <c r="BX125" s="1" t="s">
        <v>96</v>
      </c>
      <c r="BY125">
        <v>339.61</v>
      </c>
      <c r="BZ125">
        <v>18.649999999999999</v>
      </c>
      <c r="CA125" s="1">
        <v>13.01</v>
      </c>
      <c r="CB125">
        <v>73.05</v>
      </c>
      <c r="CC125">
        <v>48.77</v>
      </c>
      <c r="CD125" s="1" t="s">
        <v>96</v>
      </c>
    </row>
    <row r="126" spans="1:82">
      <c r="A126">
        <v>114</v>
      </c>
      <c r="B126" t="s">
        <v>437</v>
      </c>
      <c r="D126" t="b">
        <v>1</v>
      </c>
      <c r="E126" t="s">
        <v>438</v>
      </c>
      <c r="F126">
        <v>167</v>
      </c>
      <c r="G126">
        <v>3</v>
      </c>
      <c r="J126" t="s">
        <v>439</v>
      </c>
      <c r="K126" t="s">
        <v>94</v>
      </c>
      <c r="L126" t="s">
        <v>95</v>
      </c>
      <c r="M126">
        <v>100</v>
      </c>
      <c r="N126" s="1" t="s">
        <v>96</v>
      </c>
      <c r="O126" s="1" t="s">
        <v>96</v>
      </c>
      <c r="P126">
        <v>10.31</v>
      </c>
      <c r="Q126" s="1" t="s">
        <v>96</v>
      </c>
      <c r="R126" s="1" t="s">
        <v>96</v>
      </c>
      <c r="S126" s="1" t="s">
        <v>96</v>
      </c>
      <c r="T126" s="1" t="s">
        <v>96</v>
      </c>
      <c r="U126" s="1" t="s">
        <v>96</v>
      </c>
      <c r="V126" s="1" t="s">
        <v>96</v>
      </c>
      <c r="W126" s="1" t="s">
        <v>96</v>
      </c>
      <c r="X126" s="1" t="s">
        <v>96</v>
      </c>
      <c r="Y126" s="1" t="s">
        <v>96</v>
      </c>
      <c r="Z126" t="s">
        <v>96</v>
      </c>
      <c r="AA126" s="1" t="s">
        <v>96</v>
      </c>
      <c r="AB126">
        <v>12.21</v>
      </c>
      <c r="AC126">
        <v>27.79</v>
      </c>
      <c r="AD126">
        <v>68.680000000000007</v>
      </c>
      <c r="AE126" s="1" t="s">
        <v>96</v>
      </c>
      <c r="AF126">
        <v>19.05</v>
      </c>
      <c r="AG126">
        <v>356.83</v>
      </c>
      <c r="AH126">
        <v>170.96</v>
      </c>
      <c r="AI126" s="1">
        <v>2.66</v>
      </c>
      <c r="AJ126" s="1">
        <v>22.9</v>
      </c>
      <c r="AK126" s="1" t="s">
        <v>96</v>
      </c>
      <c r="AL126" s="1" t="s">
        <v>96</v>
      </c>
      <c r="AM126" s="1" t="s">
        <v>96</v>
      </c>
      <c r="AN126" s="1" t="s">
        <v>96</v>
      </c>
      <c r="AO126">
        <v>326.23</v>
      </c>
      <c r="AP126">
        <v>63.5</v>
      </c>
      <c r="AQ126" s="1" t="s">
        <v>96</v>
      </c>
      <c r="AR126" s="1">
        <v>3.46</v>
      </c>
      <c r="AS126">
        <v>56.79</v>
      </c>
      <c r="AT126">
        <v>6.34</v>
      </c>
      <c r="AU126" s="1" t="s">
        <v>96</v>
      </c>
      <c r="AV126" s="1" t="s">
        <v>96</v>
      </c>
      <c r="AW126">
        <v>34.61</v>
      </c>
      <c r="AX126" s="1" t="s">
        <v>96</v>
      </c>
      <c r="AY126">
        <v>1280.28</v>
      </c>
      <c r="AZ126">
        <v>628.24</v>
      </c>
      <c r="BA126">
        <v>134.03</v>
      </c>
      <c r="BB126" s="1" t="s">
        <v>96</v>
      </c>
      <c r="BC126">
        <v>180.87</v>
      </c>
      <c r="BD126" s="1" t="s">
        <v>96</v>
      </c>
      <c r="BE126" s="1">
        <v>6.25</v>
      </c>
      <c r="BF126">
        <v>6.4</v>
      </c>
      <c r="BG126" s="1">
        <v>2.6</v>
      </c>
      <c r="BH126" s="1" t="s">
        <v>96</v>
      </c>
      <c r="BI126">
        <v>58.04</v>
      </c>
      <c r="BJ126">
        <v>33.950000000000003</v>
      </c>
      <c r="BK126" s="1" t="s">
        <v>96</v>
      </c>
      <c r="BL126" s="1" t="s">
        <v>96</v>
      </c>
      <c r="BM126" t="s">
        <v>96</v>
      </c>
      <c r="BN126">
        <v>11.66</v>
      </c>
      <c r="BO126">
        <v>45.64</v>
      </c>
      <c r="BP126">
        <v>7.82</v>
      </c>
      <c r="BQ126" s="1" t="s">
        <v>96</v>
      </c>
      <c r="BR126" s="1" t="s">
        <v>96</v>
      </c>
      <c r="BS126" s="1" t="s">
        <v>96</v>
      </c>
      <c r="BT126" s="1" t="s">
        <v>96</v>
      </c>
      <c r="BU126" s="1">
        <v>7.82</v>
      </c>
      <c r="BV126">
        <v>40.89</v>
      </c>
      <c r="BW126" t="s">
        <v>96</v>
      </c>
      <c r="BX126" s="1" t="s">
        <v>96</v>
      </c>
      <c r="BY126">
        <v>359.18</v>
      </c>
      <c r="BZ126">
        <v>5.65</v>
      </c>
      <c r="CA126" s="1" t="s">
        <v>96</v>
      </c>
      <c r="CB126">
        <v>16.670000000000002</v>
      </c>
      <c r="CC126">
        <v>52.11</v>
      </c>
      <c r="CD126" s="1" t="s">
        <v>96</v>
      </c>
    </row>
    <row r="127" spans="1:82">
      <c r="A127">
        <v>212</v>
      </c>
      <c r="B127" t="s">
        <v>731</v>
      </c>
      <c r="D127" t="b">
        <v>1</v>
      </c>
      <c r="E127" t="s">
        <v>732</v>
      </c>
      <c r="F127">
        <v>321</v>
      </c>
      <c r="G127">
        <v>6</v>
      </c>
      <c r="J127" t="s">
        <v>733</v>
      </c>
      <c r="K127" t="s">
        <v>94</v>
      </c>
      <c r="L127" t="s">
        <v>95</v>
      </c>
      <c r="M127">
        <v>100</v>
      </c>
      <c r="N127" s="1" t="s">
        <v>96</v>
      </c>
      <c r="O127" s="1" t="s">
        <v>96</v>
      </c>
      <c r="P127">
        <v>11.54</v>
      </c>
      <c r="Q127" s="1" t="s">
        <v>96</v>
      </c>
      <c r="R127" s="1" t="s">
        <v>96</v>
      </c>
      <c r="S127" s="1">
        <v>6.12</v>
      </c>
      <c r="T127" s="1" t="s">
        <v>96</v>
      </c>
      <c r="U127" s="1" t="s">
        <v>96</v>
      </c>
      <c r="V127" s="1" t="s">
        <v>96</v>
      </c>
      <c r="W127" s="1" t="s">
        <v>96</v>
      </c>
      <c r="X127" s="1" t="s">
        <v>96</v>
      </c>
      <c r="Y127" s="1" t="s">
        <v>96</v>
      </c>
      <c r="Z127" t="s">
        <v>96</v>
      </c>
      <c r="AA127" s="1" t="s">
        <v>96</v>
      </c>
      <c r="AB127" t="s">
        <v>96</v>
      </c>
      <c r="AC127">
        <v>17.850000000000001</v>
      </c>
      <c r="AD127">
        <v>22.31</v>
      </c>
      <c r="AE127" s="1" t="s">
        <v>96</v>
      </c>
      <c r="AF127">
        <v>16.27</v>
      </c>
      <c r="AG127">
        <v>131.24</v>
      </c>
      <c r="AH127">
        <v>20.18</v>
      </c>
      <c r="AI127" s="1">
        <v>5.18</v>
      </c>
      <c r="AJ127" s="1">
        <v>2.64</v>
      </c>
      <c r="AK127" s="1" t="s">
        <v>96</v>
      </c>
      <c r="AL127" s="1" t="s">
        <v>96</v>
      </c>
      <c r="AM127" s="1" t="s">
        <v>96</v>
      </c>
      <c r="AN127" s="1" t="s">
        <v>96</v>
      </c>
      <c r="AO127">
        <v>48.72</v>
      </c>
      <c r="AP127">
        <v>15.87</v>
      </c>
      <c r="AQ127" s="1" t="s">
        <v>96</v>
      </c>
      <c r="AR127" s="1">
        <v>5.57</v>
      </c>
      <c r="AS127">
        <v>41.1</v>
      </c>
      <c r="AT127" t="s">
        <v>96</v>
      </c>
      <c r="AU127" s="1" t="s">
        <v>96</v>
      </c>
      <c r="AV127" s="1" t="s">
        <v>96</v>
      </c>
      <c r="AW127">
        <v>4.72</v>
      </c>
      <c r="AX127" s="1" t="s">
        <v>96</v>
      </c>
      <c r="AY127">
        <v>2476.71</v>
      </c>
      <c r="AZ127">
        <v>814.65</v>
      </c>
      <c r="BA127">
        <v>100.8</v>
      </c>
      <c r="BB127" s="1" t="s">
        <v>96</v>
      </c>
      <c r="BC127" t="s">
        <v>133</v>
      </c>
      <c r="BD127" s="1" t="s">
        <v>96</v>
      </c>
      <c r="BE127" s="1">
        <v>6.37</v>
      </c>
      <c r="BF127">
        <v>35.54</v>
      </c>
      <c r="BG127" s="1">
        <v>10.37</v>
      </c>
      <c r="BH127" s="1" t="s">
        <v>96</v>
      </c>
      <c r="BI127">
        <v>510.65</v>
      </c>
      <c r="BJ127">
        <v>225.62</v>
      </c>
      <c r="BK127" s="1" t="s">
        <v>96</v>
      </c>
      <c r="BL127" s="1">
        <v>8.99</v>
      </c>
      <c r="BM127">
        <v>7.53</v>
      </c>
      <c r="BN127">
        <v>350.47</v>
      </c>
      <c r="BO127">
        <v>169.55</v>
      </c>
      <c r="BP127" t="s">
        <v>96</v>
      </c>
      <c r="BQ127" s="1" t="s">
        <v>96</v>
      </c>
      <c r="BR127" s="1" t="s">
        <v>96</v>
      </c>
      <c r="BS127" s="1" t="s">
        <v>96</v>
      </c>
      <c r="BT127" s="1" t="s">
        <v>96</v>
      </c>
      <c r="BU127" s="1">
        <v>5.18</v>
      </c>
      <c r="BV127">
        <v>172.36</v>
      </c>
      <c r="BW127">
        <v>43.82</v>
      </c>
      <c r="BX127" s="1">
        <v>5.18</v>
      </c>
      <c r="BY127">
        <v>425.92</v>
      </c>
      <c r="BZ127">
        <v>71.25</v>
      </c>
      <c r="CA127" s="1" t="s">
        <v>96</v>
      </c>
      <c r="CB127">
        <v>19.54</v>
      </c>
      <c r="CC127">
        <v>216.3</v>
      </c>
      <c r="CD127" s="1" t="s">
        <v>96</v>
      </c>
    </row>
    <row r="128" spans="1:82">
      <c r="A128">
        <v>90</v>
      </c>
      <c r="B128" t="s">
        <v>365</v>
      </c>
      <c r="D128" t="b">
        <v>1</v>
      </c>
      <c r="E128" t="s">
        <v>366</v>
      </c>
      <c r="F128">
        <v>139</v>
      </c>
      <c r="G128">
        <v>3</v>
      </c>
      <c r="J128" t="s">
        <v>367</v>
      </c>
      <c r="K128" t="s">
        <v>94</v>
      </c>
      <c r="L128" t="s">
        <v>95</v>
      </c>
      <c r="M128">
        <v>100</v>
      </c>
      <c r="N128" s="1" t="s">
        <v>96</v>
      </c>
      <c r="O128" s="1" t="s">
        <v>96</v>
      </c>
      <c r="P128">
        <v>12.86</v>
      </c>
      <c r="Q128" s="1" t="s">
        <v>96</v>
      </c>
      <c r="R128" s="1" t="s">
        <v>96</v>
      </c>
      <c r="S128" s="1" t="s">
        <v>96</v>
      </c>
      <c r="T128" s="1" t="s">
        <v>96</v>
      </c>
      <c r="U128" s="1" t="s">
        <v>96</v>
      </c>
      <c r="V128" s="1" t="s">
        <v>96</v>
      </c>
      <c r="W128" s="1" t="s">
        <v>96</v>
      </c>
      <c r="X128" s="1" t="s">
        <v>96</v>
      </c>
      <c r="Y128" s="1" t="s">
        <v>96</v>
      </c>
      <c r="Z128" t="s">
        <v>96</v>
      </c>
      <c r="AA128" s="1" t="s">
        <v>96</v>
      </c>
      <c r="AB128">
        <v>1.8</v>
      </c>
      <c r="AC128" t="s">
        <v>96</v>
      </c>
      <c r="AD128">
        <v>30.95</v>
      </c>
      <c r="AE128" s="1" t="s">
        <v>96</v>
      </c>
      <c r="AF128" t="s">
        <v>96</v>
      </c>
      <c r="AG128">
        <v>27.24</v>
      </c>
      <c r="AH128">
        <v>62.66</v>
      </c>
      <c r="AI128" s="1" t="s">
        <v>96</v>
      </c>
      <c r="AJ128" s="1" t="s">
        <v>96</v>
      </c>
      <c r="AK128" s="1" t="s">
        <v>96</v>
      </c>
      <c r="AL128" s="1" t="s">
        <v>96</v>
      </c>
      <c r="AM128" s="1" t="s">
        <v>96</v>
      </c>
      <c r="AN128" s="1" t="s">
        <v>96</v>
      </c>
      <c r="AO128">
        <v>34.78</v>
      </c>
      <c r="AP128">
        <v>18.510000000000002</v>
      </c>
      <c r="AQ128" s="1" t="s">
        <v>96</v>
      </c>
      <c r="AR128" s="1" t="s">
        <v>96</v>
      </c>
      <c r="AS128">
        <v>27.92</v>
      </c>
      <c r="AT128">
        <v>2.8</v>
      </c>
      <c r="AU128" s="1" t="s">
        <v>96</v>
      </c>
      <c r="AV128" s="1" t="s">
        <v>96</v>
      </c>
      <c r="AW128" t="s">
        <v>96</v>
      </c>
      <c r="AX128" s="1" t="s">
        <v>96</v>
      </c>
      <c r="AY128">
        <v>401.56</v>
      </c>
      <c r="AZ128">
        <v>13.13</v>
      </c>
      <c r="BA128">
        <v>23.73</v>
      </c>
      <c r="BB128" s="1" t="s">
        <v>96</v>
      </c>
      <c r="BC128">
        <v>96.29</v>
      </c>
      <c r="BD128" s="1" t="s">
        <v>96</v>
      </c>
      <c r="BE128" s="1" t="s">
        <v>96</v>
      </c>
      <c r="BF128" t="s">
        <v>96</v>
      </c>
      <c r="BG128" s="1" t="s">
        <v>96</v>
      </c>
      <c r="BH128" s="1" t="s">
        <v>96</v>
      </c>
      <c r="BI128">
        <v>16.27</v>
      </c>
      <c r="BJ128" t="s">
        <v>96</v>
      </c>
      <c r="BK128" s="1" t="s">
        <v>96</v>
      </c>
      <c r="BL128" s="1" t="s">
        <v>96</v>
      </c>
      <c r="BM128" t="s">
        <v>96</v>
      </c>
      <c r="BN128">
        <v>4.6900000000000004</v>
      </c>
      <c r="BO128" t="s">
        <v>96</v>
      </c>
      <c r="BP128" t="s">
        <v>96</v>
      </c>
      <c r="BQ128" s="1" t="s">
        <v>96</v>
      </c>
      <c r="BR128" s="1" t="s">
        <v>96</v>
      </c>
      <c r="BS128" s="1" t="s">
        <v>96</v>
      </c>
      <c r="BT128" s="1">
        <v>3.78</v>
      </c>
      <c r="BU128" s="1" t="s">
        <v>96</v>
      </c>
      <c r="BV128">
        <v>27</v>
      </c>
      <c r="BW128" t="s">
        <v>96</v>
      </c>
      <c r="BX128" s="1" t="s">
        <v>96</v>
      </c>
      <c r="BY128">
        <v>9.4600000000000009</v>
      </c>
      <c r="BZ128" t="s">
        <v>96</v>
      </c>
      <c r="CA128" s="1" t="s">
        <v>96</v>
      </c>
      <c r="CB128">
        <v>23.85</v>
      </c>
      <c r="CC128" t="s">
        <v>96</v>
      </c>
      <c r="CD128" s="1" t="s">
        <v>96</v>
      </c>
    </row>
    <row r="129" spans="1:82">
      <c r="A129">
        <v>143</v>
      </c>
      <c r="B129" t="s">
        <v>524</v>
      </c>
      <c r="D129" t="b">
        <v>1</v>
      </c>
      <c r="E129" t="s">
        <v>525</v>
      </c>
      <c r="F129">
        <v>34</v>
      </c>
      <c r="G129">
        <v>4</v>
      </c>
      <c r="J129" t="s">
        <v>526</v>
      </c>
      <c r="K129" t="s">
        <v>94</v>
      </c>
      <c r="L129" t="s">
        <v>95</v>
      </c>
      <c r="M129">
        <v>100</v>
      </c>
      <c r="N129" s="1" t="s">
        <v>96</v>
      </c>
      <c r="O129" s="1" t="s">
        <v>96</v>
      </c>
      <c r="P129">
        <v>18.100000000000001</v>
      </c>
      <c r="Q129" s="1" t="s">
        <v>96</v>
      </c>
      <c r="R129" s="1" t="s">
        <v>96</v>
      </c>
      <c r="S129" s="1">
        <v>5.95</v>
      </c>
      <c r="T129" s="1" t="s">
        <v>96</v>
      </c>
      <c r="U129" s="1" t="s">
        <v>96</v>
      </c>
      <c r="V129" s="1" t="s">
        <v>96</v>
      </c>
      <c r="W129" s="1" t="s">
        <v>96</v>
      </c>
      <c r="X129" s="1" t="s">
        <v>96</v>
      </c>
      <c r="Y129" s="1" t="s">
        <v>96</v>
      </c>
      <c r="Z129">
        <v>6.05</v>
      </c>
      <c r="AA129" s="1" t="s">
        <v>96</v>
      </c>
      <c r="AB129">
        <v>13.05</v>
      </c>
      <c r="AC129">
        <v>2.48</v>
      </c>
      <c r="AD129" t="s">
        <v>133</v>
      </c>
      <c r="AE129" s="1" t="s">
        <v>96</v>
      </c>
      <c r="AF129">
        <v>31.14</v>
      </c>
      <c r="AG129">
        <v>218.42</v>
      </c>
      <c r="AH129">
        <v>601.01</v>
      </c>
      <c r="AI129" s="1" t="s">
        <v>96</v>
      </c>
      <c r="AJ129" s="1" t="s">
        <v>96</v>
      </c>
      <c r="AK129" s="1" t="s">
        <v>96</v>
      </c>
      <c r="AL129" s="1" t="s">
        <v>96</v>
      </c>
      <c r="AM129" s="1" t="s">
        <v>96</v>
      </c>
      <c r="AN129" s="1">
        <v>7.46</v>
      </c>
      <c r="AO129">
        <v>100.15</v>
      </c>
      <c r="AP129">
        <v>259.88</v>
      </c>
      <c r="AQ129" s="1">
        <v>4.8099999999999996</v>
      </c>
      <c r="AR129" s="1" t="s">
        <v>96</v>
      </c>
      <c r="AS129">
        <v>141.52000000000001</v>
      </c>
      <c r="AT129">
        <v>11.54</v>
      </c>
      <c r="AU129" s="1" t="s">
        <v>96</v>
      </c>
      <c r="AV129" s="1" t="s">
        <v>96</v>
      </c>
      <c r="AW129">
        <v>18.27</v>
      </c>
      <c r="AX129" s="1">
        <v>2.79</v>
      </c>
      <c r="AY129" t="s">
        <v>133</v>
      </c>
      <c r="AZ129">
        <v>1233.22</v>
      </c>
      <c r="BA129">
        <v>1858.42</v>
      </c>
      <c r="BB129" s="1" t="s">
        <v>96</v>
      </c>
      <c r="BC129" t="s">
        <v>133</v>
      </c>
      <c r="BD129" s="1" t="s">
        <v>96</v>
      </c>
      <c r="BE129" s="1" t="s">
        <v>96</v>
      </c>
      <c r="BF129">
        <v>78.28</v>
      </c>
      <c r="BG129" s="1">
        <v>52.82</v>
      </c>
      <c r="BH129" s="1" t="s">
        <v>96</v>
      </c>
      <c r="BI129">
        <v>382.15</v>
      </c>
      <c r="BJ129">
        <v>80.73</v>
      </c>
      <c r="BK129" s="1" t="s">
        <v>96</v>
      </c>
      <c r="BL129" s="1">
        <v>8.82</v>
      </c>
      <c r="BM129" t="s">
        <v>96</v>
      </c>
      <c r="BN129">
        <v>200.17</v>
      </c>
      <c r="BO129">
        <v>14.22</v>
      </c>
      <c r="BP129" t="s">
        <v>96</v>
      </c>
      <c r="BQ129" s="1" t="s">
        <v>96</v>
      </c>
      <c r="BR129" s="1" t="s">
        <v>96</v>
      </c>
      <c r="BS129" s="1" t="s">
        <v>96</v>
      </c>
      <c r="BT129" s="1" t="s">
        <v>96</v>
      </c>
      <c r="BU129" s="1" t="s">
        <v>96</v>
      </c>
      <c r="BV129">
        <v>282.91000000000003</v>
      </c>
      <c r="BW129">
        <v>21.89</v>
      </c>
      <c r="BX129" s="1" t="s">
        <v>96</v>
      </c>
      <c r="BY129">
        <v>273.01</v>
      </c>
      <c r="BZ129">
        <v>6.91</v>
      </c>
      <c r="CA129" s="1" t="s">
        <v>96</v>
      </c>
      <c r="CB129">
        <v>170.52</v>
      </c>
      <c r="CC129">
        <v>78.81</v>
      </c>
      <c r="CD129" s="1" t="s">
        <v>96</v>
      </c>
    </row>
    <row r="130" spans="1:82">
      <c r="A130">
        <v>220</v>
      </c>
      <c r="B130" t="s">
        <v>755</v>
      </c>
      <c r="D130" t="b">
        <v>1</v>
      </c>
      <c r="E130" t="s">
        <v>756</v>
      </c>
      <c r="F130">
        <v>331</v>
      </c>
      <c r="G130">
        <v>6</v>
      </c>
      <c r="J130" t="s">
        <v>757</v>
      </c>
      <c r="K130" t="s">
        <v>94</v>
      </c>
      <c r="L130" t="s">
        <v>95</v>
      </c>
      <c r="M130">
        <v>100</v>
      </c>
      <c r="N130" s="1" t="s">
        <v>96</v>
      </c>
      <c r="O130" s="1" t="s">
        <v>96</v>
      </c>
      <c r="P130">
        <v>7.84</v>
      </c>
      <c r="Q130" s="1" t="s">
        <v>96</v>
      </c>
      <c r="R130" s="1" t="s">
        <v>96</v>
      </c>
      <c r="S130" s="1" t="s">
        <v>96</v>
      </c>
      <c r="T130" s="1" t="s">
        <v>96</v>
      </c>
      <c r="U130" s="1" t="s">
        <v>96</v>
      </c>
      <c r="V130" s="1" t="s">
        <v>96</v>
      </c>
      <c r="W130" s="1" t="s">
        <v>96</v>
      </c>
      <c r="X130" s="1" t="s">
        <v>96</v>
      </c>
      <c r="Y130" s="1" t="s">
        <v>96</v>
      </c>
      <c r="Z130" t="s">
        <v>96</v>
      </c>
      <c r="AA130" s="1" t="s">
        <v>96</v>
      </c>
      <c r="AB130">
        <v>1.25</v>
      </c>
      <c r="AC130">
        <v>8.58</v>
      </c>
      <c r="AD130">
        <v>47.23</v>
      </c>
      <c r="AE130" s="1" t="s">
        <v>96</v>
      </c>
      <c r="AF130">
        <v>29.48</v>
      </c>
      <c r="AG130">
        <v>224.04</v>
      </c>
      <c r="AH130">
        <v>36.96</v>
      </c>
      <c r="AI130" s="1" t="s">
        <v>96</v>
      </c>
      <c r="AJ130" s="1">
        <v>2.04</v>
      </c>
      <c r="AK130" s="1" t="s">
        <v>96</v>
      </c>
      <c r="AL130" s="1" t="s">
        <v>96</v>
      </c>
      <c r="AM130" s="1" t="s">
        <v>96</v>
      </c>
      <c r="AN130" s="1" t="s">
        <v>96</v>
      </c>
      <c r="AO130" t="s">
        <v>96</v>
      </c>
      <c r="AP130">
        <v>22.71</v>
      </c>
      <c r="AQ130" s="1" t="s">
        <v>96</v>
      </c>
      <c r="AR130" s="1" t="s">
        <v>96</v>
      </c>
      <c r="AS130">
        <v>43.95</v>
      </c>
      <c r="AT130" t="s">
        <v>96</v>
      </c>
      <c r="AU130" s="1" t="s">
        <v>96</v>
      </c>
      <c r="AV130" s="1" t="s">
        <v>96</v>
      </c>
      <c r="AW130" t="s">
        <v>96</v>
      </c>
      <c r="AX130" s="1" t="s">
        <v>96</v>
      </c>
      <c r="AY130">
        <v>571.36</v>
      </c>
      <c r="AZ130">
        <v>364.38</v>
      </c>
      <c r="BA130">
        <v>43.1</v>
      </c>
      <c r="BB130" s="1" t="s">
        <v>96</v>
      </c>
      <c r="BC130">
        <v>225.4</v>
      </c>
      <c r="BD130" s="1" t="s">
        <v>96</v>
      </c>
      <c r="BE130" s="1" t="s">
        <v>96</v>
      </c>
      <c r="BF130" t="s">
        <v>96</v>
      </c>
      <c r="BG130" s="1" t="s">
        <v>96</v>
      </c>
      <c r="BH130" s="1" t="s">
        <v>96</v>
      </c>
      <c r="BI130">
        <v>53.68</v>
      </c>
      <c r="BJ130">
        <v>41.69</v>
      </c>
      <c r="BK130" s="1" t="s">
        <v>96</v>
      </c>
      <c r="BL130" s="1" t="s">
        <v>96</v>
      </c>
      <c r="BM130" t="s">
        <v>96</v>
      </c>
      <c r="BN130">
        <v>22.18</v>
      </c>
      <c r="BO130">
        <v>124.68</v>
      </c>
      <c r="BP130" t="s">
        <v>96</v>
      </c>
      <c r="BQ130" s="1" t="s">
        <v>96</v>
      </c>
      <c r="BR130" s="1" t="s">
        <v>96</v>
      </c>
      <c r="BS130" s="1" t="s">
        <v>96</v>
      </c>
      <c r="BT130" s="1" t="s">
        <v>96</v>
      </c>
      <c r="BU130" s="1">
        <v>14.43</v>
      </c>
      <c r="BV130">
        <v>140.22999999999999</v>
      </c>
      <c r="BW130">
        <v>20.45</v>
      </c>
      <c r="BX130" s="1" t="s">
        <v>96</v>
      </c>
      <c r="BY130">
        <v>368.11</v>
      </c>
      <c r="BZ130">
        <v>47.3</v>
      </c>
      <c r="CA130" s="1" t="s">
        <v>96</v>
      </c>
      <c r="CB130">
        <v>25.17</v>
      </c>
      <c r="CC130">
        <v>238.29</v>
      </c>
      <c r="CD130" s="1" t="s">
        <v>96</v>
      </c>
    </row>
    <row r="131" spans="1:82">
      <c r="A131">
        <v>115</v>
      </c>
      <c r="B131" t="s">
        <v>440</v>
      </c>
      <c r="D131" t="b">
        <v>1</v>
      </c>
      <c r="E131" t="s">
        <v>441</v>
      </c>
      <c r="F131">
        <v>168</v>
      </c>
      <c r="G131">
        <v>3</v>
      </c>
      <c r="J131" t="s">
        <v>442</v>
      </c>
      <c r="K131" t="s">
        <v>94</v>
      </c>
      <c r="L131" t="s">
        <v>95</v>
      </c>
      <c r="M131">
        <v>100</v>
      </c>
      <c r="N131" s="1" t="s">
        <v>96</v>
      </c>
      <c r="O131" s="1" t="s">
        <v>96</v>
      </c>
      <c r="P131">
        <v>26.17</v>
      </c>
      <c r="Q131" s="1" t="s">
        <v>96</v>
      </c>
      <c r="R131" s="1" t="s">
        <v>96</v>
      </c>
      <c r="S131" s="1" t="s">
        <v>96</v>
      </c>
      <c r="T131" s="1" t="s">
        <v>96</v>
      </c>
      <c r="U131" s="1" t="s">
        <v>96</v>
      </c>
      <c r="V131" s="1" t="s">
        <v>96</v>
      </c>
      <c r="W131" s="1" t="s">
        <v>96</v>
      </c>
      <c r="X131" s="1" t="s">
        <v>96</v>
      </c>
      <c r="Y131" s="1" t="s">
        <v>96</v>
      </c>
      <c r="Z131">
        <v>1.1100000000000001</v>
      </c>
      <c r="AA131" s="1" t="s">
        <v>96</v>
      </c>
      <c r="AB131">
        <v>5.37</v>
      </c>
      <c r="AC131">
        <v>6.37</v>
      </c>
      <c r="AD131">
        <v>216.11</v>
      </c>
      <c r="AE131" s="1" t="s">
        <v>96</v>
      </c>
      <c r="AF131">
        <v>24.48</v>
      </c>
      <c r="AG131">
        <v>315.48</v>
      </c>
      <c r="AH131">
        <v>102</v>
      </c>
      <c r="AI131" s="1">
        <v>3.17</v>
      </c>
      <c r="AJ131" s="1" t="s">
        <v>96</v>
      </c>
      <c r="AK131" s="1" t="s">
        <v>96</v>
      </c>
      <c r="AL131" s="1" t="s">
        <v>96</v>
      </c>
      <c r="AM131" s="1" t="s">
        <v>96</v>
      </c>
      <c r="AN131" s="1" t="s">
        <v>96</v>
      </c>
      <c r="AO131" t="s">
        <v>96</v>
      </c>
      <c r="AP131">
        <v>49.04</v>
      </c>
      <c r="AQ131" s="1" t="s">
        <v>96</v>
      </c>
      <c r="AR131" s="1" t="s">
        <v>96</v>
      </c>
      <c r="AS131">
        <v>33.880000000000003</v>
      </c>
      <c r="AT131">
        <v>4.71</v>
      </c>
      <c r="AU131" s="1" t="s">
        <v>96</v>
      </c>
      <c r="AV131" s="1" t="s">
        <v>96</v>
      </c>
      <c r="AW131">
        <v>10.64</v>
      </c>
      <c r="AX131" s="1" t="s">
        <v>96</v>
      </c>
      <c r="AY131">
        <v>1328.42</v>
      </c>
      <c r="AZ131">
        <v>446.92</v>
      </c>
      <c r="BA131">
        <v>107.72</v>
      </c>
      <c r="BB131" s="1" t="s">
        <v>96</v>
      </c>
      <c r="BC131">
        <v>395.08</v>
      </c>
      <c r="BD131" s="1" t="s">
        <v>96</v>
      </c>
      <c r="BE131" s="1">
        <v>2.54</v>
      </c>
      <c r="BF131">
        <v>13.63</v>
      </c>
      <c r="BG131" s="1">
        <v>5.37</v>
      </c>
      <c r="BH131" s="1" t="s">
        <v>96</v>
      </c>
      <c r="BI131">
        <v>136.72999999999999</v>
      </c>
      <c r="BJ131">
        <v>61.22</v>
      </c>
      <c r="BK131" s="1" t="s">
        <v>96</v>
      </c>
      <c r="BL131" s="1" t="s">
        <v>96</v>
      </c>
      <c r="BM131" t="s">
        <v>96</v>
      </c>
      <c r="BN131">
        <v>35.369999999999997</v>
      </c>
      <c r="BO131">
        <v>29.75</v>
      </c>
      <c r="BP131" t="s">
        <v>96</v>
      </c>
      <c r="BQ131" s="1" t="s">
        <v>96</v>
      </c>
      <c r="BR131" s="1" t="s">
        <v>96</v>
      </c>
      <c r="BS131" s="1" t="s">
        <v>96</v>
      </c>
      <c r="BT131" s="1" t="s">
        <v>96</v>
      </c>
      <c r="BU131" s="1" t="s">
        <v>96</v>
      </c>
      <c r="BV131">
        <v>57.18</v>
      </c>
      <c r="BW131">
        <v>8.36</v>
      </c>
      <c r="BX131" s="1" t="s">
        <v>96</v>
      </c>
      <c r="BY131">
        <v>140.63</v>
      </c>
      <c r="BZ131">
        <v>10.87</v>
      </c>
      <c r="CA131" s="1" t="s">
        <v>96</v>
      </c>
      <c r="CB131">
        <v>17.27</v>
      </c>
      <c r="CC131">
        <v>45.75</v>
      </c>
      <c r="CD131" s="1" t="s">
        <v>96</v>
      </c>
    </row>
    <row r="132" spans="1:82">
      <c r="A132">
        <v>226</v>
      </c>
      <c r="B132" t="s">
        <v>773</v>
      </c>
      <c r="D132" t="b">
        <v>1</v>
      </c>
      <c r="E132" t="s">
        <v>774</v>
      </c>
      <c r="F132">
        <v>337</v>
      </c>
      <c r="G132">
        <v>6</v>
      </c>
      <c r="J132" t="s">
        <v>775</v>
      </c>
      <c r="K132" t="s">
        <v>94</v>
      </c>
      <c r="L132" t="s">
        <v>95</v>
      </c>
      <c r="M132">
        <v>100</v>
      </c>
      <c r="N132" s="1" t="s">
        <v>96</v>
      </c>
      <c r="O132" s="1" t="s">
        <v>96</v>
      </c>
      <c r="P132">
        <v>15.18</v>
      </c>
      <c r="Q132" s="1" t="s">
        <v>96</v>
      </c>
      <c r="R132" s="1" t="s">
        <v>96</v>
      </c>
      <c r="S132" s="1">
        <v>8.49</v>
      </c>
      <c r="T132" s="1" t="s">
        <v>96</v>
      </c>
      <c r="U132" s="1" t="s">
        <v>96</v>
      </c>
      <c r="V132" s="1" t="s">
        <v>96</v>
      </c>
      <c r="W132" s="1" t="s">
        <v>96</v>
      </c>
      <c r="X132" s="1" t="s">
        <v>96</v>
      </c>
      <c r="Y132" s="1" t="s">
        <v>96</v>
      </c>
      <c r="Z132" t="s">
        <v>96</v>
      </c>
      <c r="AA132" s="1" t="s">
        <v>96</v>
      </c>
      <c r="AB132">
        <v>25.82</v>
      </c>
      <c r="AC132">
        <v>1.43</v>
      </c>
      <c r="AD132">
        <v>8.92</v>
      </c>
      <c r="AE132" s="1" t="s">
        <v>96</v>
      </c>
      <c r="AF132" t="s">
        <v>96</v>
      </c>
      <c r="AG132">
        <v>120.31</v>
      </c>
      <c r="AH132">
        <v>841.39</v>
      </c>
      <c r="AI132" s="1" t="s">
        <v>96</v>
      </c>
      <c r="AJ132" s="1" t="s">
        <v>96</v>
      </c>
      <c r="AK132" s="1" t="s">
        <v>96</v>
      </c>
      <c r="AL132" s="1" t="s">
        <v>96</v>
      </c>
      <c r="AM132" s="1" t="s">
        <v>96</v>
      </c>
      <c r="AN132" s="1">
        <v>2.11</v>
      </c>
      <c r="AO132">
        <v>306.43</v>
      </c>
      <c r="AP132">
        <v>44.45</v>
      </c>
      <c r="AQ132" s="1" t="s">
        <v>96</v>
      </c>
      <c r="AR132" s="1">
        <v>3.78</v>
      </c>
      <c r="AS132" t="s">
        <v>133</v>
      </c>
      <c r="AT132">
        <v>96.67</v>
      </c>
      <c r="AU132" s="1" t="s">
        <v>96</v>
      </c>
      <c r="AV132" s="1" t="s">
        <v>96</v>
      </c>
      <c r="AW132" t="s">
        <v>96</v>
      </c>
      <c r="AX132" s="1" t="s">
        <v>96</v>
      </c>
      <c r="AY132">
        <v>513.37</v>
      </c>
      <c r="AZ132">
        <v>50</v>
      </c>
      <c r="BA132">
        <v>36.69</v>
      </c>
      <c r="BB132" s="1" t="s">
        <v>96</v>
      </c>
      <c r="BC132">
        <v>284.5</v>
      </c>
      <c r="BD132" s="1" t="s">
        <v>96</v>
      </c>
      <c r="BE132" s="1" t="s">
        <v>96</v>
      </c>
      <c r="BF132">
        <v>41.17</v>
      </c>
      <c r="BG132" s="1" t="s">
        <v>96</v>
      </c>
      <c r="BH132" s="1" t="s">
        <v>96</v>
      </c>
      <c r="BI132">
        <v>77.349999999999994</v>
      </c>
      <c r="BJ132">
        <v>9.2899999999999991</v>
      </c>
      <c r="BK132" s="1" t="s">
        <v>96</v>
      </c>
      <c r="BL132" s="1">
        <v>9.65</v>
      </c>
      <c r="BM132">
        <v>7.63</v>
      </c>
      <c r="BN132">
        <v>28.67</v>
      </c>
      <c r="BO132">
        <v>136.53</v>
      </c>
      <c r="BP132">
        <v>7.73</v>
      </c>
      <c r="BQ132" s="1" t="s">
        <v>96</v>
      </c>
      <c r="BR132" s="1" t="s">
        <v>96</v>
      </c>
      <c r="BS132" s="1">
        <v>6.12</v>
      </c>
      <c r="BT132" s="1">
        <v>7.07</v>
      </c>
      <c r="BU132" s="1" t="s">
        <v>96</v>
      </c>
      <c r="BV132">
        <v>218.73</v>
      </c>
      <c r="BW132">
        <v>71</v>
      </c>
      <c r="BX132" s="1" t="s">
        <v>96</v>
      </c>
      <c r="BY132">
        <v>230.97</v>
      </c>
      <c r="BZ132">
        <v>18.68</v>
      </c>
      <c r="CA132" s="1" t="s">
        <v>96</v>
      </c>
      <c r="CB132">
        <v>28.89</v>
      </c>
      <c r="CC132">
        <v>53.34</v>
      </c>
      <c r="CD132" s="1" t="s">
        <v>96</v>
      </c>
    </row>
    <row r="133" spans="1:82">
      <c r="A133">
        <v>14</v>
      </c>
      <c r="B133" t="s">
        <v>137</v>
      </c>
      <c r="D133" t="b">
        <v>1</v>
      </c>
      <c r="E133" t="s">
        <v>138</v>
      </c>
      <c r="F133">
        <v>203</v>
      </c>
      <c r="G133">
        <v>1</v>
      </c>
      <c r="J133" t="s">
        <v>139</v>
      </c>
      <c r="K133" t="s">
        <v>94</v>
      </c>
      <c r="L133" t="s">
        <v>95</v>
      </c>
      <c r="M133">
        <v>100</v>
      </c>
      <c r="N133" s="1" t="s">
        <v>96</v>
      </c>
      <c r="O133" s="1" t="s">
        <v>96</v>
      </c>
      <c r="P133">
        <v>21.27</v>
      </c>
      <c r="Q133" s="1" t="s">
        <v>96</v>
      </c>
      <c r="R133" s="1" t="s">
        <v>96</v>
      </c>
      <c r="S133" s="1" t="s">
        <v>96</v>
      </c>
      <c r="T133" s="1" t="s">
        <v>96</v>
      </c>
      <c r="U133" s="1" t="s">
        <v>96</v>
      </c>
      <c r="V133" s="1" t="s">
        <v>96</v>
      </c>
      <c r="W133" s="1" t="s">
        <v>96</v>
      </c>
      <c r="X133" s="1" t="s">
        <v>96</v>
      </c>
      <c r="Y133" s="1" t="s">
        <v>96</v>
      </c>
      <c r="Z133">
        <v>5.87</v>
      </c>
      <c r="AA133" s="1" t="s">
        <v>96</v>
      </c>
      <c r="AB133">
        <v>21.69</v>
      </c>
      <c r="AC133" t="s">
        <v>96</v>
      </c>
      <c r="AD133" t="s">
        <v>133</v>
      </c>
      <c r="AE133" s="1" t="s">
        <v>96</v>
      </c>
      <c r="AF133" t="s">
        <v>96</v>
      </c>
      <c r="AG133" t="s">
        <v>96</v>
      </c>
      <c r="AH133">
        <v>366.54</v>
      </c>
      <c r="AI133" s="1" t="s">
        <v>96</v>
      </c>
      <c r="AJ133" s="1" t="s">
        <v>96</v>
      </c>
      <c r="AK133" s="1" t="s">
        <v>96</v>
      </c>
      <c r="AL133" s="1" t="s">
        <v>96</v>
      </c>
      <c r="AM133" s="1" t="s">
        <v>96</v>
      </c>
      <c r="AN133" s="1">
        <v>2.94</v>
      </c>
      <c r="AO133">
        <v>108.02</v>
      </c>
      <c r="AP133">
        <v>231.39</v>
      </c>
      <c r="AQ133" s="1">
        <v>19.18</v>
      </c>
      <c r="AR133" s="1" t="s">
        <v>96</v>
      </c>
      <c r="AS133">
        <v>56.98</v>
      </c>
      <c r="AT133">
        <v>3.24</v>
      </c>
      <c r="AU133" s="1" t="s">
        <v>96</v>
      </c>
      <c r="AV133" s="1" t="s">
        <v>96</v>
      </c>
      <c r="AW133" t="s">
        <v>96</v>
      </c>
      <c r="AX133" s="1" t="s">
        <v>96</v>
      </c>
      <c r="AY133">
        <v>282.26</v>
      </c>
      <c r="AZ133" t="s">
        <v>96</v>
      </c>
      <c r="BA133">
        <v>86.03</v>
      </c>
      <c r="BB133" s="1" t="s">
        <v>96</v>
      </c>
      <c r="BC133">
        <v>134.46</v>
      </c>
      <c r="BD133" s="1" t="s">
        <v>96</v>
      </c>
      <c r="BE133" s="1" t="s">
        <v>96</v>
      </c>
      <c r="BF133">
        <v>5.83</v>
      </c>
      <c r="BG133" s="1">
        <v>2.65</v>
      </c>
      <c r="BH133" s="1" t="s">
        <v>96</v>
      </c>
      <c r="BI133">
        <v>23.75</v>
      </c>
      <c r="BJ133" t="s">
        <v>96</v>
      </c>
      <c r="BK133" s="1" t="s">
        <v>96</v>
      </c>
      <c r="BL133" s="1" t="s">
        <v>96</v>
      </c>
      <c r="BM133" t="s">
        <v>96</v>
      </c>
      <c r="BN133">
        <v>11.34</v>
      </c>
      <c r="BO133" t="s">
        <v>96</v>
      </c>
      <c r="BP133" t="s">
        <v>96</v>
      </c>
      <c r="BQ133" s="1" t="s">
        <v>96</v>
      </c>
      <c r="BR133" s="1" t="s">
        <v>96</v>
      </c>
      <c r="BS133" s="1" t="s">
        <v>96</v>
      </c>
      <c r="BT133" s="1" t="s">
        <v>96</v>
      </c>
      <c r="BU133" s="1" t="s">
        <v>96</v>
      </c>
      <c r="BV133">
        <v>45.62</v>
      </c>
      <c r="BW133">
        <v>5.23</v>
      </c>
      <c r="BX133" s="1" t="s">
        <v>96</v>
      </c>
      <c r="BY133" t="s">
        <v>96</v>
      </c>
      <c r="BZ133" t="s">
        <v>96</v>
      </c>
      <c r="CA133" s="1" t="s">
        <v>96</v>
      </c>
      <c r="CB133">
        <v>84.99</v>
      </c>
      <c r="CC133" t="s">
        <v>96</v>
      </c>
      <c r="CD133" s="1" t="s">
        <v>96</v>
      </c>
    </row>
    <row r="134" spans="1:82">
      <c r="A134">
        <v>205</v>
      </c>
      <c r="B134" t="s">
        <v>710</v>
      </c>
      <c r="D134" t="b">
        <v>1</v>
      </c>
      <c r="E134" t="s">
        <v>711</v>
      </c>
      <c r="F134">
        <v>312</v>
      </c>
      <c r="G134">
        <v>6</v>
      </c>
      <c r="J134" t="s">
        <v>712</v>
      </c>
      <c r="K134" t="s">
        <v>94</v>
      </c>
      <c r="L134" t="s">
        <v>95</v>
      </c>
      <c r="M134">
        <v>100</v>
      </c>
      <c r="N134" s="1" t="s">
        <v>96</v>
      </c>
      <c r="O134" s="1" t="s">
        <v>96</v>
      </c>
      <c r="P134">
        <v>24.33</v>
      </c>
      <c r="Q134" s="1" t="s">
        <v>96</v>
      </c>
      <c r="R134" s="1" t="s">
        <v>96</v>
      </c>
      <c r="S134" s="1">
        <v>10.17</v>
      </c>
      <c r="T134" s="1" t="s">
        <v>96</v>
      </c>
      <c r="U134" s="1">
        <v>13.23</v>
      </c>
      <c r="V134" s="1" t="s">
        <v>96</v>
      </c>
      <c r="W134" s="1" t="s">
        <v>96</v>
      </c>
      <c r="X134" s="1" t="s">
        <v>96</v>
      </c>
      <c r="Y134" s="1" t="s">
        <v>96</v>
      </c>
      <c r="Z134" t="s">
        <v>96</v>
      </c>
      <c r="AA134" s="1" t="s">
        <v>96</v>
      </c>
      <c r="AB134">
        <v>1.29</v>
      </c>
      <c r="AC134">
        <v>9.98</v>
      </c>
      <c r="AD134">
        <v>21.21</v>
      </c>
      <c r="AE134" s="1" t="s">
        <v>96</v>
      </c>
      <c r="AF134">
        <v>43.74</v>
      </c>
      <c r="AG134">
        <v>597.99</v>
      </c>
      <c r="AH134">
        <v>117.24</v>
      </c>
      <c r="AI134" s="1" t="s">
        <v>96</v>
      </c>
      <c r="AJ134" s="1" t="s">
        <v>96</v>
      </c>
      <c r="AK134" s="1" t="s">
        <v>96</v>
      </c>
      <c r="AL134" s="1" t="s">
        <v>96</v>
      </c>
      <c r="AM134" s="1" t="s">
        <v>96</v>
      </c>
      <c r="AN134" s="1" t="s">
        <v>96</v>
      </c>
      <c r="AO134" t="s">
        <v>96</v>
      </c>
      <c r="AP134">
        <v>20.55</v>
      </c>
      <c r="AQ134" s="1" t="s">
        <v>96</v>
      </c>
      <c r="AR134" s="1" t="s">
        <v>96</v>
      </c>
      <c r="AS134">
        <v>107.09</v>
      </c>
      <c r="AT134">
        <v>2.29</v>
      </c>
      <c r="AU134" s="1" t="s">
        <v>96</v>
      </c>
      <c r="AV134" s="1" t="s">
        <v>96</v>
      </c>
      <c r="AW134">
        <v>14.09</v>
      </c>
      <c r="AX134" s="1" t="s">
        <v>96</v>
      </c>
      <c r="AY134">
        <v>1458.66</v>
      </c>
      <c r="AZ134">
        <v>874.07</v>
      </c>
      <c r="BA134">
        <v>37</v>
      </c>
      <c r="BB134" s="1" t="s">
        <v>96</v>
      </c>
      <c r="BC134">
        <v>632.72</v>
      </c>
      <c r="BD134" s="1" t="s">
        <v>96</v>
      </c>
      <c r="BE134" s="1" t="s">
        <v>96</v>
      </c>
      <c r="BF134">
        <v>7.26</v>
      </c>
      <c r="BG134" s="1" t="s">
        <v>96</v>
      </c>
      <c r="BH134" s="1" t="s">
        <v>96</v>
      </c>
      <c r="BI134">
        <v>51.12</v>
      </c>
      <c r="BJ134">
        <v>35.1</v>
      </c>
      <c r="BK134" s="1" t="s">
        <v>96</v>
      </c>
      <c r="BL134" s="1" t="s">
        <v>96</v>
      </c>
      <c r="BM134" t="s">
        <v>96</v>
      </c>
      <c r="BN134">
        <v>28.22</v>
      </c>
      <c r="BO134">
        <v>18.149999999999999</v>
      </c>
      <c r="BP134">
        <v>3.34</v>
      </c>
      <c r="BQ134" s="1" t="s">
        <v>96</v>
      </c>
      <c r="BR134" s="1" t="s">
        <v>96</v>
      </c>
      <c r="BS134" s="1" t="s">
        <v>96</v>
      </c>
      <c r="BT134" s="1" t="s">
        <v>96</v>
      </c>
      <c r="BU134" s="1">
        <v>6.34</v>
      </c>
      <c r="BV134">
        <v>85.29</v>
      </c>
      <c r="BW134">
        <v>5.4</v>
      </c>
      <c r="BX134" s="1" t="s">
        <v>96</v>
      </c>
      <c r="BY134">
        <v>358.52</v>
      </c>
      <c r="BZ134">
        <v>5.73</v>
      </c>
      <c r="CA134" s="1" t="s">
        <v>96</v>
      </c>
      <c r="CB134">
        <v>5.0599999999999996</v>
      </c>
      <c r="CC134">
        <v>97.02</v>
      </c>
      <c r="CD134" s="1" t="s">
        <v>96</v>
      </c>
    </row>
    <row r="135" spans="1:82">
      <c r="A135">
        <v>113</v>
      </c>
      <c r="B135" t="s">
        <v>434</v>
      </c>
      <c r="D135" t="b">
        <v>1</v>
      </c>
      <c r="E135" t="s">
        <v>435</v>
      </c>
      <c r="F135">
        <v>166</v>
      </c>
      <c r="G135">
        <v>3</v>
      </c>
      <c r="J135" t="s">
        <v>436</v>
      </c>
      <c r="K135" t="s">
        <v>94</v>
      </c>
      <c r="L135" t="s">
        <v>95</v>
      </c>
      <c r="M135">
        <v>100</v>
      </c>
      <c r="N135" s="1" t="s">
        <v>96</v>
      </c>
      <c r="O135" s="1" t="s">
        <v>96</v>
      </c>
      <c r="P135">
        <v>23.45</v>
      </c>
      <c r="Q135" s="1" t="s">
        <v>96</v>
      </c>
      <c r="R135" s="1" t="s">
        <v>96</v>
      </c>
      <c r="S135" s="1">
        <v>10.09</v>
      </c>
      <c r="T135" s="1" t="s">
        <v>96</v>
      </c>
      <c r="U135" s="1" t="s">
        <v>96</v>
      </c>
      <c r="V135" s="1" t="s">
        <v>96</v>
      </c>
      <c r="W135" s="1" t="s">
        <v>96</v>
      </c>
      <c r="X135" s="1" t="s">
        <v>96</v>
      </c>
      <c r="Y135" s="1" t="s">
        <v>96</v>
      </c>
      <c r="Z135" t="s">
        <v>96</v>
      </c>
      <c r="AA135" s="1" t="s">
        <v>96</v>
      </c>
      <c r="AB135">
        <v>19.149999999999999</v>
      </c>
      <c r="AC135">
        <v>21.09</v>
      </c>
      <c r="AD135">
        <v>84.81</v>
      </c>
      <c r="AE135" s="1" t="s">
        <v>96</v>
      </c>
      <c r="AF135">
        <v>21.67</v>
      </c>
      <c r="AG135" t="s">
        <v>133</v>
      </c>
      <c r="AH135" t="s">
        <v>133</v>
      </c>
      <c r="AI135" s="1">
        <v>3.18</v>
      </c>
      <c r="AJ135" s="1">
        <v>24.39</v>
      </c>
      <c r="AK135" s="1" t="s">
        <v>96</v>
      </c>
      <c r="AL135" s="1" t="s">
        <v>96</v>
      </c>
      <c r="AM135" s="1" t="s">
        <v>96</v>
      </c>
      <c r="AN135" s="1">
        <v>1.01</v>
      </c>
      <c r="AO135">
        <v>998.05</v>
      </c>
      <c r="AP135">
        <v>341.02</v>
      </c>
      <c r="AQ135" s="1" t="s">
        <v>96</v>
      </c>
      <c r="AR135" s="1">
        <v>3</v>
      </c>
      <c r="AS135">
        <v>320.8</v>
      </c>
      <c r="AT135">
        <v>15.85</v>
      </c>
      <c r="AU135" s="1" t="s">
        <v>96</v>
      </c>
      <c r="AV135" s="1" t="s">
        <v>96</v>
      </c>
      <c r="AW135">
        <v>13.15</v>
      </c>
      <c r="AX135" s="1" t="s">
        <v>96</v>
      </c>
      <c r="AY135">
        <v>476.43</v>
      </c>
      <c r="AZ135">
        <v>314.16000000000003</v>
      </c>
      <c r="BA135">
        <v>183.47</v>
      </c>
      <c r="BB135" s="1" t="s">
        <v>96</v>
      </c>
      <c r="BC135">
        <v>34.72</v>
      </c>
      <c r="BD135" s="1" t="s">
        <v>96</v>
      </c>
      <c r="BE135" s="1">
        <v>4.1500000000000004</v>
      </c>
      <c r="BF135">
        <v>2.73</v>
      </c>
      <c r="BG135" s="1">
        <v>4.8099999999999996</v>
      </c>
      <c r="BH135" s="1" t="s">
        <v>96</v>
      </c>
      <c r="BI135">
        <v>39.729999999999997</v>
      </c>
      <c r="BJ135">
        <v>25.39</v>
      </c>
      <c r="BK135" s="1" t="s">
        <v>96</v>
      </c>
      <c r="BL135" s="1" t="s">
        <v>96</v>
      </c>
      <c r="BM135" t="s">
        <v>96</v>
      </c>
      <c r="BN135">
        <v>4.79</v>
      </c>
      <c r="BO135">
        <v>59.17</v>
      </c>
      <c r="BP135">
        <v>39.19</v>
      </c>
      <c r="BQ135" s="1" t="s">
        <v>96</v>
      </c>
      <c r="BR135" s="1" t="s">
        <v>96</v>
      </c>
      <c r="BS135" s="1">
        <v>15.62</v>
      </c>
      <c r="BT135" s="1">
        <v>4.6500000000000004</v>
      </c>
      <c r="BU135" s="1">
        <v>15.57</v>
      </c>
      <c r="BV135">
        <v>14.6</v>
      </c>
      <c r="BW135" t="s">
        <v>96</v>
      </c>
      <c r="BX135" s="1" t="s">
        <v>96</v>
      </c>
      <c r="BY135">
        <v>336.11</v>
      </c>
      <c r="BZ135">
        <v>8.02</v>
      </c>
      <c r="CA135" s="1" t="s">
        <v>96</v>
      </c>
      <c r="CB135">
        <v>34.799999999999997</v>
      </c>
      <c r="CC135">
        <v>24.44</v>
      </c>
      <c r="CD135" s="1" t="s">
        <v>96</v>
      </c>
    </row>
    <row r="136" spans="1:82">
      <c r="A136">
        <v>186</v>
      </c>
      <c r="B136" t="s">
        <v>653</v>
      </c>
      <c r="D136" t="b">
        <v>1</v>
      </c>
      <c r="E136" t="s">
        <v>654</v>
      </c>
      <c r="F136">
        <v>277</v>
      </c>
      <c r="G136">
        <v>5</v>
      </c>
      <c r="J136" t="s">
        <v>655</v>
      </c>
      <c r="K136" t="s">
        <v>94</v>
      </c>
      <c r="L136" t="s">
        <v>95</v>
      </c>
      <c r="M136">
        <v>100</v>
      </c>
      <c r="N136" s="1" t="s">
        <v>96</v>
      </c>
      <c r="O136" s="1" t="s">
        <v>96</v>
      </c>
      <c r="P136">
        <v>26.37</v>
      </c>
      <c r="Q136" s="1" t="s">
        <v>96</v>
      </c>
      <c r="R136" s="1" t="s">
        <v>96</v>
      </c>
      <c r="S136" s="1">
        <v>7.23</v>
      </c>
      <c r="T136" s="1" t="s">
        <v>96</v>
      </c>
      <c r="U136" s="1" t="s">
        <v>96</v>
      </c>
      <c r="V136" s="1" t="s">
        <v>96</v>
      </c>
      <c r="W136" s="1" t="s">
        <v>96</v>
      </c>
      <c r="X136" s="1" t="s">
        <v>96</v>
      </c>
      <c r="Y136" s="1" t="s">
        <v>96</v>
      </c>
      <c r="Z136" t="s">
        <v>96</v>
      </c>
      <c r="AA136" s="1" t="s">
        <v>96</v>
      </c>
      <c r="AB136">
        <v>4.5999999999999996</v>
      </c>
      <c r="AC136">
        <v>36.54</v>
      </c>
      <c r="AD136">
        <v>50.79</v>
      </c>
      <c r="AE136" s="1" t="s">
        <v>96</v>
      </c>
      <c r="AF136">
        <v>35.71</v>
      </c>
      <c r="AG136">
        <v>683.84</v>
      </c>
      <c r="AH136">
        <v>70.319999999999993</v>
      </c>
      <c r="AI136" s="1">
        <v>5.9</v>
      </c>
      <c r="AJ136" s="1">
        <v>5.97</v>
      </c>
      <c r="AK136" s="1" t="s">
        <v>96</v>
      </c>
      <c r="AL136" s="1" t="s">
        <v>96</v>
      </c>
      <c r="AM136" s="1" t="s">
        <v>96</v>
      </c>
      <c r="AN136" s="1" t="s">
        <v>96</v>
      </c>
      <c r="AO136" t="s">
        <v>133</v>
      </c>
      <c r="AP136">
        <v>71.38</v>
      </c>
      <c r="AQ136" s="1" t="s">
        <v>96</v>
      </c>
      <c r="AR136" s="1">
        <v>4.99</v>
      </c>
      <c r="AS136">
        <v>21.66</v>
      </c>
      <c r="AT136">
        <v>2.91</v>
      </c>
      <c r="AU136" s="1" t="s">
        <v>96</v>
      </c>
      <c r="AV136" s="1" t="s">
        <v>96</v>
      </c>
      <c r="AW136">
        <v>33.53</v>
      </c>
      <c r="AX136" s="1" t="s">
        <v>96</v>
      </c>
      <c r="AY136">
        <v>434.91</v>
      </c>
      <c r="AZ136">
        <v>545.20000000000005</v>
      </c>
      <c r="BA136">
        <v>55.16</v>
      </c>
      <c r="BB136" s="1" t="s">
        <v>96</v>
      </c>
      <c r="BC136">
        <v>35.35</v>
      </c>
      <c r="BD136" s="1" t="s">
        <v>96</v>
      </c>
      <c r="BE136" s="1">
        <v>7.49</v>
      </c>
      <c r="BF136" t="s">
        <v>96</v>
      </c>
      <c r="BG136" s="1" t="s">
        <v>96</v>
      </c>
      <c r="BH136" s="1" t="s">
        <v>96</v>
      </c>
      <c r="BI136">
        <v>18.22</v>
      </c>
      <c r="BJ136">
        <v>22.86</v>
      </c>
      <c r="BK136" s="1" t="s">
        <v>96</v>
      </c>
      <c r="BL136" s="1" t="s">
        <v>96</v>
      </c>
      <c r="BM136" t="s">
        <v>96</v>
      </c>
      <c r="BN136">
        <v>2.5099999999999998</v>
      </c>
      <c r="BO136">
        <v>22.05</v>
      </c>
      <c r="BP136">
        <v>8.3000000000000007</v>
      </c>
      <c r="BQ136" s="1" t="s">
        <v>96</v>
      </c>
      <c r="BR136" s="1" t="s">
        <v>96</v>
      </c>
      <c r="BS136" s="1">
        <v>5.42</v>
      </c>
      <c r="BT136" s="1" t="s">
        <v>96</v>
      </c>
      <c r="BU136" s="1">
        <v>12.5</v>
      </c>
      <c r="BV136">
        <v>10.039999999999999</v>
      </c>
      <c r="BW136" t="s">
        <v>96</v>
      </c>
      <c r="BX136" s="1" t="s">
        <v>96</v>
      </c>
      <c r="BY136">
        <v>311.79000000000002</v>
      </c>
      <c r="BZ136">
        <v>5.71</v>
      </c>
      <c r="CA136" s="1" t="s">
        <v>96</v>
      </c>
      <c r="CB136">
        <v>5.76</v>
      </c>
      <c r="CC136">
        <v>52.3</v>
      </c>
      <c r="CD136" s="1" t="s">
        <v>96</v>
      </c>
    </row>
    <row r="137" spans="1:82">
      <c r="A137">
        <v>184</v>
      </c>
      <c r="B137" t="s">
        <v>647</v>
      </c>
      <c r="D137" t="b">
        <v>1</v>
      </c>
      <c r="E137" t="s">
        <v>648</v>
      </c>
      <c r="F137">
        <v>275</v>
      </c>
      <c r="G137">
        <v>5</v>
      </c>
      <c r="J137" t="s">
        <v>649</v>
      </c>
      <c r="K137" t="s">
        <v>94</v>
      </c>
      <c r="L137" t="s">
        <v>95</v>
      </c>
      <c r="M137">
        <v>100</v>
      </c>
      <c r="N137" s="1" t="s">
        <v>96</v>
      </c>
      <c r="O137" s="1" t="s">
        <v>96</v>
      </c>
      <c r="P137">
        <v>19.62</v>
      </c>
      <c r="Q137" s="1" t="s">
        <v>96</v>
      </c>
      <c r="R137" s="1">
        <v>11.19</v>
      </c>
      <c r="S137" s="1">
        <v>20.75</v>
      </c>
      <c r="T137" s="1" t="s">
        <v>96</v>
      </c>
      <c r="U137" s="1" t="s">
        <v>96</v>
      </c>
      <c r="V137" s="1" t="s">
        <v>96</v>
      </c>
      <c r="W137" s="1" t="s">
        <v>96</v>
      </c>
      <c r="X137" s="1" t="s">
        <v>96</v>
      </c>
      <c r="Y137" s="1" t="s">
        <v>96</v>
      </c>
      <c r="Z137">
        <v>1.06</v>
      </c>
      <c r="AA137" s="1" t="s">
        <v>96</v>
      </c>
      <c r="AB137">
        <v>1.22</v>
      </c>
      <c r="AC137">
        <v>53.9</v>
      </c>
      <c r="AD137">
        <v>24.76</v>
      </c>
      <c r="AE137" s="1" t="s">
        <v>96</v>
      </c>
      <c r="AF137">
        <v>94.62</v>
      </c>
      <c r="AG137">
        <v>792.09</v>
      </c>
      <c r="AH137">
        <v>139.36000000000001</v>
      </c>
      <c r="AI137" s="1">
        <v>5.28</v>
      </c>
      <c r="AJ137" s="1" t="s">
        <v>96</v>
      </c>
      <c r="AK137" s="1" t="s">
        <v>96</v>
      </c>
      <c r="AL137" s="1" t="s">
        <v>96</v>
      </c>
      <c r="AM137" s="1" t="s">
        <v>96</v>
      </c>
      <c r="AN137" s="1" t="s">
        <v>96</v>
      </c>
      <c r="AO137">
        <v>493.72</v>
      </c>
      <c r="AP137">
        <v>47.6</v>
      </c>
      <c r="AQ137" s="1" t="s">
        <v>96</v>
      </c>
      <c r="AR137" s="1">
        <v>1.31</v>
      </c>
      <c r="AS137">
        <v>29.48</v>
      </c>
      <c r="AT137">
        <v>1.73</v>
      </c>
      <c r="AU137" s="1" t="s">
        <v>96</v>
      </c>
      <c r="AV137" s="1" t="s">
        <v>96</v>
      </c>
      <c r="AW137">
        <v>20.05</v>
      </c>
      <c r="AX137" s="1" t="s">
        <v>96</v>
      </c>
      <c r="AY137">
        <v>2147.42</v>
      </c>
      <c r="AZ137">
        <v>1635.78</v>
      </c>
      <c r="BA137">
        <v>42.45</v>
      </c>
      <c r="BB137" s="1" t="s">
        <v>96</v>
      </c>
      <c r="BC137">
        <v>541.92999999999995</v>
      </c>
      <c r="BD137" s="1" t="s">
        <v>96</v>
      </c>
      <c r="BE137" s="1">
        <v>10.86</v>
      </c>
      <c r="BF137">
        <v>15.04</v>
      </c>
      <c r="BG137" s="1" t="s">
        <v>96</v>
      </c>
      <c r="BH137" s="1" t="s">
        <v>96</v>
      </c>
      <c r="BI137">
        <v>113.68</v>
      </c>
      <c r="BJ137">
        <v>99.85</v>
      </c>
      <c r="BK137" s="1" t="s">
        <v>96</v>
      </c>
      <c r="BL137" s="1" t="s">
        <v>96</v>
      </c>
      <c r="BM137" t="s">
        <v>96</v>
      </c>
      <c r="BN137">
        <v>39.74</v>
      </c>
      <c r="BO137">
        <v>107.56</v>
      </c>
      <c r="BP137">
        <v>14.75</v>
      </c>
      <c r="BQ137" s="1" t="s">
        <v>96</v>
      </c>
      <c r="BR137" s="1" t="s">
        <v>96</v>
      </c>
      <c r="BS137" s="1" t="s">
        <v>96</v>
      </c>
      <c r="BT137" s="1" t="s">
        <v>96</v>
      </c>
      <c r="BU137" s="1">
        <v>38.880000000000003</v>
      </c>
      <c r="BV137">
        <v>83.65</v>
      </c>
      <c r="BW137">
        <v>5.59</v>
      </c>
      <c r="BX137" s="1" t="s">
        <v>96</v>
      </c>
      <c r="BY137">
        <v>1575.59</v>
      </c>
      <c r="BZ137">
        <v>20.09</v>
      </c>
      <c r="CA137" s="1" t="s">
        <v>96</v>
      </c>
      <c r="CB137">
        <v>9.8699999999999992</v>
      </c>
      <c r="CC137">
        <v>204.77</v>
      </c>
      <c r="CD137" s="1" t="s">
        <v>96</v>
      </c>
    </row>
    <row r="138" spans="1:82">
      <c r="A138">
        <v>141</v>
      </c>
      <c r="B138" t="s">
        <v>518</v>
      </c>
      <c r="D138" t="b">
        <v>1</v>
      </c>
      <c r="E138" t="s">
        <v>519</v>
      </c>
      <c r="F138">
        <v>32</v>
      </c>
      <c r="G138">
        <v>4</v>
      </c>
      <c r="J138" t="s">
        <v>520</v>
      </c>
      <c r="K138" t="s">
        <v>94</v>
      </c>
      <c r="L138" t="s">
        <v>95</v>
      </c>
      <c r="M138">
        <v>100</v>
      </c>
      <c r="N138" s="1" t="s">
        <v>96</v>
      </c>
      <c r="O138" s="1" t="s">
        <v>96</v>
      </c>
      <c r="P138">
        <v>14.25</v>
      </c>
      <c r="Q138" s="1" t="s">
        <v>96</v>
      </c>
      <c r="R138" s="1" t="s">
        <v>96</v>
      </c>
      <c r="S138" s="1">
        <v>25.76</v>
      </c>
      <c r="T138" s="1" t="s">
        <v>96</v>
      </c>
      <c r="U138" s="1" t="s">
        <v>96</v>
      </c>
      <c r="V138" s="1" t="s">
        <v>96</v>
      </c>
      <c r="W138" s="1" t="s">
        <v>96</v>
      </c>
      <c r="X138" s="1" t="s">
        <v>96</v>
      </c>
      <c r="Y138" s="1" t="s">
        <v>96</v>
      </c>
      <c r="Z138" t="s">
        <v>96</v>
      </c>
      <c r="AA138" s="1" t="s">
        <v>96</v>
      </c>
      <c r="AB138">
        <v>4.47</v>
      </c>
      <c r="AC138">
        <v>10.97</v>
      </c>
      <c r="AD138">
        <v>190.65</v>
      </c>
      <c r="AE138" s="1" t="s">
        <v>96</v>
      </c>
      <c r="AF138">
        <v>43.28</v>
      </c>
      <c r="AG138">
        <v>222.54</v>
      </c>
      <c r="AH138">
        <v>84.51</v>
      </c>
      <c r="AI138" s="1">
        <v>7.59</v>
      </c>
      <c r="AJ138" s="1" t="s">
        <v>96</v>
      </c>
      <c r="AK138" s="1" t="s">
        <v>96</v>
      </c>
      <c r="AL138" s="1" t="s">
        <v>96</v>
      </c>
      <c r="AM138" s="1" t="s">
        <v>96</v>
      </c>
      <c r="AN138" s="1" t="s">
        <v>96</v>
      </c>
      <c r="AO138">
        <v>335.63</v>
      </c>
      <c r="AP138">
        <v>52.44</v>
      </c>
      <c r="AQ138" s="1" t="s">
        <v>96</v>
      </c>
      <c r="AR138" s="1" t="s">
        <v>96</v>
      </c>
      <c r="AS138">
        <v>46.94</v>
      </c>
      <c r="AT138">
        <v>12.72</v>
      </c>
      <c r="AU138" s="1" t="s">
        <v>96</v>
      </c>
      <c r="AV138" s="1" t="s">
        <v>96</v>
      </c>
      <c r="AW138">
        <v>46.45</v>
      </c>
      <c r="AX138" s="1" t="s">
        <v>96</v>
      </c>
      <c r="AY138">
        <v>957.27</v>
      </c>
      <c r="AZ138">
        <v>329.86</v>
      </c>
      <c r="BA138">
        <v>71.760000000000005</v>
      </c>
      <c r="BB138" s="1" t="s">
        <v>96</v>
      </c>
      <c r="BC138">
        <v>181.93</v>
      </c>
      <c r="BD138" s="1" t="s">
        <v>96</v>
      </c>
      <c r="BE138" s="1">
        <v>2.99</v>
      </c>
      <c r="BF138">
        <v>8.7200000000000006</v>
      </c>
      <c r="BG138" s="1" t="s">
        <v>96</v>
      </c>
      <c r="BH138" s="1" t="s">
        <v>96</v>
      </c>
      <c r="BI138">
        <v>20.57</v>
      </c>
      <c r="BJ138">
        <v>7.73</v>
      </c>
      <c r="BK138" s="1" t="s">
        <v>96</v>
      </c>
      <c r="BL138" s="1" t="s">
        <v>96</v>
      </c>
      <c r="BM138" t="s">
        <v>96</v>
      </c>
      <c r="BN138">
        <v>5.22</v>
      </c>
      <c r="BO138">
        <v>18.600000000000001</v>
      </c>
      <c r="BP138">
        <v>13.98</v>
      </c>
      <c r="BQ138" s="1" t="s">
        <v>96</v>
      </c>
      <c r="BR138" s="1" t="s">
        <v>96</v>
      </c>
      <c r="BS138" s="1" t="s">
        <v>96</v>
      </c>
      <c r="BT138" s="1" t="s">
        <v>96</v>
      </c>
      <c r="BU138" s="1">
        <v>10.06</v>
      </c>
      <c r="BV138">
        <v>21.8</v>
      </c>
      <c r="BW138" t="s">
        <v>96</v>
      </c>
      <c r="BX138" s="1" t="s">
        <v>96</v>
      </c>
      <c r="BY138">
        <v>498.29</v>
      </c>
      <c r="BZ138" t="s">
        <v>96</v>
      </c>
      <c r="CA138" s="1" t="s">
        <v>96</v>
      </c>
      <c r="CB138">
        <v>8.32</v>
      </c>
      <c r="CC138">
        <v>15.93</v>
      </c>
      <c r="CD138" s="1" t="s">
        <v>96</v>
      </c>
    </row>
    <row r="139" spans="1:82">
      <c r="A139">
        <v>145</v>
      </c>
      <c r="B139" t="s">
        <v>530</v>
      </c>
      <c r="D139" t="b">
        <v>1</v>
      </c>
      <c r="E139" t="s">
        <v>531</v>
      </c>
      <c r="F139">
        <v>36</v>
      </c>
      <c r="G139">
        <v>4</v>
      </c>
      <c r="J139" t="s">
        <v>532</v>
      </c>
      <c r="K139" t="s">
        <v>94</v>
      </c>
      <c r="L139" t="s">
        <v>95</v>
      </c>
      <c r="M139">
        <v>100</v>
      </c>
      <c r="N139" s="1" t="s">
        <v>96</v>
      </c>
      <c r="O139" s="1" t="s">
        <v>96</v>
      </c>
      <c r="P139">
        <v>25.95</v>
      </c>
      <c r="Q139" s="1" t="s">
        <v>96</v>
      </c>
      <c r="R139" s="1">
        <v>12.46</v>
      </c>
      <c r="S139" s="1">
        <v>5.71</v>
      </c>
      <c r="T139" s="1" t="s">
        <v>96</v>
      </c>
      <c r="U139" s="1" t="s">
        <v>96</v>
      </c>
      <c r="V139" s="1" t="s">
        <v>96</v>
      </c>
      <c r="W139" s="1" t="s">
        <v>96</v>
      </c>
      <c r="X139" s="1">
        <v>2.59</v>
      </c>
      <c r="Y139" s="1" t="s">
        <v>96</v>
      </c>
      <c r="Z139">
        <v>2.48</v>
      </c>
      <c r="AA139" s="1" t="s">
        <v>96</v>
      </c>
      <c r="AB139">
        <v>12.98</v>
      </c>
      <c r="AC139">
        <v>70.3</v>
      </c>
      <c r="AD139">
        <v>245.82</v>
      </c>
      <c r="AE139" s="1" t="s">
        <v>96</v>
      </c>
      <c r="AF139">
        <v>39.24</v>
      </c>
      <c r="AG139">
        <v>704.49</v>
      </c>
      <c r="AH139">
        <v>176.21</v>
      </c>
      <c r="AI139" s="1" t="s">
        <v>96</v>
      </c>
      <c r="AJ139" s="1" t="s">
        <v>96</v>
      </c>
      <c r="AK139" s="1" t="s">
        <v>96</v>
      </c>
      <c r="AL139" s="1" t="s">
        <v>96</v>
      </c>
      <c r="AM139" s="1" t="s">
        <v>96</v>
      </c>
      <c r="AN139" s="1">
        <v>1.1200000000000001</v>
      </c>
      <c r="AO139">
        <v>38</v>
      </c>
      <c r="AP139">
        <v>119.5</v>
      </c>
      <c r="AQ139" s="1" t="s">
        <v>96</v>
      </c>
      <c r="AR139" s="1" t="s">
        <v>96</v>
      </c>
      <c r="AS139">
        <v>61.9</v>
      </c>
      <c r="AT139">
        <v>4.74</v>
      </c>
      <c r="AU139" s="1" t="s">
        <v>96</v>
      </c>
      <c r="AV139" s="1" t="s">
        <v>96</v>
      </c>
      <c r="AW139">
        <v>70.83</v>
      </c>
      <c r="AX139" s="1" t="s">
        <v>96</v>
      </c>
      <c r="AY139" t="s">
        <v>133</v>
      </c>
      <c r="AZ139" t="s">
        <v>133</v>
      </c>
      <c r="BA139">
        <v>841.5</v>
      </c>
      <c r="BB139" s="1" t="s">
        <v>96</v>
      </c>
      <c r="BC139" t="s">
        <v>133</v>
      </c>
      <c r="BD139" s="1" t="s">
        <v>96</v>
      </c>
      <c r="BE139" s="1">
        <v>18.82</v>
      </c>
      <c r="BF139">
        <v>17.850000000000001</v>
      </c>
      <c r="BG139" s="1">
        <v>46.58</v>
      </c>
      <c r="BH139" s="1" t="s">
        <v>96</v>
      </c>
      <c r="BI139">
        <v>714.03</v>
      </c>
      <c r="BJ139">
        <v>462.89</v>
      </c>
      <c r="BK139" s="1" t="s">
        <v>96</v>
      </c>
      <c r="BL139" s="1" t="s">
        <v>96</v>
      </c>
      <c r="BM139">
        <v>3.3</v>
      </c>
      <c r="BN139">
        <v>676.54</v>
      </c>
      <c r="BO139">
        <v>31.08</v>
      </c>
      <c r="BP139">
        <v>3.68</v>
      </c>
      <c r="BQ139" s="1" t="s">
        <v>96</v>
      </c>
      <c r="BR139" s="1" t="s">
        <v>96</v>
      </c>
      <c r="BS139" s="1" t="s">
        <v>96</v>
      </c>
      <c r="BT139" s="1" t="s">
        <v>96</v>
      </c>
      <c r="BU139" s="1">
        <v>13.42</v>
      </c>
      <c r="BV139">
        <v>112.69</v>
      </c>
      <c r="BW139">
        <v>5.65</v>
      </c>
      <c r="BX139" s="1" t="s">
        <v>96</v>
      </c>
      <c r="BY139">
        <v>437.23</v>
      </c>
      <c r="BZ139">
        <v>14.58</v>
      </c>
      <c r="CA139" s="1" t="s">
        <v>96</v>
      </c>
      <c r="CB139">
        <v>54.14</v>
      </c>
      <c r="CC139">
        <v>196.88</v>
      </c>
      <c r="CD139" s="1" t="s">
        <v>96</v>
      </c>
    </row>
    <row r="140" spans="1:82">
      <c r="A140">
        <v>55</v>
      </c>
      <c r="B140" t="s">
        <v>260</v>
      </c>
      <c r="D140" t="b">
        <v>1</v>
      </c>
      <c r="E140" t="s">
        <v>261</v>
      </c>
      <c r="F140">
        <v>84</v>
      </c>
      <c r="G140">
        <v>2</v>
      </c>
      <c r="J140" t="s">
        <v>262</v>
      </c>
      <c r="K140" t="s">
        <v>94</v>
      </c>
      <c r="L140" t="s">
        <v>95</v>
      </c>
      <c r="M140">
        <v>100</v>
      </c>
      <c r="N140" s="1" t="s">
        <v>96</v>
      </c>
      <c r="O140" s="1" t="s">
        <v>96</v>
      </c>
      <c r="P140">
        <v>4.8</v>
      </c>
      <c r="Q140" s="1" t="s">
        <v>96</v>
      </c>
      <c r="R140" s="1" t="s">
        <v>96</v>
      </c>
      <c r="S140" s="1">
        <v>5.84</v>
      </c>
      <c r="T140" s="1" t="s">
        <v>96</v>
      </c>
      <c r="U140" s="1" t="s">
        <v>96</v>
      </c>
      <c r="V140" s="1" t="s">
        <v>96</v>
      </c>
      <c r="W140" s="1" t="s">
        <v>96</v>
      </c>
      <c r="X140" s="1" t="s">
        <v>96</v>
      </c>
      <c r="Y140" s="1" t="s">
        <v>96</v>
      </c>
      <c r="Z140">
        <v>1.56</v>
      </c>
      <c r="AA140" s="1" t="s">
        <v>96</v>
      </c>
      <c r="AB140">
        <v>1.86</v>
      </c>
      <c r="AC140">
        <v>15.63</v>
      </c>
      <c r="AD140">
        <v>34.74</v>
      </c>
      <c r="AE140" s="1" t="s">
        <v>96</v>
      </c>
      <c r="AF140">
        <v>40.159999999999997</v>
      </c>
      <c r="AG140">
        <v>245.24</v>
      </c>
      <c r="AH140">
        <v>135.12</v>
      </c>
      <c r="AI140" s="1" t="s">
        <v>96</v>
      </c>
      <c r="AJ140" s="1" t="s">
        <v>96</v>
      </c>
      <c r="AK140" s="1" t="s">
        <v>96</v>
      </c>
      <c r="AL140" s="1" t="s">
        <v>96</v>
      </c>
      <c r="AM140" s="1" t="s">
        <v>96</v>
      </c>
      <c r="AN140" s="1" t="s">
        <v>96</v>
      </c>
      <c r="AO140" t="s">
        <v>96</v>
      </c>
      <c r="AP140">
        <v>29.82</v>
      </c>
      <c r="AQ140" s="1" t="s">
        <v>96</v>
      </c>
      <c r="AR140" s="1" t="s">
        <v>96</v>
      </c>
      <c r="AS140">
        <v>26.34</v>
      </c>
      <c r="AT140">
        <v>1.21</v>
      </c>
      <c r="AU140" s="1" t="s">
        <v>96</v>
      </c>
      <c r="AV140" s="1" t="s">
        <v>96</v>
      </c>
      <c r="AW140">
        <v>5.6</v>
      </c>
      <c r="AX140" s="1" t="s">
        <v>96</v>
      </c>
      <c r="AY140">
        <v>1165.78</v>
      </c>
      <c r="AZ140">
        <v>201.57</v>
      </c>
      <c r="BA140">
        <v>13.52</v>
      </c>
      <c r="BB140" s="1" t="s">
        <v>96</v>
      </c>
      <c r="BC140">
        <v>221.28</v>
      </c>
      <c r="BD140" s="1" t="s">
        <v>96</v>
      </c>
      <c r="BE140" s="1" t="s">
        <v>96</v>
      </c>
      <c r="BF140" t="s">
        <v>96</v>
      </c>
      <c r="BG140" s="1" t="s">
        <v>96</v>
      </c>
      <c r="BH140" s="1" t="s">
        <v>96</v>
      </c>
      <c r="BI140">
        <v>21.55</v>
      </c>
      <c r="BJ140">
        <v>5.4</v>
      </c>
      <c r="BK140" s="1" t="s">
        <v>96</v>
      </c>
      <c r="BL140" s="1" t="s">
        <v>96</v>
      </c>
      <c r="BM140" t="s">
        <v>96</v>
      </c>
      <c r="BN140">
        <v>6.26</v>
      </c>
      <c r="BO140">
        <v>14.37</v>
      </c>
      <c r="BP140">
        <v>4.01</v>
      </c>
      <c r="BQ140" s="1" t="s">
        <v>96</v>
      </c>
      <c r="BR140" s="1" t="s">
        <v>96</v>
      </c>
      <c r="BS140" s="1" t="s">
        <v>96</v>
      </c>
      <c r="BT140" s="1" t="s">
        <v>96</v>
      </c>
      <c r="BU140" s="1">
        <v>21.16</v>
      </c>
      <c r="BV140">
        <v>236.33</v>
      </c>
      <c r="BW140" t="s">
        <v>96</v>
      </c>
      <c r="BX140" s="1" t="s">
        <v>96</v>
      </c>
      <c r="BY140">
        <v>677.69</v>
      </c>
      <c r="BZ140" t="s">
        <v>96</v>
      </c>
      <c r="CA140" s="1" t="s">
        <v>96</v>
      </c>
      <c r="CB140">
        <v>22.03</v>
      </c>
      <c r="CC140">
        <v>93.68</v>
      </c>
      <c r="CD140" s="1" t="s">
        <v>96</v>
      </c>
    </row>
    <row r="141" spans="1:82">
      <c r="A141">
        <v>233</v>
      </c>
      <c r="B141" t="s">
        <v>794</v>
      </c>
      <c r="D141" t="b">
        <v>1</v>
      </c>
      <c r="E141" t="s">
        <v>795</v>
      </c>
      <c r="F141">
        <v>346</v>
      </c>
      <c r="G141">
        <v>6</v>
      </c>
      <c r="J141" t="s">
        <v>796</v>
      </c>
      <c r="K141" t="s">
        <v>94</v>
      </c>
      <c r="L141" t="s">
        <v>95</v>
      </c>
      <c r="M141">
        <v>100</v>
      </c>
      <c r="N141" s="1" t="s">
        <v>96</v>
      </c>
      <c r="O141" s="1" t="s">
        <v>96</v>
      </c>
      <c r="P141">
        <v>22.38</v>
      </c>
      <c r="Q141" s="1" t="s">
        <v>96</v>
      </c>
      <c r="R141" s="1" t="s">
        <v>96</v>
      </c>
      <c r="S141" s="1">
        <v>6.58</v>
      </c>
      <c r="T141" s="1" t="s">
        <v>96</v>
      </c>
      <c r="U141" s="1" t="s">
        <v>96</v>
      </c>
      <c r="V141" s="1" t="s">
        <v>96</v>
      </c>
      <c r="W141" s="1" t="s">
        <v>96</v>
      </c>
      <c r="X141" s="1" t="s">
        <v>96</v>
      </c>
      <c r="Y141" s="1" t="s">
        <v>96</v>
      </c>
      <c r="Z141" t="s">
        <v>96</v>
      </c>
      <c r="AA141" s="1" t="s">
        <v>96</v>
      </c>
      <c r="AB141">
        <v>1.73</v>
      </c>
      <c r="AC141">
        <v>7.91</v>
      </c>
      <c r="AD141">
        <v>63.47</v>
      </c>
      <c r="AE141" s="1" t="s">
        <v>96</v>
      </c>
      <c r="AF141">
        <v>33.6</v>
      </c>
      <c r="AG141">
        <v>99.87</v>
      </c>
      <c r="AH141">
        <v>38.229999999999997</v>
      </c>
      <c r="AI141" s="1" t="s">
        <v>96</v>
      </c>
      <c r="AJ141" s="1">
        <v>12.7</v>
      </c>
      <c r="AK141" s="1" t="s">
        <v>96</v>
      </c>
      <c r="AL141" s="1" t="s">
        <v>96</v>
      </c>
      <c r="AM141" s="1" t="s">
        <v>96</v>
      </c>
      <c r="AN141" s="1" t="s">
        <v>96</v>
      </c>
      <c r="AO141">
        <v>44.2</v>
      </c>
      <c r="AP141">
        <v>12.43</v>
      </c>
      <c r="AQ141" s="1" t="s">
        <v>96</v>
      </c>
      <c r="AR141" s="1" t="s">
        <v>96</v>
      </c>
      <c r="AS141">
        <v>39.979999999999997</v>
      </c>
      <c r="AT141">
        <v>4.74</v>
      </c>
      <c r="AU141" s="1" t="s">
        <v>96</v>
      </c>
      <c r="AV141" s="1" t="s">
        <v>96</v>
      </c>
      <c r="AW141">
        <v>11.83</v>
      </c>
      <c r="AX141" s="1" t="s">
        <v>96</v>
      </c>
      <c r="AY141">
        <v>701.15</v>
      </c>
      <c r="AZ141">
        <v>135.55000000000001</v>
      </c>
      <c r="BA141">
        <v>42.7</v>
      </c>
      <c r="BB141" s="1" t="s">
        <v>96</v>
      </c>
      <c r="BC141">
        <v>118.31</v>
      </c>
      <c r="BD141" s="1" t="s">
        <v>96</v>
      </c>
      <c r="BE141" s="1" t="s">
        <v>96</v>
      </c>
      <c r="BF141">
        <v>8.06</v>
      </c>
      <c r="BG141" s="1" t="s">
        <v>96</v>
      </c>
      <c r="BH141" s="1" t="s">
        <v>96</v>
      </c>
      <c r="BI141">
        <v>13.49</v>
      </c>
      <c r="BJ141">
        <v>3.13</v>
      </c>
      <c r="BK141" s="1" t="s">
        <v>96</v>
      </c>
      <c r="BL141" s="1" t="s">
        <v>96</v>
      </c>
      <c r="BM141" t="s">
        <v>96</v>
      </c>
      <c r="BN141">
        <v>2.68</v>
      </c>
      <c r="BO141" t="s">
        <v>96</v>
      </c>
      <c r="BP141" t="s">
        <v>96</v>
      </c>
      <c r="BQ141" s="1" t="s">
        <v>96</v>
      </c>
      <c r="BR141" s="1" t="s">
        <v>96</v>
      </c>
      <c r="BS141" s="1" t="s">
        <v>96</v>
      </c>
      <c r="BT141" s="1" t="s">
        <v>96</v>
      </c>
      <c r="BU141" s="1" t="s">
        <v>96</v>
      </c>
      <c r="BV141">
        <v>26.51</v>
      </c>
      <c r="BW141" t="s">
        <v>96</v>
      </c>
      <c r="BX141" s="1" t="s">
        <v>96</v>
      </c>
      <c r="BY141">
        <v>110.22</v>
      </c>
      <c r="BZ141" t="s">
        <v>96</v>
      </c>
      <c r="CA141" s="1" t="s">
        <v>96</v>
      </c>
      <c r="CB141" t="s">
        <v>96</v>
      </c>
      <c r="CC141">
        <v>13.03</v>
      </c>
      <c r="CD141" s="1" t="s">
        <v>96</v>
      </c>
    </row>
    <row r="142" spans="1:82">
      <c r="A142">
        <v>231</v>
      </c>
      <c r="B142" t="s">
        <v>788</v>
      </c>
      <c r="D142" t="b">
        <v>1</v>
      </c>
      <c r="E142" t="s">
        <v>789</v>
      </c>
      <c r="F142">
        <v>344</v>
      </c>
      <c r="G142">
        <v>6</v>
      </c>
      <c r="J142" t="s">
        <v>790</v>
      </c>
      <c r="K142" t="s">
        <v>94</v>
      </c>
      <c r="L142" t="s">
        <v>95</v>
      </c>
      <c r="M142">
        <v>100</v>
      </c>
      <c r="N142" s="1" t="s">
        <v>96</v>
      </c>
      <c r="O142" s="1" t="s">
        <v>96</v>
      </c>
      <c r="P142">
        <v>23.23</v>
      </c>
      <c r="Q142" s="1" t="s">
        <v>96</v>
      </c>
      <c r="R142" s="1" t="s">
        <v>96</v>
      </c>
      <c r="S142" s="1">
        <v>8.25</v>
      </c>
      <c r="T142" s="1" t="s">
        <v>96</v>
      </c>
      <c r="U142" s="1" t="s">
        <v>96</v>
      </c>
      <c r="V142" s="1" t="s">
        <v>96</v>
      </c>
      <c r="W142" s="1" t="s">
        <v>96</v>
      </c>
      <c r="X142" s="1" t="s">
        <v>96</v>
      </c>
      <c r="Y142" s="1" t="s">
        <v>96</v>
      </c>
      <c r="Z142">
        <v>1.3</v>
      </c>
      <c r="AA142" s="1" t="s">
        <v>96</v>
      </c>
      <c r="AB142">
        <v>9.42</v>
      </c>
      <c r="AC142">
        <v>15.09</v>
      </c>
      <c r="AD142">
        <v>272.27</v>
      </c>
      <c r="AE142" s="1" t="s">
        <v>96</v>
      </c>
      <c r="AF142">
        <v>33.549999999999997</v>
      </c>
      <c r="AG142">
        <v>240.78</v>
      </c>
      <c r="AH142">
        <v>135.87</v>
      </c>
      <c r="AI142" s="1" t="s">
        <v>96</v>
      </c>
      <c r="AJ142" s="1" t="s">
        <v>96</v>
      </c>
      <c r="AK142" s="1" t="s">
        <v>96</v>
      </c>
      <c r="AL142" s="1" t="s">
        <v>96</v>
      </c>
      <c r="AM142" s="1" t="s">
        <v>96</v>
      </c>
      <c r="AN142" s="1">
        <v>1.19</v>
      </c>
      <c r="AO142">
        <v>88.35</v>
      </c>
      <c r="AP142">
        <v>63.26</v>
      </c>
      <c r="AQ142" s="1">
        <v>1.71</v>
      </c>
      <c r="AR142" s="1" t="s">
        <v>96</v>
      </c>
      <c r="AS142">
        <v>47.97</v>
      </c>
      <c r="AT142">
        <v>12.02</v>
      </c>
      <c r="AU142" s="1" t="s">
        <v>96</v>
      </c>
      <c r="AV142" s="1" t="s">
        <v>96</v>
      </c>
      <c r="AW142">
        <v>12.66</v>
      </c>
      <c r="AX142" s="1" t="s">
        <v>96</v>
      </c>
      <c r="AY142">
        <v>1796.61</v>
      </c>
      <c r="AZ142">
        <v>350.54</v>
      </c>
      <c r="BA142">
        <v>250.15</v>
      </c>
      <c r="BB142" s="1" t="s">
        <v>96</v>
      </c>
      <c r="BC142">
        <v>328.47</v>
      </c>
      <c r="BD142" s="1" t="s">
        <v>96</v>
      </c>
      <c r="BE142" s="1" t="s">
        <v>96</v>
      </c>
      <c r="BF142">
        <v>21.14</v>
      </c>
      <c r="BG142" s="1">
        <v>6.4</v>
      </c>
      <c r="BH142" s="1" t="s">
        <v>96</v>
      </c>
      <c r="BI142">
        <v>85.36</v>
      </c>
      <c r="BJ142">
        <v>22.87</v>
      </c>
      <c r="BK142" s="1" t="s">
        <v>96</v>
      </c>
      <c r="BL142" s="1" t="s">
        <v>96</v>
      </c>
      <c r="BM142" t="s">
        <v>96</v>
      </c>
      <c r="BN142">
        <v>17.29</v>
      </c>
      <c r="BO142">
        <v>22.13</v>
      </c>
      <c r="BP142">
        <v>2.78</v>
      </c>
      <c r="BQ142" s="1" t="s">
        <v>96</v>
      </c>
      <c r="BR142" s="1" t="s">
        <v>96</v>
      </c>
      <c r="BS142" s="1" t="s">
        <v>96</v>
      </c>
      <c r="BT142" s="1" t="s">
        <v>96</v>
      </c>
      <c r="BU142" s="1">
        <v>19.28</v>
      </c>
      <c r="BV142">
        <v>129.99</v>
      </c>
      <c r="BW142">
        <v>9.49</v>
      </c>
      <c r="BX142" s="1" t="s">
        <v>96</v>
      </c>
      <c r="BY142">
        <v>258.73</v>
      </c>
      <c r="BZ142">
        <v>20.56</v>
      </c>
      <c r="CA142" s="1" t="s">
        <v>96</v>
      </c>
      <c r="CB142">
        <v>50.81</v>
      </c>
      <c r="CC142">
        <v>178.08</v>
      </c>
      <c r="CD142" s="1" t="s">
        <v>96</v>
      </c>
    </row>
    <row r="143" spans="1:82">
      <c r="A143">
        <v>10</v>
      </c>
      <c r="B143" t="s">
        <v>124</v>
      </c>
      <c r="D143" t="b">
        <v>1</v>
      </c>
      <c r="E143" t="s">
        <v>125</v>
      </c>
      <c r="F143">
        <v>199</v>
      </c>
      <c r="G143">
        <v>1</v>
      </c>
      <c r="J143" t="s">
        <v>126</v>
      </c>
      <c r="K143" t="s">
        <v>94</v>
      </c>
      <c r="L143" t="s">
        <v>95</v>
      </c>
      <c r="M143">
        <v>100</v>
      </c>
      <c r="N143" s="1" t="s">
        <v>96</v>
      </c>
      <c r="O143" s="1" t="s">
        <v>96</v>
      </c>
      <c r="P143">
        <v>14.85</v>
      </c>
      <c r="Q143" s="1" t="s">
        <v>96</v>
      </c>
      <c r="R143" s="1" t="s">
        <v>96</v>
      </c>
      <c r="S143" s="1" t="s">
        <v>96</v>
      </c>
      <c r="T143" s="1" t="s">
        <v>96</v>
      </c>
      <c r="U143" s="1" t="s">
        <v>96</v>
      </c>
      <c r="V143" s="1" t="s">
        <v>96</v>
      </c>
      <c r="W143" s="1" t="s">
        <v>96</v>
      </c>
      <c r="X143" s="1" t="s">
        <v>96</v>
      </c>
      <c r="Y143" s="1" t="s">
        <v>96</v>
      </c>
      <c r="Z143">
        <v>1.48</v>
      </c>
      <c r="AA143" s="1" t="s">
        <v>96</v>
      </c>
      <c r="AB143">
        <v>3.87</v>
      </c>
      <c r="AC143">
        <v>3.26</v>
      </c>
      <c r="AD143">
        <v>237.45</v>
      </c>
      <c r="AE143" s="1" t="s">
        <v>96</v>
      </c>
      <c r="AF143">
        <v>5.78</v>
      </c>
      <c r="AG143">
        <v>105.8</v>
      </c>
      <c r="AH143">
        <v>41.77</v>
      </c>
      <c r="AI143" s="1" t="s">
        <v>96</v>
      </c>
      <c r="AJ143" s="1" t="s">
        <v>96</v>
      </c>
      <c r="AK143" s="1" t="s">
        <v>96</v>
      </c>
      <c r="AL143" s="1" t="s">
        <v>96</v>
      </c>
      <c r="AM143" s="1" t="s">
        <v>96</v>
      </c>
      <c r="AN143" s="1">
        <v>1.22</v>
      </c>
      <c r="AO143">
        <v>106.08</v>
      </c>
      <c r="AP143">
        <v>44.1</v>
      </c>
      <c r="AQ143" s="1">
        <v>2.44</v>
      </c>
      <c r="AR143" s="1" t="s">
        <v>96</v>
      </c>
      <c r="AS143">
        <v>6.55</v>
      </c>
      <c r="AT143" t="s">
        <v>96</v>
      </c>
      <c r="AU143" s="1" t="s">
        <v>96</v>
      </c>
      <c r="AV143" s="1" t="s">
        <v>96</v>
      </c>
      <c r="AW143" t="s">
        <v>96</v>
      </c>
      <c r="AX143" s="1" t="s">
        <v>96</v>
      </c>
      <c r="AY143">
        <v>225.44</v>
      </c>
      <c r="AZ143">
        <v>44.32</v>
      </c>
      <c r="BA143">
        <v>56.14</v>
      </c>
      <c r="BB143" s="1" t="s">
        <v>96</v>
      </c>
      <c r="BC143">
        <v>90.78</v>
      </c>
      <c r="BD143" s="1" t="s">
        <v>96</v>
      </c>
      <c r="BE143" s="1" t="s">
        <v>96</v>
      </c>
      <c r="BF143">
        <v>3.32</v>
      </c>
      <c r="BG143" s="1" t="s">
        <v>96</v>
      </c>
      <c r="BH143" s="1" t="s">
        <v>96</v>
      </c>
      <c r="BI143">
        <v>17.86</v>
      </c>
      <c r="BJ143">
        <v>4.99</v>
      </c>
      <c r="BK143" s="1" t="s">
        <v>96</v>
      </c>
      <c r="BL143" s="1" t="s">
        <v>96</v>
      </c>
      <c r="BM143" t="s">
        <v>96</v>
      </c>
      <c r="BN143">
        <v>9.5399999999999991</v>
      </c>
      <c r="BO143">
        <v>18.5</v>
      </c>
      <c r="BP143" t="s">
        <v>96</v>
      </c>
      <c r="BQ143" s="1" t="s">
        <v>96</v>
      </c>
      <c r="BR143" s="1" t="s">
        <v>96</v>
      </c>
      <c r="BS143" s="1" t="s">
        <v>96</v>
      </c>
      <c r="BT143" s="1" t="s">
        <v>96</v>
      </c>
      <c r="BU143" s="1" t="s">
        <v>96</v>
      </c>
      <c r="BV143">
        <v>45.69</v>
      </c>
      <c r="BW143">
        <v>7.07</v>
      </c>
      <c r="BX143" s="1" t="s">
        <v>96</v>
      </c>
      <c r="BY143">
        <v>77.16</v>
      </c>
      <c r="BZ143">
        <v>9.68</v>
      </c>
      <c r="CA143" s="1" t="s">
        <v>96</v>
      </c>
      <c r="CB143">
        <v>55.38</v>
      </c>
      <c r="CC143">
        <v>50.34</v>
      </c>
      <c r="CD143" s="1" t="s">
        <v>96</v>
      </c>
    </row>
    <row r="144" spans="1:82">
      <c r="A144">
        <v>179</v>
      </c>
      <c r="B144" t="s">
        <v>632</v>
      </c>
      <c r="D144" t="b">
        <v>1</v>
      </c>
      <c r="E144" t="s">
        <v>633</v>
      </c>
      <c r="F144">
        <v>268</v>
      </c>
      <c r="G144">
        <v>5</v>
      </c>
      <c r="J144" t="s">
        <v>634</v>
      </c>
      <c r="K144" t="s">
        <v>94</v>
      </c>
      <c r="L144" t="s">
        <v>95</v>
      </c>
      <c r="M144">
        <v>100</v>
      </c>
      <c r="N144" s="1" t="s">
        <v>96</v>
      </c>
      <c r="O144" s="1" t="s">
        <v>96</v>
      </c>
      <c r="P144">
        <v>14.02</v>
      </c>
      <c r="Q144" s="1" t="s">
        <v>96</v>
      </c>
      <c r="R144" s="1" t="s">
        <v>96</v>
      </c>
      <c r="S144" s="1" t="s">
        <v>96</v>
      </c>
      <c r="T144" s="1" t="s">
        <v>96</v>
      </c>
      <c r="U144" s="1" t="s">
        <v>96</v>
      </c>
      <c r="V144" s="1" t="s">
        <v>96</v>
      </c>
      <c r="W144" s="1" t="s">
        <v>96</v>
      </c>
      <c r="X144" s="1" t="s">
        <v>96</v>
      </c>
      <c r="Y144" s="1" t="s">
        <v>96</v>
      </c>
      <c r="Z144">
        <v>1.01</v>
      </c>
      <c r="AA144" s="1" t="s">
        <v>96</v>
      </c>
      <c r="AB144">
        <v>19.649999999999999</v>
      </c>
      <c r="AC144">
        <v>4.38</v>
      </c>
      <c r="AD144">
        <v>33.56</v>
      </c>
      <c r="AE144" s="1" t="s">
        <v>96</v>
      </c>
      <c r="AF144" t="s">
        <v>96</v>
      </c>
      <c r="AG144">
        <v>170.85</v>
      </c>
      <c r="AH144">
        <v>393.15</v>
      </c>
      <c r="AI144" s="1" t="s">
        <v>96</v>
      </c>
      <c r="AJ144" s="1">
        <v>6.3</v>
      </c>
      <c r="AK144" s="1" t="s">
        <v>96</v>
      </c>
      <c r="AL144" s="1" t="s">
        <v>96</v>
      </c>
      <c r="AM144" s="1" t="s">
        <v>96</v>
      </c>
      <c r="AN144" s="1" t="s">
        <v>96</v>
      </c>
      <c r="AO144">
        <v>541.88</v>
      </c>
      <c r="AP144">
        <v>22.99</v>
      </c>
      <c r="AQ144" s="1" t="s">
        <v>96</v>
      </c>
      <c r="AR144" s="1">
        <v>1.59</v>
      </c>
      <c r="AS144">
        <v>296.49</v>
      </c>
      <c r="AT144">
        <v>5.34</v>
      </c>
      <c r="AU144" s="1" t="s">
        <v>96</v>
      </c>
      <c r="AV144" s="1" t="s">
        <v>96</v>
      </c>
      <c r="AW144">
        <v>2.91</v>
      </c>
      <c r="AX144" s="1" t="s">
        <v>96</v>
      </c>
      <c r="AY144">
        <v>628.49</v>
      </c>
      <c r="AZ144">
        <v>136.54</v>
      </c>
      <c r="BA144">
        <v>61.68</v>
      </c>
      <c r="BB144" s="1" t="s">
        <v>96</v>
      </c>
      <c r="BC144">
        <v>199.58</v>
      </c>
      <c r="BD144" s="1" t="s">
        <v>96</v>
      </c>
      <c r="BE144" s="1" t="s">
        <v>96</v>
      </c>
      <c r="BF144">
        <v>4.67</v>
      </c>
      <c r="BG144" s="1">
        <v>3.7</v>
      </c>
      <c r="BH144" s="1" t="s">
        <v>96</v>
      </c>
      <c r="BI144">
        <v>74.930000000000007</v>
      </c>
      <c r="BJ144">
        <v>16.37</v>
      </c>
      <c r="BK144" s="1" t="s">
        <v>96</v>
      </c>
      <c r="BL144" s="1" t="s">
        <v>96</v>
      </c>
      <c r="BM144" t="s">
        <v>96</v>
      </c>
      <c r="BN144">
        <v>24.92</v>
      </c>
      <c r="BO144">
        <v>99.79</v>
      </c>
      <c r="BP144">
        <v>21.1</v>
      </c>
      <c r="BQ144" s="1" t="s">
        <v>96</v>
      </c>
      <c r="BR144" s="1" t="s">
        <v>96</v>
      </c>
      <c r="BS144" s="1">
        <v>11.25</v>
      </c>
      <c r="BT144" s="1">
        <v>7.86</v>
      </c>
      <c r="BU144" s="1">
        <v>7.49</v>
      </c>
      <c r="BV144">
        <v>177.98</v>
      </c>
      <c r="BW144">
        <v>46.52</v>
      </c>
      <c r="BX144" s="1" t="s">
        <v>96</v>
      </c>
      <c r="BY144">
        <v>670.95</v>
      </c>
      <c r="BZ144">
        <v>24.77</v>
      </c>
      <c r="CA144" s="1" t="s">
        <v>96</v>
      </c>
      <c r="CB144">
        <v>75.599999999999994</v>
      </c>
      <c r="CC144">
        <v>107.53</v>
      </c>
      <c r="CD144" s="1" t="s">
        <v>96</v>
      </c>
    </row>
    <row r="145" spans="1:82">
      <c r="A145">
        <v>191</v>
      </c>
      <c r="B145" t="s">
        <v>668</v>
      </c>
      <c r="D145" t="b">
        <v>1</v>
      </c>
      <c r="E145" t="s">
        <v>669</v>
      </c>
      <c r="F145">
        <v>284</v>
      </c>
      <c r="G145">
        <v>5</v>
      </c>
      <c r="J145" t="s">
        <v>670</v>
      </c>
      <c r="K145" t="s">
        <v>94</v>
      </c>
      <c r="L145" t="s">
        <v>95</v>
      </c>
      <c r="M145">
        <v>100</v>
      </c>
      <c r="N145" s="1" t="s">
        <v>96</v>
      </c>
      <c r="O145" s="1" t="s">
        <v>96</v>
      </c>
      <c r="P145">
        <v>18.47</v>
      </c>
      <c r="Q145" s="1" t="s">
        <v>96</v>
      </c>
      <c r="R145" s="1" t="s">
        <v>96</v>
      </c>
      <c r="S145" s="1" t="s">
        <v>96</v>
      </c>
      <c r="T145" s="1" t="s">
        <v>96</v>
      </c>
      <c r="U145" s="1" t="s">
        <v>96</v>
      </c>
      <c r="V145" s="1" t="s">
        <v>96</v>
      </c>
      <c r="W145" s="1" t="s">
        <v>96</v>
      </c>
      <c r="X145" s="1" t="s">
        <v>96</v>
      </c>
      <c r="Y145" s="1" t="s">
        <v>96</v>
      </c>
      <c r="Z145" t="s">
        <v>96</v>
      </c>
      <c r="AA145" s="1" t="s">
        <v>96</v>
      </c>
      <c r="AB145" t="s">
        <v>96</v>
      </c>
      <c r="AC145">
        <v>2.34</v>
      </c>
      <c r="AD145">
        <v>45.64</v>
      </c>
      <c r="AE145" s="1" t="s">
        <v>96</v>
      </c>
      <c r="AF145">
        <v>8.34</v>
      </c>
      <c r="AG145">
        <v>46.21</v>
      </c>
      <c r="AH145">
        <v>18.39</v>
      </c>
      <c r="AI145" s="1" t="s">
        <v>96</v>
      </c>
      <c r="AJ145" s="1">
        <v>1.1599999999999999</v>
      </c>
      <c r="AK145" s="1" t="s">
        <v>96</v>
      </c>
      <c r="AL145" s="1" t="s">
        <v>96</v>
      </c>
      <c r="AM145" s="1" t="s">
        <v>96</v>
      </c>
      <c r="AN145" s="1" t="s">
        <v>96</v>
      </c>
      <c r="AO145" t="s">
        <v>96</v>
      </c>
      <c r="AP145">
        <v>6.5</v>
      </c>
      <c r="AQ145" s="1" t="s">
        <v>96</v>
      </c>
      <c r="AR145" s="1" t="s">
        <v>96</v>
      </c>
      <c r="AS145">
        <v>43.66</v>
      </c>
      <c r="AT145">
        <v>4.6399999999999997</v>
      </c>
      <c r="AU145" s="1" t="s">
        <v>96</v>
      </c>
      <c r="AV145" s="1" t="s">
        <v>96</v>
      </c>
      <c r="AW145" t="s">
        <v>96</v>
      </c>
      <c r="AX145" s="1" t="s">
        <v>96</v>
      </c>
      <c r="AY145">
        <v>640.95000000000005</v>
      </c>
      <c r="AZ145">
        <v>110.76</v>
      </c>
      <c r="BA145">
        <v>47.64</v>
      </c>
      <c r="BB145" s="1" t="s">
        <v>96</v>
      </c>
      <c r="BC145">
        <v>352.91</v>
      </c>
      <c r="BD145" s="1" t="s">
        <v>96</v>
      </c>
      <c r="BE145" s="1" t="s">
        <v>96</v>
      </c>
      <c r="BF145">
        <v>29.82</v>
      </c>
      <c r="BG145" s="1" t="s">
        <v>96</v>
      </c>
      <c r="BH145" s="1" t="s">
        <v>96</v>
      </c>
      <c r="BI145">
        <v>47.1</v>
      </c>
      <c r="BJ145">
        <v>10.14</v>
      </c>
      <c r="BK145" s="1" t="s">
        <v>96</v>
      </c>
      <c r="BL145" s="1">
        <v>3.78</v>
      </c>
      <c r="BM145" t="s">
        <v>96</v>
      </c>
      <c r="BN145">
        <v>22.98</v>
      </c>
      <c r="BO145">
        <v>39.1</v>
      </c>
      <c r="BP145">
        <v>2.54</v>
      </c>
      <c r="BQ145" s="1" t="s">
        <v>96</v>
      </c>
      <c r="BR145" s="1" t="s">
        <v>96</v>
      </c>
      <c r="BS145" s="1" t="s">
        <v>96</v>
      </c>
      <c r="BT145" s="1" t="s">
        <v>96</v>
      </c>
      <c r="BU145" s="1">
        <v>12.57</v>
      </c>
      <c r="BV145">
        <v>330.91</v>
      </c>
      <c r="BW145">
        <v>25.1</v>
      </c>
      <c r="BX145" s="1">
        <v>6.62</v>
      </c>
      <c r="BY145">
        <v>520.74</v>
      </c>
      <c r="BZ145">
        <v>26.79</v>
      </c>
      <c r="CA145" s="1" t="s">
        <v>96</v>
      </c>
      <c r="CB145">
        <v>47.5</v>
      </c>
      <c r="CC145">
        <v>185.27</v>
      </c>
      <c r="CD145" s="1" t="s">
        <v>96</v>
      </c>
    </row>
    <row r="146" spans="1:82">
      <c r="A146">
        <v>125</v>
      </c>
      <c r="B146" t="s">
        <v>470</v>
      </c>
      <c r="D146" t="b">
        <v>1</v>
      </c>
      <c r="E146" t="s">
        <v>471</v>
      </c>
      <c r="F146">
        <v>12</v>
      </c>
      <c r="G146">
        <v>4</v>
      </c>
      <c r="J146" t="s">
        <v>472</v>
      </c>
      <c r="K146" t="s">
        <v>94</v>
      </c>
      <c r="L146" t="s">
        <v>95</v>
      </c>
      <c r="M146">
        <v>100</v>
      </c>
      <c r="N146" s="1" t="s">
        <v>96</v>
      </c>
      <c r="O146" s="1" t="s">
        <v>96</v>
      </c>
      <c r="P146">
        <v>11.67</v>
      </c>
      <c r="Q146" s="1" t="s">
        <v>96</v>
      </c>
      <c r="R146" s="1" t="s">
        <v>96</v>
      </c>
      <c r="S146" s="1">
        <v>12.02</v>
      </c>
      <c r="T146" s="1" t="s">
        <v>96</v>
      </c>
      <c r="U146" s="1" t="s">
        <v>96</v>
      </c>
      <c r="V146" s="1" t="s">
        <v>96</v>
      </c>
      <c r="W146" s="1" t="s">
        <v>96</v>
      </c>
      <c r="X146" s="1" t="s">
        <v>96</v>
      </c>
      <c r="Y146" s="1" t="s">
        <v>96</v>
      </c>
      <c r="Z146">
        <v>1.06</v>
      </c>
      <c r="AA146" s="1" t="s">
        <v>96</v>
      </c>
      <c r="AB146">
        <v>4.28</v>
      </c>
      <c r="AC146">
        <v>17.899999999999999</v>
      </c>
      <c r="AD146">
        <v>244.35</v>
      </c>
      <c r="AE146" s="1" t="s">
        <v>96</v>
      </c>
      <c r="AF146">
        <v>84.2</v>
      </c>
      <c r="AG146">
        <v>834.8</v>
      </c>
      <c r="AH146">
        <v>227.59</v>
      </c>
      <c r="AI146" s="1">
        <v>5.56</v>
      </c>
      <c r="AJ146" s="1">
        <v>7.68</v>
      </c>
      <c r="AK146" s="1" t="s">
        <v>96</v>
      </c>
      <c r="AL146" s="1" t="s">
        <v>96</v>
      </c>
      <c r="AM146" s="1" t="s">
        <v>96</v>
      </c>
      <c r="AN146" s="1">
        <v>1.31</v>
      </c>
      <c r="AO146">
        <v>369.49</v>
      </c>
      <c r="AP146">
        <v>70.69</v>
      </c>
      <c r="AQ146" s="1">
        <v>1.83</v>
      </c>
      <c r="AR146" s="1">
        <v>3.59</v>
      </c>
      <c r="AS146">
        <v>41.4</v>
      </c>
      <c r="AT146">
        <v>2.3199999999999998</v>
      </c>
      <c r="AU146" s="1" t="s">
        <v>96</v>
      </c>
      <c r="AV146" s="1" t="s">
        <v>96</v>
      </c>
      <c r="AW146">
        <v>13.16</v>
      </c>
      <c r="AX146" s="1">
        <v>2.67</v>
      </c>
      <c r="AY146">
        <v>917.41</v>
      </c>
      <c r="AZ146">
        <v>721.21</v>
      </c>
      <c r="BA146">
        <v>93.93</v>
      </c>
      <c r="BB146" s="1" t="s">
        <v>96</v>
      </c>
      <c r="BC146">
        <v>224.2</v>
      </c>
      <c r="BD146" s="1" t="s">
        <v>96</v>
      </c>
      <c r="BE146" s="1">
        <v>9.7200000000000006</v>
      </c>
      <c r="BF146">
        <v>6.87</v>
      </c>
      <c r="BG146" s="1">
        <v>6.01</v>
      </c>
      <c r="BH146" s="1" t="s">
        <v>96</v>
      </c>
      <c r="BI146">
        <v>112.97</v>
      </c>
      <c r="BJ146">
        <v>126.67</v>
      </c>
      <c r="BK146" s="1" t="s">
        <v>96</v>
      </c>
      <c r="BL146" s="1" t="s">
        <v>96</v>
      </c>
      <c r="BM146" t="s">
        <v>96</v>
      </c>
      <c r="BN146">
        <v>63.75</v>
      </c>
      <c r="BO146">
        <v>177.76</v>
      </c>
      <c r="BP146">
        <v>8.6999999999999993</v>
      </c>
      <c r="BQ146" s="1" t="s">
        <v>96</v>
      </c>
      <c r="BR146" s="1" t="s">
        <v>96</v>
      </c>
      <c r="BS146" s="1" t="s">
        <v>96</v>
      </c>
      <c r="BT146" s="1" t="s">
        <v>96</v>
      </c>
      <c r="BU146" s="1">
        <v>51.81</v>
      </c>
      <c r="BV146">
        <v>68.11</v>
      </c>
      <c r="BW146">
        <v>11.1</v>
      </c>
      <c r="BX146" s="1" t="s">
        <v>96</v>
      </c>
      <c r="BY146">
        <v>970.93</v>
      </c>
      <c r="BZ146">
        <v>36.67</v>
      </c>
      <c r="CA146" s="1">
        <v>15.6</v>
      </c>
      <c r="CB146">
        <v>41.59</v>
      </c>
      <c r="CC146">
        <v>164.18</v>
      </c>
      <c r="CD146" s="1" t="s">
        <v>96</v>
      </c>
    </row>
    <row r="147" spans="1:82">
      <c r="A147">
        <v>213</v>
      </c>
      <c r="B147" t="s">
        <v>734</v>
      </c>
      <c r="D147" t="b">
        <v>1</v>
      </c>
      <c r="E147" t="s">
        <v>735</v>
      </c>
      <c r="F147">
        <v>322</v>
      </c>
      <c r="G147">
        <v>6</v>
      </c>
      <c r="J147" t="s">
        <v>736</v>
      </c>
      <c r="K147" t="s">
        <v>94</v>
      </c>
      <c r="L147" t="s">
        <v>95</v>
      </c>
      <c r="M147">
        <v>100</v>
      </c>
      <c r="N147" s="1" t="s">
        <v>96</v>
      </c>
      <c r="O147" s="1" t="s">
        <v>96</v>
      </c>
      <c r="P147">
        <v>12.42</v>
      </c>
      <c r="Q147" s="1" t="s">
        <v>96</v>
      </c>
      <c r="R147" s="1" t="s">
        <v>96</v>
      </c>
      <c r="S147" s="1" t="s">
        <v>96</v>
      </c>
      <c r="T147" s="1" t="s">
        <v>96</v>
      </c>
      <c r="U147" s="1" t="s">
        <v>96</v>
      </c>
      <c r="V147" s="1" t="s">
        <v>96</v>
      </c>
      <c r="W147" s="1" t="s">
        <v>96</v>
      </c>
      <c r="X147" s="1" t="s">
        <v>96</v>
      </c>
      <c r="Y147" s="1" t="s">
        <v>96</v>
      </c>
      <c r="Z147" t="s">
        <v>96</v>
      </c>
      <c r="AA147" s="1" t="s">
        <v>96</v>
      </c>
      <c r="AB147" t="s">
        <v>96</v>
      </c>
      <c r="AC147">
        <v>7.92</v>
      </c>
      <c r="AD147">
        <v>28.9</v>
      </c>
      <c r="AE147" s="1" t="s">
        <v>96</v>
      </c>
      <c r="AF147">
        <v>8.4700000000000006</v>
      </c>
      <c r="AG147">
        <v>174.61</v>
      </c>
      <c r="AH147">
        <v>13.17</v>
      </c>
      <c r="AI147" s="1">
        <v>2.76</v>
      </c>
      <c r="AJ147" s="1">
        <v>6.97</v>
      </c>
      <c r="AK147" s="1" t="s">
        <v>96</v>
      </c>
      <c r="AL147" s="1" t="s">
        <v>96</v>
      </c>
      <c r="AM147" s="1" t="s">
        <v>96</v>
      </c>
      <c r="AN147" s="1" t="s">
        <v>96</v>
      </c>
      <c r="AO147">
        <v>31.94</v>
      </c>
      <c r="AP147">
        <v>7.37</v>
      </c>
      <c r="AQ147" s="1" t="s">
        <v>96</v>
      </c>
      <c r="AR147" s="1" t="s">
        <v>96</v>
      </c>
      <c r="AS147">
        <v>8.2100000000000009</v>
      </c>
      <c r="AT147">
        <v>1.72</v>
      </c>
      <c r="AU147" s="1" t="s">
        <v>96</v>
      </c>
      <c r="AV147" s="1" t="s">
        <v>96</v>
      </c>
      <c r="AW147">
        <v>4</v>
      </c>
      <c r="AX147" s="1" t="s">
        <v>96</v>
      </c>
      <c r="AY147">
        <v>911.47</v>
      </c>
      <c r="AZ147">
        <v>359.79</v>
      </c>
      <c r="BA147">
        <v>74.13</v>
      </c>
      <c r="BB147" s="1" t="s">
        <v>96</v>
      </c>
      <c r="BC147">
        <v>157.29</v>
      </c>
      <c r="BD147" s="1" t="s">
        <v>96</v>
      </c>
      <c r="BE147" s="1">
        <v>3.62</v>
      </c>
      <c r="BF147">
        <v>13.75</v>
      </c>
      <c r="BG147" s="1">
        <v>4.8600000000000003</v>
      </c>
      <c r="BH147" s="1" t="s">
        <v>96</v>
      </c>
      <c r="BI147">
        <v>156.34</v>
      </c>
      <c r="BJ147">
        <v>80.28</v>
      </c>
      <c r="BK147" s="1" t="s">
        <v>96</v>
      </c>
      <c r="BL147" s="1" t="s">
        <v>96</v>
      </c>
      <c r="BM147">
        <v>5.22</v>
      </c>
      <c r="BN147">
        <v>28.59</v>
      </c>
      <c r="BO147">
        <v>147.68</v>
      </c>
      <c r="BP147">
        <v>3.45</v>
      </c>
      <c r="BQ147" s="1" t="s">
        <v>96</v>
      </c>
      <c r="BR147" s="1" t="s">
        <v>96</v>
      </c>
      <c r="BS147" s="1" t="s">
        <v>96</v>
      </c>
      <c r="BT147" s="1" t="s">
        <v>96</v>
      </c>
      <c r="BU147" s="1" t="s">
        <v>96</v>
      </c>
      <c r="BV147">
        <v>124.89</v>
      </c>
      <c r="BW147">
        <v>32.15</v>
      </c>
      <c r="BX147" s="1" t="s">
        <v>96</v>
      </c>
      <c r="BY147">
        <v>440.2</v>
      </c>
      <c r="BZ147">
        <v>59.13</v>
      </c>
      <c r="CA147" s="1" t="s">
        <v>96</v>
      </c>
      <c r="CB147">
        <v>15.52</v>
      </c>
      <c r="CC147">
        <v>186.41</v>
      </c>
      <c r="CD147" s="1" t="s">
        <v>96</v>
      </c>
    </row>
    <row r="148" spans="1:82">
      <c r="A148">
        <v>120</v>
      </c>
      <c r="B148" t="s">
        <v>455</v>
      </c>
      <c r="D148" t="b">
        <v>1</v>
      </c>
      <c r="E148" t="s">
        <v>456</v>
      </c>
      <c r="F148">
        <v>7</v>
      </c>
      <c r="G148">
        <v>4</v>
      </c>
      <c r="J148" t="s">
        <v>457</v>
      </c>
      <c r="K148" t="s">
        <v>94</v>
      </c>
      <c r="L148" t="s">
        <v>95</v>
      </c>
      <c r="M148">
        <v>100</v>
      </c>
      <c r="N148" s="1" t="s">
        <v>96</v>
      </c>
      <c r="O148" s="1" t="s">
        <v>96</v>
      </c>
      <c r="P148">
        <v>16.440000000000001</v>
      </c>
      <c r="Q148" s="1" t="s">
        <v>96</v>
      </c>
      <c r="R148" s="1" t="s">
        <v>96</v>
      </c>
      <c r="S148" s="1" t="s">
        <v>96</v>
      </c>
      <c r="T148" s="1" t="s">
        <v>96</v>
      </c>
      <c r="U148" s="1" t="s">
        <v>96</v>
      </c>
      <c r="V148" s="1" t="s">
        <v>96</v>
      </c>
      <c r="W148" s="1" t="s">
        <v>96</v>
      </c>
      <c r="X148" s="1" t="s">
        <v>96</v>
      </c>
      <c r="Y148" s="1" t="s">
        <v>96</v>
      </c>
      <c r="Z148">
        <v>3.06</v>
      </c>
      <c r="AA148" s="1" t="s">
        <v>96</v>
      </c>
      <c r="AB148">
        <v>21.19</v>
      </c>
      <c r="AC148">
        <v>2.25</v>
      </c>
      <c r="AD148" t="s">
        <v>133</v>
      </c>
      <c r="AE148" s="1" t="s">
        <v>96</v>
      </c>
      <c r="AF148">
        <v>22.63</v>
      </c>
      <c r="AG148">
        <v>164.77</v>
      </c>
      <c r="AH148">
        <v>240.1</v>
      </c>
      <c r="AI148" s="1" t="s">
        <v>96</v>
      </c>
      <c r="AJ148" s="1" t="s">
        <v>96</v>
      </c>
      <c r="AK148" s="1" t="s">
        <v>96</v>
      </c>
      <c r="AL148" s="1" t="s">
        <v>96</v>
      </c>
      <c r="AM148" s="1" t="s">
        <v>96</v>
      </c>
      <c r="AN148" s="1">
        <v>3.03</v>
      </c>
      <c r="AO148">
        <v>217.87</v>
      </c>
      <c r="AP148">
        <v>191.06</v>
      </c>
      <c r="AQ148" s="1">
        <v>3.42</v>
      </c>
      <c r="AR148" s="1" t="s">
        <v>96</v>
      </c>
      <c r="AS148">
        <v>54.83</v>
      </c>
      <c r="AT148">
        <v>10.43</v>
      </c>
      <c r="AU148" s="1" t="s">
        <v>96</v>
      </c>
      <c r="AV148" s="1" t="s">
        <v>96</v>
      </c>
      <c r="AW148">
        <v>3.34</v>
      </c>
      <c r="AX148" s="1">
        <v>2.74</v>
      </c>
      <c r="AY148">
        <v>2229.1999999999998</v>
      </c>
      <c r="AZ148">
        <v>396.96</v>
      </c>
      <c r="BA148">
        <v>757.42</v>
      </c>
      <c r="BB148" s="1" t="s">
        <v>96</v>
      </c>
      <c r="BC148">
        <v>587.78</v>
      </c>
      <c r="BD148" s="1" t="s">
        <v>96</v>
      </c>
      <c r="BE148" s="1" t="s">
        <v>96</v>
      </c>
      <c r="BF148">
        <v>20.75</v>
      </c>
      <c r="BG148" s="1">
        <v>94.92</v>
      </c>
      <c r="BH148" s="1" t="s">
        <v>96</v>
      </c>
      <c r="BI148">
        <v>461.52</v>
      </c>
      <c r="BJ148">
        <v>108.99</v>
      </c>
      <c r="BK148" s="1" t="s">
        <v>96</v>
      </c>
      <c r="BL148" s="1">
        <v>5.94</v>
      </c>
      <c r="BM148">
        <v>15.69</v>
      </c>
      <c r="BN148">
        <v>140.88999999999999</v>
      </c>
      <c r="BO148" t="s">
        <v>96</v>
      </c>
      <c r="BP148" t="s">
        <v>96</v>
      </c>
      <c r="BQ148" s="1" t="s">
        <v>96</v>
      </c>
      <c r="BR148" s="1" t="s">
        <v>96</v>
      </c>
      <c r="BS148" s="1" t="s">
        <v>96</v>
      </c>
      <c r="BT148" s="1" t="s">
        <v>96</v>
      </c>
      <c r="BU148" s="1">
        <v>9.5</v>
      </c>
      <c r="BV148">
        <v>67.69</v>
      </c>
      <c r="BW148">
        <v>15.71</v>
      </c>
      <c r="BX148" s="1" t="s">
        <v>96</v>
      </c>
      <c r="BY148">
        <v>54.05</v>
      </c>
      <c r="BZ148">
        <v>11.93</v>
      </c>
      <c r="CA148" s="1">
        <v>26.79</v>
      </c>
      <c r="CB148">
        <v>144.38</v>
      </c>
      <c r="CC148">
        <v>31.53</v>
      </c>
      <c r="CD148" s="1" t="s">
        <v>96</v>
      </c>
    </row>
    <row r="149" spans="1:82">
      <c r="A149">
        <v>187</v>
      </c>
      <c r="B149" t="s">
        <v>656</v>
      </c>
      <c r="D149" t="b">
        <v>1</v>
      </c>
      <c r="E149" t="s">
        <v>657</v>
      </c>
      <c r="F149">
        <v>278</v>
      </c>
      <c r="G149">
        <v>5</v>
      </c>
      <c r="J149" t="s">
        <v>658</v>
      </c>
      <c r="K149" t="s">
        <v>94</v>
      </c>
      <c r="L149" t="s">
        <v>95</v>
      </c>
      <c r="M149">
        <v>100</v>
      </c>
      <c r="N149" s="1" t="s">
        <v>96</v>
      </c>
      <c r="O149" s="1" t="s">
        <v>96</v>
      </c>
      <c r="P149">
        <v>26.72</v>
      </c>
      <c r="Q149" s="1" t="s">
        <v>96</v>
      </c>
      <c r="R149" s="1" t="s">
        <v>96</v>
      </c>
      <c r="S149" s="1" t="s">
        <v>96</v>
      </c>
      <c r="T149" s="1" t="s">
        <v>96</v>
      </c>
      <c r="U149" s="1" t="s">
        <v>96</v>
      </c>
      <c r="V149" s="1" t="s">
        <v>96</v>
      </c>
      <c r="W149" s="1" t="s">
        <v>96</v>
      </c>
      <c r="X149" s="1" t="s">
        <v>96</v>
      </c>
      <c r="Y149" s="1" t="s">
        <v>96</v>
      </c>
      <c r="Z149" t="s">
        <v>96</v>
      </c>
      <c r="AA149" s="1" t="s">
        <v>96</v>
      </c>
      <c r="AB149">
        <v>5</v>
      </c>
      <c r="AC149">
        <v>24.44</v>
      </c>
      <c r="AD149">
        <v>46.88</v>
      </c>
      <c r="AE149" s="1" t="s">
        <v>96</v>
      </c>
      <c r="AF149">
        <v>28.21</v>
      </c>
      <c r="AG149">
        <v>689.63</v>
      </c>
      <c r="AH149">
        <v>117.13</v>
      </c>
      <c r="AI149" s="1">
        <v>5.57</v>
      </c>
      <c r="AJ149" s="1">
        <v>5.62</v>
      </c>
      <c r="AK149" s="1" t="s">
        <v>96</v>
      </c>
      <c r="AL149" s="1" t="s">
        <v>96</v>
      </c>
      <c r="AM149" s="1" t="s">
        <v>96</v>
      </c>
      <c r="AN149" s="1" t="s">
        <v>96</v>
      </c>
      <c r="AO149">
        <v>1012.35</v>
      </c>
      <c r="AP149">
        <v>57.64</v>
      </c>
      <c r="AQ149" s="1" t="s">
        <v>96</v>
      </c>
      <c r="AR149" s="1" t="s">
        <v>96</v>
      </c>
      <c r="AS149">
        <v>55.82</v>
      </c>
      <c r="AT149">
        <v>3.68</v>
      </c>
      <c r="AU149" s="1" t="s">
        <v>96</v>
      </c>
      <c r="AV149" s="1" t="s">
        <v>96</v>
      </c>
      <c r="AW149">
        <v>21.38</v>
      </c>
      <c r="AX149" s="1" t="s">
        <v>96</v>
      </c>
      <c r="AY149">
        <v>592.03</v>
      </c>
      <c r="AZ149">
        <v>732.05</v>
      </c>
      <c r="BA149">
        <v>70.739999999999995</v>
      </c>
      <c r="BB149" s="1" t="s">
        <v>96</v>
      </c>
      <c r="BC149">
        <v>69.16</v>
      </c>
      <c r="BD149" s="1" t="s">
        <v>96</v>
      </c>
      <c r="BE149" s="1">
        <v>6.35</v>
      </c>
      <c r="BF149">
        <v>5.91</v>
      </c>
      <c r="BG149" s="1" t="s">
        <v>96</v>
      </c>
      <c r="BH149" s="1" t="s">
        <v>96</v>
      </c>
      <c r="BI149">
        <v>25.56</v>
      </c>
      <c r="BJ149">
        <v>33.43</v>
      </c>
      <c r="BK149" s="1" t="s">
        <v>96</v>
      </c>
      <c r="BL149" s="1" t="s">
        <v>96</v>
      </c>
      <c r="BM149" t="s">
        <v>96</v>
      </c>
      <c r="BN149">
        <v>5.27</v>
      </c>
      <c r="BO149">
        <v>56.92</v>
      </c>
      <c r="BP149">
        <v>16.37</v>
      </c>
      <c r="BQ149" s="1" t="s">
        <v>96</v>
      </c>
      <c r="BR149" s="1" t="s">
        <v>96</v>
      </c>
      <c r="BS149" s="1">
        <v>11.51</v>
      </c>
      <c r="BT149" s="1" t="s">
        <v>96</v>
      </c>
      <c r="BU149" s="1">
        <v>9.8800000000000008</v>
      </c>
      <c r="BV149">
        <v>10.029999999999999</v>
      </c>
      <c r="BW149" t="s">
        <v>96</v>
      </c>
      <c r="BX149" s="1" t="s">
        <v>96</v>
      </c>
      <c r="BY149">
        <v>301.89</v>
      </c>
      <c r="BZ149">
        <v>9.15</v>
      </c>
      <c r="CA149" s="1" t="s">
        <v>96</v>
      </c>
      <c r="CB149" t="s">
        <v>96</v>
      </c>
      <c r="CC149">
        <v>62.72</v>
      </c>
      <c r="CD149" s="1" t="s">
        <v>96</v>
      </c>
    </row>
    <row r="150" spans="1:82">
      <c r="A150">
        <v>185</v>
      </c>
      <c r="B150" t="s">
        <v>650</v>
      </c>
      <c r="D150" t="b">
        <v>1</v>
      </c>
      <c r="E150" t="s">
        <v>651</v>
      </c>
      <c r="F150">
        <v>276</v>
      </c>
      <c r="G150">
        <v>5</v>
      </c>
      <c r="J150" t="s">
        <v>652</v>
      </c>
      <c r="K150" t="s">
        <v>94</v>
      </c>
      <c r="L150" t="s">
        <v>95</v>
      </c>
      <c r="M150">
        <v>100</v>
      </c>
      <c r="N150" s="1" t="s">
        <v>96</v>
      </c>
      <c r="O150" s="1" t="s">
        <v>96</v>
      </c>
      <c r="P150">
        <v>16.489999999999998</v>
      </c>
      <c r="Q150" s="1" t="s">
        <v>96</v>
      </c>
      <c r="R150" s="1" t="s">
        <v>96</v>
      </c>
      <c r="S150" s="1" t="s">
        <v>96</v>
      </c>
      <c r="T150" s="1" t="s">
        <v>96</v>
      </c>
      <c r="U150" s="1" t="s">
        <v>96</v>
      </c>
      <c r="V150" s="1" t="s">
        <v>96</v>
      </c>
      <c r="W150" s="1" t="s">
        <v>96</v>
      </c>
      <c r="X150" s="1" t="s">
        <v>96</v>
      </c>
      <c r="Y150" s="1" t="s">
        <v>96</v>
      </c>
      <c r="Z150" t="s">
        <v>96</v>
      </c>
      <c r="AA150" s="1" t="s">
        <v>96</v>
      </c>
      <c r="AB150">
        <v>1.21</v>
      </c>
      <c r="AC150">
        <v>39.56</v>
      </c>
      <c r="AD150">
        <v>6.61</v>
      </c>
      <c r="AE150" s="1" t="s">
        <v>96</v>
      </c>
      <c r="AF150">
        <v>29.84</v>
      </c>
      <c r="AG150">
        <v>397.36</v>
      </c>
      <c r="AH150">
        <v>136.52000000000001</v>
      </c>
      <c r="AI150" s="1" t="s">
        <v>96</v>
      </c>
      <c r="AJ150" s="1" t="s">
        <v>96</v>
      </c>
      <c r="AK150" s="1" t="s">
        <v>96</v>
      </c>
      <c r="AL150" s="1" t="s">
        <v>96</v>
      </c>
      <c r="AM150" s="1" t="s">
        <v>96</v>
      </c>
      <c r="AN150" s="1" t="s">
        <v>96</v>
      </c>
      <c r="AO150">
        <v>69.39</v>
      </c>
      <c r="AP150">
        <v>16.78</v>
      </c>
      <c r="AQ150" s="1" t="s">
        <v>96</v>
      </c>
      <c r="AR150" s="1" t="s">
        <v>96</v>
      </c>
      <c r="AS150">
        <v>31.09</v>
      </c>
      <c r="AT150">
        <v>3.09</v>
      </c>
      <c r="AU150" s="1" t="s">
        <v>96</v>
      </c>
      <c r="AV150" s="1" t="s">
        <v>96</v>
      </c>
      <c r="AW150">
        <v>21.23</v>
      </c>
      <c r="AX150" s="1" t="s">
        <v>96</v>
      </c>
      <c r="AY150">
        <v>1534.58</v>
      </c>
      <c r="AZ150">
        <v>645.29</v>
      </c>
      <c r="BA150">
        <v>25.42</v>
      </c>
      <c r="BB150" s="1" t="s">
        <v>96</v>
      </c>
      <c r="BC150">
        <v>358.49</v>
      </c>
      <c r="BD150" s="1" t="s">
        <v>96</v>
      </c>
      <c r="BE150" s="1">
        <v>4.18</v>
      </c>
      <c r="BF150">
        <v>14.99</v>
      </c>
      <c r="BG150" s="1" t="s">
        <v>96</v>
      </c>
      <c r="BH150" s="1" t="s">
        <v>96</v>
      </c>
      <c r="BI150">
        <v>74.39</v>
      </c>
      <c r="BJ150">
        <v>38.08</v>
      </c>
      <c r="BK150" s="1" t="s">
        <v>96</v>
      </c>
      <c r="BL150" s="1" t="s">
        <v>96</v>
      </c>
      <c r="BM150" t="s">
        <v>96</v>
      </c>
      <c r="BN150">
        <v>26.95</v>
      </c>
      <c r="BO150">
        <v>61.54</v>
      </c>
      <c r="BP150">
        <v>5.6</v>
      </c>
      <c r="BQ150" s="1" t="s">
        <v>96</v>
      </c>
      <c r="BR150" s="1" t="s">
        <v>96</v>
      </c>
      <c r="BS150" s="1" t="s">
        <v>96</v>
      </c>
      <c r="BT150" s="1" t="s">
        <v>96</v>
      </c>
      <c r="BU150" s="1">
        <v>9.25</v>
      </c>
      <c r="BV150">
        <v>113.77</v>
      </c>
      <c r="BW150">
        <v>6.99</v>
      </c>
      <c r="BX150" s="1" t="s">
        <v>96</v>
      </c>
      <c r="BY150">
        <v>626.78</v>
      </c>
      <c r="BZ150">
        <v>14.42</v>
      </c>
      <c r="CA150" s="1" t="s">
        <v>96</v>
      </c>
      <c r="CB150">
        <v>7.5</v>
      </c>
      <c r="CC150">
        <v>164.31</v>
      </c>
      <c r="CD150" s="1" t="s">
        <v>96</v>
      </c>
    </row>
    <row r="151" spans="1:82">
      <c r="A151">
        <v>32</v>
      </c>
      <c r="B151" t="s">
        <v>191</v>
      </c>
      <c r="D151" t="b">
        <v>1</v>
      </c>
      <c r="E151" t="s">
        <v>192</v>
      </c>
      <c r="F151">
        <v>225</v>
      </c>
      <c r="G151">
        <v>1</v>
      </c>
      <c r="J151" t="s">
        <v>193</v>
      </c>
      <c r="K151" t="s">
        <v>94</v>
      </c>
      <c r="L151" t="s">
        <v>95</v>
      </c>
      <c r="M151">
        <v>100</v>
      </c>
      <c r="N151" s="1" t="s">
        <v>96</v>
      </c>
      <c r="O151" s="1" t="s">
        <v>96</v>
      </c>
      <c r="P151">
        <v>17.100000000000001</v>
      </c>
      <c r="Q151" s="1" t="s">
        <v>96</v>
      </c>
      <c r="R151" s="1" t="s">
        <v>96</v>
      </c>
      <c r="S151" s="1">
        <v>6.39</v>
      </c>
      <c r="T151" s="1" t="s">
        <v>96</v>
      </c>
      <c r="U151" s="1" t="s">
        <v>96</v>
      </c>
      <c r="V151" s="1" t="s">
        <v>96</v>
      </c>
      <c r="W151" s="1" t="s">
        <v>96</v>
      </c>
      <c r="X151" s="1" t="s">
        <v>96</v>
      </c>
      <c r="Y151" s="1" t="s">
        <v>96</v>
      </c>
      <c r="Z151" t="s">
        <v>96</v>
      </c>
      <c r="AA151" s="1" t="s">
        <v>96</v>
      </c>
      <c r="AB151">
        <v>3.51</v>
      </c>
      <c r="AC151">
        <v>5.82</v>
      </c>
      <c r="AD151">
        <v>16.16</v>
      </c>
      <c r="AE151" s="1" t="s">
        <v>96</v>
      </c>
      <c r="AF151">
        <v>11.82</v>
      </c>
      <c r="AG151">
        <v>264.5</v>
      </c>
      <c r="AH151">
        <v>204.83</v>
      </c>
      <c r="AI151" s="1">
        <v>4.33</v>
      </c>
      <c r="AJ151" s="1" t="s">
        <v>96</v>
      </c>
      <c r="AK151" s="1" t="s">
        <v>96</v>
      </c>
      <c r="AL151" s="1" t="s">
        <v>96</v>
      </c>
      <c r="AM151" s="1" t="s">
        <v>96</v>
      </c>
      <c r="AN151" s="1">
        <v>1.19</v>
      </c>
      <c r="AO151">
        <v>1022.17</v>
      </c>
      <c r="AP151">
        <v>20.75</v>
      </c>
      <c r="AQ151" s="1" t="s">
        <v>96</v>
      </c>
      <c r="AR151" s="1">
        <v>8.1300000000000008</v>
      </c>
      <c r="AS151">
        <v>318.43</v>
      </c>
      <c r="AT151">
        <v>3.23</v>
      </c>
      <c r="AU151" s="1" t="s">
        <v>96</v>
      </c>
      <c r="AV151" s="1" t="s">
        <v>96</v>
      </c>
      <c r="AW151" t="s">
        <v>96</v>
      </c>
      <c r="AX151" s="1" t="s">
        <v>96</v>
      </c>
      <c r="AY151">
        <v>552.89</v>
      </c>
      <c r="AZ151">
        <v>305.87</v>
      </c>
      <c r="BA151">
        <v>29.3</v>
      </c>
      <c r="BB151" s="1" t="s">
        <v>96</v>
      </c>
      <c r="BC151">
        <v>173.43</v>
      </c>
      <c r="BD151" s="1" t="s">
        <v>96</v>
      </c>
      <c r="BE151" s="1">
        <v>8.49</v>
      </c>
      <c r="BF151">
        <v>21.44</v>
      </c>
      <c r="BG151" s="1">
        <v>4.79</v>
      </c>
      <c r="BH151" s="1" t="s">
        <v>96</v>
      </c>
      <c r="BI151">
        <v>172.13</v>
      </c>
      <c r="BJ151">
        <v>179.59</v>
      </c>
      <c r="BK151" s="1" t="s">
        <v>96</v>
      </c>
      <c r="BL151" s="1">
        <v>12.55</v>
      </c>
      <c r="BM151">
        <v>23.07</v>
      </c>
      <c r="BN151">
        <v>69.91</v>
      </c>
      <c r="BO151">
        <v>267.56</v>
      </c>
      <c r="BP151">
        <v>3.48</v>
      </c>
      <c r="BQ151" s="1" t="s">
        <v>96</v>
      </c>
      <c r="BR151" s="1" t="s">
        <v>96</v>
      </c>
      <c r="BS151" s="1" t="s">
        <v>96</v>
      </c>
      <c r="BT151" s="1" t="s">
        <v>96</v>
      </c>
      <c r="BU151" s="1">
        <v>20.78</v>
      </c>
      <c r="BV151">
        <v>51.54</v>
      </c>
      <c r="BW151">
        <v>39.590000000000003</v>
      </c>
      <c r="BX151" s="1" t="s">
        <v>96</v>
      </c>
      <c r="BY151">
        <v>214.79</v>
      </c>
      <c r="BZ151">
        <v>136.66999999999999</v>
      </c>
      <c r="CA151" s="1" t="s">
        <v>96</v>
      </c>
      <c r="CB151">
        <v>7.17</v>
      </c>
      <c r="CC151">
        <v>103.68</v>
      </c>
      <c r="CD151" s="1" t="s">
        <v>96</v>
      </c>
    </row>
    <row r="152" spans="1:82">
      <c r="A152">
        <v>16</v>
      </c>
      <c r="B152" t="s">
        <v>143</v>
      </c>
      <c r="D152" t="b">
        <v>1</v>
      </c>
      <c r="E152" t="s">
        <v>144</v>
      </c>
      <c r="F152">
        <v>205</v>
      </c>
      <c r="G152">
        <v>1</v>
      </c>
      <c r="J152" t="s">
        <v>145</v>
      </c>
      <c r="K152" t="s">
        <v>94</v>
      </c>
      <c r="L152" t="s">
        <v>95</v>
      </c>
      <c r="M152">
        <v>100</v>
      </c>
      <c r="N152" s="1" t="s">
        <v>96</v>
      </c>
      <c r="O152" s="1" t="s">
        <v>96</v>
      </c>
      <c r="P152">
        <v>16.71</v>
      </c>
      <c r="Q152" s="1" t="s">
        <v>96</v>
      </c>
      <c r="R152" s="1" t="s">
        <v>96</v>
      </c>
      <c r="S152" s="1" t="s">
        <v>96</v>
      </c>
      <c r="T152" s="1" t="s">
        <v>96</v>
      </c>
      <c r="U152" s="1" t="s">
        <v>96</v>
      </c>
      <c r="V152" s="1" t="s">
        <v>96</v>
      </c>
      <c r="W152" s="1" t="s">
        <v>96</v>
      </c>
      <c r="X152" s="1" t="s">
        <v>96</v>
      </c>
      <c r="Y152" s="1" t="s">
        <v>96</v>
      </c>
      <c r="Z152">
        <v>1.6</v>
      </c>
      <c r="AA152" s="1" t="s">
        <v>96</v>
      </c>
      <c r="AB152">
        <v>9.23</v>
      </c>
      <c r="AC152" t="s">
        <v>96</v>
      </c>
      <c r="AD152">
        <v>85.94</v>
      </c>
      <c r="AE152" s="1" t="s">
        <v>96</v>
      </c>
      <c r="AF152" t="s">
        <v>96</v>
      </c>
      <c r="AG152" t="s">
        <v>96</v>
      </c>
      <c r="AH152">
        <v>302.93</v>
      </c>
      <c r="AI152" s="1" t="s">
        <v>96</v>
      </c>
      <c r="AJ152" s="1" t="s">
        <v>96</v>
      </c>
      <c r="AK152" s="1" t="s">
        <v>96</v>
      </c>
      <c r="AL152" s="1" t="s">
        <v>96</v>
      </c>
      <c r="AM152" s="1" t="s">
        <v>96</v>
      </c>
      <c r="AN152" s="1">
        <v>1.41</v>
      </c>
      <c r="AO152" t="s">
        <v>96</v>
      </c>
      <c r="AP152">
        <v>35.299999999999997</v>
      </c>
      <c r="AQ152" s="1">
        <v>1.06</v>
      </c>
      <c r="AR152" s="1" t="s">
        <v>96</v>
      </c>
      <c r="AS152">
        <v>270.72000000000003</v>
      </c>
      <c r="AT152">
        <v>10.119999999999999</v>
      </c>
      <c r="AU152" s="1" t="s">
        <v>96</v>
      </c>
      <c r="AV152" s="1" t="s">
        <v>96</v>
      </c>
      <c r="AW152" t="s">
        <v>96</v>
      </c>
      <c r="AX152" s="1" t="s">
        <v>96</v>
      </c>
      <c r="AY152">
        <v>243.74</v>
      </c>
      <c r="AZ152" t="s">
        <v>96</v>
      </c>
      <c r="BA152">
        <v>18.16</v>
      </c>
      <c r="BB152" s="1" t="s">
        <v>96</v>
      </c>
      <c r="BC152">
        <v>200.39</v>
      </c>
      <c r="BD152" s="1" t="s">
        <v>96</v>
      </c>
      <c r="BE152" s="1" t="s">
        <v>96</v>
      </c>
      <c r="BF152">
        <v>5.77</v>
      </c>
      <c r="BG152" s="1" t="s">
        <v>96</v>
      </c>
      <c r="BH152" s="1" t="s">
        <v>96</v>
      </c>
      <c r="BI152">
        <v>20.82</v>
      </c>
      <c r="BJ152" t="s">
        <v>96</v>
      </c>
      <c r="BK152" s="1" t="s">
        <v>96</v>
      </c>
      <c r="BL152" s="1" t="s">
        <v>96</v>
      </c>
      <c r="BM152" t="s">
        <v>96</v>
      </c>
      <c r="BN152">
        <v>12.54</v>
      </c>
      <c r="BO152" t="s">
        <v>96</v>
      </c>
      <c r="BP152" t="s">
        <v>96</v>
      </c>
      <c r="BQ152" s="1" t="s">
        <v>96</v>
      </c>
      <c r="BR152" s="1" t="s">
        <v>96</v>
      </c>
      <c r="BS152" s="1" t="s">
        <v>96</v>
      </c>
      <c r="BT152" s="1" t="s">
        <v>96</v>
      </c>
      <c r="BU152" s="1" t="s">
        <v>96</v>
      </c>
      <c r="BV152">
        <v>52.61</v>
      </c>
      <c r="BW152">
        <v>6.55</v>
      </c>
      <c r="BX152" s="1" t="s">
        <v>96</v>
      </c>
      <c r="BY152" t="s">
        <v>96</v>
      </c>
      <c r="BZ152" t="s">
        <v>96</v>
      </c>
      <c r="CA152" s="1" t="s">
        <v>96</v>
      </c>
      <c r="CB152">
        <v>17.940000000000001</v>
      </c>
      <c r="CC152" t="s">
        <v>96</v>
      </c>
      <c r="CD152" s="1" t="s">
        <v>96</v>
      </c>
    </row>
    <row r="153" spans="1:82">
      <c r="A153">
        <v>94</v>
      </c>
      <c r="B153" t="s">
        <v>377</v>
      </c>
      <c r="D153" t="b">
        <v>1</v>
      </c>
      <c r="E153" t="s">
        <v>378</v>
      </c>
      <c r="F153">
        <v>143</v>
      </c>
      <c r="G153">
        <v>3</v>
      </c>
      <c r="J153" t="s">
        <v>379</v>
      </c>
      <c r="K153" t="s">
        <v>94</v>
      </c>
      <c r="L153" t="s">
        <v>95</v>
      </c>
      <c r="M153">
        <v>100</v>
      </c>
      <c r="N153" s="1" t="s">
        <v>96</v>
      </c>
      <c r="O153" s="1" t="s">
        <v>96</v>
      </c>
      <c r="P153">
        <v>12.37</v>
      </c>
      <c r="Q153" s="1" t="s">
        <v>96</v>
      </c>
      <c r="R153" s="1" t="s">
        <v>96</v>
      </c>
      <c r="S153" s="1">
        <v>8.93</v>
      </c>
      <c r="T153" s="1" t="s">
        <v>96</v>
      </c>
      <c r="U153" s="1" t="s">
        <v>96</v>
      </c>
      <c r="V153" s="1" t="s">
        <v>96</v>
      </c>
      <c r="W153" s="1" t="s">
        <v>96</v>
      </c>
      <c r="X153" s="1" t="s">
        <v>96</v>
      </c>
      <c r="Y153" s="1" t="s">
        <v>96</v>
      </c>
      <c r="Z153" t="s">
        <v>96</v>
      </c>
      <c r="AA153" s="1" t="s">
        <v>96</v>
      </c>
      <c r="AB153" t="s">
        <v>96</v>
      </c>
      <c r="AC153">
        <v>16.73</v>
      </c>
      <c r="AD153">
        <v>9.09</v>
      </c>
      <c r="AE153" s="1" t="s">
        <v>96</v>
      </c>
      <c r="AF153">
        <v>32.1</v>
      </c>
      <c r="AG153">
        <v>345.77</v>
      </c>
      <c r="AH153">
        <v>9.65</v>
      </c>
      <c r="AI153" s="1">
        <v>3.61</v>
      </c>
      <c r="AJ153" s="1">
        <v>4.2699999999999996</v>
      </c>
      <c r="AK153" s="1" t="s">
        <v>96</v>
      </c>
      <c r="AL153" s="1" t="s">
        <v>96</v>
      </c>
      <c r="AM153" s="1" t="s">
        <v>96</v>
      </c>
      <c r="AN153" s="1" t="s">
        <v>96</v>
      </c>
      <c r="AO153">
        <v>257.76</v>
      </c>
      <c r="AP153">
        <v>55.11</v>
      </c>
      <c r="AQ153" s="1" t="s">
        <v>96</v>
      </c>
      <c r="AR153" s="1">
        <v>7.57</v>
      </c>
      <c r="AS153">
        <v>9.39</v>
      </c>
      <c r="AT153" t="s">
        <v>96</v>
      </c>
      <c r="AU153" s="1" t="s">
        <v>96</v>
      </c>
      <c r="AV153" s="1" t="s">
        <v>96</v>
      </c>
      <c r="AW153">
        <v>9.11</v>
      </c>
      <c r="AX153" s="1" t="s">
        <v>96</v>
      </c>
      <c r="AY153">
        <v>575.85</v>
      </c>
      <c r="AZ153">
        <v>724.71</v>
      </c>
      <c r="BA153">
        <v>13.63</v>
      </c>
      <c r="BB153" s="1" t="s">
        <v>96</v>
      </c>
      <c r="BC153">
        <v>130.16999999999999</v>
      </c>
      <c r="BD153" s="1" t="s">
        <v>96</v>
      </c>
      <c r="BE153" s="1">
        <v>7.11</v>
      </c>
      <c r="BF153">
        <v>2.77</v>
      </c>
      <c r="BG153" s="1" t="s">
        <v>96</v>
      </c>
      <c r="BH153" s="1" t="s">
        <v>96</v>
      </c>
      <c r="BI153">
        <v>84.83</v>
      </c>
      <c r="BJ153">
        <v>143.38</v>
      </c>
      <c r="BK153" s="1" t="s">
        <v>96</v>
      </c>
      <c r="BL153" s="1" t="s">
        <v>96</v>
      </c>
      <c r="BM153" t="s">
        <v>96</v>
      </c>
      <c r="BN153">
        <v>21.58</v>
      </c>
      <c r="BO153">
        <v>111.71</v>
      </c>
      <c r="BP153">
        <v>3.67</v>
      </c>
      <c r="BQ153" s="1" t="s">
        <v>96</v>
      </c>
      <c r="BR153" s="1" t="s">
        <v>96</v>
      </c>
      <c r="BS153" s="1" t="s">
        <v>96</v>
      </c>
      <c r="BT153" s="1" t="s">
        <v>96</v>
      </c>
      <c r="BU153" s="1">
        <v>14.67</v>
      </c>
      <c r="BV153">
        <v>22.44</v>
      </c>
      <c r="BW153">
        <v>7.36</v>
      </c>
      <c r="BX153" s="1" t="s">
        <v>96</v>
      </c>
      <c r="BY153">
        <v>398.55</v>
      </c>
      <c r="BZ153">
        <v>27.7</v>
      </c>
      <c r="CA153" s="1" t="s">
        <v>96</v>
      </c>
      <c r="CB153" t="s">
        <v>96</v>
      </c>
      <c r="CC153">
        <v>66.739999999999995</v>
      </c>
      <c r="CD153" s="1" t="s">
        <v>96</v>
      </c>
    </row>
    <row r="154" spans="1:82">
      <c r="A154">
        <v>218</v>
      </c>
      <c r="B154" t="s">
        <v>749</v>
      </c>
      <c r="D154" t="b">
        <v>1</v>
      </c>
      <c r="E154" t="s">
        <v>750</v>
      </c>
      <c r="F154">
        <v>327</v>
      </c>
      <c r="G154">
        <v>6</v>
      </c>
      <c r="J154" t="s">
        <v>751</v>
      </c>
      <c r="K154" t="s">
        <v>94</v>
      </c>
      <c r="L154" t="s">
        <v>95</v>
      </c>
      <c r="M154">
        <v>100</v>
      </c>
      <c r="N154" s="1" t="s">
        <v>96</v>
      </c>
      <c r="O154" s="1" t="s">
        <v>96</v>
      </c>
      <c r="P154">
        <v>17.87</v>
      </c>
      <c r="Q154" s="1" t="s">
        <v>96</v>
      </c>
      <c r="R154" s="1" t="s">
        <v>96</v>
      </c>
      <c r="S154" s="1">
        <v>23.07</v>
      </c>
      <c r="T154" s="1" t="s">
        <v>96</v>
      </c>
      <c r="U154" s="1" t="s">
        <v>96</v>
      </c>
      <c r="V154" s="1" t="s">
        <v>96</v>
      </c>
      <c r="W154" s="1" t="s">
        <v>96</v>
      </c>
      <c r="X154" s="1" t="s">
        <v>96</v>
      </c>
      <c r="Y154" s="1" t="s">
        <v>96</v>
      </c>
      <c r="Z154">
        <v>1</v>
      </c>
      <c r="AA154" s="1" t="s">
        <v>96</v>
      </c>
      <c r="AB154">
        <v>1.22</v>
      </c>
      <c r="AC154">
        <v>41.15</v>
      </c>
      <c r="AD154">
        <v>56.3</v>
      </c>
      <c r="AE154" s="1" t="s">
        <v>96</v>
      </c>
      <c r="AF154">
        <v>90.72</v>
      </c>
      <c r="AG154">
        <v>698.35</v>
      </c>
      <c r="AH154">
        <v>54.56</v>
      </c>
      <c r="AI154" s="1">
        <v>5.54</v>
      </c>
      <c r="AJ154" s="1" t="s">
        <v>96</v>
      </c>
      <c r="AK154" s="1" t="s">
        <v>96</v>
      </c>
      <c r="AL154" s="1" t="s">
        <v>96</v>
      </c>
      <c r="AM154" s="1" t="s">
        <v>96</v>
      </c>
      <c r="AN154" s="1" t="s">
        <v>96</v>
      </c>
      <c r="AO154">
        <v>1546.59</v>
      </c>
      <c r="AP154">
        <v>81.650000000000006</v>
      </c>
      <c r="AQ154" s="1" t="s">
        <v>96</v>
      </c>
      <c r="AR154" s="1">
        <v>3.72</v>
      </c>
      <c r="AS154">
        <v>7.39</v>
      </c>
      <c r="AT154" t="s">
        <v>96</v>
      </c>
      <c r="AU154" s="1" t="s">
        <v>96</v>
      </c>
      <c r="AV154" s="1" t="s">
        <v>96</v>
      </c>
      <c r="AW154">
        <v>7.96</v>
      </c>
      <c r="AX154" s="1" t="s">
        <v>96</v>
      </c>
      <c r="AY154">
        <v>523.22</v>
      </c>
      <c r="AZ154">
        <v>310.97000000000003</v>
      </c>
      <c r="BA154">
        <v>26.69</v>
      </c>
      <c r="BB154" s="1" t="s">
        <v>96</v>
      </c>
      <c r="BC154">
        <v>82.09</v>
      </c>
      <c r="BD154" s="1" t="s">
        <v>96</v>
      </c>
      <c r="BE154" s="1">
        <v>4.8</v>
      </c>
      <c r="BF154">
        <v>5.27</v>
      </c>
      <c r="BG154" s="1" t="s">
        <v>96</v>
      </c>
      <c r="BH154" s="1" t="s">
        <v>96</v>
      </c>
      <c r="BI154">
        <v>58.12</v>
      </c>
      <c r="BJ154">
        <v>46.97</v>
      </c>
      <c r="BK154" s="1" t="s">
        <v>96</v>
      </c>
      <c r="BL154" s="1" t="s">
        <v>96</v>
      </c>
      <c r="BM154" t="s">
        <v>96</v>
      </c>
      <c r="BN154">
        <v>9.27</v>
      </c>
      <c r="BO154">
        <v>275.24</v>
      </c>
      <c r="BP154">
        <v>9.33</v>
      </c>
      <c r="BQ154" s="1" t="s">
        <v>96</v>
      </c>
      <c r="BR154" s="1" t="s">
        <v>96</v>
      </c>
      <c r="BS154" s="1" t="s">
        <v>96</v>
      </c>
      <c r="BT154" s="1" t="s">
        <v>96</v>
      </c>
      <c r="BU154" s="1">
        <v>44.07</v>
      </c>
      <c r="BV154">
        <v>48.2</v>
      </c>
      <c r="BW154">
        <v>7.99</v>
      </c>
      <c r="BX154" s="1" t="s">
        <v>96</v>
      </c>
      <c r="BY154">
        <v>1398.1</v>
      </c>
      <c r="BZ154">
        <v>25.31</v>
      </c>
      <c r="CA154" s="1" t="s">
        <v>96</v>
      </c>
      <c r="CB154">
        <v>10.99</v>
      </c>
      <c r="CC154">
        <v>110.67</v>
      </c>
      <c r="CD154" s="1" t="s">
        <v>96</v>
      </c>
    </row>
    <row r="155" spans="1:82">
      <c r="A155">
        <v>111</v>
      </c>
      <c r="B155" t="s">
        <v>428</v>
      </c>
      <c r="D155" t="b">
        <v>1</v>
      </c>
      <c r="E155" t="s">
        <v>429</v>
      </c>
      <c r="F155">
        <v>164</v>
      </c>
      <c r="G155">
        <v>3</v>
      </c>
      <c r="J155" t="s">
        <v>430</v>
      </c>
      <c r="K155" t="s">
        <v>94</v>
      </c>
      <c r="L155" t="s">
        <v>95</v>
      </c>
      <c r="M155">
        <v>100</v>
      </c>
      <c r="N155" s="1" t="s">
        <v>96</v>
      </c>
      <c r="O155" s="1" t="s">
        <v>96</v>
      </c>
      <c r="P155">
        <v>17.04</v>
      </c>
      <c r="Q155" s="1" t="s">
        <v>96</v>
      </c>
      <c r="R155" s="1" t="s">
        <v>96</v>
      </c>
      <c r="S155" s="1">
        <v>7.65</v>
      </c>
      <c r="T155" s="1" t="s">
        <v>96</v>
      </c>
      <c r="U155" s="1" t="s">
        <v>96</v>
      </c>
      <c r="V155" s="1" t="s">
        <v>96</v>
      </c>
      <c r="W155" s="1" t="s">
        <v>96</v>
      </c>
      <c r="X155" s="1" t="s">
        <v>96</v>
      </c>
      <c r="Y155" s="1" t="s">
        <v>96</v>
      </c>
      <c r="Z155">
        <v>1.31</v>
      </c>
      <c r="AA155" s="1" t="s">
        <v>96</v>
      </c>
      <c r="AB155">
        <v>6.31</v>
      </c>
      <c r="AC155">
        <v>5.54</v>
      </c>
      <c r="AD155">
        <v>224.98</v>
      </c>
      <c r="AE155" s="1" t="s">
        <v>96</v>
      </c>
      <c r="AF155">
        <v>13.04</v>
      </c>
      <c r="AG155">
        <v>244.97</v>
      </c>
      <c r="AH155">
        <v>122.4</v>
      </c>
      <c r="AI155" s="1">
        <v>7.57</v>
      </c>
      <c r="AJ155" s="1" t="s">
        <v>96</v>
      </c>
      <c r="AK155" s="1" t="s">
        <v>96</v>
      </c>
      <c r="AL155" s="1" t="s">
        <v>96</v>
      </c>
      <c r="AM155" s="1" t="s">
        <v>96</v>
      </c>
      <c r="AN155" s="1" t="s">
        <v>96</v>
      </c>
      <c r="AO155">
        <v>93.42</v>
      </c>
      <c r="AP155">
        <v>79.06</v>
      </c>
      <c r="AQ155" s="1" t="s">
        <v>96</v>
      </c>
      <c r="AR155" s="1" t="s">
        <v>96</v>
      </c>
      <c r="AS155">
        <v>51.01</v>
      </c>
      <c r="AT155">
        <v>7.06</v>
      </c>
      <c r="AU155" s="1" t="s">
        <v>96</v>
      </c>
      <c r="AV155" s="1" t="s">
        <v>96</v>
      </c>
      <c r="AW155">
        <v>10.23</v>
      </c>
      <c r="AX155" s="1" t="s">
        <v>96</v>
      </c>
      <c r="AY155">
        <v>2020.47</v>
      </c>
      <c r="AZ155">
        <v>425.91</v>
      </c>
      <c r="BA155">
        <v>340.75</v>
      </c>
      <c r="BB155" s="1" t="s">
        <v>96</v>
      </c>
      <c r="BC155">
        <v>676.84</v>
      </c>
      <c r="BD155" s="1" t="s">
        <v>96</v>
      </c>
      <c r="BE155" s="1">
        <v>4.79</v>
      </c>
      <c r="BF155">
        <v>44.14</v>
      </c>
      <c r="BG155" s="1">
        <v>22.65</v>
      </c>
      <c r="BH155" s="1" t="s">
        <v>96</v>
      </c>
      <c r="BI155">
        <v>285.7</v>
      </c>
      <c r="BJ155">
        <v>83.09</v>
      </c>
      <c r="BK155" s="1" t="s">
        <v>96</v>
      </c>
      <c r="BL155" s="1">
        <v>12.48</v>
      </c>
      <c r="BM155">
        <v>5.73</v>
      </c>
      <c r="BN155">
        <v>92.62</v>
      </c>
      <c r="BO155">
        <v>105.01</v>
      </c>
      <c r="BP155">
        <v>6.1</v>
      </c>
      <c r="BQ155" s="1" t="s">
        <v>96</v>
      </c>
      <c r="BR155" s="1" t="s">
        <v>96</v>
      </c>
      <c r="BS155" s="1" t="s">
        <v>96</v>
      </c>
      <c r="BT155" s="1" t="s">
        <v>96</v>
      </c>
      <c r="BU155" s="1" t="s">
        <v>96</v>
      </c>
      <c r="BV155">
        <v>120.54</v>
      </c>
      <c r="BW155">
        <v>30.19</v>
      </c>
      <c r="BX155" s="1" t="s">
        <v>96</v>
      </c>
      <c r="BY155">
        <v>290.32</v>
      </c>
      <c r="BZ155">
        <v>15.01</v>
      </c>
      <c r="CA155" s="1" t="s">
        <v>96</v>
      </c>
      <c r="CB155">
        <v>63.15</v>
      </c>
      <c r="CC155">
        <v>47.58</v>
      </c>
      <c r="CD155" s="1" t="s">
        <v>96</v>
      </c>
    </row>
    <row r="156" spans="1:82">
      <c r="A156">
        <v>158</v>
      </c>
      <c r="B156" t="s">
        <v>569</v>
      </c>
      <c r="D156" t="b">
        <v>1</v>
      </c>
      <c r="E156" t="s">
        <v>570</v>
      </c>
      <c r="F156">
        <v>51</v>
      </c>
      <c r="G156">
        <v>4</v>
      </c>
      <c r="J156" t="s">
        <v>571</v>
      </c>
      <c r="K156" t="s">
        <v>94</v>
      </c>
      <c r="L156" t="s">
        <v>95</v>
      </c>
      <c r="M156">
        <v>100</v>
      </c>
      <c r="N156" s="1" t="s">
        <v>96</v>
      </c>
      <c r="O156" s="1" t="s">
        <v>96</v>
      </c>
      <c r="P156">
        <v>29.18</v>
      </c>
      <c r="Q156" s="1" t="s">
        <v>96</v>
      </c>
      <c r="R156" s="1" t="s">
        <v>96</v>
      </c>
      <c r="S156" s="1">
        <v>17.38</v>
      </c>
      <c r="T156" s="1" t="s">
        <v>96</v>
      </c>
      <c r="U156" s="1" t="s">
        <v>96</v>
      </c>
      <c r="V156" s="1" t="s">
        <v>96</v>
      </c>
      <c r="W156" s="1" t="s">
        <v>96</v>
      </c>
      <c r="X156" s="1" t="s">
        <v>96</v>
      </c>
      <c r="Y156" s="1" t="s">
        <v>96</v>
      </c>
      <c r="Z156" t="s">
        <v>96</v>
      </c>
      <c r="AA156" s="1" t="s">
        <v>96</v>
      </c>
      <c r="AB156">
        <v>2.15</v>
      </c>
      <c r="AC156">
        <v>16.920000000000002</v>
      </c>
      <c r="AD156">
        <v>67.61</v>
      </c>
      <c r="AE156" s="1" t="s">
        <v>96</v>
      </c>
      <c r="AF156">
        <v>27.19</v>
      </c>
      <c r="AG156">
        <v>254.9</v>
      </c>
      <c r="AH156">
        <v>75.66</v>
      </c>
      <c r="AI156" s="1">
        <v>3.52</v>
      </c>
      <c r="AJ156" s="1" t="s">
        <v>96</v>
      </c>
      <c r="AK156" s="1" t="s">
        <v>96</v>
      </c>
      <c r="AL156" s="1" t="s">
        <v>96</v>
      </c>
      <c r="AM156" s="1" t="s">
        <v>96</v>
      </c>
      <c r="AN156" s="1" t="s">
        <v>96</v>
      </c>
      <c r="AO156">
        <v>94.78</v>
      </c>
      <c r="AP156">
        <v>46.22</v>
      </c>
      <c r="AQ156" s="1" t="s">
        <v>96</v>
      </c>
      <c r="AR156" s="1">
        <v>2.4500000000000002</v>
      </c>
      <c r="AS156">
        <v>72.349999999999994</v>
      </c>
      <c r="AT156">
        <v>5.83</v>
      </c>
      <c r="AU156" s="1" t="s">
        <v>96</v>
      </c>
      <c r="AV156" s="1" t="s">
        <v>96</v>
      </c>
      <c r="AW156">
        <v>25.56</v>
      </c>
      <c r="AX156" s="1" t="s">
        <v>96</v>
      </c>
      <c r="AY156">
        <v>1940</v>
      </c>
      <c r="AZ156">
        <v>661.35</v>
      </c>
      <c r="BA156">
        <v>191.94</v>
      </c>
      <c r="BB156" s="1" t="s">
        <v>96</v>
      </c>
      <c r="BC156">
        <v>445.55</v>
      </c>
      <c r="BD156" s="1" t="s">
        <v>96</v>
      </c>
      <c r="BE156" s="1">
        <v>7.42</v>
      </c>
      <c r="BF156">
        <v>7.68</v>
      </c>
      <c r="BG156" s="1">
        <v>6.49</v>
      </c>
      <c r="BH156" s="1" t="s">
        <v>96</v>
      </c>
      <c r="BI156">
        <v>114.34</v>
      </c>
      <c r="BJ156">
        <v>39.54</v>
      </c>
      <c r="BK156" s="1" t="s">
        <v>96</v>
      </c>
      <c r="BL156" s="1" t="s">
        <v>96</v>
      </c>
      <c r="BM156" t="s">
        <v>96</v>
      </c>
      <c r="BN156">
        <v>28.22</v>
      </c>
      <c r="BO156">
        <v>25.23</v>
      </c>
      <c r="BP156">
        <v>5.72</v>
      </c>
      <c r="BQ156" s="1" t="s">
        <v>96</v>
      </c>
      <c r="BR156" s="1" t="s">
        <v>96</v>
      </c>
      <c r="BS156" s="1" t="s">
        <v>96</v>
      </c>
      <c r="BT156" s="1" t="s">
        <v>96</v>
      </c>
      <c r="BU156" s="1">
        <v>12.46</v>
      </c>
      <c r="BV156">
        <v>41.29</v>
      </c>
      <c r="BW156" t="s">
        <v>96</v>
      </c>
      <c r="BX156" s="1" t="s">
        <v>96</v>
      </c>
      <c r="BY156">
        <v>354.88</v>
      </c>
      <c r="BZ156" t="s">
        <v>96</v>
      </c>
      <c r="CA156" s="1" t="s">
        <v>96</v>
      </c>
      <c r="CB156">
        <v>20.98</v>
      </c>
      <c r="CC156">
        <v>40.28</v>
      </c>
      <c r="CD156" s="1" t="s">
        <v>96</v>
      </c>
    </row>
    <row r="157" spans="1:82">
      <c r="A157">
        <v>225</v>
      </c>
      <c r="B157" t="s">
        <v>770</v>
      </c>
      <c r="D157" t="b">
        <v>1</v>
      </c>
      <c r="E157" t="s">
        <v>771</v>
      </c>
      <c r="F157">
        <v>336</v>
      </c>
      <c r="G157">
        <v>6</v>
      </c>
      <c r="J157" t="s">
        <v>772</v>
      </c>
      <c r="K157" t="s">
        <v>94</v>
      </c>
      <c r="L157" t="s">
        <v>95</v>
      </c>
      <c r="M157">
        <v>100</v>
      </c>
      <c r="N157" s="1" t="s">
        <v>96</v>
      </c>
      <c r="O157" s="1" t="s">
        <v>96</v>
      </c>
      <c r="P157">
        <v>10.18</v>
      </c>
      <c r="Q157" s="1" t="s">
        <v>96</v>
      </c>
      <c r="R157" s="1" t="s">
        <v>96</v>
      </c>
      <c r="S157" s="1" t="s">
        <v>96</v>
      </c>
      <c r="T157" s="1" t="s">
        <v>96</v>
      </c>
      <c r="U157" s="1" t="s">
        <v>96</v>
      </c>
      <c r="V157" s="1" t="s">
        <v>96</v>
      </c>
      <c r="W157" s="1" t="s">
        <v>96</v>
      </c>
      <c r="X157" s="1" t="s">
        <v>96</v>
      </c>
      <c r="Y157" s="1" t="s">
        <v>96</v>
      </c>
      <c r="Z157" t="s">
        <v>96</v>
      </c>
      <c r="AA157" s="1" t="s">
        <v>96</v>
      </c>
      <c r="AB157">
        <v>2.35</v>
      </c>
      <c r="AC157">
        <v>30.9</v>
      </c>
      <c r="AD157">
        <v>17.91</v>
      </c>
      <c r="AE157" s="1" t="s">
        <v>96</v>
      </c>
      <c r="AF157">
        <v>34.18</v>
      </c>
      <c r="AG157">
        <v>412.26</v>
      </c>
      <c r="AH157">
        <v>52.33</v>
      </c>
      <c r="AI157" s="1" t="s">
        <v>96</v>
      </c>
      <c r="AJ157" s="1" t="s">
        <v>96</v>
      </c>
      <c r="AK157" s="1" t="s">
        <v>96</v>
      </c>
      <c r="AL157" s="1" t="s">
        <v>96</v>
      </c>
      <c r="AM157" s="1" t="s">
        <v>96</v>
      </c>
      <c r="AN157" s="1" t="s">
        <v>96</v>
      </c>
      <c r="AO157" t="s">
        <v>96</v>
      </c>
      <c r="AP157">
        <v>44.07</v>
      </c>
      <c r="AQ157" s="1" t="s">
        <v>96</v>
      </c>
      <c r="AR157" s="1">
        <v>4.57</v>
      </c>
      <c r="AS157">
        <v>56.57</v>
      </c>
      <c r="AT157" t="s">
        <v>96</v>
      </c>
      <c r="AU157" s="1" t="s">
        <v>96</v>
      </c>
      <c r="AV157" s="1" t="s">
        <v>96</v>
      </c>
      <c r="AW157" t="s">
        <v>96</v>
      </c>
      <c r="AX157" s="1" t="s">
        <v>96</v>
      </c>
      <c r="AY157">
        <v>110.1</v>
      </c>
      <c r="AZ157">
        <v>231.47</v>
      </c>
      <c r="BA157">
        <v>10.35</v>
      </c>
      <c r="BB157" s="1" t="s">
        <v>96</v>
      </c>
      <c r="BC157">
        <v>47.78</v>
      </c>
      <c r="BD157" s="1" t="s">
        <v>96</v>
      </c>
      <c r="BE157" s="1" t="s">
        <v>96</v>
      </c>
      <c r="BF157" t="s">
        <v>96</v>
      </c>
      <c r="BG157" s="1" t="s">
        <v>96</v>
      </c>
      <c r="BH157" s="1" t="s">
        <v>96</v>
      </c>
      <c r="BI157">
        <v>39.119999999999997</v>
      </c>
      <c r="BJ157">
        <v>66.08</v>
      </c>
      <c r="BK157" s="1" t="s">
        <v>96</v>
      </c>
      <c r="BL157" s="1" t="s">
        <v>96</v>
      </c>
      <c r="BM157" t="s">
        <v>96</v>
      </c>
      <c r="BN157">
        <v>11.75</v>
      </c>
      <c r="BO157">
        <v>23.53</v>
      </c>
      <c r="BP157" t="s">
        <v>96</v>
      </c>
      <c r="BQ157" s="1" t="s">
        <v>96</v>
      </c>
      <c r="BR157" s="1" t="s">
        <v>96</v>
      </c>
      <c r="BS157" s="1" t="s">
        <v>96</v>
      </c>
      <c r="BT157" s="1" t="s">
        <v>96</v>
      </c>
      <c r="BU157" s="1">
        <v>30.2</v>
      </c>
      <c r="BV157">
        <v>9.73</v>
      </c>
      <c r="BW157" t="s">
        <v>96</v>
      </c>
      <c r="BX157" s="1" t="s">
        <v>96</v>
      </c>
      <c r="BY157">
        <v>110.71</v>
      </c>
      <c r="BZ157">
        <v>13.47</v>
      </c>
      <c r="CA157" s="1" t="s">
        <v>96</v>
      </c>
      <c r="CB157" t="s">
        <v>96</v>
      </c>
      <c r="CC157">
        <v>30.85</v>
      </c>
      <c r="CD157" s="1" t="s">
        <v>96</v>
      </c>
    </row>
    <row r="158" spans="1:82">
      <c r="A158">
        <v>234</v>
      </c>
      <c r="B158" t="s">
        <v>797</v>
      </c>
      <c r="D158" t="b">
        <v>1</v>
      </c>
      <c r="E158" t="s">
        <v>798</v>
      </c>
      <c r="F158">
        <v>347</v>
      </c>
      <c r="G158">
        <v>6</v>
      </c>
      <c r="J158" t="s">
        <v>799</v>
      </c>
      <c r="K158" t="s">
        <v>94</v>
      </c>
      <c r="L158" t="s">
        <v>95</v>
      </c>
      <c r="M158">
        <v>100</v>
      </c>
      <c r="N158" s="1" t="s">
        <v>96</v>
      </c>
      <c r="O158" s="1" t="s">
        <v>96</v>
      </c>
      <c r="P158">
        <v>23.02</v>
      </c>
      <c r="Q158" s="1" t="s">
        <v>96</v>
      </c>
      <c r="R158" s="1" t="s">
        <v>96</v>
      </c>
      <c r="S158" s="1" t="s">
        <v>96</v>
      </c>
      <c r="T158" s="1" t="s">
        <v>96</v>
      </c>
      <c r="U158" s="1" t="s">
        <v>96</v>
      </c>
      <c r="V158" s="1" t="s">
        <v>96</v>
      </c>
      <c r="W158" s="1" t="s">
        <v>96</v>
      </c>
      <c r="X158" s="1" t="s">
        <v>96</v>
      </c>
      <c r="Y158" s="1" t="s">
        <v>96</v>
      </c>
      <c r="Z158" t="s">
        <v>96</v>
      </c>
      <c r="AA158" s="1" t="s">
        <v>96</v>
      </c>
      <c r="AB158">
        <v>3.59</v>
      </c>
      <c r="AC158">
        <v>12.22</v>
      </c>
      <c r="AD158">
        <v>52.16</v>
      </c>
      <c r="AE158" s="1" t="s">
        <v>96</v>
      </c>
      <c r="AF158">
        <v>8.0299999999999994</v>
      </c>
      <c r="AG158">
        <v>220</v>
      </c>
      <c r="AH158">
        <v>47.29</v>
      </c>
      <c r="AI158" s="1">
        <v>5.18</v>
      </c>
      <c r="AJ158" s="1">
        <v>12.63</v>
      </c>
      <c r="AK158" s="1" t="s">
        <v>96</v>
      </c>
      <c r="AL158" s="1" t="s">
        <v>96</v>
      </c>
      <c r="AM158" s="1" t="s">
        <v>96</v>
      </c>
      <c r="AN158" s="1" t="s">
        <v>96</v>
      </c>
      <c r="AO158">
        <v>99.12</v>
      </c>
      <c r="AP158">
        <v>21</v>
      </c>
      <c r="AQ158" s="1" t="s">
        <v>96</v>
      </c>
      <c r="AR158" s="1" t="s">
        <v>96</v>
      </c>
      <c r="AS158">
        <v>78.680000000000007</v>
      </c>
      <c r="AT158">
        <v>10.33</v>
      </c>
      <c r="AU158" s="1" t="s">
        <v>96</v>
      </c>
      <c r="AV158" s="1" t="s">
        <v>96</v>
      </c>
      <c r="AW158">
        <v>20.68</v>
      </c>
      <c r="AX158" s="1" t="s">
        <v>96</v>
      </c>
      <c r="AY158">
        <v>2362.12</v>
      </c>
      <c r="AZ158">
        <v>948.75</v>
      </c>
      <c r="BA158">
        <v>281.94</v>
      </c>
      <c r="BB158" s="1" t="s">
        <v>96</v>
      </c>
      <c r="BC158" t="s">
        <v>133</v>
      </c>
      <c r="BD158" s="1" t="s">
        <v>96</v>
      </c>
      <c r="BE158" s="1">
        <v>3.06</v>
      </c>
      <c r="BF158">
        <v>71.599999999999994</v>
      </c>
      <c r="BG158" s="1">
        <v>10.43</v>
      </c>
      <c r="BH158" s="1" t="s">
        <v>96</v>
      </c>
      <c r="BI158">
        <v>179.9</v>
      </c>
      <c r="BJ158">
        <v>69.5</v>
      </c>
      <c r="BK158" s="1" t="s">
        <v>96</v>
      </c>
      <c r="BL158" s="1">
        <v>5.67</v>
      </c>
      <c r="BM158">
        <v>10.92</v>
      </c>
      <c r="BN158">
        <v>71.180000000000007</v>
      </c>
      <c r="BO158">
        <v>35.950000000000003</v>
      </c>
      <c r="BP158">
        <v>2.75</v>
      </c>
      <c r="BQ158" s="1" t="s">
        <v>96</v>
      </c>
      <c r="BR158" s="1" t="s">
        <v>96</v>
      </c>
      <c r="BS158" s="1" t="s">
        <v>96</v>
      </c>
      <c r="BT158" s="1" t="s">
        <v>96</v>
      </c>
      <c r="BU158" s="1" t="s">
        <v>96</v>
      </c>
      <c r="BV158">
        <v>133.82</v>
      </c>
      <c r="BW158">
        <v>20.29</v>
      </c>
      <c r="BX158" s="1" t="s">
        <v>96</v>
      </c>
      <c r="BY158">
        <v>402.06</v>
      </c>
      <c r="BZ158">
        <v>20.72</v>
      </c>
      <c r="CA158" s="1" t="s">
        <v>96</v>
      </c>
      <c r="CB158">
        <v>20.239999999999998</v>
      </c>
      <c r="CC158">
        <v>142.81</v>
      </c>
      <c r="CD158" s="1" t="s">
        <v>96</v>
      </c>
    </row>
    <row r="159" spans="1:82">
      <c r="A159">
        <v>190</v>
      </c>
      <c r="B159" t="s">
        <v>665</v>
      </c>
      <c r="D159" t="b">
        <v>1</v>
      </c>
      <c r="E159" t="s">
        <v>666</v>
      </c>
      <c r="F159">
        <v>283</v>
      </c>
      <c r="G159">
        <v>5</v>
      </c>
      <c r="J159" t="s">
        <v>667</v>
      </c>
      <c r="K159" t="s">
        <v>94</v>
      </c>
      <c r="L159" t="s">
        <v>95</v>
      </c>
      <c r="M159">
        <v>100</v>
      </c>
      <c r="N159" s="1" t="s">
        <v>96</v>
      </c>
      <c r="O159" s="1" t="s">
        <v>96</v>
      </c>
      <c r="P159">
        <v>28.42</v>
      </c>
      <c r="Q159" s="1" t="s">
        <v>96</v>
      </c>
      <c r="R159" s="1" t="s">
        <v>96</v>
      </c>
      <c r="S159" s="1" t="s">
        <v>96</v>
      </c>
      <c r="T159" s="1" t="s">
        <v>96</v>
      </c>
      <c r="U159" s="1" t="s">
        <v>96</v>
      </c>
      <c r="V159" s="1" t="s">
        <v>96</v>
      </c>
      <c r="W159" s="1" t="s">
        <v>96</v>
      </c>
      <c r="X159" s="1" t="s">
        <v>96</v>
      </c>
      <c r="Y159" s="1" t="s">
        <v>96</v>
      </c>
      <c r="Z159" t="s">
        <v>96</v>
      </c>
      <c r="AA159" s="1" t="s">
        <v>96</v>
      </c>
      <c r="AB159" t="s">
        <v>96</v>
      </c>
      <c r="AC159">
        <v>2.5</v>
      </c>
      <c r="AD159">
        <v>29.22</v>
      </c>
      <c r="AE159" s="1" t="s">
        <v>96</v>
      </c>
      <c r="AF159">
        <v>8.7799999999999994</v>
      </c>
      <c r="AG159">
        <v>77.83</v>
      </c>
      <c r="AH159">
        <v>33.15</v>
      </c>
      <c r="AI159" s="1">
        <v>2.68</v>
      </c>
      <c r="AJ159" s="1" t="s">
        <v>96</v>
      </c>
      <c r="AK159" s="1" t="s">
        <v>96</v>
      </c>
      <c r="AL159" s="1" t="s">
        <v>96</v>
      </c>
      <c r="AM159" s="1" t="s">
        <v>96</v>
      </c>
      <c r="AN159" s="1" t="s">
        <v>96</v>
      </c>
      <c r="AO159" t="s">
        <v>96</v>
      </c>
      <c r="AP159">
        <v>10.56</v>
      </c>
      <c r="AQ159" s="1" t="s">
        <v>96</v>
      </c>
      <c r="AR159" s="1" t="s">
        <v>96</v>
      </c>
      <c r="AS159">
        <v>50.75</v>
      </c>
      <c r="AT159">
        <v>4.42</v>
      </c>
      <c r="AU159" s="1" t="s">
        <v>96</v>
      </c>
      <c r="AV159" s="1" t="s">
        <v>96</v>
      </c>
      <c r="AW159" t="s">
        <v>96</v>
      </c>
      <c r="AX159" s="1" t="s">
        <v>96</v>
      </c>
      <c r="AY159">
        <v>1137.3900000000001</v>
      </c>
      <c r="AZ159">
        <v>136.94</v>
      </c>
      <c r="BA159">
        <v>63.48</v>
      </c>
      <c r="BB159" s="1" t="s">
        <v>96</v>
      </c>
      <c r="BC159">
        <v>566.26</v>
      </c>
      <c r="BD159" s="1" t="s">
        <v>96</v>
      </c>
      <c r="BE159" s="1" t="s">
        <v>96</v>
      </c>
      <c r="BF159">
        <v>104.03</v>
      </c>
      <c r="BG159" s="1" t="s">
        <v>96</v>
      </c>
      <c r="BH159" s="1" t="s">
        <v>96</v>
      </c>
      <c r="BI159">
        <v>51.21</v>
      </c>
      <c r="BJ159">
        <v>10.130000000000001</v>
      </c>
      <c r="BK159" s="1" t="s">
        <v>96</v>
      </c>
      <c r="BL159" s="1">
        <v>12.81</v>
      </c>
      <c r="BM159" t="s">
        <v>96</v>
      </c>
      <c r="BN159">
        <v>33.130000000000003</v>
      </c>
      <c r="BO159">
        <v>62.16</v>
      </c>
      <c r="BP159" t="s">
        <v>96</v>
      </c>
      <c r="BQ159" s="1" t="s">
        <v>96</v>
      </c>
      <c r="BR159" s="1" t="s">
        <v>96</v>
      </c>
      <c r="BS159" s="1" t="s">
        <v>96</v>
      </c>
      <c r="BT159" s="1" t="s">
        <v>96</v>
      </c>
      <c r="BU159" s="1">
        <v>7.59</v>
      </c>
      <c r="BV159">
        <v>566.63</v>
      </c>
      <c r="BW159">
        <v>44.79</v>
      </c>
      <c r="BX159" s="1">
        <v>12.76</v>
      </c>
      <c r="BY159">
        <v>556.01</v>
      </c>
      <c r="BZ159">
        <v>26.23</v>
      </c>
      <c r="CA159" s="1" t="s">
        <v>96</v>
      </c>
      <c r="CB159">
        <v>42.58</v>
      </c>
      <c r="CC159">
        <v>227.56</v>
      </c>
      <c r="CD159" s="1" t="s">
        <v>96</v>
      </c>
    </row>
    <row r="160" spans="1:82">
      <c r="A160">
        <v>178</v>
      </c>
      <c r="B160" t="s">
        <v>629</v>
      </c>
      <c r="D160" t="b">
        <v>1</v>
      </c>
      <c r="E160" t="s">
        <v>630</v>
      </c>
      <c r="F160">
        <v>267</v>
      </c>
      <c r="G160">
        <v>5</v>
      </c>
      <c r="J160" t="s">
        <v>631</v>
      </c>
      <c r="K160" t="s">
        <v>94</v>
      </c>
      <c r="L160" t="s">
        <v>95</v>
      </c>
      <c r="M160">
        <v>100</v>
      </c>
      <c r="N160" s="1" t="s">
        <v>96</v>
      </c>
      <c r="O160" s="1" t="s">
        <v>96</v>
      </c>
      <c r="P160">
        <v>18.5</v>
      </c>
      <c r="Q160" s="1" t="s">
        <v>96</v>
      </c>
      <c r="R160" s="1" t="s">
        <v>96</v>
      </c>
      <c r="S160" s="1" t="s">
        <v>96</v>
      </c>
      <c r="T160" s="1" t="s">
        <v>96</v>
      </c>
      <c r="U160" s="1" t="s">
        <v>96</v>
      </c>
      <c r="V160" s="1" t="s">
        <v>96</v>
      </c>
      <c r="W160" s="1" t="s">
        <v>96</v>
      </c>
      <c r="X160" s="1" t="s">
        <v>96</v>
      </c>
      <c r="Y160" s="1" t="s">
        <v>96</v>
      </c>
      <c r="Z160">
        <v>4.1900000000000004</v>
      </c>
      <c r="AA160" s="1" t="s">
        <v>96</v>
      </c>
      <c r="AB160">
        <v>24.16</v>
      </c>
      <c r="AC160">
        <v>1.79</v>
      </c>
      <c r="AD160">
        <v>337.42</v>
      </c>
      <c r="AE160" s="1" t="s">
        <v>96</v>
      </c>
      <c r="AF160">
        <v>6.25</v>
      </c>
      <c r="AG160">
        <v>71.459999999999994</v>
      </c>
      <c r="AH160">
        <v>400.74</v>
      </c>
      <c r="AI160" s="1" t="s">
        <v>96</v>
      </c>
      <c r="AJ160" s="1" t="s">
        <v>96</v>
      </c>
      <c r="AK160" s="1" t="s">
        <v>96</v>
      </c>
      <c r="AL160" s="1" t="s">
        <v>96</v>
      </c>
      <c r="AM160" s="1" t="s">
        <v>96</v>
      </c>
      <c r="AN160" s="1">
        <v>3.27</v>
      </c>
      <c r="AO160">
        <v>461.64</v>
      </c>
      <c r="AP160">
        <v>72.760000000000005</v>
      </c>
      <c r="AQ160" s="1">
        <v>1.25</v>
      </c>
      <c r="AR160" s="1" t="s">
        <v>96</v>
      </c>
      <c r="AS160">
        <v>116.36</v>
      </c>
      <c r="AT160">
        <v>19.100000000000001</v>
      </c>
      <c r="AU160" s="1" t="s">
        <v>96</v>
      </c>
      <c r="AV160" s="1" t="s">
        <v>96</v>
      </c>
      <c r="AW160" t="s">
        <v>96</v>
      </c>
      <c r="AX160" s="1" t="s">
        <v>96</v>
      </c>
      <c r="AY160">
        <v>759.86</v>
      </c>
      <c r="AZ160">
        <v>151.62</v>
      </c>
      <c r="BA160">
        <v>150.72999999999999</v>
      </c>
      <c r="BB160" s="1" t="s">
        <v>96</v>
      </c>
      <c r="BC160">
        <v>231.38</v>
      </c>
      <c r="BD160" s="1" t="s">
        <v>96</v>
      </c>
      <c r="BE160" s="1" t="s">
        <v>96</v>
      </c>
      <c r="BF160">
        <v>28.2</v>
      </c>
      <c r="BG160" s="1">
        <v>7.99</v>
      </c>
      <c r="BH160" s="1" t="s">
        <v>96</v>
      </c>
      <c r="BI160">
        <v>73.260000000000005</v>
      </c>
      <c r="BJ160">
        <v>15.65</v>
      </c>
      <c r="BK160" s="1" t="s">
        <v>96</v>
      </c>
      <c r="BL160" s="1">
        <v>4.01</v>
      </c>
      <c r="BM160">
        <v>3.8</v>
      </c>
      <c r="BN160">
        <v>18.13</v>
      </c>
      <c r="BO160">
        <v>12.67</v>
      </c>
      <c r="BP160" t="s">
        <v>96</v>
      </c>
      <c r="BQ160" s="1" t="s">
        <v>96</v>
      </c>
      <c r="BR160" s="1" t="s">
        <v>96</v>
      </c>
      <c r="BS160" s="1" t="s">
        <v>96</v>
      </c>
      <c r="BT160" s="1" t="s">
        <v>96</v>
      </c>
      <c r="BU160" s="1" t="s">
        <v>96</v>
      </c>
      <c r="BV160">
        <v>102.31</v>
      </c>
      <c r="BW160">
        <v>12.95</v>
      </c>
      <c r="BX160" s="1" t="s">
        <v>96</v>
      </c>
      <c r="BY160">
        <v>67.31</v>
      </c>
      <c r="BZ160">
        <v>14.32</v>
      </c>
      <c r="CA160" s="1" t="s">
        <v>96</v>
      </c>
      <c r="CB160">
        <v>71.11</v>
      </c>
      <c r="CC160">
        <v>93.89</v>
      </c>
      <c r="CD160" s="1" t="s">
        <v>96</v>
      </c>
    </row>
    <row r="161" spans="1:82">
      <c r="A161">
        <v>112</v>
      </c>
      <c r="B161" t="s">
        <v>431</v>
      </c>
      <c r="D161" t="b">
        <v>1</v>
      </c>
      <c r="E161" t="s">
        <v>432</v>
      </c>
      <c r="F161">
        <v>165</v>
      </c>
      <c r="G161">
        <v>3</v>
      </c>
      <c r="J161" t="s">
        <v>433</v>
      </c>
      <c r="K161" t="s">
        <v>94</v>
      </c>
      <c r="L161" t="s">
        <v>95</v>
      </c>
      <c r="M161">
        <v>100</v>
      </c>
      <c r="N161" s="1" t="s">
        <v>96</v>
      </c>
      <c r="O161" s="1" t="s">
        <v>96</v>
      </c>
      <c r="P161">
        <v>22.02</v>
      </c>
      <c r="Q161" s="1" t="s">
        <v>96</v>
      </c>
      <c r="R161" s="1" t="s">
        <v>96</v>
      </c>
      <c r="S161" s="1" t="s">
        <v>96</v>
      </c>
      <c r="T161" s="1" t="s">
        <v>96</v>
      </c>
      <c r="U161" s="1" t="s">
        <v>96</v>
      </c>
      <c r="V161" s="1" t="s">
        <v>96</v>
      </c>
      <c r="W161" s="1" t="s">
        <v>96</v>
      </c>
      <c r="X161" s="1" t="s">
        <v>96</v>
      </c>
      <c r="Y161" s="1" t="s">
        <v>96</v>
      </c>
      <c r="Z161" t="s">
        <v>96</v>
      </c>
      <c r="AA161" s="1" t="s">
        <v>96</v>
      </c>
      <c r="AB161">
        <v>8.42</v>
      </c>
      <c r="AC161">
        <v>1.61</v>
      </c>
      <c r="AD161">
        <v>35.119999999999997</v>
      </c>
      <c r="AE161" s="1" t="s">
        <v>96</v>
      </c>
      <c r="AF161" t="s">
        <v>96</v>
      </c>
      <c r="AG161">
        <v>74.73</v>
      </c>
      <c r="AH161">
        <v>146.88999999999999</v>
      </c>
      <c r="AI161" s="1" t="s">
        <v>96</v>
      </c>
      <c r="AJ161" s="1" t="s">
        <v>96</v>
      </c>
      <c r="AK161" s="1" t="s">
        <v>96</v>
      </c>
      <c r="AL161" s="1" t="s">
        <v>96</v>
      </c>
      <c r="AM161" s="1" t="s">
        <v>96</v>
      </c>
      <c r="AN161" s="1" t="s">
        <v>96</v>
      </c>
      <c r="AO161">
        <v>39.450000000000003</v>
      </c>
      <c r="AP161">
        <v>14.15</v>
      </c>
      <c r="AQ161" s="1" t="s">
        <v>96</v>
      </c>
      <c r="AR161" s="1" t="s">
        <v>96</v>
      </c>
      <c r="AS161">
        <v>49.38</v>
      </c>
      <c r="AT161">
        <v>11.5</v>
      </c>
      <c r="AU161" s="1" t="s">
        <v>96</v>
      </c>
      <c r="AV161" s="1" t="s">
        <v>96</v>
      </c>
      <c r="AW161" t="s">
        <v>96</v>
      </c>
      <c r="AX161" s="1" t="s">
        <v>96</v>
      </c>
      <c r="AY161">
        <v>414.36</v>
      </c>
      <c r="AZ161">
        <v>44.52</v>
      </c>
      <c r="BA161">
        <v>27.16</v>
      </c>
      <c r="BB161" s="1" t="s">
        <v>96</v>
      </c>
      <c r="BC161">
        <v>110.47</v>
      </c>
      <c r="BD161" s="1" t="s">
        <v>96</v>
      </c>
      <c r="BE161" s="1" t="s">
        <v>96</v>
      </c>
      <c r="BF161">
        <v>11.72</v>
      </c>
      <c r="BG161" s="1" t="s">
        <v>96</v>
      </c>
      <c r="BH161" s="1" t="s">
        <v>96</v>
      </c>
      <c r="BI161">
        <v>32.619999999999997</v>
      </c>
      <c r="BJ161">
        <v>5.35</v>
      </c>
      <c r="BK161" s="1" t="s">
        <v>96</v>
      </c>
      <c r="BL161" s="1" t="s">
        <v>96</v>
      </c>
      <c r="BM161" t="s">
        <v>96</v>
      </c>
      <c r="BN161">
        <v>6.97</v>
      </c>
      <c r="BO161">
        <v>12.94</v>
      </c>
      <c r="BP161" t="s">
        <v>96</v>
      </c>
      <c r="BQ161" s="1" t="s">
        <v>96</v>
      </c>
      <c r="BR161" s="1" t="s">
        <v>96</v>
      </c>
      <c r="BS161" s="1" t="s">
        <v>96</v>
      </c>
      <c r="BT161" s="1" t="s">
        <v>96</v>
      </c>
      <c r="BU161" s="1" t="s">
        <v>96</v>
      </c>
      <c r="BV161">
        <v>43.77</v>
      </c>
      <c r="BW161">
        <v>6.88</v>
      </c>
      <c r="BX161" s="1" t="s">
        <v>96</v>
      </c>
      <c r="BY161">
        <v>66.510000000000005</v>
      </c>
      <c r="BZ161" t="s">
        <v>96</v>
      </c>
      <c r="CA161" s="1" t="s">
        <v>96</v>
      </c>
      <c r="CB161">
        <v>12.21</v>
      </c>
      <c r="CC161">
        <v>9.3800000000000008</v>
      </c>
      <c r="CD161" s="1" t="s">
        <v>96</v>
      </c>
    </row>
    <row r="162" spans="1:82">
      <c r="A162">
        <v>131</v>
      </c>
      <c r="B162" t="s">
        <v>488</v>
      </c>
      <c r="D162" t="b">
        <v>1</v>
      </c>
      <c r="E162" t="s">
        <v>489</v>
      </c>
      <c r="F162">
        <v>20</v>
      </c>
      <c r="G162">
        <v>4</v>
      </c>
      <c r="J162" t="s">
        <v>490</v>
      </c>
      <c r="K162" t="s">
        <v>94</v>
      </c>
      <c r="L162" t="s">
        <v>95</v>
      </c>
      <c r="M162">
        <v>100</v>
      </c>
      <c r="N162" s="1" t="s">
        <v>96</v>
      </c>
      <c r="O162" s="1" t="s">
        <v>96</v>
      </c>
      <c r="P162">
        <v>15.91</v>
      </c>
      <c r="Q162" s="1" t="s">
        <v>96</v>
      </c>
      <c r="R162" s="1" t="s">
        <v>96</v>
      </c>
      <c r="S162" s="1" t="s">
        <v>96</v>
      </c>
      <c r="T162" s="1" t="s">
        <v>96</v>
      </c>
      <c r="U162" s="1" t="s">
        <v>96</v>
      </c>
      <c r="V162" s="1" t="s">
        <v>96</v>
      </c>
      <c r="W162" s="1" t="s">
        <v>96</v>
      </c>
      <c r="X162" s="1" t="s">
        <v>96</v>
      </c>
      <c r="Y162" s="1" t="s">
        <v>96</v>
      </c>
      <c r="Z162" t="s">
        <v>96</v>
      </c>
      <c r="AA162" s="1" t="s">
        <v>96</v>
      </c>
      <c r="AB162">
        <v>7.8</v>
      </c>
      <c r="AC162">
        <v>1.66</v>
      </c>
      <c r="AD162">
        <v>57.14</v>
      </c>
      <c r="AE162" s="1" t="s">
        <v>96</v>
      </c>
      <c r="AF162" t="s">
        <v>96</v>
      </c>
      <c r="AG162">
        <v>61.9</v>
      </c>
      <c r="AH162">
        <v>381.91</v>
      </c>
      <c r="AI162" s="1" t="s">
        <v>96</v>
      </c>
      <c r="AJ162" s="1">
        <v>10.09</v>
      </c>
      <c r="AK162" s="1" t="s">
        <v>96</v>
      </c>
      <c r="AL162" s="1" t="s">
        <v>96</v>
      </c>
      <c r="AM162" s="1" t="s">
        <v>96</v>
      </c>
      <c r="AN162" s="1" t="s">
        <v>96</v>
      </c>
      <c r="AO162">
        <v>78.14</v>
      </c>
      <c r="AP162">
        <v>16.16</v>
      </c>
      <c r="AQ162" s="1" t="s">
        <v>96</v>
      </c>
      <c r="AR162" s="1" t="s">
        <v>96</v>
      </c>
      <c r="AS162">
        <v>243.03</v>
      </c>
      <c r="AT162">
        <v>5.39</v>
      </c>
      <c r="AU162" s="1" t="s">
        <v>96</v>
      </c>
      <c r="AV162" s="1" t="s">
        <v>96</v>
      </c>
      <c r="AW162">
        <v>3.09</v>
      </c>
      <c r="AX162" s="1" t="s">
        <v>96</v>
      </c>
      <c r="AY162">
        <v>1114.1500000000001</v>
      </c>
      <c r="AZ162">
        <v>108.19</v>
      </c>
      <c r="BA162">
        <v>73.56</v>
      </c>
      <c r="BB162" s="1" t="s">
        <v>96</v>
      </c>
      <c r="BC162">
        <v>444.62</v>
      </c>
      <c r="BD162" s="1" t="s">
        <v>96</v>
      </c>
      <c r="BE162" s="1" t="s">
        <v>96</v>
      </c>
      <c r="BF162">
        <v>23.57</v>
      </c>
      <c r="BG162" s="1">
        <v>5.49</v>
      </c>
      <c r="BH162" s="1" t="s">
        <v>96</v>
      </c>
      <c r="BI162">
        <v>168.72</v>
      </c>
      <c r="BJ162">
        <v>16.010000000000002</v>
      </c>
      <c r="BK162" s="1" t="s">
        <v>96</v>
      </c>
      <c r="BL162" s="1">
        <v>3.68</v>
      </c>
      <c r="BM162" t="s">
        <v>96</v>
      </c>
      <c r="BN162">
        <v>60.54</v>
      </c>
      <c r="BO162">
        <v>155.33000000000001</v>
      </c>
      <c r="BP162">
        <v>4.21</v>
      </c>
      <c r="BQ162" s="1" t="s">
        <v>96</v>
      </c>
      <c r="BR162" s="1" t="s">
        <v>96</v>
      </c>
      <c r="BS162" s="1" t="s">
        <v>96</v>
      </c>
      <c r="BT162" s="1">
        <v>4.18</v>
      </c>
      <c r="BU162" s="1">
        <v>9.7799999999999994</v>
      </c>
      <c r="BV162">
        <v>562.92999999999995</v>
      </c>
      <c r="BW162">
        <v>145.21</v>
      </c>
      <c r="BX162" s="1">
        <v>8.61</v>
      </c>
      <c r="BY162">
        <v>624.92999999999995</v>
      </c>
      <c r="BZ162">
        <v>45.81</v>
      </c>
      <c r="CA162" s="1">
        <v>14.15</v>
      </c>
      <c r="CB162">
        <v>73.78</v>
      </c>
      <c r="CC162">
        <v>161.22</v>
      </c>
      <c r="CD162" s="1" t="s">
        <v>96</v>
      </c>
    </row>
    <row r="163" spans="1:82">
      <c r="A163">
        <v>142</v>
      </c>
      <c r="B163" t="s">
        <v>521</v>
      </c>
      <c r="D163" t="b">
        <v>1</v>
      </c>
      <c r="E163" t="s">
        <v>522</v>
      </c>
      <c r="F163">
        <v>33</v>
      </c>
      <c r="G163">
        <v>4</v>
      </c>
      <c r="J163" t="s">
        <v>523</v>
      </c>
      <c r="K163" t="s">
        <v>94</v>
      </c>
      <c r="L163" t="s">
        <v>95</v>
      </c>
      <c r="M163">
        <v>100</v>
      </c>
      <c r="N163" s="1" t="s">
        <v>96</v>
      </c>
      <c r="O163" s="1" t="s">
        <v>96</v>
      </c>
      <c r="P163">
        <v>20.57</v>
      </c>
      <c r="Q163" s="1" t="s">
        <v>96</v>
      </c>
      <c r="R163" s="1" t="s">
        <v>96</v>
      </c>
      <c r="S163" s="1">
        <v>19.55</v>
      </c>
      <c r="T163" s="1" t="s">
        <v>96</v>
      </c>
      <c r="U163" s="1" t="s">
        <v>96</v>
      </c>
      <c r="V163" s="1" t="s">
        <v>96</v>
      </c>
      <c r="W163" s="1" t="s">
        <v>96</v>
      </c>
      <c r="X163" s="1" t="s">
        <v>96</v>
      </c>
      <c r="Y163" s="1" t="s">
        <v>96</v>
      </c>
      <c r="Z163" t="s">
        <v>96</v>
      </c>
      <c r="AA163" s="1" t="s">
        <v>96</v>
      </c>
      <c r="AB163">
        <v>5.78</v>
      </c>
      <c r="AC163">
        <v>15.3</v>
      </c>
      <c r="AD163">
        <v>336.5</v>
      </c>
      <c r="AE163" s="1" t="s">
        <v>96</v>
      </c>
      <c r="AF163">
        <v>31.92</v>
      </c>
      <c r="AG163">
        <v>306.73</v>
      </c>
      <c r="AH163">
        <v>586.25</v>
      </c>
      <c r="AI163" s="1">
        <v>2.93</v>
      </c>
      <c r="AJ163" s="1">
        <v>1.1100000000000001</v>
      </c>
      <c r="AK163" s="1" t="s">
        <v>96</v>
      </c>
      <c r="AL163" s="1" t="s">
        <v>96</v>
      </c>
      <c r="AM163" s="1" t="s">
        <v>96</v>
      </c>
      <c r="AN163" s="1" t="s">
        <v>96</v>
      </c>
      <c r="AO163">
        <v>293.66000000000003</v>
      </c>
      <c r="AP163">
        <v>87.19</v>
      </c>
      <c r="AQ163" s="1">
        <v>2.16</v>
      </c>
      <c r="AR163" s="1" t="s">
        <v>96</v>
      </c>
      <c r="AS163">
        <v>471.12</v>
      </c>
      <c r="AT163">
        <v>10.98</v>
      </c>
      <c r="AU163" s="1" t="s">
        <v>96</v>
      </c>
      <c r="AV163" s="1" t="s">
        <v>96</v>
      </c>
      <c r="AW163">
        <v>23.44</v>
      </c>
      <c r="AX163" s="1" t="s">
        <v>96</v>
      </c>
      <c r="AY163">
        <v>1819.39</v>
      </c>
      <c r="AZ163">
        <v>503.25</v>
      </c>
      <c r="BA163">
        <v>188.45</v>
      </c>
      <c r="BB163" s="1" t="s">
        <v>96</v>
      </c>
      <c r="BC163">
        <v>449.18</v>
      </c>
      <c r="BD163" s="1" t="s">
        <v>96</v>
      </c>
      <c r="BE163" s="1" t="s">
        <v>96</v>
      </c>
      <c r="BF163">
        <v>18.87</v>
      </c>
      <c r="BG163" s="1">
        <v>2.68</v>
      </c>
      <c r="BH163" s="1" t="s">
        <v>96</v>
      </c>
      <c r="BI163">
        <v>48.59</v>
      </c>
      <c r="BJ163">
        <v>14.15</v>
      </c>
      <c r="BK163" s="1" t="s">
        <v>96</v>
      </c>
      <c r="BL163" s="1" t="s">
        <v>96</v>
      </c>
      <c r="BM163">
        <v>2.71</v>
      </c>
      <c r="BN163">
        <v>12.04</v>
      </c>
      <c r="BO163">
        <v>14.75</v>
      </c>
      <c r="BP163">
        <v>10.14</v>
      </c>
      <c r="BQ163" s="1" t="s">
        <v>96</v>
      </c>
      <c r="BR163" s="1" t="s">
        <v>96</v>
      </c>
      <c r="BS163" s="1" t="s">
        <v>96</v>
      </c>
      <c r="BT163" s="1">
        <v>3.74</v>
      </c>
      <c r="BU163" s="1">
        <v>9.39</v>
      </c>
      <c r="BV163">
        <v>64.150000000000006</v>
      </c>
      <c r="BW163">
        <v>5.05</v>
      </c>
      <c r="BX163" s="1" t="s">
        <v>96</v>
      </c>
      <c r="BY163">
        <v>453.36</v>
      </c>
      <c r="BZ163" t="s">
        <v>96</v>
      </c>
      <c r="CA163" s="1" t="s">
        <v>96</v>
      </c>
      <c r="CB163">
        <v>13.35</v>
      </c>
      <c r="CC163">
        <v>36.89</v>
      </c>
      <c r="CD163" s="1" t="s">
        <v>96</v>
      </c>
    </row>
    <row r="164" spans="1:82">
      <c r="A164">
        <v>56</v>
      </c>
      <c r="B164" t="s">
        <v>263</v>
      </c>
      <c r="D164" t="b">
        <v>1</v>
      </c>
      <c r="E164" t="s">
        <v>264</v>
      </c>
      <c r="F164">
        <v>85</v>
      </c>
      <c r="G164">
        <v>2</v>
      </c>
      <c r="J164" t="s">
        <v>265</v>
      </c>
      <c r="K164" t="s">
        <v>94</v>
      </c>
      <c r="L164" t="s">
        <v>95</v>
      </c>
      <c r="M164">
        <v>100</v>
      </c>
      <c r="N164" s="1" t="s">
        <v>96</v>
      </c>
      <c r="O164" s="1" t="s">
        <v>96</v>
      </c>
      <c r="P164">
        <v>4.8600000000000003</v>
      </c>
      <c r="Q164" s="1" t="s">
        <v>96</v>
      </c>
      <c r="R164" s="1" t="s">
        <v>96</v>
      </c>
      <c r="S164" s="1" t="s">
        <v>96</v>
      </c>
      <c r="T164" s="1" t="s">
        <v>96</v>
      </c>
      <c r="U164" s="1" t="s">
        <v>96</v>
      </c>
      <c r="V164" s="1" t="s">
        <v>96</v>
      </c>
      <c r="W164" s="1" t="s">
        <v>96</v>
      </c>
      <c r="X164" s="1" t="s">
        <v>96</v>
      </c>
      <c r="Y164" s="1" t="s">
        <v>96</v>
      </c>
      <c r="Z164">
        <v>1.34</v>
      </c>
      <c r="AA164" s="1" t="s">
        <v>96</v>
      </c>
      <c r="AB164">
        <v>2.89</v>
      </c>
      <c r="AC164">
        <v>19.75</v>
      </c>
      <c r="AD164">
        <v>71.95</v>
      </c>
      <c r="AE164" s="1" t="s">
        <v>96</v>
      </c>
      <c r="AF164">
        <v>19.86</v>
      </c>
      <c r="AG164">
        <v>309.3</v>
      </c>
      <c r="AH164">
        <v>130.94</v>
      </c>
      <c r="AI164" s="1" t="s">
        <v>96</v>
      </c>
      <c r="AJ164" s="1">
        <v>1.2</v>
      </c>
      <c r="AK164" s="1" t="s">
        <v>96</v>
      </c>
      <c r="AL164" s="1" t="s">
        <v>96</v>
      </c>
      <c r="AM164" s="1" t="s">
        <v>96</v>
      </c>
      <c r="AN164" s="1" t="s">
        <v>96</v>
      </c>
      <c r="AO164" t="s">
        <v>96</v>
      </c>
      <c r="AP164">
        <v>42.17</v>
      </c>
      <c r="AQ164" s="1" t="s">
        <v>96</v>
      </c>
      <c r="AR164" s="1">
        <v>1.97</v>
      </c>
      <c r="AS164">
        <v>21.76</v>
      </c>
      <c r="AT164">
        <v>1.06</v>
      </c>
      <c r="AU164" s="1" t="s">
        <v>96</v>
      </c>
      <c r="AV164" s="1" t="s">
        <v>96</v>
      </c>
      <c r="AW164">
        <v>8.52</v>
      </c>
      <c r="AX164" s="1" t="s">
        <v>96</v>
      </c>
      <c r="AY164">
        <v>809.7</v>
      </c>
      <c r="AZ164">
        <v>338.44</v>
      </c>
      <c r="BA164">
        <v>29.65</v>
      </c>
      <c r="BB164" s="1" t="s">
        <v>96</v>
      </c>
      <c r="BC164">
        <v>268.08</v>
      </c>
      <c r="BD164" s="1" t="s">
        <v>96</v>
      </c>
      <c r="BE164" s="1" t="s">
        <v>96</v>
      </c>
      <c r="BF164">
        <v>2.85</v>
      </c>
      <c r="BG164" s="1" t="s">
        <v>96</v>
      </c>
      <c r="BH164" s="1" t="s">
        <v>96</v>
      </c>
      <c r="BI164">
        <v>40.229999999999997</v>
      </c>
      <c r="BJ164">
        <v>23.16</v>
      </c>
      <c r="BK164" s="1" t="s">
        <v>96</v>
      </c>
      <c r="BL164" s="1" t="s">
        <v>96</v>
      </c>
      <c r="BM164" t="s">
        <v>96</v>
      </c>
      <c r="BN164">
        <v>23.02</v>
      </c>
      <c r="BO164">
        <v>29.22</v>
      </c>
      <c r="BP164">
        <v>2.52</v>
      </c>
      <c r="BQ164" s="1" t="s">
        <v>96</v>
      </c>
      <c r="BR164" s="1" t="s">
        <v>96</v>
      </c>
      <c r="BS164" s="1" t="s">
        <v>96</v>
      </c>
      <c r="BT164" s="1" t="s">
        <v>96</v>
      </c>
      <c r="BU164" s="1">
        <v>10.09</v>
      </c>
      <c r="BV164">
        <v>81.97</v>
      </c>
      <c r="BW164" t="s">
        <v>96</v>
      </c>
      <c r="BX164" s="1" t="s">
        <v>96</v>
      </c>
      <c r="BY164">
        <v>426.26</v>
      </c>
      <c r="BZ164">
        <v>7.29</v>
      </c>
      <c r="CA164" s="1" t="s">
        <v>96</v>
      </c>
      <c r="CB164">
        <v>23.08</v>
      </c>
      <c r="CC164">
        <v>78.67</v>
      </c>
      <c r="CD164" s="1" t="s">
        <v>96</v>
      </c>
    </row>
    <row r="165" spans="1:82">
      <c r="A165">
        <v>121</v>
      </c>
      <c r="B165" t="s">
        <v>458</v>
      </c>
      <c r="D165" t="b">
        <v>1</v>
      </c>
      <c r="E165" t="s">
        <v>459</v>
      </c>
      <c r="F165">
        <v>8</v>
      </c>
      <c r="G165">
        <v>4</v>
      </c>
      <c r="J165" t="s">
        <v>460</v>
      </c>
      <c r="K165" t="s">
        <v>94</v>
      </c>
      <c r="L165" t="s">
        <v>95</v>
      </c>
      <c r="M165">
        <v>100</v>
      </c>
      <c r="N165" s="1" t="s">
        <v>96</v>
      </c>
      <c r="O165" s="1" t="s">
        <v>96</v>
      </c>
      <c r="P165">
        <v>15.46</v>
      </c>
      <c r="Q165" s="1" t="s">
        <v>96</v>
      </c>
      <c r="R165" s="1" t="s">
        <v>96</v>
      </c>
      <c r="S165" s="1" t="s">
        <v>96</v>
      </c>
      <c r="T165" s="1" t="s">
        <v>96</v>
      </c>
      <c r="U165" s="1">
        <v>14.74</v>
      </c>
      <c r="V165" s="1" t="s">
        <v>96</v>
      </c>
      <c r="W165" s="1" t="s">
        <v>96</v>
      </c>
      <c r="X165" s="1" t="s">
        <v>96</v>
      </c>
      <c r="Y165" s="1" t="s">
        <v>96</v>
      </c>
      <c r="Z165">
        <v>3.1</v>
      </c>
      <c r="AA165" s="1" t="s">
        <v>96</v>
      </c>
      <c r="AB165">
        <v>41.46</v>
      </c>
      <c r="AC165">
        <v>13.21</v>
      </c>
      <c r="AD165">
        <v>268.31</v>
      </c>
      <c r="AE165" s="1" t="s">
        <v>96</v>
      </c>
      <c r="AF165">
        <v>10.59</v>
      </c>
      <c r="AG165">
        <v>868.14</v>
      </c>
      <c r="AH165" t="s">
        <v>133</v>
      </c>
      <c r="AI165" s="1">
        <v>3.07</v>
      </c>
      <c r="AJ165" s="1">
        <v>3.09</v>
      </c>
      <c r="AK165" s="1" t="s">
        <v>96</v>
      </c>
      <c r="AL165" s="1" t="s">
        <v>96</v>
      </c>
      <c r="AM165" s="1" t="s">
        <v>96</v>
      </c>
      <c r="AN165" s="1">
        <v>5</v>
      </c>
      <c r="AO165">
        <v>2298.23</v>
      </c>
      <c r="AP165">
        <v>334.75</v>
      </c>
      <c r="AQ165" s="1" t="s">
        <v>96</v>
      </c>
      <c r="AR165" s="1">
        <v>3.86</v>
      </c>
      <c r="AS165">
        <v>868.36</v>
      </c>
      <c r="AT165">
        <v>16.690000000000001</v>
      </c>
      <c r="AU165" s="1" t="s">
        <v>96</v>
      </c>
      <c r="AV165" s="1" t="s">
        <v>96</v>
      </c>
      <c r="AW165">
        <v>8.31</v>
      </c>
      <c r="AX165" s="1">
        <v>4.71</v>
      </c>
      <c r="AY165">
        <v>1164.79</v>
      </c>
      <c r="AZ165">
        <v>565.96</v>
      </c>
      <c r="BA165">
        <v>390.59</v>
      </c>
      <c r="BB165" s="1" t="s">
        <v>96</v>
      </c>
      <c r="BC165">
        <v>284.79000000000002</v>
      </c>
      <c r="BD165" s="1" t="s">
        <v>96</v>
      </c>
      <c r="BE165" s="1" t="s">
        <v>96</v>
      </c>
      <c r="BF165">
        <v>8.76</v>
      </c>
      <c r="BG165" s="1">
        <v>5.92</v>
      </c>
      <c r="BH165" s="1" t="s">
        <v>96</v>
      </c>
      <c r="BI165">
        <v>39.58</v>
      </c>
      <c r="BJ165">
        <v>22.85</v>
      </c>
      <c r="BK165" s="1" t="s">
        <v>96</v>
      </c>
      <c r="BL165" s="1" t="s">
        <v>96</v>
      </c>
      <c r="BM165" t="s">
        <v>96</v>
      </c>
      <c r="BN165">
        <v>9.77</v>
      </c>
      <c r="BO165">
        <v>42.02</v>
      </c>
      <c r="BP165">
        <v>22.02</v>
      </c>
      <c r="BQ165" s="1" t="s">
        <v>96</v>
      </c>
      <c r="BR165" s="1" t="s">
        <v>96</v>
      </c>
      <c r="BS165" s="1">
        <v>17.579999999999998</v>
      </c>
      <c r="BT165" s="1">
        <v>5.74</v>
      </c>
      <c r="BU165" s="1">
        <v>15.51</v>
      </c>
      <c r="BV165">
        <v>72.319999999999993</v>
      </c>
      <c r="BW165" t="s">
        <v>96</v>
      </c>
      <c r="BX165" s="1" t="s">
        <v>96</v>
      </c>
      <c r="BY165">
        <v>296.48</v>
      </c>
      <c r="BZ165">
        <v>7.43</v>
      </c>
      <c r="CA165" s="1" t="s">
        <v>96</v>
      </c>
      <c r="CB165">
        <v>139.58000000000001</v>
      </c>
      <c r="CC165">
        <v>93.17</v>
      </c>
      <c r="CD165" s="1" t="s">
        <v>96</v>
      </c>
    </row>
    <row r="166" spans="1:82">
      <c r="A166">
        <v>39</v>
      </c>
      <c r="B166" t="s">
        <v>212</v>
      </c>
      <c r="D166" t="b">
        <v>1</v>
      </c>
      <c r="E166" t="s">
        <v>213</v>
      </c>
      <c r="F166">
        <v>232</v>
      </c>
      <c r="G166">
        <v>1</v>
      </c>
      <c r="J166" t="s">
        <v>214</v>
      </c>
      <c r="K166" t="s">
        <v>94</v>
      </c>
      <c r="L166" t="s">
        <v>95</v>
      </c>
      <c r="M166">
        <v>100</v>
      </c>
      <c r="N166" s="1" t="s">
        <v>96</v>
      </c>
      <c r="O166" s="1" t="s">
        <v>96</v>
      </c>
      <c r="P166">
        <v>15.33</v>
      </c>
      <c r="Q166" s="1" t="s">
        <v>96</v>
      </c>
      <c r="R166" s="1" t="s">
        <v>96</v>
      </c>
      <c r="S166" s="1" t="s">
        <v>96</v>
      </c>
      <c r="T166" s="1" t="s">
        <v>96</v>
      </c>
      <c r="U166" s="1" t="s">
        <v>96</v>
      </c>
      <c r="V166" s="1" t="s">
        <v>96</v>
      </c>
      <c r="W166" s="1" t="s">
        <v>96</v>
      </c>
      <c r="X166" s="1" t="s">
        <v>96</v>
      </c>
      <c r="Y166" s="1" t="s">
        <v>96</v>
      </c>
      <c r="Z166" t="s">
        <v>96</v>
      </c>
      <c r="AA166" s="1" t="s">
        <v>96</v>
      </c>
      <c r="AB166">
        <v>11.03</v>
      </c>
      <c r="AC166">
        <v>46.38</v>
      </c>
      <c r="AD166">
        <v>50.22</v>
      </c>
      <c r="AE166" s="1" t="s">
        <v>96</v>
      </c>
      <c r="AF166">
        <v>37.85</v>
      </c>
      <c r="AG166" t="s">
        <v>133</v>
      </c>
      <c r="AH166">
        <v>173.17</v>
      </c>
      <c r="AI166" s="1" t="s">
        <v>96</v>
      </c>
      <c r="AJ166" s="1" t="s">
        <v>96</v>
      </c>
      <c r="AK166" s="1" t="s">
        <v>96</v>
      </c>
      <c r="AL166" s="1" t="s">
        <v>96</v>
      </c>
      <c r="AM166" s="1" t="s">
        <v>96</v>
      </c>
      <c r="AN166" s="1" t="s">
        <v>96</v>
      </c>
      <c r="AO166">
        <v>383.25</v>
      </c>
      <c r="AP166">
        <v>32.979999999999997</v>
      </c>
      <c r="AQ166" s="1" t="s">
        <v>96</v>
      </c>
      <c r="AR166" s="1" t="s">
        <v>96</v>
      </c>
      <c r="AS166">
        <v>13.92</v>
      </c>
      <c r="AT166" t="s">
        <v>96</v>
      </c>
      <c r="AU166" s="1" t="s">
        <v>96</v>
      </c>
      <c r="AV166" s="1" t="s">
        <v>96</v>
      </c>
      <c r="AW166">
        <v>18.920000000000002</v>
      </c>
      <c r="AX166" s="1" t="s">
        <v>96</v>
      </c>
      <c r="AY166">
        <v>705.49</v>
      </c>
      <c r="AZ166">
        <v>706.87</v>
      </c>
      <c r="BA166">
        <v>30.88</v>
      </c>
      <c r="BB166" s="1" t="s">
        <v>96</v>
      </c>
      <c r="BC166">
        <v>63.57</v>
      </c>
      <c r="BD166" s="1" t="s">
        <v>96</v>
      </c>
      <c r="BE166" s="1">
        <v>4.63</v>
      </c>
      <c r="BF166" t="s">
        <v>96</v>
      </c>
      <c r="BG166" s="1" t="s">
        <v>96</v>
      </c>
      <c r="BH166" s="1" t="s">
        <v>96</v>
      </c>
      <c r="BI166">
        <v>23.96</v>
      </c>
      <c r="BJ166">
        <v>32.39</v>
      </c>
      <c r="BK166" s="1" t="s">
        <v>96</v>
      </c>
      <c r="BL166" s="1" t="s">
        <v>96</v>
      </c>
      <c r="BM166" t="s">
        <v>96</v>
      </c>
      <c r="BN166">
        <v>4.67</v>
      </c>
      <c r="BO166">
        <v>32.14</v>
      </c>
      <c r="BP166">
        <v>6.46</v>
      </c>
      <c r="BQ166" s="1" t="s">
        <v>96</v>
      </c>
      <c r="BR166" s="1" t="s">
        <v>96</v>
      </c>
      <c r="BS166" s="1" t="s">
        <v>96</v>
      </c>
      <c r="BT166" s="1" t="s">
        <v>96</v>
      </c>
      <c r="BU166" s="1">
        <v>7.53</v>
      </c>
      <c r="BV166">
        <v>16.260000000000002</v>
      </c>
      <c r="BW166" t="s">
        <v>96</v>
      </c>
      <c r="BX166" s="1" t="s">
        <v>96</v>
      </c>
      <c r="BY166">
        <v>453.22</v>
      </c>
      <c r="BZ166" t="s">
        <v>96</v>
      </c>
      <c r="CA166" s="1" t="s">
        <v>96</v>
      </c>
      <c r="CB166">
        <v>10.93</v>
      </c>
      <c r="CC166">
        <v>64.78</v>
      </c>
      <c r="CD166" s="1" t="s">
        <v>96</v>
      </c>
    </row>
    <row r="167" spans="1:82">
      <c r="A167">
        <v>96</v>
      </c>
      <c r="B167" t="s">
        <v>383</v>
      </c>
      <c r="D167" t="b">
        <v>1</v>
      </c>
      <c r="E167" t="s">
        <v>384</v>
      </c>
      <c r="F167">
        <v>145</v>
      </c>
      <c r="G167">
        <v>3</v>
      </c>
      <c r="J167" t="s">
        <v>385</v>
      </c>
      <c r="K167" t="s">
        <v>94</v>
      </c>
      <c r="L167" t="s">
        <v>95</v>
      </c>
      <c r="M167">
        <v>100</v>
      </c>
      <c r="N167" s="1" t="s">
        <v>96</v>
      </c>
      <c r="O167" s="1" t="s">
        <v>96</v>
      </c>
      <c r="P167">
        <v>15.23</v>
      </c>
      <c r="Q167" s="1" t="s">
        <v>96</v>
      </c>
      <c r="R167" s="1" t="s">
        <v>96</v>
      </c>
      <c r="S167" s="1" t="s">
        <v>96</v>
      </c>
      <c r="T167" s="1" t="s">
        <v>96</v>
      </c>
      <c r="U167" s="1" t="s">
        <v>96</v>
      </c>
      <c r="V167" s="1" t="s">
        <v>96</v>
      </c>
      <c r="W167" s="1" t="s">
        <v>96</v>
      </c>
      <c r="X167" s="1" t="s">
        <v>96</v>
      </c>
      <c r="Y167" s="1" t="s">
        <v>96</v>
      </c>
      <c r="Z167" t="s">
        <v>96</v>
      </c>
      <c r="AA167" s="1" t="s">
        <v>96</v>
      </c>
      <c r="AB167">
        <v>1.1200000000000001</v>
      </c>
      <c r="AC167">
        <v>6.76</v>
      </c>
      <c r="AD167">
        <v>52.94</v>
      </c>
      <c r="AE167" s="1" t="s">
        <v>96</v>
      </c>
      <c r="AF167" t="s">
        <v>96</v>
      </c>
      <c r="AG167">
        <v>38.96</v>
      </c>
      <c r="AH167">
        <v>46.64</v>
      </c>
      <c r="AI167" s="1" t="s">
        <v>96</v>
      </c>
      <c r="AJ167" s="1">
        <v>1.64</v>
      </c>
      <c r="AK167" s="1" t="s">
        <v>96</v>
      </c>
      <c r="AL167" s="1" t="s">
        <v>96</v>
      </c>
      <c r="AM167" s="1" t="s">
        <v>96</v>
      </c>
      <c r="AN167" s="1" t="s">
        <v>96</v>
      </c>
      <c r="AO167" t="s">
        <v>96</v>
      </c>
      <c r="AP167">
        <v>10.37</v>
      </c>
      <c r="AQ167" s="1" t="s">
        <v>96</v>
      </c>
      <c r="AR167" s="1" t="s">
        <v>96</v>
      </c>
      <c r="AS167">
        <v>75.92</v>
      </c>
      <c r="AT167">
        <v>8.08</v>
      </c>
      <c r="AU167" s="1" t="s">
        <v>96</v>
      </c>
      <c r="AV167" s="1" t="s">
        <v>96</v>
      </c>
      <c r="AW167" t="s">
        <v>96</v>
      </c>
      <c r="AX167" s="1" t="s">
        <v>96</v>
      </c>
      <c r="AY167">
        <v>874.36</v>
      </c>
      <c r="AZ167">
        <v>146.66999999999999</v>
      </c>
      <c r="BA167">
        <v>257.52999999999997</v>
      </c>
      <c r="BB167" s="1" t="s">
        <v>96</v>
      </c>
      <c r="BC167">
        <v>366.63</v>
      </c>
      <c r="BD167" s="1" t="s">
        <v>96</v>
      </c>
      <c r="BE167" s="1" t="s">
        <v>96</v>
      </c>
      <c r="BF167">
        <v>35.67</v>
      </c>
      <c r="BG167" s="1">
        <v>7.02</v>
      </c>
      <c r="BH167" s="1" t="s">
        <v>96</v>
      </c>
      <c r="BI167">
        <v>41.42</v>
      </c>
      <c r="BJ167">
        <v>7.66</v>
      </c>
      <c r="BK167" s="1" t="s">
        <v>96</v>
      </c>
      <c r="BL167" s="1">
        <v>2.76</v>
      </c>
      <c r="BM167">
        <v>3.33</v>
      </c>
      <c r="BN167">
        <v>16.989999999999998</v>
      </c>
      <c r="BO167">
        <v>28.25</v>
      </c>
      <c r="BP167">
        <v>5.94</v>
      </c>
      <c r="BQ167" s="1" t="s">
        <v>96</v>
      </c>
      <c r="BR167" s="1" t="s">
        <v>96</v>
      </c>
      <c r="BS167" s="1" t="s">
        <v>96</v>
      </c>
      <c r="BT167" s="1" t="s">
        <v>96</v>
      </c>
      <c r="BU167" s="1">
        <v>22.71</v>
      </c>
      <c r="BV167">
        <v>159.12</v>
      </c>
      <c r="BW167">
        <v>19.66</v>
      </c>
      <c r="BX167" s="1" t="s">
        <v>96</v>
      </c>
      <c r="BY167">
        <v>325.73</v>
      </c>
      <c r="BZ167">
        <v>7.01</v>
      </c>
      <c r="CA167" s="1" t="s">
        <v>96</v>
      </c>
      <c r="CB167">
        <v>78.42</v>
      </c>
      <c r="CC167">
        <v>80.709999999999994</v>
      </c>
      <c r="CD167" s="1" t="s">
        <v>96</v>
      </c>
    </row>
    <row r="168" spans="1:82">
      <c r="A168">
        <v>38</v>
      </c>
      <c r="B168" t="s">
        <v>209</v>
      </c>
      <c r="D168" t="b">
        <v>1</v>
      </c>
      <c r="E168" t="s">
        <v>210</v>
      </c>
      <c r="F168">
        <v>231</v>
      </c>
      <c r="G168">
        <v>1</v>
      </c>
      <c r="J168" t="s">
        <v>211</v>
      </c>
      <c r="K168" t="s">
        <v>94</v>
      </c>
      <c r="L168" t="s">
        <v>95</v>
      </c>
      <c r="M168">
        <v>100</v>
      </c>
      <c r="N168" s="1" t="s">
        <v>96</v>
      </c>
      <c r="O168" s="1" t="s">
        <v>96</v>
      </c>
      <c r="P168">
        <v>9.5399999999999991</v>
      </c>
      <c r="Q168" s="1" t="s">
        <v>96</v>
      </c>
      <c r="R168" s="1" t="s">
        <v>96</v>
      </c>
      <c r="S168" s="1" t="s">
        <v>96</v>
      </c>
      <c r="T168" s="1" t="s">
        <v>96</v>
      </c>
      <c r="U168" s="1" t="s">
        <v>96</v>
      </c>
      <c r="V168" s="1" t="s">
        <v>96</v>
      </c>
      <c r="W168" s="1" t="s">
        <v>96</v>
      </c>
      <c r="X168" s="1" t="s">
        <v>96</v>
      </c>
      <c r="Y168" s="1" t="s">
        <v>96</v>
      </c>
      <c r="Z168" t="s">
        <v>96</v>
      </c>
      <c r="AA168" s="1" t="s">
        <v>96</v>
      </c>
      <c r="AB168">
        <v>2.46</v>
      </c>
      <c r="AC168">
        <v>62.45</v>
      </c>
      <c r="AD168">
        <v>28.95</v>
      </c>
      <c r="AE168" s="1" t="s">
        <v>96</v>
      </c>
      <c r="AF168">
        <v>35.54</v>
      </c>
      <c r="AG168">
        <v>911.09</v>
      </c>
      <c r="AH168">
        <v>65.8</v>
      </c>
      <c r="AI168" s="1" t="s">
        <v>96</v>
      </c>
      <c r="AJ168" s="1" t="s">
        <v>96</v>
      </c>
      <c r="AK168" s="1" t="s">
        <v>96</v>
      </c>
      <c r="AL168" s="1" t="s">
        <v>96</v>
      </c>
      <c r="AM168" s="1" t="s">
        <v>96</v>
      </c>
      <c r="AN168" s="1" t="s">
        <v>96</v>
      </c>
      <c r="AO168">
        <v>118.89</v>
      </c>
      <c r="AP168">
        <v>38.770000000000003</v>
      </c>
      <c r="AQ168" s="1" t="s">
        <v>96</v>
      </c>
      <c r="AR168" s="1">
        <v>1.18</v>
      </c>
      <c r="AS168">
        <v>79.599999999999994</v>
      </c>
      <c r="AT168">
        <v>1.37</v>
      </c>
      <c r="AU168" s="1" t="s">
        <v>96</v>
      </c>
      <c r="AV168" s="1" t="s">
        <v>96</v>
      </c>
      <c r="AW168">
        <v>32.630000000000003</v>
      </c>
      <c r="AX168" s="1" t="s">
        <v>96</v>
      </c>
      <c r="AY168">
        <v>1207.3599999999999</v>
      </c>
      <c r="AZ168">
        <v>1051.4100000000001</v>
      </c>
      <c r="BA168">
        <v>44.78</v>
      </c>
      <c r="BB168" s="1" t="s">
        <v>96</v>
      </c>
      <c r="BC168">
        <v>230.52</v>
      </c>
      <c r="BD168" s="1" t="s">
        <v>96</v>
      </c>
      <c r="BE168" s="1">
        <v>4.68</v>
      </c>
      <c r="BF168" t="s">
        <v>96</v>
      </c>
      <c r="BG168" s="1" t="s">
        <v>96</v>
      </c>
      <c r="BH168" s="1" t="s">
        <v>96</v>
      </c>
      <c r="BI168">
        <v>47.37</v>
      </c>
      <c r="BJ168">
        <v>49.58</v>
      </c>
      <c r="BK168" s="1" t="s">
        <v>96</v>
      </c>
      <c r="BL168" s="1" t="s">
        <v>96</v>
      </c>
      <c r="BM168" t="s">
        <v>96</v>
      </c>
      <c r="BN168">
        <v>12.06</v>
      </c>
      <c r="BO168">
        <v>72.53</v>
      </c>
      <c r="BP168">
        <v>16.04</v>
      </c>
      <c r="BQ168" s="1" t="s">
        <v>96</v>
      </c>
      <c r="BR168" s="1" t="s">
        <v>96</v>
      </c>
      <c r="BS168" s="1">
        <v>6.36</v>
      </c>
      <c r="BT168" s="1" t="s">
        <v>96</v>
      </c>
      <c r="BU168" s="1">
        <v>9.58</v>
      </c>
      <c r="BV168">
        <v>77.13</v>
      </c>
      <c r="BW168" t="s">
        <v>96</v>
      </c>
      <c r="BX168" s="1" t="s">
        <v>96</v>
      </c>
      <c r="BY168">
        <v>1553.49</v>
      </c>
      <c r="BZ168">
        <v>13.35</v>
      </c>
      <c r="CA168" s="1" t="s">
        <v>96</v>
      </c>
      <c r="CB168">
        <v>31.75</v>
      </c>
      <c r="CC168">
        <v>256.69</v>
      </c>
      <c r="CD168" s="1" t="s">
        <v>96</v>
      </c>
    </row>
    <row r="169" spans="1:82">
      <c r="A169">
        <v>68</v>
      </c>
      <c r="B169" t="s">
        <v>299</v>
      </c>
      <c r="D169" t="b">
        <v>1</v>
      </c>
      <c r="E169" t="s">
        <v>300</v>
      </c>
      <c r="F169">
        <v>99</v>
      </c>
      <c r="G169">
        <v>2</v>
      </c>
      <c r="J169" t="s">
        <v>301</v>
      </c>
      <c r="K169" t="s">
        <v>94</v>
      </c>
      <c r="L169" t="s">
        <v>95</v>
      </c>
      <c r="M169">
        <v>100</v>
      </c>
      <c r="N169" s="1" t="s">
        <v>96</v>
      </c>
      <c r="O169" s="1" t="s">
        <v>96</v>
      </c>
      <c r="P169">
        <v>13.36</v>
      </c>
      <c r="Q169" s="1" t="s">
        <v>96</v>
      </c>
      <c r="R169" s="1" t="s">
        <v>96</v>
      </c>
      <c r="S169" s="1" t="s">
        <v>96</v>
      </c>
      <c r="T169" s="1" t="s">
        <v>96</v>
      </c>
      <c r="U169" s="1" t="s">
        <v>96</v>
      </c>
      <c r="V169" s="1" t="s">
        <v>96</v>
      </c>
      <c r="W169" s="1" t="s">
        <v>96</v>
      </c>
      <c r="X169" s="1" t="s">
        <v>96</v>
      </c>
      <c r="Y169" s="1" t="s">
        <v>96</v>
      </c>
      <c r="Z169">
        <v>2.21</v>
      </c>
      <c r="AA169" s="1" t="s">
        <v>96</v>
      </c>
      <c r="AB169">
        <v>4.72</v>
      </c>
      <c r="AC169">
        <v>13.11</v>
      </c>
      <c r="AD169">
        <v>97.08</v>
      </c>
      <c r="AE169" s="1" t="s">
        <v>96</v>
      </c>
      <c r="AF169">
        <v>17.010000000000002</v>
      </c>
      <c r="AG169">
        <v>427.12</v>
      </c>
      <c r="AH169">
        <v>288.26</v>
      </c>
      <c r="AI169" s="1" t="s">
        <v>96</v>
      </c>
      <c r="AJ169" s="1" t="s">
        <v>96</v>
      </c>
      <c r="AK169" s="1" t="s">
        <v>96</v>
      </c>
      <c r="AL169" s="1" t="s">
        <v>96</v>
      </c>
      <c r="AM169" s="1" t="s">
        <v>96</v>
      </c>
      <c r="AN169" s="1" t="s">
        <v>96</v>
      </c>
      <c r="AO169">
        <v>215.22</v>
      </c>
      <c r="AP169">
        <v>49.19</v>
      </c>
      <c r="AQ169" s="1" t="s">
        <v>96</v>
      </c>
      <c r="AR169" s="1" t="s">
        <v>96</v>
      </c>
      <c r="AS169">
        <v>109.02</v>
      </c>
      <c r="AT169">
        <v>4.84</v>
      </c>
      <c r="AU169" s="1" t="s">
        <v>96</v>
      </c>
      <c r="AV169" s="1" t="s">
        <v>96</v>
      </c>
      <c r="AW169">
        <v>15.08</v>
      </c>
      <c r="AX169" s="1" t="s">
        <v>96</v>
      </c>
      <c r="AY169">
        <v>2489.0700000000002</v>
      </c>
      <c r="AZ169">
        <v>1117.07</v>
      </c>
      <c r="BA169">
        <v>192.73</v>
      </c>
      <c r="BB169" s="1" t="s">
        <v>96</v>
      </c>
      <c r="BC169" t="s">
        <v>133</v>
      </c>
      <c r="BD169" s="1" t="s">
        <v>96</v>
      </c>
      <c r="BE169" s="1">
        <v>3.05</v>
      </c>
      <c r="BF169">
        <v>34.19</v>
      </c>
      <c r="BG169" s="1">
        <v>11.39</v>
      </c>
      <c r="BH169" s="1" t="s">
        <v>96</v>
      </c>
      <c r="BI169">
        <v>264.39</v>
      </c>
      <c r="BJ169">
        <v>140.76</v>
      </c>
      <c r="BK169" s="1" t="s">
        <v>96</v>
      </c>
      <c r="BL169" s="1">
        <v>7.01</v>
      </c>
      <c r="BM169">
        <v>3.51</v>
      </c>
      <c r="BN169">
        <v>209.42</v>
      </c>
      <c r="BO169">
        <v>29.98</v>
      </c>
      <c r="BP169">
        <v>2.62</v>
      </c>
      <c r="BQ169" s="1" t="s">
        <v>96</v>
      </c>
      <c r="BR169" s="1" t="s">
        <v>96</v>
      </c>
      <c r="BS169" s="1" t="s">
        <v>96</v>
      </c>
      <c r="BT169" s="1" t="s">
        <v>96</v>
      </c>
      <c r="BU169" s="1" t="s">
        <v>96</v>
      </c>
      <c r="BV169">
        <v>76.31</v>
      </c>
      <c r="BW169">
        <v>8.9</v>
      </c>
      <c r="BX169" s="1" t="s">
        <v>96</v>
      </c>
      <c r="BY169">
        <v>220.15</v>
      </c>
      <c r="BZ169">
        <v>25.62</v>
      </c>
      <c r="CA169" s="1" t="s">
        <v>96</v>
      </c>
      <c r="CB169">
        <v>27.98</v>
      </c>
      <c r="CC169">
        <v>125.96</v>
      </c>
      <c r="CD169" s="1" t="s">
        <v>96</v>
      </c>
    </row>
    <row r="170" spans="1:82">
      <c r="A170">
        <v>49</v>
      </c>
      <c r="B170" t="s">
        <v>242</v>
      </c>
      <c r="D170" t="b">
        <v>1</v>
      </c>
      <c r="E170" t="s">
        <v>243</v>
      </c>
      <c r="F170">
        <v>76</v>
      </c>
      <c r="G170">
        <v>2</v>
      </c>
      <c r="J170" t="s">
        <v>244</v>
      </c>
      <c r="K170" t="s">
        <v>94</v>
      </c>
      <c r="L170" t="s">
        <v>95</v>
      </c>
      <c r="M170">
        <v>100</v>
      </c>
      <c r="N170" s="1" t="s">
        <v>96</v>
      </c>
      <c r="O170" s="1" t="s">
        <v>96</v>
      </c>
      <c r="P170">
        <v>17.37</v>
      </c>
      <c r="Q170" s="1" t="s">
        <v>96</v>
      </c>
      <c r="R170" s="1" t="s">
        <v>96</v>
      </c>
      <c r="S170" s="1" t="s">
        <v>96</v>
      </c>
      <c r="T170" s="1" t="s">
        <v>96</v>
      </c>
      <c r="U170" s="1" t="s">
        <v>96</v>
      </c>
      <c r="V170" s="1" t="s">
        <v>96</v>
      </c>
      <c r="W170" s="1" t="s">
        <v>96</v>
      </c>
      <c r="X170" s="1" t="s">
        <v>96</v>
      </c>
      <c r="Y170" s="1" t="s">
        <v>96</v>
      </c>
      <c r="Z170" t="s">
        <v>96</v>
      </c>
      <c r="AA170" s="1" t="s">
        <v>96</v>
      </c>
      <c r="AB170">
        <v>6.57</v>
      </c>
      <c r="AC170" t="s">
        <v>96</v>
      </c>
      <c r="AD170">
        <v>5.22</v>
      </c>
      <c r="AE170" s="1" t="s">
        <v>96</v>
      </c>
      <c r="AF170" t="s">
        <v>96</v>
      </c>
      <c r="AG170" t="s">
        <v>96</v>
      </c>
      <c r="AH170">
        <v>258.64</v>
      </c>
      <c r="AI170" s="1" t="s">
        <v>96</v>
      </c>
      <c r="AJ170" s="1" t="s">
        <v>96</v>
      </c>
      <c r="AK170" s="1" t="s">
        <v>96</v>
      </c>
      <c r="AL170" s="1" t="s">
        <v>96</v>
      </c>
      <c r="AM170" s="1" t="s">
        <v>96</v>
      </c>
      <c r="AN170" s="1">
        <v>1.52</v>
      </c>
      <c r="AO170">
        <v>329.16</v>
      </c>
      <c r="AP170">
        <v>3.7</v>
      </c>
      <c r="AQ170" s="1" t="s">
        <v>96</v>
      </c>
      <c r="AR170" s="1">
        <v>1.2</v>
      </c>
      <c r="AS170">
        <v>396.43</v>
      </c>
      <c r="AT170">
        <v>17.559999999999999</v>
      </c>
      <c r="AU170" s="1" t="s">
        <v>96</v>
      </c>
      <c r="AV170" s="1" t="s">
        <v>96</v>
      </c>
      <c r="AW170" t="s">
        <v>96</v>
      </c>
      <c r="AX170" s="1" t="s">
        <v>96</v>
      </c>
      <c r="AY170" t="s">
        <v>133</v>
      </c>
      <c r="AZ170">
        <v>4.38</v>
      </c>
      <c r="BA170">
        <v>52.82</v>
      </c>
      <c r="BB170" s="1" t="s">
        <v>96</v>
      </c>
      <c r="BC170" t="s">
        <v>133</v>
      </c>
      <c r="BD170" s="1" t="s">
        <v>96</v>
      </c>
      <c r="BE170" s="1" t="s">
        <v>96</v>
      </c>
      <c r="BF170">
        <v>58.26</v>
      </c>
      <c r="BG170" s="1" t="s">
        <v>96</v>
      </c>
      <c r="BH170" s="1" t="s">
        <v>96</v>
      </c>
      <c r="BI170">
        <v>93.5</v>
      </c>
      <c r="BJ170" t="s">
        <v>96</v>
      </c>
      <c r="BK170" s="1" t="s">
        <v>96</v>
      </c>
      <c r="BL170" s="1" t="s">
        <v>96</v>
      </c>
      <c r="BM170" t="s">
        <v>96</v>
      </c>
      <c r="BN170">
        <v>133.33000000000001</v>
      </c>
      <c r="BO170" t="s">
        <v>96</v>
      </c>
      <c r="BP170" t="s">
        <v>96</v>
      </c>
      <c r="BQ170" s="1" t="s">
        <v>96</v>
      </c>
      <c r="BR170" s="1" t="s">
        <v>96</v>
      </c>
      <c r="BS170" s="1" t="s">
        <v>96</v>
      </c>
      <c r="BT170" s="1" t="s">
        <v>96</v>
      </c>
      <c r="BU170" s="1" t="s">
        <v>96</v>
      </c>
      <c r="BV170">
        <v>161.44999999999999</v>
      </c>
      <c r="BW170" t="s">
        <v>96</v>
      </c>
      <c r="BX170" s="1">
        <v>8.56</v>
      </c>
      <c r="BY170">
        <v>8.5399999999999991</v>
      </c>
      <c r="BZ170" t="s">
        <v>96</v>
      </c>
      <c r="CA170" s="1" t="s">
        <v>96</v>
      </c>
      <c r="CB170">
        <v>10.55</v>
      </c>
      <c r="CC170" t="s">
        <v>96</v>
      </c>
      <c r="CD170" s="1" t="s">
        <v>96</v>
      </c>
    </row>
    <row r="171" spans="1:82">
      <c r="A171">
        <v>34</v>
      </c>
      <c r="B171" t="s">
        <v>197</v>
      </c>
      <c r="D171" t="b">
        <v>1</v>
      </c>
      <c r="E171" t="s">
        <v>198</v>
      </c>
      <c r="F171">
        <v>227</v>
      </c>
      <c r="G171">
        <v>1</v>
      </c>
      <c r="J171" t="s">
        <v>199</v>
      </c>
      <c r="K171" t="s">
        <v>94</v>
      </c>
      <c r="L171" t="s">
        <v>95</v>
      </c>
      <c r="M171">
        <v>100</v>
      </c>
      <c r="N171" s="1" t="s">
        <v>96</v>
      </c>
      <c r="O171" s="1" t="s">
        <v>96</v>
      </c>
      <c r="P171">
        <v>14.6</v>
      </c>
      <c r="Q171" s="1" t="s">
        <v>96</v>
      </c>
      <c r="R171" s="1" t="s">
        <v>96</v>
      </c>
      <c r="S171" s="1" t="s">
        <v>96</v>
      </c>
      <c r="T171" s="1" t="s">
        <v>96</v>
      </c>
      <c r="U171" s="1" t="s">
        <v>96</v>
      </c>
      <c r="V171" s="1" t="s">
        <v>96</v>
      </c>
      <c r="W171" s="1" t="s">
        <v>96</v>
      </c>
      <c r="X171" s="1" t="s">
        <v>96</v>
      </c>
      <c r="Y171" s="1" t="s">
        <v>96</v>
      </c>
      <c r="Z171" t="s">
        <v>96</v>
      </c>
      <c r="AA171" s="1" t="s">
        <v>96</v>
      </c>
      <c r="AB171">
        <v>2.7</v>
      </c>
      <c r="AC171">
        <v>24.62</v>
      </c>
      <c r="AD171">
        <v>48.92</v>
      </c>
      <c r="AE171" s="1" t="s">
        <v>96</v>
      </c>
      <c r="AF171">
        <v>15.96</v>
      </c>
      <c r="AG171">
        <v>406.69</v>
      </c>
      <c r="AH171">
        <v>39.25</v>
      </c>
      <c r="AI171" s="1" t="s">
        <v>96</v>
      </c>
      <c r="AJ171" s="1" t="s">
        <v>96</v>
      </c>
      <c r="AK171" s="1" t="s">
        <v>96</v>
      </c>
      <c r="AL171" s="1" t="s">
        <v>96</v>
      </c>
      <c r="AM171" s="1" t="s">
        <v>96</v>
      </c>
      <c r="AN171" s="1" t="s">
        <v>96</v>
      </c>
      <c r="AO171">
        <v>34.130000000000003</v>
      </c>
      <c r="AP171">
        <v>22.82</v>
      </c>
      <c r="AQ171" s="1" t="s">
        <v>96</v>
      </c>
      <c r="AR171" s="1" t="s">
        <v>96</v>
      </c>
      <c r="AS171">
        <v>12.69</v>
      </c>
      <c r="AT171" t="s">
        <v>96</v>
      </c>
      <c r="AU171" s="1" t="s">
        <v>96</v>
      </c>
      <c r="AV171" s="1" t="s">
        <v>96</v>
      </c>
      <c r="AW171">
        <v>17.579999999999998</v>
      </c>
      <c r="AX171" s="1" t="s">
        <v>96</v>
      </c>
      <c r="AY171">
        <v>1195.44</v>
      </c>
      <c r="AZ171">
        <v>509.86</v>
      </c>
      <c r="BA171">
        <v>41.24</v>
      </c>
      <c r="BB171" s="1" t="s">
        <v>96</v>
      </c>
      <c r="BC171">
        <v>232.47</v>
      </c>
      <c r="BD171" s="1" t="s">
        <v>96</v>
      </c>
      <c r="BE171" s="1">
        <v>2.79</v>
      </c>
      <c r="BF171">
        <v>3.51</v>
      </c>
      <c r="BG171" s="1" t="s">
        <v>96</v>
      </c>
      <c r="BH171" s="1" t="s">
        <v>96</v>
      </c>
      <c r="BI171">
        <v>58.33</v>
      </c>
      <c r="BJ171">
        <v>31.73</v>
      </c>
      <c r="BK171" s="1" t="s">
        <v>96</v>
      </c>
      <c r="BL171" s="1" t="s">
        <v>96</v>
      </c>
      <c r="BM171" t="s">
        <v>96</v>
      </c>
      <c r="BN171">
        <v>11.98</v>
      </c>
      <c r="BO171">
        <v>30.54</v>
      </c>
      <c r="BP171">
        <v>6.81</v>
      </c>
      <c r="BQ171" s="1" t="s">
        <v>96</v>
      </c>
      <c r="BR171" s="1" t="s">
        <v>96</v>
      </c>
      <c r="BS171" s="1" t="s">
        <v>96</v>
      </c>
      <c r="BT171" s="1" t="s">
        <v>96</v>
      </c>
      <c r="BU171" s="1">
        <v>10.82</v>
      </c>
      <c r="BV171">
        <v>96.93</v>
      </c>
      <c r="BW171" t="s">
        <v>96</v>
      </c>
      <c r="BX171" s="1" t="s">
        <v>96</v>
      </c>
      <c r="BY171">
        <v>912.62</v>
      </c>
      <c r="BZ171">
        <v>8.2100000000000009</v>
      </c>
      <c r="CA171" s="1" t="s">
        <v>96</v>
      </c>
      <c r="CB171">
        <v>52.27</v>
      </c>
      <c r="CC171">
        <v>125.82</v>
      </c>
      <c r="CD171" s="1" t="s">
        <v>96</v>
      </c>
    </row>
    <row r="172" spans="1:82">
      <c r="A172">
        <v>97</v>
      </c>
      <c r="B172" t="s">
        <v>386</v>
      </c>
      <c r="D172" t="b">
        <v>1</v>
      </c>
      <c r="E172" t="s">
        <v>387</v>
      </c>
      <c r="F172">
        <v>146</v>
      </c>
      <c r="G172">
        <v>3</v>
      </c>
      <c r="J172" t="s">
        <v>388</v>
      </c>
      <c r="K172" t="s">
        <v>94</v>
      </c>
      <c r="L172" t="s">
        <v>95</v>
      </c>
      <c r="M172">
        <v>100</v>
      </c>
      <c r="N172" s="1" t="s">
        <v>96</v>
      </c>
      <c r="O172" s="1" t="s">
        <v>96</v>
      </c>
      <c r="P172">
        <v>27.06</v>
      </c>
      <c r="Q172" s="1" t="s">
        <v>96</v>
      </c>
      <c r="R172" s="1" t="s">
        <v>96</v>
      </c>
      <c r="S172" s="1" t="s">
        <v>96</v>
      </c>
      <c r="T172" s="1" t="s">
        <v>96</v>
      </c>
      <c r="U172" s="1" t="s">
        <v>96</v>
      </c>
      <c r="V172" s="1" t="s">
        <v>96</v>
      </c>
      <c r="W172" s="1" t="s">
        <v>96</v>
      </c>
      <c r="X172" s="1" t="s">
        <v>96</v>
      </c>
      <c r="Y172" s="1" t="s">
        <v>96</v>
      </c>
      <c r="Z172">
        <v>1.19</v>
      </c>
      <c r="AA172" s="1" t="s">
        <v>96</v>
      </c>
      <c r="AB172">
        <v>38.15</v>
      </c>
      <c r="AC172">
        <v>16.73</v>
      </c>
      <c r="AD172">
        <v>56.57</v>
      </c>
      <c r="AE172" s="1" t="s">
        <v>96</v>
      </c>
      <c r="AF172">
        <v>5.8</v>
      </c>
      <c r="AG172">
        <v>559.23</v>
      </c>
      <c r="AH172" t="s">
        <v>133</v>
      </c>
      <c r="AI172" s="1">
        <v>3.81</v>
      </c>
      <c r="AJ172" s="1">
        <v>1.5</v>
      </c>
      <c r="AK172" s="1" t="s">
        <v>96</v>
      </c>
      <c r="AL172" s="1" t="s">
        <v>96</v>
      </c>
      <c r="AM172" s="1" t="s">
        <v>96</v>
      </c>
      <c r="AN172" s="1">
        <v>6.01</v>
      </c>
      <c r="AO172" t="s">
        <v>133</v>
      </c>
      <c r="AP172">
        <v>284.29000000000002</v>
      </c>
      <c r="AQ172" s="1" t="s">
        <v>96</v>
      </c>
      <c r="AR172" s="1">
        <v>6.07</v>
      </c>
      <c r="AS172" t="s">
        <v>133</v>
      </c>
      <c r="AT172">
        <v>88.94</v>
      </c>
      <c r="AU172" s="1">
        <v>3.01</v>
      </c>
      <c r="AV172" s="1" t="s">
        <v>96</v>
      </c>
      <c r="AW172" t="s">
        <v>96</v>
      </c>
      <c r="AX172" s="1" t="s">
        <v>96</v>
      </c>
      <c r="AY172">
        <v>607.69000000000005</v>
      </c>
      <c r="AZ172">
        <v>108.06</v>
      </c>
      <c r="BA172">
        <v>140.44999999999999</v>
      </c>
      <c r="BB172" s="1" t="s">
        <v>96</v>
      </c>
      <c r="BC172">
        <v>131.28</v>
      </c>
      <c r="BD172" s="1" t="s">
        <v>96</v>
      </c>
      <c r="BE172" s="1" t="s">
        <v>96</v>
      </c>
      <c r="BF172">
        <v>9.59</v>
      </c>
      <c r="BG172" s="1">
        <v>3.79</v>
      </c>
      <c r="BH172" s="1" t="s">
        <v>96</v>
      </c>
      <c r="BI172">
        <v>22.54</v>
      </c>
      <c r="BJ172">
        <v>3.11</v>
      </c>
      <c r="BK172" s="1" t="s">
        <v>96</v>
      </c>
      <c r="BL172" s="1" t="s">
        <v>96</v>
      </c>
      <c r="BM172">
        <v>3.76</v>
      </c>
      <c r="BN172">
        <v>7.6</v>
      </c>
      <c r="BO172">
        <v>13.97</v>
      </c>
      <c r="BP172">
        <v>59.59</v>
      </c>
      <c r="BQ172" s="1" t="s">
        <v>96</v>
      </c>
      <c r="BR172" s="1" t="s">
        <v>96</v>
      </c>
      <c r="BS172" s="1">
        <v>40.1</v>
      </c>
      <c r="BT172" s="1">
        <v>17.309999999999999</v>
      </c>
      <c r="BU172" s="1">
        <v>28.56</v>
      </c>
      <c r="BV172">
        <v>52.36</v>
      </c>
      <c r="BW172">
        <v>11.85</v>
      </c>
      <c r="BX172" s="1" t="s">
        <v>96</v>
      </c>
      <c r="BY172">
        <v>189.45</v>
      </c>
      <c r="BZ172" t="s">
        <v>96</v>
      </c>
      <c r="CA172" s="1" t="s">
        <v>96</v>
      </c>
      <c r="CB172">
        <v>53.24</v>
      </c>
      <c r="CC172">
        <v>28.57</v>
      </c>
      <c r="CD172" s="1" t="s">
        <v>96</v>
      </c>
    </row>
    <row r="173" spans="1:82">
      <c r="A173">
        <v>37</v>
      </c>
      <c r="B173" t="s">
        <v>206</v>
      </c>
      <c r="D173" t="b">
        <v>1</v>
      </c>
      <c r="E173" t="s">
        <v>207</v>
      </c>
      <c r="F173">
        <v>230</v>
      </c>
      <c r="G173">
        <v>1</v>
      </c>
      <c r="J173" t="s">
        <v>208</v>
      </c>
      <c r="K173" t="s">
        <v>94</v>
      </c>
      <c r="L173" t="s">
        <v>95</v>
      </c>
      <c r="M173">
        <v>100</v>
      </c>
      <c r="N173" s="1" t="s">
        <v>96</v>
      </c>
      <c r="O173" s="1" t="s">
        <v>96</v>
      </c>
      <c r="P173">
        <v>12.17</v>
      </c>
      <c r="Q173" s="1" t="s">
        <v>96</v>
      </c>
      <c r="R173" s="1" t="s">
        <v>96</v>
      </c>
      <c r="S173" s="1">
        <v>5.01</v>
      </c>
      <c r="T173" s="1" t="s">
        <v>96</v>
      </c>
      <c r="U173" s="1" t="s">
        <v>96</v>
      </c>
      <c r="V173" s="1" t="s">
        <v>96</v>
      </c>
      <c r="W173" s="1" t="s">
        <v>96</v>
      </c>
      <c r="X173" s="1" t="s">
        <v>96</v>
      </c>
      <c r="Y173" s="1" t="s">
        <v>96</v>
      </c>
      <c r="Z173" t="s">
        <v>96</v>
      </c>
      <c r="AA173" s="1" t="s">
        <v>96</v>
      </c>
      <c r="AB173">
        <v>2.68</v>
      </c>
      <c r="AC173">
        <v>48.53</v>
      </c>
      <c r="AD173">
        <v>29.03</v>
      </c>
      <c r="AE173" s="1" t="s">
        <v>96</v>
      </c>
      <c r="AF173">
        <v>21.28</v>
      </c>
      <c r="AG173">
        <v>669.73</v>
      </c>
      <c r="AH173">
        <v>39.340000000000003</v>
      </c>
      <c r="AI173" s="1" t="s">
        <v>96</v>
      </c>
      <c r="AJ173" s="1" t="s">
        <v>96</v>
      </c>
      <c r="AK173" s="1" t="s">
        <v>96</v>
      </c>
      <c r="AL173" s="1" t="s">
        <v>96</v>
      </c>
      <c r="AM173" s="1" t="s">
        <v>96</v>
      </c>
      <c r="AN173" s="1">
        <v>1.03</v>
      </c>
      <c r="AO173" t="s">
        <v>96</v>
      </c>
      <c r="AP173">
        <v>38.28</v>
      </c>
      <c r="AQ173" s="1" t="s">
        <v>96</v>
      </c>
      <c r="AR173" s="1" t="s">
        <v>96</v>
      </c>
      <c r="AS173">
        <v>15.73</v>
      </c>
      <c r="AT173" t="s">
        <v>96</v>
      </c>
      <c r="AU173" s="1" t="s">
        <v>96</v>
      </c>
      <c r="AV173" s="1" t="s">
        <v>96</v>
      </c>
      <c r="AW173">
        <v>29.52</v>
      </c>
      <c r="AX173" s="1" t="s">
        <v>96</v>
      </c>
      <c r="AY173">
        <v>1080.3399999999999</v>
      </c>
      <c r="AZ173">
        <v>576.95000000000005</v>
      </c>
      <c r="BA173">
        <v>35.700000000000003</v>
      </c>
      <c r="BB173" s="1" t="s">
        <v>96</v>
      </c>
      <c r="BC173">
        <v>214.07</v>
      </c>
      <c r="BD173" s="1" t="s">
        <v>96</v>
      </c>
      <c r="BE173" s="1">
        <v>4.42</v>
      </c>
      <c r="BF173">
        <v>2.65</v>
      </c>
      <c r="BG173" s="1" t="s">
        <v>96</v>
      </c>
      <c r="BH173" s="1" t="s">
        <v>96</v>
      </c>
      <c r="BI173">
        <v>48.34</v>
      </c>
      <c r="BJ173">
        <v>31.25</v>
      </c>
      <c r="BK173" s="1" t="s">
        <v>96</v>
      </c>
      <c r="BL173" s="1" t="s">
        <v>96</v>
      </c>
      <c r="BM173" t="s">
        <v>96</v>
      </c>
      <c r="BN173">
        <v>14.37</v>
      </c>
      <c r="BO173">
        <v>68.64</v>
      </c>
      <c r="BP173">
        <v>9</v>
      </c>
      <c r="BQ173" s="1" t="s">
        <v>96</v>
      </c>
      <c r="BR173" s="1" t="s">
        <v>96</v>
      </c>
      <c r="BS173" s="1" t="s">
        <v>96</v>
      </c>
      <c r="BT173" s="1" t="s">
        <v>96</v>
      </c>
      <c r="BU173" s="1">
        <v>23.49</v>
      </c>
      <c r="BV173">
        <v>64.06</v>
      </c>
      <c r="BW173" t="s">
        <v>96</v>
      </c>
      <c r="BX173" s="1" t="s">
        <v>96</v>
      </c>
      <c r="BY173">
        <v>1369.83</v>
      </c>
      <c r="BZ173">
        <v>8.1</v>
      </c>
      <c r="CA173" s="1" t="s">
        <v>96</v>
      </c>
      <c r="CB173">
        <v>36.97</v>
      </c>
      <c r="CC173">
        <v>101.1</v>
      </c>
      <c r="CD173" s="1" t="s">
        <v>96</v>
      </c>
    </row>
    <row r="174" spans="1:82">
      <c r="A174">
        <v>99</v>
      </c>
      <c r="B174" t="s">
        <v>392</v>
      </c>
      <c r="D174" t="b">
        <v>1</v>
      </c>
      <c r="E174" t="s">
        <v>393</v>
      </c>
      <c r="F174">
        <v>148</v>
      </c>
      <c r="G174">
        <v>3</v>
      </c>
      <c r="J174" t="s">
        <v>394</v>
      </c>
      <c r="K174" t="s">
        <v>94</v>
      </c>
      <c r="L174" t="s">
        <v>95</v>
      </c>
      <c r="M174">
        <v>100</v>
      </c>
      <c r="N174" s="1" t="s">
        <v>96</v>
      </c>
      <c r="O174" s="1" t="s">
        <v>96</v>
      </c>
      <c r="P174">
        <v>15.55</v>
      </c>
      <c r="Q174" s="1" t="s">
        <v>96</v>
      </c>
      <c r="R174" s="1" t="s">
        <v>96</v>
      </c>
      <c r="S174" s="1" t="s">
        <v>96</v>
      </c>
      <c r="T174" s="1" t="s">
        <v>96</v>
      </c>
      <c r="U174" s="1" t="s">
        <v>96</v>
      </c>
      <c r="V174" s="1" t="s">
        <v>96</v>
      </c>
      <c r="W174" s="1" t="s">
        <v>96</v>
      </c>
      <c r="X174" s="1" t="s">
        <v>96</v>
      </c>
      <c r="Y174" s="1" t="s">
        <v>96</v>
      </c>
      <c r="Z174" t="s">
        <v>96</v>
      </c>
      <c r="AA174" s="1" t="s">
        <v>96</v>
      </c>
      <c r="AB174" t="s">
        <v>96</v>
      </c>
      <c r="AC174" t="s">
        <v>96</v>
      </c>
      <c r="AD174">
        <v>23.7</v>
      </c>
      <c r="AE174" s="1" t="s">
        <v>96</v>
      </c>
      <c r="AF174" t="s">
        <v>96</v>
      </c>
      <c r="AG174">
        <v>29.81</v>
      </c>
      <c r="AH174">
        <v>85.64</v>
      </c>
      <c r="AI174" s="1" t="s">
        <v>96</v>
      </c>
      <c r="AJ174" s="1">
        <v>1.65</v>
      </c>
      <c r="AK174" s="1" t="s">
        <v>96</v>
      </c>
      <c r="AL174" s="1" t="s">
        <v>96</v>
      </c>
      <c r="AM174" s="1" t="s">
        <v>96</v>
      </c>
      <c r="AN174" s="1" t="s">
        <v>96</v>
      </c>
      <c r="AO174" t="s">
        <v>96</v>
      </c>
      <c r="AP174">
        <v>10.93</v>
      </c>
      <c r="AQ174" s="1" t="s">
        <v>96</v>
      </c>
      <c r="AR174" s="1">
        <v>1.03</v>
      </c>
      <c r="AS174">
        <v>95.99</v>
      </c>
      <c r="AT174">
        <v>8.51</v>
      </c>
      <c r="AU174" s="1" t="s">
        <v>96</v>
      </c>
      <c r="AV174" s="1" t="s">
        <v>96</v>
      </c>
      <c r="AW174" t="s">
        <v>96</v>
      </c>
      <c r="AX174" s="1" t="s">
        <v>96</v>
      </c>
      <c r="AY174">
        <v>1504.21</v>
      </c>
      <c r="AZ174">
        <v>257.02</v>
      </c>
      <c r="BA174">
        <v>269.25</v>
      </c>
      <c r="BB174" s="1" t="s">
        <v>96</v>
      </c>
      <c r="BC174">
        <v>520.77</v>
      </c>
      <c r="BD174" s="1" t="s">
        <v>96</v>
      </c>
      <c r="BE174" s="1" t="s">
        <v>96</v>
      </c>
      <c r="BF174">
        <v>22.39</v>
      </c>
      <c r="BG174" s="1">
        <v>7.56</v>
      </c>
      <c r="BH174" s="1" t="s">
        <v>96</v>
      </c>
      <c r="BI174">
        <v>72.03</v>
      </c>
      <c r="BJ174">
        <v>14.65</v>
      </c>
      <c r="BK174" s="1" t="s">
        <v>96</v>
      </c>
      <c r="BL174" s="1" t="s">
        <v>96</v>
      </c>
      <c r="BM174" t="s">
        <v>96</v>
      </c>
      <c r="BN174">
        <v>19.41</v>
      </c>
      <c r="BO174">
        <v>27.34</v>
      </c>
      <c r="BP174">
        <v>3.47</v>
      </c>
      <c r="BQ174" s="1" t="s">
        <v>96</v>
      </c>
      <c r="BR174" s="1" t="s">
        <v>96</v>
      </c>
      <c r="BS174" s="1" t="s">
        <v>96</v>
      </c>
      <c r="BT174" s="1" t="s">
        <v>96</v>
      </c>
      <c r="BU174" s="1">
        <v>6.69</v>
      </c>
      <c r="BV174">
        <v>97.16</v>
      </c>
      <c r="BW174">
        <v>8</v>
      </c>
      <c r="BX174" s="1" t="s">
        <v>96</v>
      </c>
      <c r="BY174">
        <v>166.58</v>
      </c>
      <c r="BZ174">
        <v>6.05</v>
      </c>
      <c r="CA174" s="1" t="s">
        <v>96</v>
      </c>
      <c r="CB174">
        <v>72.06</v>
      </c>
      <c r="CC174">
        <v>88.9</v>
      </c>
      <c r="CD174" s="1" t="s">
        <v>96</v>
      </c>
    </row>
    <row r="175" spans="1:82">
      <c r="A175">
        <v>71</v>
      </c>
      <c r="B175" t="s">
        <v>308</v>
      </c>
      <c r="D175" t="b">
        <v>1</v>
      </c>
      <c r="E175" t="s">
        <v>309</v>
      </c>
      <c r="F175">
        <v>104</v>
      </c>
      <c r="G175">
        <v>2</v>
      </c>
      <c r="J175" t="s">
        <v>310</v>
      </c>
      <c r="K175" t="s">
        <v>94</v>
      </c>
      <c r="L175" t="s">
        <v>95</v>
      </c>
      <c r="M175">
        <v>100</v>
      </c>
      <c r="N175" s="1" t="s">
        <v>96</v>
      </c>
      <c r="O175" s="1" t="s">
        <v>96</v>
      </c>
      <c r="P175">
        <v>17.29</v>
      </c>
      <c r="Q175" s="1" t="s">
        <v>96</v>
      </c>
      <c r="R175" s="1">
        <v>10.86</v>
      </c>
      <c r="S175" s="1">
        <v>8.9499999999999993</v>
      </c>
      <c r="T175" s="1" t="s">
        <v>96</v>
      </c>
      <c r="U175" s="1" t="s">
        <v>96</v>
      </c>
      <c r="V175" s="1" t="s">
        <v>96</v>
      </c>
      <c r="W175" s="1" t="s">
        <v>96</v>
      </c>
      <c r="X175" s="1" t="s">
        <v>96</v>
      </c>
      <c r="Y175" s="1" t="s">
        <v>96</v>
      </c>
      <c r="Z175">
        <v>3.69</v>
      </c>
      <c r="AA175" s="1" t="s">
        <v>96</v>
      </c>
      <c r="AB175">
        <v>11.39</v>
      </c>
      <c r="AC175">
        <v>33.299999999999997</v>
      </c>
      <c r="AD175">
        <v>150.77000000000001</v>
      </c>
      <c r="AE175" s="1" t="s">
        <v>96</v>
      </c>
      <c r="AF175">
        <v>35.799999999999997</v>
      </c>
      <c r="AG175">
        <v>702.61</v>
      </c>
      <c r="AH175">
        <v>168.02</v>
      </c>
      <c r="AI175" s="1">
        <v>3.48</v>
      </c>
      <c r="AJ175" s="1">
        <v>1.53</v>
      </c>
      <c r="AK175" s="1" t="s">
        <v>96</v>
      </c>
      <c r="AL175" s="1" t="s">
        <v>96</v>
      </c>
      <c r="AM175" s="1" t="s">
        <v>96</v>
      </c>
      <c r="AN175" s="1">
        <v>1.18</v>
      </c>
      <c r="AO175">
        <v>416.42</v>
      </c>
      <c r="AP175">
        <v>58.1</v>
      </c>
      <c r="AQ175" s="1" t="s">
        <v>96</v>
      </c>
      <c r="AR175" s="1">
        <v>1.52</v>
      </c>
      <c r="AS175">
        <v>67.33</v>
      </c>
      <c r="AT175">
        <v>5.35</v>
      </c>
      <c r="AU175" s="1" t="s">
        <v>96</v>
      </c>
      <c r="AV175" s="1" t="s">
        <v>96</v>
      </c>
      <c r="AW175">
        <v>28.24</v>
      </c>
      <c r="AX175" s="1" t="s">
        <v>96</v>
      </c>
      <c r="AY175" t="s">
        <v>133</v>
      </c>
      <c r="AZ175">
        <v>2042.35</v>
      </c>
      <c r="BA175">
        <v>227.5</v>
      </c>
      <c r="BB175" s="1" t="s">
        <v>96</v>
      </c>
      <c r="BC175" t="s">
        <v>133</v>
      </c>
      <c r="BD175" s="1" t="s">
        <v>96</v>
      </c>
      <c r="BE175" s="1">
        <v>7.49</v>
      </c>
      <c r="BF175">
        <v>20.82</v>
      </c>
      <c r="BG175" s="1">
        <v>15.91</v>
      </c>
      <c r="BH175" s="1" t="s">
        <v>96</v>
      </c>
      <c r="BI175">
        <v>316.44</v>
      </c>
      <c r="BJ175">
        <v>272.18</v>
      </c>
      <c r="BK175" s="1" t="s">
        <v>96</v>
      </c>
      <c r="BL175" s="1">
        <v>3.09</v>
      </c>
      <c r="BM175">
        <v>3.79</v>
      </c>
      <c r="BN175">
        <v>220.75</v>
      </c>
      <c r="BO175">
        <v>74.599999999999994</v>
      </c>
      <c r="BP175">
        <v>8.0299999999999994</v>
      </c>
      <c r="BQ175" s="1" t="s">
        <v>96</v>
      </c>
      <c r="BR175" s="1" t="s">
        <v>96</v>
      </c>
      <c r="BS175" s="1">
        <v>7.27</v>
      </c>
      <c r="BT175" s="1" t="s">
        <v>96</v>
      </c>
      <c r="BU175" s="1">
        <v>15.74</v>
      </c>
      <c r="BV175">
        <v>75.02</v>
      </c>
      <c r="BW175">
        <v>8.82</v>
      </c>
      <c r="BX175" s="1" t="s">
        <v>96</v>
      </c>
      <c r="BY175">
        <v>550.76</v>
      </c>
      <c r="BZ175">
        <v>35.89</v>
      </c>
      <c r="CA175" s="1" t="s">
        <v>96</v>
      </c>
      <c r="CB175">
        <v>41.9</v>
      </c>
      <c r="CC175">
        <v>192.02</v>
      </c>
      <c r="CD175" s="1" t="s">
        <v>96</v>
      </c>
    </row>
    <row r="176" spans="1:82">
      <c r="A176">
        <v>101</v>
      </c>
      <c r="B176" t="s">
        <v>398</v>
      </c>
      <c r="D176" t="b">
        <v>1</v>
      </c>
      <c r="E176" t="s">
        <v>399</v>
      </c>
      <c r="F176">
        <v>152</v>
      </c>
      <c r="G176">
        <v>3</v>
      </c>
      <c r="J176" t="s">
        <v>400</v>
      </c>
      <c r="K176" t="s">
        <v>94</v>
      </c>
      <c r="L176" t="s">
        <v>95</v>
      </c>
      <c r="M176">
        <v>100</v>
      </c>
      <c r="N176" s="1" t="s">
        <v>96</v>
      </c>
      <c r="O176" s="1" t="s">
        <v>96</v>
      </c>
      <c r="P176">
        <v>26.67</v>
      </c>
      <c r="Q176" s="1" t="s">
        <v>96</v>
      </c>
      <c r="R176" s="1" t="s">
        <v>96</v>
      </c>
      <c r="S176" s="1" t="s">
        <v>96</v>
      </c>
      <c r="T176" s="1" t="s">
        <v>96</v>
      </c>
      <c r="U176" s="1" t="s">
        <v>96</v>
      </c>
      <c r="V176" s="1" t="s">
        <v>96</v>
      </c>
      <c r="W176" s="1" t="s">
        <v>96</v>
      </c>
      <c r="X176" s="1" t="s">
        <v>96</v>
      </c>
      <c r="Y176" s="1" t="s">
        <v>96</v>
      </c>
      <c r="Z176" t="s">
        <v>96</v>
      </c>
      <c r="AA176" s="1" t="s">
        <v>96</v>
      </c>
      <c r="AB176">
        <v>75.55</v>
      </c>
      <c r="AC176">
        <v>11.06</v>
      </c>
      <c r="AD176">
        <v>41.76</v>
      </c>
      <c r="AE176" s="1" t="s">
        <v>96</v>
      </c>
      <c r="AF176" t="s">
        <v>96</v>
      </c>
      <c r="AG176">
        <v>631.72</v>
      </c>
      <c r="AH176" t="s">
        <v>133</v>
      </c>
      <c r="AI176" s="1" t="s">
        <v>96</v>
      </c>
      <c r="AJ176" s="1">
        <v>2.14</v>
      </c>
      <c r="AK176" s="1" t="s">
        <v>96</v>
      </c>
      <c r="AL176" s="1" t="s">
        <v>96</v>
      </c>
      <c r="AM176" s="1" t="s">
        <v>96</v>
      </c>
      <c r="AN176" s="1">
        <v>6.81</v>
      </c>
      <c r="AO176">
        <v>2150.5100000000002</v>
      </c>
      <c r="AP176">
        <v>261.69</v>
      </c>
      <c r="AQ176" s="1" t="s">
        <v>96</v>
      </c>
      <c r="AR176" s="1">
        <v>5.09</v>
      </c>
      <c r="AS176" t="s">
        <v>133</v>
      </c>
      <c r="AT176">
        <v>95.3</v>
      </c>
      <c r="AU176" s="1">
        <v>2.2000000000000002</v>
      </c>
      <c r="AV176" s="1" t="s">
        <v>96</v>
      </c>
      <c r="AW176" t="s">
        <v>96</v>
      </c>
      <c r="AX176" s="1" t="s">
        <v>96</v>
      </c>
      <c r="AY176">
        <v>1287.8599999999999</v>
      </c>
      <c r="AZ176">
        <v>243.55</v>
      </c>
      <c r="BA176">
        <v>222.51</v>
      </c>
      <c r="BB176" s="1" t="s">
        <v>96</v>
      </c>
      <c r="BC176">
        <v>577.45000000000005</v>
      </c>
      <c r="BD176" s="1" t="s">
        <v>96</v>
      </c>
      <c r="BE176" s="1" t="s">
        <v>96</v>
      </c>
      <c r="BF176">
        <v>23.27</v>
      </c>
      <c r="BG176" s="1">
        <v>9.3000000000000007</v>
      </c>
      <c r="BH176" s="1" t="s">
        <v>96</v>
      </c>
      <c r="BI176">
        <v>105.25</v>
      </c>
      <c r="BJ176">
        <v>21.15</v>
      </c>
      <c r="BK176" s="1" t="s">
        <v>96</v>
      </c>
      <c r="BL176" s="1">
        <v>3.55</v>
      </c>
      <c r="BM176">
        <v>7.46</v>
      </c>
      <c r="BN176">
        <v>39.97</v>
      </c>
      <c r="BO176">
        <v>47.82</v>
      </c>
      <c r="BP176">
        <v>31.42</v>
      </c>
      <c r="BQ176" s="1" t="s">
        <v>96</v>
      </c>
      <c r="BR176" s="1" t="s">
        <v>96</v>
      </c>
      <c r="BS176" s="1">
        <v>28.71</v>
      </c>
      <c r="BT176" s="1">
        <v>17.55</v>
      </c>
      <c r="BU176" s="1">
        <v>13.14</v>
      </c>
      <c r="BV176">
        <v>69.33</v>
      </c>
      <c r="BW176">
        <v>17.66</v>
      </c>
      <c r="BX176" s="1" t="s">
        <v>96</v>
      </c>
      <c r="BY176">
        <v>125.19</v>
      </c>
      <c r="BZ176">
        <v>11.81</v>
      </c>
      <c r="CA176" s="1" t="s">
        <v>96</v>
      </c>
      <c r="CB176">
        <v>41.85</v>
      </c>
      <c r="CC176">
        <v>34.32</v>
      </c>
      <c r="CD176" s="1" t="s">
        <v>96</v>
      </c>
    </row>
    <row r="177" spans="1:82">
      <c r="A177">
        <v>66</v>
      </c>
      <c r="B177" t="s">
        <v>293</v>
      </c>
      <c r="D177" t="b">
        <v>1</v>
      </c>
      <c r="E177" t="s">
        <v>294</v>
      </c>
      <c r="F177">
        <v>97</v>
      </c>
      <c r="G177">
        <v>2</v>
      </c>
      <c r="J177" t="s">
        <v>295</v>
      </c>
      <c r="K177" t="s">
        <v>94</v>
      </c>
      <c r="L177" t="s">
        <v>95</v>
      </c>
      <c r="M177">
        <v>100</v>
      </c>
      <c r="N177" s="1" t="s">
        <v>96</v>
      </c>
      <c r="O177" s="1" t="s">
        <v>96</v>
      </c>
      <c r="P177">
        <v>10.55</v>
      </c>
      <c r="Q177" s="1" t="s">
        <v>96</v>
      </c>
      <c r="R177" s="1" t="s">
        <v>96</v>
      </c>
      <c r="S177" s="1" t="s">
        <v>96</v>
      </c>
      <c r="T177" s="1" t="s">
        <v>96</v>
      </c>
      <c r="U177" s="1" t="s">
        <v>96</v>
      </c>
      <c r="V177" s="1" t="s">
        <v>96</v>
      </c>
      <c r="W177" s="1" t="s">
        <v>96</v>
      </c>
      <c r="X177" s="1" t="s">
        <v>96</v>
      </c>
      <c r="Y177" s="1" t="s">
        <v>96</v>
      </c>
      <c r="Z177" t="s">
        <v>96</v>
      </c>
      <c r="AA177" s="1" t="s">
        <v>96</v>
      </c>
      <c r="AB177">
        <v>3.86</v>
      </c>
      <c r="AC177">
        <v>20.84</v>
      </c>
      <c r="AD177">
        <v>137.41999999999999</v>
      </c>
      <c r="AE177" s="1" t="s">
        <v>96</v>
      </c>
      <c r="AF177">
        <v>24.78</v>
      </c>
      <c r="AG177">
        <v>483.83</v>
      </c>
      <c r="AH177">
        <v>117.28</v>
      </c>
      <c r="AI177" s="1" t="s">
        <v>96</v>
      </c>
      <c r="AJ177" s="1" t="s">
        <v>96</v>
      </c>
      <c r="AK177" s="1" t="s">
        <v>96</v>
      </c>
      <c r="AL177" s="1" t="s">
        <v>96</v>
      </c>
      <c r="AM177" s="1" t="s">
        <v>96</v>
      </c>
      <c r="AN177" s="1" t="s">
        <v>96</v>
      </c>
      <c r="AO177">
        <v>408.57</v>
      </c>
      <c r="AP177">
        <v>43.86</v>
      </c>
      <c r="AQ177" s="1" t="s">
        <v>96</v>
      </c>
      <c r="AR177" s="1" t="s">
        <v>96</v>
      </c>
      <c r="AS177">
        <v>32.869999999999997</v>
      </c>
      <c r="AT177">
        <v>1.89</v>
      </c>
      <c r="AU177" s="1" t="s">
        <v>96</v>
      </c>
      <c r="AV177" s="1" t="s">
        <v>96</v>
      </c>
      <c r="AW177">
        <v>27.8</v>
      </c>
      <c r="AX177" s="1" t="s">
        <v>96</v>
      </c>
      <c r="AY177">
        <v>1715.95</v>
      </c>
      <c r="AZ177">
        <v>1079.2</v>
      </c>
      <c r="BA177">
        <v>174.44</v>
      </c>
      <c r="BB177" s="1" t="s">
        <v>96</v>
      </c>
      <c r="BC177">
        <v>950.67</v>
      </c>
      <c r="BD177" s="1" t="s">
        <v>96</v>
      </c>
      <c r="BE177" s="1">
        <v>7.18</v>
      </c>
      <c r="BF177">
        <v>16.03</v>
      </c>
      <c r="BG177" s="1">
        <v>9.98</v>
      </c>
      <c r="BH177" s="1" t="s">
        <v>96</v>
      </c>
      <c r="BI177">
        <v>171.56</v>
      </c>
      <c r="BJ177">
        <v>143.38</v>
      </c>
      <c r="BK177" s="1" t="s">
        <v>96</v>
      </c>
      <c r="BL177" s="1" t="s">
        <v>96</v>
      </c>
      <c r="BM177">
        <v>3.13</v>
      </c>
      <c r="BN177">
        <v>105.81</v>
      </c>
      <c r="BO177">
        <v>93.86</v>
      </c>
      <c r="BP177">
        <v>4.2</v>
      </c>
      <c r="BQ177" s="1" t="s">
        <v>96</v>
      </c>
      <c r="BR177" s="1" t="s">
        <v>96</v>
      </c>
      <c r="BS177" s="1" t="s">
        <v>96</v>
      </c>
      <c r="BT177" s="1" t="s">
        <v>96</v>
      </c>
      <c r="BU177" s="1">
        <v>12.76</v>
      </c>
      <c r="BV177">
        <v>80.75</v>
      </c>
      <c r="BW177">
        <v>8.77</v>
      </c>
      <c r="BX177" s="1" t="s">
        <v>96</v>
      </c>
      <c r="BY177">
        <v>535.82000000000005</v>
      </c>
      <c r="BZ177">
        <v>24.9</v>
      </c>
      <c r="CA177" s="1" t="s">
        <v>96</v>
      </c>
      <c r="CB177">
        <v>31.65</v>
      </c>
      <c r="CC177">
        <v>142.51</v>
      </c>
      <c r="CD177" s="1" t="s">
        <v>96</v>
      </c>
    </row>
    <row r="178" spans="1:82">
      <c r="A178">
        <v>45</v>
      </c>
      <c r="B178" t="s">
        <v>230</v>
      </c>
      <c r="D178" t="b">
        <v>1</v>
      </c>
      <c r="E178" t="s">
        <v>231</v>
      </c>
      <c r="F178">
        <v>72</v>
      </c>
      <c r="G178">
        <v>2</v>
      </c>
      <c r="J178" t="s">
        <v>232</v>
      </c>
      <c r="K178" t="s">
        <v>94</v>
      </c>
      <c r="L178" t="s">
        <v>95</v>
      </c>
      <c r="M178">
        <v>100</v>
      </c>
      <c r="N178" s="1" t="s">
        <v>96</v>
      </c>
      <c r="O178" s="1" t="s">
        <v>96</v>
      </c>
      <c r="P178">
        <v>10.57</v>
      </c>
      <c r="Q178" s="1" t="s">
        <v>96</v>
      </c>
      <c r="R178" s="1" t="s">
        <v>96</v>
      </c>
      <c r="S178" s="1" t="s">
        <v>96</v>
      </c>
      <c r="T178" s="1" t="s">
        <v>96</v>
      </c>
      <c r="U178" s="1" t="s">
        <v>96</v>
      </c>
      <c r="V178" s="1" t="s">
        <v>96</v>
      </c>
      <c r="W178" s="1" t="s">
        <v>96</v>
      </c>
      <c r="X178" s="1" t="s">
        <v>96</v>
      </c>
      <c r="Y178" s="1" t="s">
        <v>96</v>
      </c>
      <c r="Z178" t="s">
        <v>96</v>
      </c>
      <c r="AA178" s="1" t="s">
        <v>96</v>
      </c>
      <c r="AB178" t="s">
        <v>96</v>
      </c>
      <c r="AC178" t="s">
        <v>96</v>
      </c>
      <c r="AD178">
        <v>3.75</v>
      </c>
      <c r="AE178" s="1" t="s">
        <v>96</v>
      </c>
      <c r="AF178" t="s">
        <v>96</v>
      </c>
      <c r="AG178" t="s">
        <v>96</v>
      </c>
      <c r="AH178">
        <v>63.07</v>
      </c>
      <c r="AI178" s="1" t="s">
        <v>96</v>
      </c>
      <c r="AJ178" s="1" t="s">
        <v>96</v>
      </c>
      <c r="AK178" s="1" t="s">
        <v>96</v>
      </c>
      <c r="AL178" s="1" t="s">
        <v>96</v>
      </c>
      <c r="AM178" s="1" t="s">
        <v>96</v>
      </c>
      <c r="AN178" s="1" t="s">
        <v>96</v>
      </c>
      <c r="AO178" t="s">
        <v>96</v>
      </c>
      <c r="AP178">
        <v>1.32</v>
      </c>
      <c r="AQ178" s="1" t="s">
        <v>96</v>
      </c>
      <c r="AR178" s="1" t="s">
        <v>96</v>
      </c>
      <c r="AS178">
        <v>62.53</v>
      </c>
      <c r="AT178" t="s">
        <v>96</v>
      </c>
      <c r="AU178" s="1" t="s">
        <v>96</v>
      </c>
      <c r="AV178" s="1" t="s">
        <v>96</v>
      </c>
      <c r="AW178" t="s">
        <v>96</v>
      </c>
      <c r="AX178" s="1" t="s">
        <v>96</v>
      </c>
      <c r="AY178" t="s">
        <v>133</v>
      </c>
      <c r="AZ178" t="s">
        <v>96</v>
      </c>
      <c r="BA178">
        <v>23.33</v>
      </c>
      <c r="BB178" s="1" t="s">
        <v>96</v>
      </c>
      <c r="BC178" t="s">
        <v>133</v>
      </c>
      <c r="BD178" s="1" t="s">
        <v>96</v>
      </c>
      <c r="BE178" s="1" t="s">
        <v>96</v>
      </c>
      <c r="BF178">
        <v>23.11</v>
      </c>
      <c r="BG178" s="1" t="s">
        <v>96</v>
      </c>
      <c r="BH178" s="1" t="s">
        <v>96</v>
      </c>
      <c r="BI178">
        <v>37.26</v>
      </c>
      <c r="BJ178" t="s">
        <v>96</v>
      </c>
      <c r="BK178" s="1" t="s">
        <v>96</v>
      </c>
      <c r="BL178" s="1" t="s">
        <v>96</v>
      </c>
      <c r="BM178" t="s">
        <v>96</v>
      </c>
      <c r="BN178">
        <v>41.63</v>
      </c>
      <c r="BO178" t="s">
        <v>96</v>
      </c>
      <c r="BP178" t="s">
        <v>96</v>
      </c>
      <c r="BQ178" s="1" t="s">
        <v>96</v>
      </c>
      <c r="BR178" s="1" t="s">
        <v>96</v>
      </c>
      <c r="BS178" s="1" t="s">
        <v>96</v>
      </c>
      <c r="BT178" s="1" t="s">
        <v>96</v>
      </c>
      <c r="BU178" s="1" t="s">
        <v>96</v>
      </c>
      <c r="BV178">
        <v>97.54</v>
      </c>
      <c r="BW178" t="s">
        <v>96</v>
      </c>
      <c r="BX178" s="1">
        <v>5.69</v>
      </c>
      <c r="BY178" t="s">
        <v>96</v>
      </c>
      <c r="BZ178" t="s">
        <v>96</v>
      </c>
      <c r="CA178" s="1" t="s">
        <v>96</v>
      </c>
      <c r="CB178">
        <v>6.27</v>
      </c>
      <c r="CC178" t="s">
        <v>96</v>
      </c>
      <c r="CD178" s="1" t="s">
        <v>96</v>
      </c>
    </row>
    <row r="179" spans="1:82">
      <c r="A179">
        <v>129</v>
      </c>
      <c r="B179" t="s">
        <v>482</v>
      </c>
      <c r="D179" t="b">
        <v>1</v>
      </c>
      <c r="E179" t="s">
        <v>483</v>
      </c>
      <c r="F179">
        <v>16</v>
      </c>
      <c r="G179">
        <v>4</v>
      </c>
      <c r="J179" t="s">
        <v>484</v>
      </c>
      <c r="K179" t="s">
        <v>94</v>
      </c>
      <c r="L179" t="s">
        <v>95</v>
      </c>
      <c r="M179">
        <v>100</v>
      </c>
      <c r="N179" s="1" t="s">
        <v>96</v>
      </c>
      <c r="O179" s="1" t="s">
        <v>96</v>
      </c>
      <c r="P179">
        <v>8.8000000000000007</v>
      </c>
      <c r="Q179" s="1" t="s">
        <v>96</v>
      </c>
      <c r="R179" s="1">
        <v>14.68</v>
      </c>
      <c r="S179" s="1">
        <v>9.84</v>
      </c>
      <c r="T179" s="1" t="s">
        <v>96</v>
      </c>
      <c r="U179" s="1" t="s">
        <v>96</v>
      </c>
      <c r="V179" s="1" t="s">
        <v>96</v>
      </c>
      <c r="W179" s="1" t="s">
        <v>96</v>
      </c>
      <c r="X179" s="1" t="s">
        <v>96</v>
      </c>
      <c r="Y179" s="1" t="s">
        <v>96</v>
      </c>
      <c r="Z179" t="s">
        <v>96</v>
      </c>
      <c r="AA179" s="1" t="s">
        <v>96</v>
      </c>
      <c r="AB179">
        <v>15.61</v>
      </c>
      <c r="AC179">
        <v>42.52</v>
      </c>
      <c r="AD179">
        <v>38.159999999999997</v>
      </c>
      <c r="AE179" s="1" t="s">
        <v>96</v>
      </c>
      <c r="AF179">
        <v>43.8</v>
      </c>
      <c r="AG179">
        <v>618.66999999999996</v>
      </c>
      <c r="AH179">
        <v>279.35000000000002</v>
      </c>
      <c r="AI179" s="1" t="s">
        <v>96</v>
      </c>
      <c r="AJ179" s="1">
        <v>7.3</v>
      </c>
      <c r="AK179" s="1" t="s">
        <v>96</v>
      </c>
      <c r="AL179" s="1" t="s">
        <v>96</v>
      </c>
      <c r="AM179" s="1" t="s">
        <v>96</v>
      </c>
      <c r="AN179" s="1">
        <v>1.25</v>
      </c>
      <c r="AO179">
        <v>1057.1300000000001</v>
      </c>
      <c r="AP179">
        <v>31.48</v>
      </c>
      <c r="AQ179" s="1" t="s">
        <v>96</v>
      </c>
      <c r="AR179" s="1">
        <v>2.33</v>
      </c>
      <c r="AS179">
        <v>261.49</v>
      </c>
      <c r="AT179">
        <v>11.68</v>
      </c>
      <c r="AU179" s="1" t="s">
        <v>96</v>
      </c>
      <c r="AV179" s="1" t="s">
        <v>96</v>
      </c>
      <c r="AW179">
        <v>8.98</v>
      </c>
      <c r="AX179" s="1" t="s">
        <v>96</v>
      </c>
      <c r="AY179">
        <v>1462.81</v>
      </c>
      <c r="AZ179">
        <v>1007.1</v>
      </c>
      <c r="BA179">
        <v>52.62</v>
      </c>
      <c r="BB179" s="1" t="s">
        <v>96</v>
      </c>
      <c r="BC179">
        <v>864.47</v>
      </c>
      <c r="BD179" s="1" t="s">
        <v>96</v>
      </c>
      <c r="BE179" s="1">
        <v>2.69</v>
      </c>
      <c r="BF179">
        <v>4.88</v>
      </c>
      <c r="BG179" s="1">
        <v>4.0599999999999996</v>
      </c>
      <c r="BH179" s="1" t="s">
        <v>96</v>
      </c>
      <c r="BI179">
        <v>151.31</v>
      </c>
      <c r="BJ179">
        <v>66.08</v>
      </c>
      <c r="BK179" s="1" t="s">
        <v>96</v>
      </c>
      <c r="BL179" s="1" t="s">
        <v>96</v>
      </c>
      <c r="BM179" t="s">
        <v>96</v>
      </c>
      <c r="BN179">
        <v>111.51</v>
      </c>
      <c r="BO179">
        <v>23.83</v>
      </c>
      <c r="BP179">
        <v>50.52</v>
      </c>
      <c r="BQ179" s="1" t="s">
        <v>96</v>
      </c>
      <c r="BR179" s="1" t="s">
        <v>96</v>
      </c>
      <c r="BS179" s="1">
        <v>19.84</v>
      </c>
      <c r="BT179" s="1">
        <v>6.52</v>
      </c>
      <c r="BU179" s="1">
        <v>32.770000000000003</v>
      </c>
      <c r="BV179">
        <v>68.72</v>
      </c>
      <c r="BW179">
        <v>8.7100000000000009</v>
      </c>
      <c r="BX179" s="1" t="s">
        <v>96</v>
      </c>
      <c r="BY179">
        <v>479.68</v>
      </c>
      <c r="BZ179">
        <v>9.08</v>
      </c>
      <c r="CA179" s="1" t="s">
        <v>96</v>
      </c>
      <c r="CB179">
        <v>25.2</v>
      </c>
      <c r="CC179">
        <v>86.5</v>
      </c>
      <c r="CD179" s="1" t="s">
        <v>96</v>
      </c>
    </row>
    <row r="180" spans="1:82">
      <c r="A180">
        <v>69</v>
      </c>
      <c r="B180" t="s">
        <v>302</v>
      </c>
      <c r="D180" t="b">
        <v>1</v>
      </c>
      <c r="E180" t="s">
        <v>303</v>
      </c>
      <c r="F180">
        <v>100</v>
      </c>
      <c r="G180">
        <v>2</v>
      </c>
      <c r="J180" t="s">
        <v>304</v>
      </c>
      <c r="K180" t="s">
        <v>94</v>
      </c>
      <c r="L180" t="s">
        <v>95</v>
      </c>
      <c r="M180">
        <v>100</v>
      </c>
      <c r="N180" s="1" t="s">
        <v>96</v>
      </c>
      <c r="O180" s="1" t="s">
        <v>96</v>
      </c>
      <c r="P180">
        <v>9.76</v>
      </c>
      <c r="Q180" s="1" t="s">
        <v>96</v>
      </c>
      <c r="R180" s="1" t="s">
        <v>96</v>
      </c>
      <c r="S180" s="1" t="s">
        <v>96</v>
      </c>
      <c r="T180" s="1" t="s">
        <v>96</v>
      </c>
      <c r="U180" s="1" t="s">
        <v>96</v>
      </c>
      <c r="V180" s="1" t="s">
        <v>96</v>
      </c>
      <c r="W180" s="1" t="s">
        <v>96</v>
      </c>
      <c r="X180" s="1" t="s">
        <v>96</v>
      </c>
      <c r="Y180" s="1" t="s">
        <v>96</v>
      </c>
      <c r="Z180" t="s">
        <v>96</v>
      </c>
      <c r="AA180" s="1" t="s">
        <v>96</v>
      </c>
      <c r="AB180">
        <v>5.12</v>
      </c>
      <c r="AC180">
        <v>11.2</v>
      </c>
      <c r="AD180">
        <v>88.14</v>
      </c>
      <c r="AE180" s="1" t="s">
        <v>96</v>
      </c>
      <c r="AF180">
        <v>20.25</v>
      </c>
      <c r="AG180">
        <v>378.28</v>
      </c>
      <c r="AH180">
        <v>237.4</v>
      </c>
      <c r="AI180" s="1" t="s">
        <v>96</v>
      </c>
      <c r="AJ180" s="1">
        <v>1.32</v>
      </c>
      <c r="AK180" s="1" t="s">
        <v>96</v>
      </c>
      <c r="AL180" s="1" t="s">
        <v>96</v>
      </c>
      <c r="AM180" s="1" t="s">
        <v>96</v>
      </c>
      <c r="AN180" s="1" t="s">
        <v>96</v>
      </c>
      <c r="AO180">
        <v>155.91999999999999</v>
      </c>
      <c r="AP180">
        <v>41.77</v>
      </c>
      <c r="AQ180" s="1" t="s">
        <v>96</v>
      </c>
      <c r="AR180" s="1">
        <v>1.32</v>
      </c>
      <c r="AS180">
        <v>270.33</v>
      </c>
      <c r="AT180">
        <v>6.43</v>
      </c>
      <c r="AU180" s="1" t="s">
        <v>96</v>
      </c>
      <c r="AV180" s="1" t="s">
        <v>96</v>
      </c>
      <c r="AW180">
        <v>9.25</v>
      </c>
      <c r="AX180" s="1" t="s">
        <v>96</v>
      </c>
      <c r="AY180">
        <v>1579.18</v>
      </c>
      <c r="AZ180">
        <v>639.16</v>
      </c>
      <c r="BA180">
        <v>165.88</v>
      </c>
      <c r="BB180" s="1" t="s">
        <v>96</v>
      </c>
      <c r="BC180">
        <v>931.63</v>
      </c>
      <c r="BD180" s="1" t="s">
        <v>96</v>
      </c>
      <c r="BE180" s="1" t="s">
        <v>96</v>
      </c>
      <c r="BF180">
        <v>27.93</v>
      </c>
      <c r="BG180" s="1">
        <v>7.33</v>
      </c>
      <c r="BH180" s="1" t="s">
        <v>96</v>
      </c>
      <c r="BI180">
        <v>136.66999999999999</v>
      </c>
      <c r="BJ180">
        <v>80.010000000000005</v>
      </c>
      <c r="BK180" s="1" t="s">
        <v>96</v>
      </c>
      <c r="BL180" s="1" t="s">
        <v>96</v>
      </c>
      <c r="BM180">
        <v>3.29</v>
      </c>
      <c r="BN180">
        <v>100.58</v>
      </c>
      <c r="BO180">
        <v>59.1</v>
      </c>
      <c r="BP180">
        <v>2.63</v>
      </c>
      <c r="BQ180" s="1" t="s">
        <v>96</v>
      </c>
      <c r="BR180" s="1" t="s">
        <v>96</v>
      </c>
      <c r="BS180" s="1" t="s">
        <v>96</v>
      </c>
      <c r="BT180" s="1" t="s">
        <v>96</v>
      </c>
      <c r="BU180" s="1">
        <v>11.22</v>
      </c>
      <c r="BV180">
        <v>196.04</v>
      </c>
      <c r="BW180">
        <v>21.95</v>
      </c>
      <c r="BX180" s="1" t="s">
        <v>96</v>
      </c>
      <c r="BY180">
        <v>399.59</v>
      </c>
      <c r="BZ180">
        <v>39.64</v>
      </c>
      <c r="CA180" s="1" t="s">
        <v>96</v>
      </c>
      <c r="CB180">
        <v>70.650000000000006</v>
      </c>
      <c r="CC180">
        <v>226.31</v>
      </c>
      <c r="CD180" s="1" t="s">
        <v>96</v>
      </c>
    </row>
    <row r="181" spans="1:82">
      <c r="A181">
        <v>127</v>
      </c>
      <c r="B181" t="s">
        <v>476</v>
      </c>
      <c r="D181" t="b">
        <v>1</v>
      </c>
      <c r="E181" t="s">
        <v>477</v>
      </c>
      <c r="F181">
        <v>14</v>
      </c>
      <c r="G181">
        <v>4</v>
      </c>
      <c r="J181" t="s">
        <v>478</v>
      </c>
      <c r="K181" t="s">
        <v>94</v>
      </c>
      <c r="L181" t="s">
        <v>95</v>
      </c>
      <c r="M181">
        <v>100</v>
      </c>
      <c r="N181" s="1" t="s">
        <v>96</v>
      </c>
      <c r="O181" s="1" t="s">
        <v>96</v>
      </c>
      <c r="P181">
        <v>9.83</v>
      </c>
      <c r="Q181" s="1" t="s">
        <v>96</v>
      </c>
      <c r="R181" s="1" t="s">
        <v>96</v>
      </c>
      <c r="S181" s="1" t="s">
        <v>96</v>
      </c>
      <c r="T181" s="1" t="s">
        <v>96</v>
      </c>
      <c r="U181" s="1" t="s">
        <v>96</v>
      </c>
      <c r="V181" s="1" t="s">
        <v>96</v>
      </c>
      <c r="W181" s="1" t="s">
        <v>96</v>
      </c>
      <c r="X181" s="1" t="s">
        <v>96</v>
      </c>
      <c r="Y181" s="1" t="s">
        <v>96</v>
      </c>
      <c r="Z181" t="s">
        <v>96</v>
      </c>
      <c r="AA181" s="1" t="s">
        <v>96</v>
      </c>
      <c r="AB181">
        <v>7.67</v>
      </c>
      <c r="AC181">
        <v>19.809999999999999</v>
      </c>
      <c r="AD181">
        <v>62.49</v>
      </c>
      <c r="AE181" s="1" t="s">
        <v>96</v>
      </c>
      <c r="AF181">
        <v>10.07</v>
      </c>
      <c r="AG181">
        <v>294.94</v>
      </c>
      <c r="AH181">
        <v>187.05</v>
      </c>
      <c r="AI181" s="1" t="s">
        <v>96</v>
      </c>
      <c r="AJ181" s="1">
        <v>6.67</v>
      </c>
      <c r="AK181" s="1" t="s">
        <v>96</v>
      </c>
      <c r="AL181" s="1" t="s">
        <v>96</v>
      </c>
      <c r="AM181" s="1" t="s">
        <v>96</v>
      </c>
      <c r="AN181" s="1" t="s">
        <v>96</v>
      </c>
      <c r="AO181">
        <v>125.71</v>
      </c>
      <c r="AP181">
        <v>19.54</v>
      </c>
      <c r="AQ181" s="1" t="s">
        <v>96</v>
      </c>
      <c r="AR181" s="1" t="s">
        <v>96</v>
      </c>
      <c r="AS181">
        <v>191.57</v>
      </c>
      <c r="AT181">
        <v>6.9</v>
      </c>
      <c r="AU181" s="1" t="s">
        <v>96</v>
      </c>
      <c r="AV181" s="1" t="s">
        <v>96</v>
      </c>
      <c r="AW181">
        <v>4.3600000000000003</v>
      </c>
      <c r="AX181" s="1" t="s">
        <v>96</v>
      </c>
      <c r="AY181">
        <v>1199.98</v>
      </c>
      <c r="AZ181">
        <v>933.85</v>
      </c>
      <c r="BA181">
        <v>69.319999999999993</v>
      </c>
      <c r="BB181" s="1" t="s">
        <v>96</v>
      </c>
      <c r="BC181" t="s">
        <v>133</v>
      </c>
      <c r="BD181" s="1" t="s">
        <v>96</v>
      </c>
      <c r="BE181" s="1">
        <v>4.1100000000000003</v>
      </c>
      <c r="BF181">
        <v>6.9</v>
      </c>
      <c r="BG181" s="1">
        <v>7.97</v>
      </c>
      <c r="BH181" s="1" t="s">
        <v>96</v>
      </c>
      <c r="BI181">
        <v>256.92</v>
      </c>
      <c r="BJ181">
        <v>148.22</v>
      </c>
      <c r="BK181" s="1" t="s">
        <v>96</v>
      </c>
      <c r="BL181" s="1" t="s">
        <v>96</v>
      </c>
      <c r="BM181" t="s">
        <v>96</v>
      </c>
      <c r="BN181">
        <v>210.19</v>
      </c>
      <c r="BO181">
        <v>113.27</v>
      </c>
      <c r="BP181">
        <v>21.4</v>
      </c>
      <c r="BQ181" s="1" t="s">
        <v>96</v>
      </c>
      <c r="BR181" s="1" t="s">
        <v>96</v>
      </c>
      <c r="BS181" s="1">
        <v>13.49</v>
      </c>
      <c r="BT181" s="1">
        <v>4.17</v>
      </c>
      <c r="BU181" s="1">
        <v>15.43</v>
      </c>
      <c r="BV181">
        <v>162.52000000000001</v>
      </c>
      <c r="BW181">
        <v>21.43</v>
      </c>
      <c r="BX181" s="1" t="s">
        <v>96</v>
      </c>
      <c r="BY181">
        <v>525.91999999999996</v>
      </c>
      <c r="BZ181">
        <v>23.25</v>
      </c>
      <c r="CA181" s="1" t="s">
        <v>96</v>
      </c>
      <c r="CB181">
        <v>35.520000000000003</v>
      </c>
      <c r="CC181">
        <v>171.49</v>
      </c>
      <c r="CD181" s="1" t="s">
        <v>96</v>
      </c>
    </row>
    <row r="182" spans="1:82">
      <c r="A182">
        <v>67</v>
      </c>
      <c r="B182" t="s">
        <v>296</v>
      </c>
      <c r="D182" t="b">
        <v>1</v>
      </c>
      <c r="E182" t="s">
        <v>297</v>
      </c>
      <c r="F182">
        <v>98</v>
      </c>
      <c r="G182">
        <v>2</v>
      </c>
      <c r="J182" t="s">
        <v>298</v>
      </c>
      <c r="K182" t="s">
        <v>94</v>
      </c>
      <c r="L182" t="s">
        <v>95</v>
      </c>
      <c r="M182">
        <v>100</v>
      </c>
      <c r="N182" s="1" t="s">
        <v>96</v>
      </c>
      <c r="O182" s="1" t="s">
        <v>96</v>
      </c>
      <c r="P182">
        <v>14.85</v>
      </c>
      <c r="Q182" s="1" t="s">
        <v>96</v>
      </c>
      <c r="R182" s="1" t="s">
        <v>96</v>
      </c>
      <c r="S182" s="1" t="s">
        <v>96</v>
      </c>
      <c r="T182" s="1" t="s">
        <v>96</v>
      </c>
      <c r="U182" s="1" t="s">
        <v>96</v>
      </c>
      <c r="V182" s="1" t="s">
        <v>96</v>
      </c>
      <c r="W182" s="1" t="s">
        <v>96</v>
      </c>
      <c r="X182" s="1" t="s">
        <v>96</v>
      </c>
      <c r="Y182" s="1" t="s">
        <v>96</v>
      </c>
      <c r="Z182">
        <v>1.1200000000000001</v>
      </c>
      <c r="AA182" s="1" t="s">
        <v>96</v>
      </c>
      <c r="AB182">
        <v>8.11</v>
      </c>
      <c r="AC182">
        <v>18.98</v>
      </c>
      <c r="AD182">
        <v>61.53</v>
      </c>
      <c r="AE182" s="1" t="s">
        <v>96</v>
      </c>
      <c r="AF182">
        <v>15.16</v>
      </c>
      <c r="AG182">
        <v>724.56</v>
      </c>
      <c r="AH182">
        <v>380.8</v>
      </c>
      <c r="AI182" s="1">
        <v>3.16</v>
      </c>
      <c r="AJ182" s="1">
        <v>1.5</v>
      </c>
      <c r="AK182" s="1" t="s">
        <v>96</v>
      </c>
      <c r="AL182" s="1" t="s">
        <v>96</v>
      </c>
      <c r="AM182" s="1" t="s">
        <v>96</v>
      </c>
      <c r="AN182" s="1" t="s">
        <v>96</v>
      </c>
      <c r="AO182">
        <v>432.51</v>
      </c>
      <c r="AP182">
        <v>62.33</v>
      </c>
      <c r="AQ182" s="1" t="s">
        <v>96</v>
      </c>
      <c r="AR182" s="1" t="s">
        <v>96</v>
      </c>
      <c r="AS182">
        <v>60.76</v>
      </c>
      <c r="AT182">
        <v>9.59</v>
      </c>
      <c r="AU182" s="1" t="s">
        <v>96</v>
      </c>
      <c r="AV182" s="1" t="s">
        <v>96</v>
      </c>
      <c r="AW182">
        <v>8.19</v>
      </c>
      <c r="AX182" s="1" t="s">
        <v>96</v>
      </c>
      <c r="AY182">
        <v>506.78</v>
      </c>
      <c r="AZ182">
        <v>246.59</v>
      </c>
      <c r="BA182">
        <v>34.74</v>
      </c>
      <c r="BB182" s="1" t="s">
        <v>96</v>
      </c>
      <c r="BC182">
        <v>184.48</v>
      </c>
      <c r="BD182" s="1" t="s">
        <v>96</v>
      </c>
      <c r="BE182" s="1">
        <v>2.56</v>
      </c>
      <c r="BF182">
        <v>6.43</v>
      </c>
      <c r="BG182" s="1" t="s">
        <v>96</v>
      </c>
      <c r="BH182" s="1" t="s">
        <v>96</v>
      </c>
      <c r="BI182">
        <v>90.07</v>
      </c>
      <c r="BJ182">
        <v>56.31</v>
      </c>
      <c r="BK182" s="1" t="s">
        <v>96</v>
      </c>
      <c r="BL182" s="1" t="s">
        <v>96</v>
      </c>
      <c r="BM182" t="s">
        <v>96</v>
      </c>
      <c r="BN182">
        <v>32.68</v>
      </c>
      <c r="BO182">
        <v>45.26</v>
      </c>
      <c r="BP182">
        <v>8.91</v>
      </c>
      <c r="BQ182" s="1" t="s">
        <v>96</v>
      </c>
      <c r="BR182" s="1" t="s">
        <v>96</v>
      </c>
      <c r="BS182" s="1">
        <v>5.71</v>
      </c>
      <c r="BT182" s="1" t="s">
        <v>96</v>
      </c>
      <c r="BU182" s="1">
        <v>10.66</v>
      </c>
      <c r="BV182">
        <v>26.6</v>
      </c>
      <c r="BW182">
        <v>5.98</v>
      </c>
      <c r="BX182" s="1" t="s">
        <v>96</v>
      </c>
      <c r="BY182">
        <v>203.38</v>
      </c>
      <c r="BZ182">
        <v>17.7</v>
      </c>
      <c r="CA182" s="1" t="s">
        <v>96</v>
      </c>
      <c r="CB182">
        <v>17.25</v>
      </c>
      <c r="CC182">
        <v>50.74</v>
      </c>
      <c r="CD182" s="1" t="s">
        <v>96</v>
      </c>
    </row>
    <row r="183" spans="1:82">
      <c r="A183">
        <v>102</v>
      </c>
      <c r="B183" t="s">
        <v>401</v>
      </c>
      <c r="D183" t="b">
        <v>1</v>
      </c>
      <c r="E183" t="s">
        <v>402</v>
      </c>
      <c r="F183">
        <v>153</v>
      </c>
      <c r="G183">
        <v>3</v>
      </c>
      <c r="J183" t="s">
        <v>403</v>
      </c>
      <c r="K183" t="s">
        <v>94</v>
      </c>
      <c r="L183" t="s">
        <v>95</v>
      </c>
      <c r="M183">
        <v>100</v>
      </c>
      <c r="N183" s="1" t="s">
        <v>96</v>
      </c>
      <c r="O183" s="1" t="s">
        <v>96</v>
      </c>
      <c r="P183">
        <v>19.95</v>
      </c>
      <c r="Q183" s="1" t="s">
        <v>96</v>
      </c>
      <c r="R183" s="1" t="s">
        <v>96</v>
      </c>
      <c r="S183" s="1" t="s">
        <v>96</v>
      </c>
      <c r="T183" s="1" t="s">
        <v>96</v>
      </c>
      <c r="U183" s="1" t="s">
        <v>96</v>
      </c>
      <c r="V183" s="1" t="s">
        <v>96</v>
      </c>
      <c r="W183" s="1" t="s">
        <v>96</v>
      </c>
      <c r="X183" s="1" t="s">
        <v>96</v>
      </c>
      <c r="Y183" s="1" t="s">
        <v>96</v>
      </c>
      <c r="Z183" t="s">
        <v>96</v>
      </c>
      <c r="AA183" s="1" t="s">
        <v>96</v>
      </c>
      <c r="AB183">
        <v>1.66</v>
      </c>
      <c r="AC183" t="s">
        <v>96</v>
      </c>
      <c r="AD183">
        <v>22.23</v>
      </c>
      <c r="AE183" s="1" t="s">
        <v>96</v>
      </c>
      <c r="AF183" t="s">
        <v>96</v>
      </c>
      <c r="AG183">
        <v>10.41</v>
      </c>
      <c r="AH183">
        <v>40.520000000000003</v>
      </c>
      <c r="AI183" s="1" t="s">
        <v>96</v>
      </c>
      <c r="AJ183" s="1" t="s">
        <v>96</v>
      </c>
      <c r="AK183" s="1" t="s">
        <v>96</v>
      </c>
      <c r="AL183" s="1" t="s">
        <v>96</v>
      </c>
      <c r="AM183" s="1" t="s">
        <v>96</v>
      </c>
      <c r="AN183" s="1" t="s">
        <v>96</v>
      </c>
      <c r="AO183" t="s">
        <v>96</v>
      </c>
      <c r="AP183">
        <v>5.17</v>
      </c>
      <c r="AQ183" s="1" t="s">
        <v>96</v>
      </c>
      <c r="AR183" s="1" t="s">
        <v>96</v>
      </c>
      <c r="AS183">
        <v>54.32</v>
      </c>
      <c r="AT183">
        <v>3.22</v>
      </c>
      <c r="AU183" s="1" t="s">
        <v>96</v>
      </c>
      <c r="AV183" s="1" t="s">
        <v>96</v>
      </c>
      <c r="AW183" t="s">
        <v>96</v>
      </c>
      <c r="AX183" s="1" t="s">
        <v>96</v>
      </c>
      <c r="AY183" t="s">
        <v>133</v>
      </c>
      <c r="AZ183">
        <v>373.83</v>
      </c>
      <c r="BA183">
        <v>231.85</v>
      </c>
      <c r="BB183" s="1" t="s">
        <v>96</v>
      </c>
      <c r="BC183" t="s">
        <v>133</v>
      </c>
      <c r="BD183" s="1" t="s">
        <v>96</v>
      </c>
      <c r="BE183" s="1">
        <v>3.19</v>
      </c>
      <c r="BF183">
        <v>51.68</v>
      </c>
      <c r="BG183" s="1">
        <v>22.98</v>
      </c>
      <c r="BH183" s="1" t="s">
        <v>96</v>
      </c>
      <c r="BI183">
        <v>682.16</v>
      </c>
      <c r="BJ183">
        <v>93.07</v>
      </c>
      <c r="BK183" s="1" t="s">
        <v>96</v>
      </c>
      <c r="BL183" s="1">
        <v>14.2</v>
      </c>
      <c r="BM183">
        <v>32.74</v>
      </c>
      <c r="BN183">
        <v>289.52</v>
      </c>
      <c r="BO183">
        <v>93.67</v>
      </c>
      <c r="BP183" t="s">
        <v>96</v>
      </c>
      <c r="BQ183" s="1" t="s">
        <v>96</v>
      </c>
      <c r="BR183" s="1" t="s">
        <v>96</v>
      </c>
      <c r="BS183" s="1" t="s">
        <v>96</v>
      </c>
      <c r="BT183" s="1" t="s">
        <v>96</v>
      </c>
      <c r="BU183" s="1" t="s">
        <v>96</v>
      </c>
      <c r="BV183">
        <v>244.49</v>
      </c>
      <c r="BW183">
        <v>58.42</v>
      </c>
      <c r="BX183" s="1">
        <v>6.7</v>
      </c>
      <c r="BY183">
        <v>190.1</v>
      </c>
      <c r="BZ183">
        <v>24.59</v>
      </c>
      <c r="CA183" s="1">
        <v>15</v>
      </c>
      <c r="CB183">
        <v>64.849999999999994</v>
      </c>
      <c r="CC183">
        <v>76.59</v>
      </c>
      <c r="CD183" s="1" t="s">
        <v>96</v>
      </c>
    </row>
    <row r="184" spans="1:82">
      <c r="A184">
        <v>128</v>
      </c>
      <c r="B184" t="s">
        <v>479</v>
      </c>
      <c r="D184" t="b">
        <v>1</v>
      </c>
      <c r="E184" t="s">
        <v>480</v>
      </c>
      <c r="F184">
        <v>15</v>
      </c>
      <c r="G184">
        <v>4</v>
      </c>
      <c r="J184" t="s">
        <v>481</v>
      </c>
      <c r="K184" t="s">
        <v>94</v>
      </c>
      <c r="L184" t="s">
        <v>95</v>
      </c>
      <c r="M184">
        <v>100</v>
      </c>
      <c r="N184" s="1" t="s">
        <v>96</v>
      </c>
      <c r="O184" s="1" t="s">
        <v>96</v>
      </c>
      <c r="P184">
        <v>10.89</v>
      </c>
      <c r="Q184" s="1" t="s">
        <v>96</v>
      </c>
      <c r="R184" s="1">
        <v>10.3</v>
      </c>
      <c r="S184" s="1" t="s">
        <v>96</v>
      </c>
      <c r="T184" s="1" t="s">
        <v>96</v>
      </c>
      <c r="U184" s="1" t="s">
        <v>96</v>
      </c>
      <c r="V184" s="1" t="s">
        <v>96</v>
      </c>
      <c r="W184" s="1" t="s">
        <v>96</v>
      </c>
      <c r="X184" s="1" t="s">
        <v>96</v>
      </c>
      <c r="Y184" s="1" t="s">
        <v>96</v>
      </c>
      <c r="Z184" t="s">
        <v>96</v>
      </c>
      <c r="AA184" s="1" t="s">
        <v>96</v>
      </c>
      <c r="AB184">
        <v>19.37</v>
      </c>
      <c r="AC184">
        <v>27.5</v>
      </c>
      <c r="AD184">
        <v>75.900000000000006</v>
      </c>
      <c r="AE184" s="1" t="s">
        <v>96</v>
      </c>
      <c r="AF184">
        <v>17.440000000000001</v>
      </c>
      <c r="AG184">
        <v>455.05</v>
      </c>
      <c r="AH184">
        <v>330.67</v>
      </c>
      <c r="AI184" s="1" t="s">
        <v>96</v>
      </c>
      <c r="AJ184" s="1">
        <v>6.71</v>
      </c>
      <c r="AK184" s="1" t="s">
        <v>96</v>
      </c>
      <c r="AL184" s="1" t="s">
        <v>96</v>
      </c>
      <c r="AM184" s="1" t="s">
        <v>96</v>
      </c>
      <c r="AN184" s="1" t="s">
        <v>96</v>
      </c>
      <c r="AO184">
        <v>113.82</v>
      </c>
      <c r="AP184">
        <v>34.83</v>
      </c>
      <c r="AQ184" s="1" t="s">
        <v>96</v>
      </c>
      <c r="AR184" s="1" t="s">
        <v>96</v>
      </c>
      <c r="AS184">
        <v>189.31</v>
      </c>
      <c r="AT184">
        <v>8.82</v>
      </c>
      <c r="AU184" s="1" t="s">
        <v>96</v>
      </c>
      <c r="AV184" s="1" t="s">
        <v>96</v>
      </c>
      <c r="AW184">
        <v>5.28</v>
      </c>
      <c r="AX184" s="1" t="s">
        <v>96</v>
      </c>
      <c r="AY184">
        <v>1200.21</v>
      </c>
      <c r="AZ184">
        <v>838.73</v>
      </c>
      <c r="BA184">
        <v>107.91</v>
      </c>
      <c r="BB184" s="1" t="s">
        <v>96</v>
      </c>
      <c r="BC184" t="s">
        <v>133</v>
      </c>
      <c r="BD184" s="1" t="s">
        <v>96</v>
      </c>
      <c r="BE184" s="1">
        <v>3.92</v>
      </c>
      <c r="BF184">
        <v>13.48</v>
      </c>
      <c r="BG184" s="1">
        <v>8.1300000000000008</v>
      </c>
      <c r="BH184" s="1" t="s">
        <v>96</v>
      </c>
      <c r="BI184">
        <v>158.87</v>
      </c>
      <c r="BJ184">
        <v>99.19</v>
      </c>
      <c r="BK184" s="1" t="s">
        <v>96</v>
      </c>
      <c r="BL184" s="1" t="s">
        <v>96</v>
      </c>
      <c r="BM184" t="s">
        <v>96</v>
      </c>
      <c r="BN184">
        <v>141.82</v>
      </c>
      <c r="BO184">
        <v>100.33</v>
      </c>
      <c r="BP184">
        <v>38.67</v>
      </c>
      <c r="BQ184" s="1" t="s">
        <v>96</v>
      </c>
      <c r="BR184" s="1" t="s">
        <v>96</v>
      </c>
      <c r="BS184" s="1">
        <v>16.829999999999998</v>
      </c>
      <c r="BT184" s="1">
        <v>5.83</v>
      </c>
      <c r="BU184" s="1">
        <v>26.41</v>
      </c>
      <c r="BV184">
        <v>165.94</v>
      </c>
      <c r="BW184">
        <v>17.399999999999999</v>
      </c>
      <c r="BX184" s="1" t="s">
        <v>96</v>
      </c>
      <c r="BY184">
        <v>610.95000000000005</v>
      </c>
      <c r="BZ184">
        <v>19.45</v>
      </c>
      <c r="CA184" s="1" t="s">
        <v>96</v>
      </c>
      <c r="CB184">
        <v>54.49</v>
      </c>
      <c r="CC184">
        <v>160.21</v>
      </c>
      <c r="CD184" s="1" t="s">
        <v>96</v>
      </c>
    </row>
    <row r="185" spans="1:82">
      <c r="A185">
        <v>241</v>
      </c>
      <c r="B185" t="s">
        <v>818</v>
      </c>
      <c r="D185" t="b">
        <v>1</v>
      </c>
      <c r="E185" t="s">
        <v>819</v>
      </c>
      <c r="F185">
        <v>372</v>
      </c>
      <c r="G185">
        <v>7</v>
      </c>
      <c r="J185" t="s">
        <v>820</v>
      </c>
      <c r="K185" t="s">
        <v>94</v>
      </c>
      <c r="L185" t="s">
        <v>95</v>
      </c>
      <c r="M185">
        <v>100</v>
      </c>
      <c r="N185" s="1" t="s">
        <v>96</v>
      </c>
      <c r="O185" s="1" t="s">
        <v>96</v>
      </c>
      <c r="P185">
        <v>17.71</v>
      </c>
      <c r="Q185" s="1" t="s">
        <v>96</v>
      </c>
      <c r="R185" s="1" t="s">
        <v>96</v>
      </c>
      <c r="S185" s="1">
        <v>47.15</v>
      </c>
      <c r="T185" s="1" t="s">
        <v>96</v>
      </c>
      <c r="U185" s="1" t="s">
        <v>96</v>
      </c>
      <c r="V185" s="1" t="s">
        <v>96</v>
      </c>
      <c r="W185" s="1" t="s">
        <v>96</v>
      </c>
      <c r="X185" s="1" t="s">
        <v>96</v>
      </c>
      <c r="Y185" s="1" t="s">
        <v>96</v>
      </c>
      <c r="Z185" t="s">
        <v>96</v>
      </c>
      <c r="AA185" s="1" t="s">
        <v>96</v>
      </c>
      <c r="AB185">
        <v>1.03</v>
      </c>
      <c r="AC185">
        <v>34.81</v>
      </c>
      <c r="AD185">
        <v>92.65</v>
      </c>
      <c r="AE185" s="1" t="s">
        <v>96</v>
      </c>
      <c r="AF185">
        <v>183.49</v>
      </c>
      <c r="AG185">
        <v>652.84</v>
      </c>
      <c r="AH185">
        <v>151.63999999999999</v>
      </c>
      <c r="AI185" s="1" t="s">
        <v>96</v>
      </c>
      <c r="AJ185" s="1" t="s">
        <v>96</v>
      </c>
      <c r="AK185" s="1" t="s">
        <v>96</v>
      </c>
      <c r="AL185" s="1" t="s">
        <v>96</v>
      </c>
      <c r="AM185" s="1" t="s">
        <v>96</v>
      </c>
      <c r="AN185" s="1" t="s">
        <v>96</v>
      </c>
      <c r="AO185" t="s">
        <v>96</v>
      </c>
      <c r="AP185">
        <v>65.95</v>
      </c>
      <c r="AQ185" s="1" t="s">
        <v>96</v>
      </c>
      <c r="AR185" s="1" t="s">
        <v>96</v>
      </c>
      <c r="AS185">
        <v>27.8</v>
      </c>
      <c r="AT185">
        <v>1.81</v>
      </c>
      <c r="AU185" s="1" t="s">
        <v>96</v>
      </c>
      <c r="AV185" s="1" t="s">
        <v>96</v>
      </c>
      <c r="AW185">
        <v>46.26</v>
      </c>
      <c r="AX185" s="1" t="s">
        <v>96</v>
      </c>
      <c r="AY185">
        <v>774.9</v>
      </c>
      <c r="AZ185">
        <v>436.84</v>
      </c>
      <c r="BA185">
        <v>45.09</v>
      </c>
      <c r="BB185" s="1" t="s">
        <v>96</v>
      </c>
      <c r="BC185">
        <v>159.59</v>
      </c>
      <c r="BD185" s="1" t="s">
        <v>96</v>
      </c>
      <c r="BE185" s="1">
        <v>18.12</v>
      </c>
      <c r="BF185">
        <v>7.05</v>
      </c>
      <c r="BG185" s="1">
        <v>2.78</v>
      </c>
      <c r="BH185" s="1" t="s">
        <v>96</v>
      </c>
      <c r="BI185">
        <v>118.93</v>
      </c>
      <c r="BJ185">
        <v>83.52</v>
      </c>
      <c r="BK185" s="1" t="s">
        <v>96</v>
      </c>
      <c r="BL185" s="1" t="s">
        <v>96</v>
      </c>
      <c r="BM185">
        <v>7.31</v>
      </c>
      <c r="BN185">
        <v>34.479999999999997</v>
      </c>
      <c r="BO185">
        <v>211.98</v>
      </c>
      <c r="BP185">
        <v>9.01</v>
      </c>
      <c r="BQ185" s="1" t="s">
        <v>96</v>
      </c>
      <c r="BR185" s="1" t="s">
        <v>96</v>
      </c>
      <c r="BS185" s="1" t="s">
        <v>96</v>
      </c>
      <c r="BT185" s="1" t="s">
        <v>96</v>
      </c>
      <c r="BU185" s="1">
        <v>92.62</v>
      </c>
      <c r="BV185">
        <v>100.08</v>
      </c>
      <c r="BW185">
        <v>17.05</v>
      </c>
      <c r="BX185" s="1" t="s">
        <v>96</v>
      </c>
      <c r="BY185">
        <v>1294.31</v>
      </c>
      <c r="BZ185">
        <v>44.94</v>
      </c>
      <c r="CA185" s="1" t="s">
        <v>96</v>
      </c>
      <c r="CB185">
        <v>40.869999999999997</v>
      </c>
      <c r="CC185">
        <v>183.54</v>
      </c>
      <c r="CD185" s="1" t="s">
        <v>96</v>
      </c>
    </row>
    <row r="186" spans="1:82">
      <c r="A186">
        <v>33</v>
      </c>
      <c r="B186" t="s">
        <v>194</v>
      </c>
      <c r="D186" t="b">
        <v>1</v>
      </c>
      <c r="E186" t="s">
        <v>195</v>
      </c>
      <c r="F186">
        <v>226</v>
      </c>
      <c r="G186">
        <v>1</v>
      </c>
      <c r="J186" t="s">
        <v>196</v>
      </c>
      <c r="K186" t="s">
        <v>94</v>
      </c>
      <c r="L186" t="s">
        <v>95</v>
      </c>
      <c r="M186">
        <v>100</v>
      </c>
      <c r="N186" s="1" t="s">
        <v>96</v>
      </c>
      <c r="O186" s="1" t="s">
        <v>96</v>
      </c>
      <c r="P186">
        <v>10.58</v>
      </c>
      <c r="Q186" s="1" t="s">
        <v>96</v>
      </c>
      <c r="R186" s="1" t="s">
        <v>96</v>
      </c>
      <c r="S186" s="1">
        <v>8.18</v>
      </c>
      <c r="T186" s="1" t="s">
        <v>96</v>
      </c>
      <c r="U186" s="1" t="s">
        <v>96</v>
      </c>
      <c r="V186" s="1" t="s">
        <v>96</v>
      </c>
      <c r="W186" s="1" t="s">
        <v>96</v>
      </c>
      <c r="X186" s="1" t="s">
        <v>96</v>
      </c>
      <c r="Y186" s="1" t="s">
        <v>96</v>
      </c>
      <c r="Z186" t="s">
        <v>96</v>
      </c>
      <c r="AA186" s="1" t="s">
        <v>96</v>
      </c>
      <c r="AB186">
        <v>4.07</v>
      </c>
      <c r="AC186">
        <v>72.39</v>
      </c>
      <c r="AD186">
        <v>82.55</v>
      </c>
      <c r="AE186" s="1" t="s">
        <v>96</v>
      </c>
      <c r="AF186">
        <v>43.14</v>
      </c>
      <c r="AG186">
        <v>867.28</v>
      </c>
      <c r="AH186">
        <v>28.82</v>
      </c>
      <c r="AI186" s="1" t="s">
        <v>96</v>
      </c>
      <c r="AJ186" s="1" t="s">
        <v>96</v>
      </c>
      <c r="AK186" s="1" t="s">
        <v>96</v>
      </c>
      <c r="AL186" s="1" t="s">
        <v>96</v>
      </c>
      <c r="AM186" s="1" t="s">
        <v>96</v>
      </c>
      <c r="AN186" s="1" t="s">
        <v>96</v>
      </c>
      <c r="AO186">
        <v>213.27</v>
      </c>
      <c r="AP186">
        <v>52.25</v>
      </c>
      <c r="AQ186" s="1" t="s">
        <v>96</v>
      </c>
      <c r="AR186" s="1" t="s">
        <v>96</v>
      </c>
      <c r="AS186">
        <v>4.6100000000000003</v>
      </c>
      <c r="AT186" t="s">
        <v>96</v>
      </c>
      <c r="AU186" s="1" t="s">
        <v>96</v>
      </c>
      <c r="AV186" s="1" t="s">
        <v>96</v>
      </c>
      <c r="AW186">
        <v>36.299999999999997</v>
      </c>
      <c r="AX186" s="1" t="s">
        <v>96</v>
      </c>
      <c r="AY186">
        <v>634.20000000000005</v>
      </c>
      <c r="AZ186">
        <v>516.24</v>
      </c>
      <c r="BA186">
        <v>31.56</v>
      </c>
      <c r="BB186" s="1" t="s">
        <v>96</v>
      </c>
      <c r="BC186">
        <v>65.45</v>
      </c>
      <c r="BD186" s="1" t="s">
        <v>96</v>
      </c>
      <c r="BE186" s="1">
        <v>7.52</v>
      </c>
      <c r="BF186" t="s">
        <v>96</v>
      </c>
      <c r="BG186" s="1" t="s">
        <v>96</v>
      </c>
      <c r="BH186" s="1" t="s">
        <v>96</v>
      </c>
      <c r="BI186">
        <v>36.31</v>
      </c>
      <c r="BJ186">
        <v>33.32</v>
      </c>
      <c r="BK186" s="1" t="s">
        <v>96</v>
      </c>
      <c r="BL186" s="1" t="s">
        <v>96</v>
      </c>
      <c r="BM186" t="s">
        <v>96</v>
      </c>
      <c r="BN186">
        <v>5.4</v>
      </c>
      <c r="BO186">
        <v>57.9</v>
      </c>
      <c r="BP186">
        <v>8.65</v>
      </c>
      <c r="BQ186" s="1" t="s">
        <v>96</v>
      </c>
      <c r="BR186" s="1" t="s">
        <v>96</v>
      </c>
      <c r="BS186" s="1" t="s">
        <v>96</v>
      </c>
      <c r="BT186" s="1" t="s">
        <v>96</v>
      </c>
      <c r="BU186" s="1">
        <v>49.39</v>
      </c>
      <c r="BV186">
        <v>28.22</v>
      </c>
      <c r="BW186" t="s">
        <v>96</v>
      </c>
      <c r="BX186" s="1" t="s">
        <v>96</v>
      </c>
      <c r="BY186">
        <v>1088.19</v>
      </c>
      <c r="BZ186">
        <v>7.26</v>
      </c>
      <c r="CA186" s="1" t="s">
        <v>96</v>
      </c>
      <c r="CB186">
        <v>26.35</v>
      </c>
      <c r="CC186">
        <v>83.76</v>
      </c>
      <c r="CD186" s="1" t="s">
        <v>96</v>
      </c>
    </row>
    <row r="187" spans="1:82">
      <c r="A187">
        <v>130</v>
      </c>
      <c r="B187" t="s">
        <v>485</v>
      </c>
      <c r="D187" t="b">
        <v>1</v>
      </c>
      <c r="E187" t="s">
        <v>486</v>
      </c>
      <c r="F187">
        <v>19</v>
      </c>
      <c r="G187">
        <v>4</v>
      </c>
      <c r="J187" t="s">
        <v>487</v>
      </c>
      <c r="K187" t="s">
        <v>94</v>
      </c>
      <c r="L187" t="s">
        <v>95</v>
      </c>
      <c r="M187">
        <v>100</v>
      </c>
      <c r="N187" s="1" t="s">
        <v>96</v>
      </c>
      <c r="O187" s="1" t="s">
        <v>96</v>
      </c>
      <c r="P187">
        <v>7.03</v>
      </c>
      <c r="Q187" s="1">
        <v>14.5</v>
      </c>
      <c r="R187" s="1">
        <v>15.37</v>
      </c>
      <c r="S187" s="1">
        <v>5.45</v>
      </c>
      <c r="T187" s="1" t="s">
        <v>96</v>
      </c>
      <c r="U187" s="1" t="s">
        <v>96</v>
      </c>
      <c r="V187" s="1" t="s">
        <v>96</v>
      </c>
      <c r="W187" s="1" t="s">
        <v>96</v>
      </c>
      <c r="X187" s="1" t="s">
        <v>96</v>
      </c>
      <c r="Y187" s="1" t="s">
        <v>96</v>
      </c>
      <c r="Z187" t="s">
        <v>96</v>
      </c>
      <c r="AA187" s="1" t="s">
        <v>96</v>
      </c>
      <c r="AB187">
        <v>1.21</v>
      </c>
      <c r="AC187">
        <v>27.39</v>
      </c>
      <c r="AD187">
        <v>9.06</v>
      </c>
      <c r="AE187" s="1" t="s">
        <v>96</v>
      </c>
      <c r="AF187">
        <v>11.36</v>
      </c>
      <c r="AG187">
        <v>145.93</v>
      </c>
      <c r="AH187">
        <v>8.76</v>
      </c>
      <c r="AI187" s="1">
        <v>3.52</v>
      </c>
      <c r="AJ187" s="1">
        <v>6.32</v>
      </c>
      <c r="AK187" s="1" t="s">
        <v>96</v>
      </c>
      <c r="AL187" s="1" t="s">
        <v>96</v>
      </c>
      <c r="AM187" s="1">
        <v>7.19</v>
      </c>
      <c r="AN187" s="1" t="s">
        <v>96</v>
      </c>
      <c r="AO187">
        <v>56.84</v>
      </c>
      <c r="AP187">
        <v>6.74</v>
      </c>
      <c r="AQ187" s="1" t="s">
        <v>96</v>
      </c>
      <c r="AR187" s="1">
        <v>4.7300000000000004</v>
      </c>
      <c r="AS187">
        <v>6.07</v>
      </c>
      <c r="AT187" t="s">
        <v>96</v>
      </c>
      <c r="AU187" s="1" t="s">
        <v>96</v>
      </c>
      <c r="AV187" s="1" t="s">
        <v>96</v>
      </c>
      <c r="AW187">
        <v>3.71</v>
      </c>
      <c r="AX187" s="1" t="s">
        <v>96</v>
      </c>
      <c r="AY187">
        <v>731.24</v>
      </c>
      <c r="AZ187">
        <v>624.77</v>
      </c>
      <c r="BA187">
        <v>26.1</v>
      </c>
      <c r="BB187" s="1" t="s">
        <v>96</v>
      </c>
      <c r="BC187">
        <v>573.99</v>
      </c>
      <c r="BD187" s="1" t="s">
        <v>96</v>
      </c>
      <c r="BE187" s="1">
        <v>11.42</v>
      </c>
      <c r="BF187">
        <v>5.92</v>
      </c>
      <c r="BG187" s="1">
        <v>9.27</v>
      </c>
      <c r="BH187" s="1" t="s">
        <v>96</v>
      </c>
      <c r="BI187">
        <v>374.63</v>
      </c>
      <c r="BJ187">
        <v>405.72</v>
      </c>
      <c r="BK187" s="1" t="s">
        <v>96</v>
      </c>
      <c r="BL187" s="1" t="s">
        <v>96</v>
      </c>
      <c r="BM187" t="s">
        <v>96</v>
      </c>
      <c r="BN187">
        <v>310.39</v>
      </c>
      <c r="BO187">
        <v>522.82000000000005</v>
      </c>
      <c r="BP187">
        <v>18.05</v>
      </c>
      <c r="BQ187" s="1" t="s">
        <v>96</v>
      </c>
      <c r="BR187" s="1" t="s">
        <v>96</v>
      </c>
      <c r="BS187" s="1">
        <v>6.46</v>
      </c>
      <c r="BT187" s="1" t="s">
        <v>96</v>
      </c>
      <c r="BU187" s="1">
        <v>42.92</v>
      </c>
      <c r="BV187">
        <v>240.13</v>
      </c>
      <c r="BW187">
        <v>71.62</v>
      </c>
      <c r="BX187" s="1">
        <v>6.17</v>
      </c>
      <c r="BY187">
        <v>1131.3399999999999</v>
      </c>
      <c r="BZ187">
        <v>230.21</v>
      </c>
      <c r="CA187" s="1">
        <v>15.33</v>
      </c>
      <c r="CB187">
        <v>49.34</v>
      </c>
      <c r="CC187">
        <v>432.28</v>
      </c>
      <c r="CD187" s="1" t="s">
        <v>96</v>
      </c>
    </row>
    <row r="188" spans="1:82">
      <c r="A188">
        <v>242</v>
      </c>
      <c r="B188" t="s">
        <v>821</v>
      </c>
      <c r="D188" t="b">
        <v>1</v>
      </c>
      <c r="E188" t="s">
        <v>822</v>
      </c>
      <c r="F188">
        <v>373</v>
      </c>
      <c r="G188">
        <v>7</v>
      </c>
      <c r="J188" t="s">
        <v>823</v>
      </c>
      <c r="K188" t="s">
        <v>94</v>
      </c>
      <c r="L188" t="s">
        <v>95</v>
      </c>
      <c r="M188">
        <v>100</v>
      </c>
      <c r="N188" s="1" t="s">
        <v>96</v>
      </c>
      <c r="O188" s="1" t="s">
        <v>96</v>
      </c>
      <c r="P188">
        <v>22.45</v>
      </c>
      <c r="Q188" s="1" t="s">
        <v>96</v>
      </c>
      <c r="R188" s="1" t="s">
        <v>96</v>
      </c>
      <c r="S188" s="1">
        <v>16.489999999999998</v>
      </c>
      <c r="T188" s="1" t="s">
        <v>96</v>
      </c>
      <c r="U188" s="1" t="s">
        <v>96</v>
      </c>
      <c r="V188" s="1" t="s">
        <v>96</v>
      </c>
      <c r="W188" s="1" t="s">
        <v>96</v>
      </c>
      <c r="X188" s="1" t="s">
        <v>96</v>
      </c>
      <c r="Y188" s="1" t="s">
        <v>96</v>
      </c>
      <c r="Z188">
        <v>2.2400000000000002</v>
      </c>
      <c r="AA188" s="1" t="s">
        <v>96</v>
      </c>
      <c r="AB188">
        <v>4.7</v>
      </c>
      <c r="AC188">
        <v>27.79</v>
      </c>
      <c r="AD188">
        <v>228.07</v>
      </c>
      <c r="AE188" s="1" t="s">
        <v>96</v>
      </c>
      <c r="AF188">
        <v>115.78</v>
      </c>
      <c r="AG188">
        <v>644.25</v>
      </c>
      <c r="AH188">
        <v>305.22000000000003</v>
      </c>
      <c r="AI188" s="1" t="s">
        <v>96</v>
      </c>
      <c r="AJ188" s="1" t="s">
        <v>96</v>
      </c>
      <c r="AK188" s="1" t="s">
        <v>96</v>
      </c>
      <c r="AL188" s="1" t="s">
        <v>96</v>
      </c>
      <c r="AM188" s="1" t="s">
        <v>96</v>
      </c>
      <c r="AN188" s="1" t="s">
        <v>96</v>
      </c>
      <c r="AO188" t="s">
        <v>96</v>
      </c>
      <c r="AP188">
        <v>83.45</v>
      </c>
      <c r="AQ188" s="1" t="s">
        <v>96</v>
      </c>
      <c r="AR188" s="1" t="s">
        <v>96</v>
      </c>
      <c r="AS188">
        <v>26.66</v>
      </c>
      <c r="AT188">
        <v>3.73</v>
      </c>
      <c r="AU188" s="1" t="s">
        <v>96</v>
      </c>
      <c r="AV188" s="1" t="s">
        <v>96</v>
      </c>
      <c r="AW188">
        <v>22.62</v>
      </c>
      <c r="AX188" s="1">
        <v>2.75</v>
      </c>
      <c r="AY188">
        <v>1403.93</v>
      </c>
      <c r="AZ188">
        <v>859.75</v>
      </c>
      <c r="BA188">
        <v>71.62</v>
      </c>
      <c r="BB188" s="1" t="s">
        <v>96</v>
      </c>
      <c r="BC188">
        <v>519.6</v>
      </c>
      <c r="BD188" s="1" t="s">
        <v>96</v>
      </c>
      <c r="BE188" s="1">
        <v>12.75</v>
      </c>
      <c r="BF188">
        <v>13.46</v>
      </c>
      <c r="BG188" s="1">
        <v>7.91</v>
      </c>
      <c r="BH188" s="1" t="s">
        <v>96</v>
      </c>
      <c r="BI188">
        <v>373.44</v>
      </c>
      <c r="BJ188">
        <v>226.29</v>
      </c>
      <c r="BK188" s="1" t="s">
        <v>96</v>
      </c>
      <c r="BL188" s="1">
        <v>3.53</v>
      </c>
      <c r="BM188">
        <v>30.81</v>
      </c>
      <c r="BN188">
        <v>214.65</v>
      </c>
      <c r="BO188">
        <v>267.02999999999997</v>
      </c>
      <c r="BP188">
        <v>5.32</v>
      </c>
      <c r="BQ188" s="1" t="s">
        <v>96</v>
      </c>
      <c r="BR188" s="1" t="s">
        <v>96</v>
      </c>
      <c r="BS188" s="1" t="s">
        <v>96</v>
      </c>
      <c r="BT188" s="1" t="s">
        <v>96</v>
      </c>
      <c r="BU188" s="1">
        <v>50.69</v>
      </c>
      <c r="BV188">
        <v>129.38999999999999</v>
      </c>
      <c r="BW188">
        <v>31.12</v>
      </c>
      <c r="BX188" s="1" t="s">
        <v>96</v>
      </c>
      <c r="BY188">
        <v>950.96</v>
      </c>
      <c r="BZ188">
        <v>117.43</v>
      </c>
      <c r="CA188" s="1">
        <v>15.65</v>
      </c>
      <c r="CB188">
        <v>49.95</v>
      </c>
      <c r="CC188">
        <v>338.69</v>
      </c>
      <c r="CD188" s="1" t="s">
        <v>96</v>
      </c>
    </row>
    <row r="189" spans="1:82">
      <c r="A189">
        <v>70</v>
      </c>
      <c r="B189" t="s">
        <v>305</v>
      </c>
      <c r="D189" t="b">
        <v>1</v>
      </c>
      <c r="E189" t="s">
        <v>306</v>
      </c>
      <c r="F189">
        <v>103</v>
      </c>
      <c r="G189">
        <v>2</v>
      </c>
      <c r="J189" t="s">
        <v>307</v>
      </c>
      <c r="K189" t="s">
        <v>94</v>
      </c>
      <c r="L189" t="s">
        <v>95</v>
      </c>
      <c r="M189">
        <v>100</v>
      </c>
      <c r="N189" s="1" t="s">
        <v>96</v>
      </c>
      <c r="O189" s="1" t="s">
        <v>96</v>
      </c>
      <c r="P189">
        <v>21.85</v>
      </c>
      <c r="Q189" s="1" t="s">
        <v>96</v>
      </c>
      <c r="R189" s="1" t="s">
        <v>96</v>
      </c>
      <c r="S189" s="1">
        <v>10.31</v>
      </c>
      <c r="T189" s="1" t="s">
        <v>96</v>
      </c>
      <c r="U189" s="1" t="s">
        <v>96</v>
      </c>
      <c r="V189" s="1">
        <v>49.85</v>
      </c>
      <c r="W189" s="1" t="s">
        <v>96</v>
      </c>
      <c r="X189" s="1" t="s">
        <v>96</v>
      </c>
      <c r="Y189" s="1" t="s">
        <v>96</v>
      </c>
      <c r="Z189">
        <v>1.07</v>
      </c>
      <c r="AA189" s="1" t="s">
        <v>96</v>
      </c>
      <c r="AB189">
        <v>5.12</v>
      </c>
      <c r="AC189">
        <v>16.260000000000002</v>
      </c>
      <c r="AD189">
        <v>291.70999999999998</v>
      </c>
      <c r="AE189" s="1" t="s">
        <v>96</v>
      </c>
      <c r="AF189">
        <v>77.739999999999995</v>
      </c>
      <c r="AG189">
        <v>751.41</v>
      </c>
      <c r="AH189">
        <v>113.4</v>
      </c>
      <c r="AI189" s="1">
        <v>5.26</v>
      </c>
      <c r="AJ189" s="1">
        <v>3.95</v>
      </c>
      <c r="AK189" s="1" t="s">
        <v>96</v>
      </c>
      <c r="AL189" s="1">
        <v>3.21</v>
      </c>
      <c r="AM189" s="1" t="s">
        <v>96</v>
      </c>
      <c r="AN189" s="1" t="s">
        <v>96</v>
      </c>
      <c r="AO189">
        <v>328.97</v>
      </c>
      <c r="AP189">
        <v>84.41</v>
      </c>
      <c r="AQ189" s="1">
        <v>2.31</v>
      </c>
      <c r="AR189" s="1">
        <v>2.67</v>
      </c>
      <c r="AS189">
        <v>23.95</v>
      </c>
      <c r="AT189">
        <v>6.84</v>
      </c>
      <c r="AU189" s="1" t="s">
        <v>96</v>
      </c>
      <c r="AV189" s="1" t="s">
        <v>96</v>
      </c>
      <c r="AW189">
        <v>29.76</v>
      </c>
      <c r="AX189" s="1">
        <v>2.94</v>
      </c>
      <c r="AY189" t="s">
        <v>133</v>
      </c>
      <c r="AZ189">
        <v>1910.24</v>
      </c>
      <c r="BA189">
        <v>376.68</v>
      </c>
      <c r="BB189" s="1" t="s">
        <v>96</v>
      </c>
      <c r="BC189" t="s">
        <v>133</v>
      </c>
      <c r="BD189" s="1" t="s">
        <v>96</v>
      </c>
      <c r="BE189" s="1">
        <v>15</v>
      </c>
      <c r="BF189">
        <v>40.42</v>
      </c>
      <c r="BG189" s="1">
        <v>39.9</v>
      </c>
      <c r="BH189" s="1" t="s">
        <v>96</v>
      </c>
      <c r="BI189">
        <v>548.29999999999995</v>
      </c>
      <c r="BJ189">
        <v>469.51</v>
      </c>
      <c r="BK189" s="1" t="s">
        <v>96</v>
      </c>
      <c r="BL189" s="1">
        <v>14.55</v>
      </c>
      <c r="BM189">
        <v>26.1</v>
      </c>
      <c r="BN189">
        <v>474.79</v>
      </c>
      <c r="BO189">
        <v>159.46</v>
      </c>
      <c r="BP189">
        <v>9.4700000000000006</v>
      </c>
      <c r="BQ189" s="1" t="s">
        <v>96</v>
      </c>
      <c r="BR189" s="1" t="s">
        <v>96</v>
      </c>
      <c r="BS189" s="1" t="s">
        <v>96</v>
      </c>
      <c r="BT189" s="1" t="s">
        <v>96</v>
      </c>
      <c r="BU189" s="1">
        <v>16.059999999999999</v>
      </c>
      <c r="BV189">
        <v>85.28</v>
      </c>
      <c r="BW189">
        <v>25.47</v>
      </c>
      <c r="BX189" s="1" t="s">
        <v>96</v>
      </c>
      <c r="BY189">
        <v>429.71</v>
      </c>
      <c r="BZ189">
        <v>50.96</v>
      </c>
      <c r="CA189" s="1" t="s">
        <v>96</v>
      </c>
      <c r="CB189">
        <v>40.340000000000003</v>
      </c>
      <c r="CC189">
        <v>115.5</v>
      </c>
      <c r="CD189" s="1" t="s">
        <v>96</v>
      </c>
    </row>
    <row r="190" spans="1:82">
      <c r="A190">
        <v>240</v>
      </c>
      <c r="B190" t="s">
        <v>815</v>
      </c>
      <c r="D190" t="b">
        <v>1</v>
      </c>
      <c r="E190" t="s">
        <v>816</v>
      </c>
      <c r="F190">
        <v>371</v>
      </c>
      <c r="G190">
        <v>7</v>
      </c>
      <c r="J190" t="s">
        <v>817</v>
      </c>
      <c r="K190" t="s">
        <v>94</v>
      </c>
      <c r="L190" t="s">
        <v>95</v>
      </c>
      <c r="M190">
        <v>100</v>
      </c>
      <c r="N190" s="1" t="s">
        <v>96</v>
      </c>
      <c r="O190" s="1" t="s">
        <v>96</v>
      </c>
      <c r="P190">
        <v>17.059999999999999</v>
      </c>
      <c r="Q190" s="1" t="s">
        <v>96</v>
      </c>
      <c r="R190" s="1" t="s">
        <v>96</v>
      </c>
      <c r="S190" s="1">
        <v>8.4600000000000009</v>
      </c>
      <c r="T190" s="1" t="s">
        <v>96</v>
      </c>
      <c r="U190" s="1" t="s">
        <v>96</v>
      </c>
      <c r="V190" s="1" t="s">
        <v>96</v>
      </c>
      <c r="W190" s="1" t="s">
        <v>96</v>
      </c>
      <c r="X190" s="1" t="s">
        <v>96</v>
      </c>
      <c r="Y190" s="1" t="s">
        <v>96</v>
      </c>
      <c r="Z190" t="s">
        <v>96</v>
      </c>
      <c r="AA190" s="1" t="s">
        <v>96</v>
      </c>
      <c r="AB190">
        <v>1.47</v>
      </c>
      <c r="AC190">
        <v>12.44</v>
      </c>
      <c r="AD190">
        <v>73.010000000000005</v>
      </c>
      <c r="AE190" s="1" t="s">
        <v>96</v>
      </c>
      <c r="AF190">
        <v>32.79</v>
      </c>
      <c r="AG190">
        <v>188.27</v>
      </c>
      <c r="AH190">
        <v>117.66</v>
      </c>
      <c r="AI190" s="1" t="s">
        <v>96</v>
      </c>
      <c r="AJ190" s="1" t="s">
        <v>96</v>
      </c>
      <c r="AK190" s="1" t="s">
        <v>96</v>
      </c>
      <c r="AL190" s="1" t="s">
        <v>96</v>
      </c>
      <c r="AM190" s="1" t="s">
        <v>96</v>
      </c>
      <c r="AN190" s="1" t="s">
        <v>96</v>
      </c>
      <c r="AO190" t="s">
        <v>96</v>
      </c>
      <c r="AP190">
        <v>24.4</v>
      </c>
      <c r="AQ190" s="1" t="s">
        <v>96</v>
      </c>
      <c r="AR190" s="1" t="s">
        <v>96</v>
      </c>
      <c r="AS190">
        <v>34.85</v>
      </c>
      <c r="AT190">
        <v>2.09</v>
      </c>
      <c r="AU190" s="1" t="s">
        <v>96</v>
      </c>
      <c r="AV190" s="1" t="s">
        <v>96</v>
      </c>
      <c r="AW190">
        <v>22.49</v>
      </c>
      <c r="AX190" s="1">
        <v>3.61</v>
      </c>
      <c r="AY190" t="s">
        <v>133</v>
      </c>
      <c r="AZ190">
        <v>982.63</v>
      </c>
      <c r="BA190">
        <v>79.599999999999994</v>
      </c>
      <c r="BB190" s="1" t="s">
        <v>96</v>
      </c>
      <c r="BC190" t="s">
        <v>133</v>
      </c>
      <c r="BD190" s="1" t="s">
        <v>96</v>
      </c>
      <c r="BE190" s="1">
        <v>21.09</v>
      </c>
      <c r="BF190">
        <v>16.93</v>
      </c>
      <c r="BG190" s="1">
        <v>9.39</v>
      </c>
      <c r="BH190" s="1" t="s">
        <v>96</v>
      </c>
      <c r="BI190">
        <v>674.78</v>
      </c>
      <c r="BJ190">
        <v>232.16</v>
      </c>
      <c r="BK190" s="1" t="s">
        <v>96</v>
      </c>
      <c r="BL190" s="1">
        <v>4.55</v>
      </c>
      <c r="BM190">
        <v>24.75</v>
      </c>
      <c r="BN190">
        <v>371.78</v>
      </c>
      <c r="BO190">
        <v>259.02999999999997</v>
      </c>
      <c r="BP190">
        <v>4.93</v>
      </c>
      <c r="BQ190" s="1" t="s">
        <v>96</v>
      </c>
      <c r="BR190" s="1" t="s">
        <v>96</v>
      </c>
      <c r="BS190" s="1" t="s">
        <v>96</v>
      </c>
      <c r="BT190" s="1" t="s">
        <v>96</v>
      </c>
      <c r="BU190" s="1">
        <v>23.62</v>
      </c>
      <c r="BV190">
        <v>131.87</v>
      </c>
      <c r="BW190">
        <v>27.39</v>
      </c>
      <c r="BX190" s="1" t="s">
        <v>96</v>
      </c>
      <c r="BY190">
        <v>857.24</v>
      </c>
      <c r="BZ190">
        <v>43.69</v>
      </c>
      <c r="CA190" s="1" t="s">
        <v>96</v>
      </c>
      <c r="CB190">
        <v>22.44</v>
      </c>
      <c r="CC190">
        <v>149.94999999999999</v>
      </c>
      <c r="CD190" s="1" t="s">
        <v>96</v>
      </c>
    </row>
    <row r="191" spans="1:82">
      <c r="A191">
        <v>36</v>
      </c>
      <c r="B191" t="s">
        <v>203</v>
      </c>
      <c r="D191" t="b">
        <v>1</v>
      </c>
      <c r="E191" t="s">
        <v>204</v>
      </c>
      <c r="F191">
        <v>229</v>
      </c>
      <c r="G191">
        <v>1</v>
      </c>
      <c r="J191" t="s">
        <v>205</v>
      </c>
      <c r="K191" t="s">
        <v>94</v>
      </c>
      <c r="L191" t="s">
        <v>95</v>
      </c>
      <c r="M191">
        <v>100</v>
      </c>
      <c r="N191" s="1" t="s">
        <v>96</v>
      </c>
      <c r="O191" s="1" t="s">
        <v>96</v>
      </c>
      <c r="P191">
        <v>13.38</v>
      </c>
      <c r="Q191" s="1" t="s">
        <v>96</v>
      </c>
      <c r="R191" s="1" t="s">
        <v>96</v>
      </c>
      <c r="S191" s="1">
        <v>8.1</v>
      </c>
      <c r="T191" s="1" t="s">
        <v>96</v>
      </c>
      <c r="U191" s="1" t="s">
        <v>96</v>
      </c>
      <c r="V191" s="1" t="s">
        <v>96</v>
      </c>
      <c r="W191" s="1" t="s">
        <v>96</v>
      </c>
      <c r="X191" s="1" t="s">
        <v>96</v>
      </c>
      <c r="Y191" s="1" t="s">
        <v>96</v>
      </c>
      <c r="Z191" t="s">
        <v>96</v>
      </c>
      <c r="AA191" s="1" t="s">
        <v>96</v>
      </c>
      <c r="AB191">
        <v>2.15</v>
      </c>
      <c r="AC191">
        <v>65.16</v>
      </c>
      <c r="AD191">
        <v>34.11</v>
      </c>
      <c r="AE191" s="1" t="s">
        <v>96</v>
      </c>
      <c r="AF191">
        <v>50.65</v>
      </c>
      <c r="AG191">
        <v>809.03</v>
      </c>
      <c r="AH191">
        <v>22.13</v>
      </c>
      <c r="AI191" s="1" t="s">
        <v>96</v>
      </c>
      <c r="AJ191" s="1" t="s">
        <v>96</v>
      </c>
      <c r="AK191" s="1" t="s">
        <v>96</v>
      </c>
      <c r="AL191" s="1" t="s">
        <v>96</v>
      </c>
      <c r="AM191" s="1" t="s">
        <v>96</v>
      </c>
      <c r="AN191" s="1" t="s">
        <v>96</v>
      </c>
      <c r="AO191">
        <v>199.75</v>
      </c>
      <c r="AP191">
        <v>35.65</v>
      </c>
      <c r="AQ191" s="1" t="s">
        <v>96</v>
      </c>
      <c r="AR191" s="1" t="s">
        <v>96</v>
      </c>
      <c r="AS191">
        <v>3.75</v>
      </c>
      <c r="AT191" t="s">
        <v>96</v>
      </c>
      <c r="AU191" s="1" t="s">
        <v>96</v>
      </c>
      <c r="AV191" s="1" t="s">
        <v>96</v>
      </c>
      <c r="AW191">
        <v>37.950000000000003</v>
      </c>
      <c r="AX191" s="1" t="s">
        <v>96</v>
      </c>
      <c r="AY191">
        <v>626.05999999999995</v>
      </c>
      <c r="AZ191">
        <v>567</v>
      </c>
      <c r="BA191">
        <v>15.7</v>
      </c>
      <c r="BB191" s="1" t="s">
        <v>96</v>
      </c>
      <c r="BC191">
        <v>74.11</v>
      </c>
      <c r="BD191" s="1" t="s">
        <v>96</v>
      </c>
      <c r="BE191" s="1">
        <v>6.71</v>
      </c>
      <c r="BF191" t="s">
        <v>96</v>
      </c>
      <c r="BG191" s="1" t="s">
        <v>96</v>
      </c>
      <c r="BH191" s="1" t="s">
        <v>96</v>
      </c>
      <c r="BI191">
        <v>34.92</v>
      </c>
      <c r="BJ191">
        <v>36.380000000000003</v>
      </c>
      <c r="BK191" s="1" t="s">
        <v>96</v>
      </c>
      <c r="BL191" s="1" t="s">
        <v>96</v>
      </c>
      <c r="BM191" t="s">
        <v>96</v>
      </c>
      <c r="BN191">
        <v>5.23</v>
      </c>
      <c r="BO191">
        <v>45.08</v>
      </c>
      <c r="BP191">
        <v>12.65</v>
      </c>
      <c r="BQ191" s="1" t="s">
        <v>96</v>
      </c>
      <c r="BR191" s="1" t="s">
        <v>96</v>
      </c>
      <c r="BS191" s="1" t="s">
        <v>96</v>
      </c>
      <c r="BT191" s="1" t="s">
        <v>96</v>
      </c>
      <c r="BU191" s="1">
        <v>50.34</v>
      </c>
      <c r="BV191">
        <v>32.64</v>
      </c>
      <c r="BW191" t="s">
        <v>96</v>
      </c>
      <c r="BX191" s="1" t="s">
        <v>96</v>
      </c>
      <c r="BY191">
        <v>982.25</v>
      </c>
      <c r="BZ191">
        <v>7.67</v>
      </c>
      <c r="CA191" s="1" t="s">
        <v>96</v>
      </c>
      <c r="CB191">
        <v>14.67</v>
      </c>
      <c r="CC191">
        <v>102.44</v>
      </c>
      <c r="CD191" s="1" t="s">
        <v>96</v>
      </c>
    </row>
    <row r="192" spans="1:82">
      <c r="A192">
        <v>196</v>
      </c>
      <c r="B192" t="s">
        <v>683</v>
      </c>
      <c r="D192" t="b">
        <v>1</v>
      </c>
      <c r="E192" t="s">
        <v>684</v>
      </c>
      <c r="F192">
        <v>289</v>
      </c>
      <c r="G192">
        <v>5</v>
      </c>
      <c r="J192" t="s">
        <v>685</v>
      </c>
      <c r="K192" t="s">
        <v>94</v>
      </c>
      <c r="L192" t="s">
        <v>95</v>
      </c>
      <c r="M192">
        <v>100</v>
      </c>
      <c r="N192" s="1" t="s">
        <v>96</v>
      </c>
      <c r="O192" s="1" t="s">
        <v>96</v>
      </c>
      <c r="P192">
        <v>25.78</v>
      </c>
      <c r="Q192" s="1" t="s">
        <v>96</v>
      </c>
      <c r="R192" s="1" t="s">
        <v>96</v>
      </c>
      <c r="S192" s="1" t="s">
        <v>96</v>
      </c>
      <c r="T192" s="1" t="s">
        <v>96</v>
      </c>
      <c r="U192" s="1" t="s">
        <v>96</v>
      </c>
      <c r="V192" s="1" t="s">
        <v>96</v>
      </c>
      <c r="W192" s="1" t="s">
        <v>96</v>
      </c>
      <c r="X192" s="1" t="s">
        <v>96</v>
      </c>
      <c r="Y192" s="1" t="s">
        <v>96</v>
      </c>
      <c r="Z192" t="s">
        <v>96</v>
      </c>
      <c r="AA192" s="1" t="s">
        <v>96</v>
      </c>
      <c r="AB192">
        <v>4.3499999999999996</v>
      </c>
      <c r="AC192">
        <v>3.22</v>
      </c>
      <c r="AD192">
        <v>25.1</v>
      </c>
      <c r="AE192" s="1" t="s">
        <v>96</v>
      </c>
      <c r="AF192">
        <v>10.220000000000001</v>
      </c>
      <c r="AG192">
        <v>68.400000000000006</v>
      </c>
      <c r="AH192">
        <v>48.67</v>
      </c>
      <c r="AI192" s="1" t="s">
        <v>96</v>
      </c>
      <c r="AJ192" s="1">
        <v>1.28</v>
      </c>
      <c r="AK192" s="1" t="s">
        <v>96</v>
      </c>
      <c r="AL192" s="1" t="s">
        <v>96</v>
      </c>
      <c r="AM192" s="1" t="s">
        <v>96</v>
      </c>
      <c r="AN192" s="1" t="s">
        <v>96</v>
      </c>
      <c r="AO192" t="s">
        <v>96</v>
      </c>
      <c r="AP192">
        <v>19.690000000000001</v>
      </c>
      <c r="AQ192" s="1" t="s">
        <v>96</v>
      </c>
      <c r="AR192" s="1" t="s">
        <v>96</v>
      </c>
      <c r="AS192">
        <v>8.4499999999999993</v>
      </c>
      <c r="AT192">
        <v>1.82</v>
      </c>
      <c r="AU192" s="1" t="s">
        <v>96</v>
      </c>
      <c r="AV192" s="1" t="s">
        <v>96</v>
      </c>
      <c r="AW192" t="s">
        <v>96</v>
      </c>
      <c r="AX192" s="1" t="s">
        <v>96</v>
      </c>
      <c r="AY192">
        <v>524.76</v>
      </c>
      <c r="AZ192">
        <v>67.099999999999994</v>
      </c>
      <c r="BA192">
        <v>17.04</v>
      </c>
      <c r="BB192" s="1" t="s">
        <v>96</v>
      </c>
      <c r="BC192">
        <v>75.569999999999993</v>
      </c>
      <c r="BD192" s="1" t="s">
        <v>96</v>
      </c>
      <c r="BE192" s="1" t="s">
        <v>96</v>
      </c>
      <c r="BF192">
        <v>8.92</v>
      </c>
      <c r="BG192" s="1" t="s">
        <v>96</v>
      </c>
      <c r="BH192" s="1" t="s">
        <v>96</v>
      </c>
      <c r="BI192">
        <v>80.81</v>
      </c>
      <c r="BJ192">
        <v>18.38</v>
      </c>
      <c r="BK192" s="1" t="s">
        <v>96</v>
      </c>
      <c r="BL192" s="1" t="s">
        <v>96</v>
      </c>
      <c r="BM192" t="s">
        <v>96</v>
      </c>
      <c r="BN192">
        <v>23.23</v>
      </c>
      <c r="BO192">
        <v>45.01</v>
      </c>
      <c r="BP192" t="s">
        <v>96</v>
      </c>
      <c r="BQ192" s="1" t="s">
        <v>96</v>
      </c>
      <c r="BR192" s="1" t="s">
        <v>96</v>
      </c>
      <c r="BS192" s="1" t="s">
        <v>96</v>
      </c>
      <c r="BT192" s="1" t="s">
        <v>96</v>
      </c>
      <c r="BU192" s="1" t="s">
        <v>96</v>
      </c>
      <c r="BV192">
        <v>78.930000000000007</v>
      </c>
      <c r="BW192">
        <v>16.89</v>
      </c>
      <c r="BX192" s="1" t="s">
        <v>96</v>
      </c>
      <c r="BY192">
        <v>123.13</v>
      </c>
      <c r="BZ192">
        <v>15.75</v>
      </c>
      <c r="CA192" s="1" t="s">
        <v>96</v>
      </c>
      <c r="CB192">
        <v>16.75</v>
      </c>
      <c r="CC192">
        <v>40.89</v>
      </c>
      <c r="CD192" s="1" t="s">
        <v>96</v>
      </c>
    </row>
    <row r="193" spans="1:82">
      <c r="A193">
        <v>243</v>
      </c>
      <c r="B193" t="s">
        <v>824</v>
      </c>
      <c r="D193" t="b">
        <v>1</v>
      </c>
      <c r="E193" t="s">
        <v>825</v>
      </c>
      <c r="F193">
        <v>374</v>
      </c>
      <c r="G193">
        <v>7</v>
      </c>
      <c r="J193" t="s">
        <v>826</v>
      </c>
      <c r="K193" t="s">
        <v>94</v>
      </c>
      <c r="L193" t="s">
        <v>95</v>
      </c>
      <c r="M193">
        <v>100</v>
      </c>
      <c r="N193" s="1" t="s">
        <v>96</v>
      </c>
      <c r="O193" s="1" t="s">
        <v>96</v>
      </c>
      <c r="P193">
        <v>22.39</v>
      </c>
      <c r="Q193" s="1" t="s">
        <v>96</v>
      </c>
      <c r="R193" s="1" t="s">
        <v>96</v>
      </c>
      <c r="S193" s="1">
        <v>20.93</v>
      </c>
      <c r="T193" s="1" t="s">
        <v>96</v>
      </c>
      <c r="U193" s="1" t="s">
        <v>96</v>
      </c>
      <c r="V193" s="1" t="s">
        <v>96</v>
      </c>
      <c r="W193" s="1" t="s">
        <v>96</v>
      </c>
      <c r="X193" s="1" t="s">
        <v>96</v>
      </c>
      <c r="Y193" s="1" t="s">
        <v>96</v>
      </c>
      <c r="Z193">
        <v>1.1599999999999999</v>
      </c>
      <c r="AA193" s="1" t="s">
        <v>96</v>
      </c>
      <c r="AB193">
        <v>3.35</v>
      </c>
      <c r="AC193">
        <v>26.56</v>
      </c>
      <c r="AD193">
        <v>220.07</v>
      </c>
      <c r="AE193" s="1" t="s">
        <v>96</v>
      </c>
      <c r="AF193">
        <v>96.74</v>
      </c>
      <c r="AG193">
        <v>526.70000000000005</v>
      </c>
      <c r="AH193">
        <v>211.03</v>
      </c>
      <c r="AI193" s="1" t="s">
        <v>96</v>
      </c>
      <c r="AJ193" s="1" t="s">
        <v>96</v>
      </c>
      <c r="AK193" s="1" t="s">
        <v>96</v>
      </c>
      <c r="AL193" s="1" t="s">
        <v>96</v>
      </c>
      <c r="AM193" s="1" t="s">
        <v>96</v>
      </c>
      <c r="AN193" s="1" t="s">
        <v>96</v>
      </c>
      <c r="AO193" t="s">
        <v>96</v>
      </c>
      <c r="AP193">
        <v>61.17</v>
      </c>
      <c r="AQ193" s="1" t="s">
        <v>96</v>
      </c>
      <c r="AR193" s="1" t="s">
        <v>96</v>
      </c>
      <c r="AS193">
        <v>54.03</v>
      </c>
      <c r="AT193">
        <v>4.8899999999999997</v>
      </c>
      <c r="AU193" s="1" t="s">
        <v>96</v>
      </c>
      <c r="AV193" s="1" t="s">
        <v>96</v>
      </c>
      <c r="AW193">
        <v>17.350000000000001</v>
      </c>
      <c r="AX193" s="1">
        <v>2.5499999999999998</v>
      </c>
      <c r="AY193">
        <v>914.87</v>
      </c>
      <c r="AZ193">
        <v>430.8</v>
      </c>
      <c r="BA193">
        <v>60.48</v>
      </c>
      <c r="BB193" s="1" t="s">
        <v>96</v>
      </c>
      <c r="BC193">
        <v>215.71</v>
      </c>
      <c r="BD193" s="1" t="s">
        <v>96</v>
      </c>
      <c r="BE193" s="1">
        <v>9.08</v>
      </c>
      <c r="BF193">
        <v>11</v>
      </c>
      <c r="BG193" s="1">
        <v>2.96</v>
      </c>
      <c r="BH193" s="1" t="s">
        <v>96</v>
      </c>
      <c r="BI193">
        <v>108.3</v>
      </c>
      <c r="BJ193">
        <v>57.71</v>
      </c>
      <c r="BK193" s="1" t="s">
        <v>96</v>
      </c>
      <c r="BL193" s="1" t="s">
        <v>96</v>
      </c>
      <c r="BM193">
        <v>6.72</v>
      </c>
      <c r="BN193">
        <v>35.51</v>
      </c>
      <c r="BO193">
        <v>174.6</v>
      </c>
      <c r="BP193">
        <v>6.3</v>
      </c>
      <c r="BQ193" s="1" t="s">
        <v>96</v>
      </c>
      <c r="BR193" s="1" t="s">
        <v>96</v>
      </c>
      <c r="BS193" s="1" t="s">
        <v>96</v>
      </c>
      <c r="BT193" s="1" t="s">
        <v>96</v>
      </c>
      <c r="BU193" s="1">
        <v>42.92</v>
      </c>
      <c r="BV193">
        <v>95.91</v>
      </c>
      <c r="BW193">
        <v>14.78</v>
      </c>
      <c r="BX193" s="1" t="s">
        <v>96</v>
      </c>
      <c r="BY193">
        <v>1038.3599999999999</v>
      </c>
      <c r="BZ193">
        <v>32.08</v>
      </c>
      <c r="CA193" s="1" t="s">
        <v>96</v>
      </c>
      <c r="CB193">
        <v>27.54</v>
      </c>
      <c r="CC193">
        <v>147.28</v>
      </c>
      <c r="CD193" s="1" t="s">
        <v>96</v>
      </c>
    </row>
    <row r="194" spans="1:82">
      <c r="A194">
        <v>151</v>
      </c>
      <c r="B194" t="s">
        <v>548</v>
      </c>
      <c r="D194" t="b">
        <v>1</v>
      </c>
      <c r="E194" t="s">
        <v>549</v>
      </c>
      <c r="F194">
        <v>44</v>
      </c>
      <c r="G194">
        <v>4</v>
      </c>
      <c r="J194" t="s">
        <v>550</v>
      </c>
      <c r="K194" t="s">
        <v>94</v>
      </c>
      <c r="L194" t="s">
        <v>95</v>
      </c>
      <c r="M194">
        <v>100</v>
      </c>
      <c r="N194" s="1" t="s">
        <v>96</v>
      </c>
      <c r="O194" s="1" t="s">
        <v>96</v>
      </c>
      <c r="P194">
        <v>24.49</v>
      </c>
      <c r="Q194" s="1" t="s">
        <v>96</v>
      </c>
      <c r="R194" s="1" t="s">
        <v>96</v>
      </c>
      <c r="S194" s="1" t="s">
        <v>96</v>
      </c>
      <c r="T194" s="1" t="s">
        <v>96</v>
      </c>
      <c r="U194" s="1" t="s">
        <v>96</v>
      </c>
      <c r="V194" s="1" t="s">
        <v>96</v>
      </c>
      <c r="W194" s="1" t="s">
        <v>96</v>
      </c>
      <c r="X194" s="1" t="s">
        <v>96</v>
      </c>
      <c r="Y194" s="1" t="s">
        <v>96</v>
      </c>
      <c r="Z194">
        <v>2.2599999999999998</v>
      </c>
      <c r="AA194" s="1" t="s">
        <v>96</v>
      </c>
      <c r="AB194">
        <v>35.119999999999997</v>
      </c>
      <c r="AC194" t="s">
        <v>96</v>
      </c>
      <c r="AD194">
        <v>143.82</v>
      </c>
      <c r="AE194" s="1" t="s">
        <v>96</v>
      </c>
      <c r="AF194" t="s">
        <v>96</v>
      </c>
      <c r="AG194" t="s">
        <v>96</v>
      </c>
      <c r="AH194" t="s">
        <v>133</v>
      </c>
      <c r="AI194" s="1" t="s">
        <v>96</v>
      </c>
      <c r="AJ194" s="1" t="s">
        <v>96</v>
      </c>
      <c r="AK194" s="1" t="s">
        <v>96</v>
      </c>
      <c r="AL194" s="1" t="s">
        <v>96</v>
      </c>
      <c r="AM194" s="1" t="s">
        <v>96</v>
      </c>
      <c r="AN194" s="1">
        <v>2.56</v>
      </c>
      <c r="AO194">
        <v>643.94000000000005</v>
      </c>
      <c r="AP194">
        <v>181.14</v>
      </c>
      <c r="AQ194" s="1" t="s">
        <v>96</v>
      </c>
      <c r="AR194" s="1">
        <v>4.2699999999999996</v>
      </c>
      <c r="AS194" t="s">
        <v>133</v>
      </c>
      <c r="AT194">
        <v>29.84</v>
      </c>
      <c r="AU194" s="1" t="s">
        <v>96</v>
      </c>
      <c r="AV194" s="1" t="s">
        <v>96</v>
      </c>
      <c r="AW194" t="s">
        <v>96</v>
      </c>
      <c r="AX194" s="1" t="s">
        <v>96</v>
      </c>
      <c r="AY194">
        <v>1576.5</v>
      </c>
      <c r="AZ194" t="s">
        <v>96</v>
      </c>
      <c r="BA194">
        <v>269.94</v>
      </c>
      <c r="BB194" s="1" t="s">
        <v>96</v>
      </c>
      <c r="BC194">
        <v>618.21</v>
      </c>
      <c r="BD194" s="1" t="s">
        <v>96</v>
      </c>
      <c r="BE194" s="1" t="s">
        <v>96</v>
      </c>
      <c r="BF194">
        <v>25.44</v>
      </c>
      <c r="BG194" s="1">
        <v>11.07</v>
      </c>
      <c r="BH194" s="1" t="s">
        <v>96</v>
      </c>
      <c r="BI194">
        <v>134.56</v>
      </c>
      <c r="BJ194" t="s">
        <v>96</v>
      </c>
      <c r="BK194" s="1" t="s">
        <v>96</v>
      </c>
      <c r="BL194" s="1">
        <v>3.1</v>
      </c>
      <c r="BM194" t="s">
        <v>96</v>
      </c>
      <c r="BN194">
        <v>49.61</v>
      </c>
      <c r="BO194" t="s">
        <v>96</v>
      </c>
      <c r="BP194" t="s">
        <v>96</v>
      </c>
      <c r="BQ194" s="1" t="s">
        <v>96</v>
      </c>
      <c r="BR194" s="1" t="s">
        <v>96</v>
      </c>
      <c r="BS194" s="1" t="s">
        <v>96</v>
      </c>
      <c r="BT194" s="1">
        <v>7.33</v>
      </c>
      <c r="BU194" s="1">
        <v>5.57</v>
      </c>
      <c r="BV194">
        <v>219.25</v>
      </c>
      <c r="BW194">
        <v>28.44</v>
      </c>
      <c r="BX194" s="1">
        <v>5.7</v>
      </c>
      <c r="BY194" t="s">
        <v>96</v>
      </c>
      <c r="BZ194" t="s">
        <v>96</v>
      </c>
      <c r="CA194" s="1">
        <v>10.24</v>
      </c>
      <c r="CB194">
        <v>109.88</v>
      </c>
      <c r="CC194" t="s">
        <v>96</v>
      </c>
      <c r="CD194" s="1" t="s">
        <v>96</v>
      </c>
    </row>
    <row r="195" spans="1:82">
      <c r="A195">
        <v>149</v>
      </c>
      <c r="B195" t="s">
        <v>542</v>
      </c>
      <c r="D195" t="b">
        <v>1</v>
      </c>
      <c r="E195" t="s">
        <v>543</v>
      </c>
      <c r="F195">
        <v>40</v>
      </c>
      <c r="G195">
        <v>4</v>
      </c>
      <c r="J195" t="s">
        <v>544</v>
      </c>
      <c r="K195" t="s">
        <v>94</v>
      </c>
      <c r="L195" t="s">
        <v>95</v>
      </c>
      <c r="M195">
        <v>100</v>
      </c>
      <c r="N195" s="1" t="s">
        <v>96</v>
      </c>
      <c r="O195" s="1" t="s">
        <v>96</v>
      </c>
      <c r="P195">
        <v>13.66</v>
      </c>
      <c r="Q195" s="1" t="s">
        <v>96</v>
      </c>
      <c r="R195" s="1" t="s">
        <v>96</v>
      </c>
      <c r="S195" s="1" t="s">
        <v>96</v>
      </c>
      <c r="T195" s="1" t="s">
        <v>96</v>
      </c>
      <c r="U195" s="1" t="s">
        <v>96</v>
      </c>
      <c r="V195" s="1" t="s">
        <v>96</v>
      </c>
      <c r="W195" s="1" t="s">
        <v>96</v>
      </c>
      <c r="X195" s="1" t="s">
        <v>96</v>
      </c>
      <c r="Y195" s="1" t="s">
        <v>96</v>
      </c>
      <c r="Z195" t="s">
        <v>96</v>
      </c>
      <c r="AA195" s="1" t="s">
        <v>96</v>
      </c>
      <c r="AB195">
        <v>20.75</v>
      </c>
      <c r="AC195" t="s">
        <v>96</v>
      </c>
      <c r="AD195">
        <v>97.16</v>
      </c>
      <c r="AE195" s="1" t="s">
        <v>96</v>
      </c>
      <c r="AF195" t="s">
        <v>96</v>
      </c>
      <c r="AG195">
        <v>2.12</v>
      </c>
      <c r="AH195" t="s">
        <v>133</v>
      </c>
      <c r="AI195" s="1" t="s">
        <v>96</v>
      </c>
      <c r="AJ195" s="1" t="s">
        <v>96</v>
      </c>
      <c r="AK195" s="1" t="s">
        <v>96</v>
      </c>
      <c r="AL195" s="1" t="s">
        <v>96</v>
      </c>
      <c r="AM195" s="1" t="s">
        <v>96</v>
      </c>
      <c r="AN195" s="1">
        <v>2.06</v>
      </c>
      <c r="AO195">
        <v>596.04999999999995</v>
      </c>
      <c r="AP195">
        <v>298.61</v>
      </c>
      <c r="AQ195" s="1" t="s">
        <v>96</v>
      </c>
      <c r="AR195" s="1">
        <v>1.65</v>
      </c>
      <c r="AS195" t="s">
        <v>133</v>
      </c>
      <c r="AT195">
        <v>27.63</v>
      </c>
      <c r="AU195" s="1" t="s">
        <v>96</v>
      </c>
      <c r="AV195" s="1" t="s">
        <v>96</v>
      </c>
      <c r="AW195" t="s">
        <v>96</v>
      </c>
      <c r="AX195" s="1" t="s">
        <v>96</v>
      </c>
      <c r="AY195" t="s">
        <v>133</v>
      </c>
      <c r="AZ195">
        <v>2.94</v>
      </c>
      <c r="BA195">
        <v>303.70999999999998</v>
      </c>
      <c r="BB195" s="1" t="s">
        <v>96</v>
      </c>
      <c r="BC195">
        <v>996.11</v>
      </c>
      <c r="BD195" s="1" t="s">
        <v>96</v>
      </c>
      <c r="BE195" s="1" t="s">
        <v>96</v>
      </c>
      <c r="BF195">
        <v>13.65</v>
      </c>
      <c r="BG195" s="1">
        <v>15.07</v>
      </c>
      <c r="BH195" s="1" t="s">
        <v>96</v>
      </c>
      <c r="BI195">
        <v>270.95</v>
      </c>
      <c r="BJ195" t="s">
        <v>96</v>
      </c>
      <c r="BK195" s="1" t="s">
        <v>96</v>
      </c>
      <c r="BL195" s="1" t="s">
        <v>96</v>
      </c>
      <c r="BM195" t="s">
        <v>96</v>
      </c>
      <c r="BN195">
        <v>101.89</v>
      </c>
      <c r="BO195" t="s">
        <v>96</v>
      </c>
      <c r="BP195" t="s">
        <v>96</v>
      </c>
      <c r="BQ195" s="1" t="s">
        <v>96</v>
      </c>
      <c r="BR195" s="1" t="s">
        <v>96</v>
      </c>
      <c r="BS195" s="1" t="s">
        <v>96</v>
      </c>
      <c r="BT195" s="1">
        <v>8.5500000000000007</v>
      </c>
      <c r="BU195" s="1">
        <v>6.9</v>
      </c>
      <c r="BV195">
        <v>81.12</v>
      </c>
      <c r="BW195">
        <v>10.09</v>
      </c>
      <c r="BX195" s="1" t="s">
        <v>96</v>
      </c>
      <c r="BY195" t="s">
        <v>96</v>
      </c>
      <c r="BZ195" t="s">
        <v>96</v>
      </c>
      <c r="CA195" s="1" t="s">
        <v>96</v>
      </c>
      <c r="CB195">
        <v>50.08</v>
      </c>
      <c r="CC195" t="s">
        <v>96</v>
      </c>
      <c r="CD195" s="1" t="s">
        <v>96</v>
      </c>
    </row>
    <row r="196" spans="1:82">
      <c r="A196">
        <v>245</v>
      </c>
      <c r="B196" t="s">
        <v>830</v>
      </c>
      <c r="D196" t="b">
        <v>1</v>
      </c>
      <c r="E196" t="s">
        <v>831</v>
      </c>
      <c r="F196">
        <v>376</v>
      </c>
      <c r="G196">
        <v>7</v>
      </c>
      <c r="J196" t="s">
        <v>832</v>
      </c>
      <c r="K196" t="s">
        <v>94</v>
      </c>
      <c r="L196" t="s">
        <v>95</v>
      </c>
      <c r="M196">
        <v>100</v>
      </c>
      <c r="N196" s="1" t="s">
        <v>96</v>
      </c>
      <c r="O196" s="1" t="s">
        <v>96</v>
      </c>
      <c r="P196">
        <v>11.27</v>
      </c>
      <c r="Q196" s="1" t="s">
        <v>96</v>
      </c>
      <c r="R196" s="1" t="s">
        <v>96</v>
      </c>
      <c r="S196" s="1" t="s">
        <v>96</v>
      </c>
      <c r="T196" s="1" t="s">
        <v>96</v>
      </c>
      <c r="U196" s="1" t="s">
        <v>96</v>
      </c>
      <c r="V196" s="1" t="s">
        <v>96</v>
      </c>
      <c r="W196" s="1" t="s">
        <v>96</v>
      </c>
      <c r="X196" s="1" t="s">
        <v>96</v>
      </c>
      <c r="Y196" s="1" t="s">
        <v>96</v>
      </c>
      <c r="Z196">
        <v>1.65</v>
      </c>
      <c r="AA196" s="1" t="s">
        <v>96</v>
      </c>
      <c r="AB196">
        <v>12.74</v>
      </c>
      <c r="AC196">
        <v>9.0299999999999994</v>
      </c>
      <c r="AD196" t="s">
        <v>133</v>
      </c>
      <c r="AE196" s="1" t="s">
        <v>96</v>
      </c>
      <c r="AF196">
        <v>59.35</v>
      </c>
      <c r="AG196">
        <v>752.38</v>
      </c>
      <c r="AH196">
        <v>86.84</v>
      </c>
      <c r="AI196" s="1" t="s">
        <v>96</v>
      </c>
      <c r="AJ196" s="1" t="s">
        <v>96</v>
      </c>
      <c r="AK196" s="1" t="s">
        <v>96</v>
      </c>
      <c r="AL196" s="1" t="s">
        <v>96</v>
      </c>
      <c r="AM196" s="1" t="s">
        <v>96</v>
      </c>
      <c r="AN196" s="1">
        <v>1.6</v>
      </c>
      <c r="AO196">
        <v>704.77</v>
      </c>
      <c r="AP196">
        <v>226.34</v>
      </c>
      <c r="AQ196" s="1" t="s">
        <v>96</v>
      </c>
      <c r="AR196" s="1" t="s">
        <v>96</v>
      </c>
      <c r="AS196">
        <v>36.299999999999997</v>
      </c>
      <c r="AT196">
        <v>3.71</v>
      </c>
      <c r="AU196" s="1" t="s">
        <v>96</v>
      </c>
      <c r="AV196" s="1" t="s">
        <v>96</v>
      </c>
      <c r="AW196">
        <v>6.51</v>
      </c>
      <c r="AX196" s="1" t="s">
        <v>96</v>
      </c>
      <c r="AY196">
        <v>759.96</v>
      </c>
      <c r="AZ196">
        <v>483.85</v>
      </c>
      <c r="BA196">
        <v>210.89</v>
      </c>
      <c r="BB196" s="1" t="s">
        <v>96</v>
      </c>
      <c r="BC196">
        <v>265.17</v>
      </c>
      <c r="BD196" s="1" t="s">
        <v>96</v>
      </c>
      <c r="BE196" s="1">
        <v>3.29</v>
      </c>
      <c r="BF196">
        <v>4.42</v>
      </c>
      <c r="BG196" s="1">
        <v>15.84</v>
      </c>
      <c r="BH196" s="1" t="s">
        <v>96</v>
      </c>
      <c r="BI196">
        <v>119.82</v>
      </c>
      <c r="BJ196">
        <v>129.85</v>
      </c>
      <c r="BK196" s="1" t="s">
        <v>96</v>
      </c>
      <c r="BL196" s="1" t="s">
        <v>96</v>
      </c>
      <c r="BM196">
        <v>3.62</v>
      </c>
      <c r="BN196">
        <v>51.57</v>
      </c>
      <c r="BO196">
        <v>101.9</v>
      </c>
      <c r="BP196">
        <v>3.94</v>
      </c>
      <c r="BQ196" s="1" t="s">
        <v>96</v>
      </c>
      <c r="BR196" s="1" t="s">
        <v>96</v>
      </c>
      <c r="BS196" s="1" t="s">
        <v>96</v>
      </c>
      <c r="BT196" s="1" t="s">
        <v>96</v>
      </c>
      <c r="BU196" s="1" t="s">
        <v>96</v>
      </c>
      <c r="BV196">
        <v>63.55</v>
      </c>
      <c r="BW196">
        <v>17.079999999999998</v>
      </c>
      <c r="BX196" s="1" t="s">
        <v>96</v>
      </c>
      <c r="BY196">
        <v>302.45</v>
      </c>
      <c r="BZ196">
        <v>66.67</v>
      </c>
      <c r="CA196" s="1">
        <v>13.2</v>
      </c>
      <c r="CB196">
        <v>104.5</v>
      </c>
      <c r="CC196">
        <v>135.08000000000001</v>
      </c>
      <c r="CD196" s="1" t="s">
        <v>96</v>
      </c>
    </row>
    <row r="197" spans="1:82">
      <c r="A197">
        <v>126</v>
      </c>
      <c r="B197" t="s">
        <v>473</v>
      </c>
      <c r="D197" t="b">
        <v>1</v>
      </c>
      <c r="E197" t="s">
        <v>474</v>
      </c>
      <c r="F197">
        <v>13</v>
      </c>
      <c r="G197">
        <v>4</v>
      </c>
      <c r="J197" t="s">
        <v>475</v>
      </c>
      <c r="K197" t="s">
        <v>94</v>
      </c>
      <c r="L197" t="s">
        <v>95</v>
      </c>
      <c r="M197">
        <v>100</v>
      </c>
      <c r="N197" s="1" t="s">
        <v>96</v>
      </c>
      <c r="O197" s="1" t="s">
        <v>96</v>
      </c>
      <c r="P197">
        <v>8.81</v>
      </c>
      <c r="Q197" s="1" t="s">
        <v>96</v>
      </c>
      <c r="R197" s="1" t="s">
        <v>96</v>
      </c>
      <c r="S197" s="1" t="s">
        <v>96</v>
      </c>
      <c r="T197" s="1" t="s">
        <v>96</v>
      </c>
      <c r="U197" s="1" t="s">
        <v>96</v>
      </c>
      <c r="V197" s="1" t="s">
        <v>96</v>
      </c>
      <c r="W197" s="1" t="s">
        <v>96</v>
      </c>
      <c r="X197" s="1" t="s">
        <v>96</v>
      </c>
      <c r="Y197" s="1" t="s">
        <v>96</v>
      </c>
      <c r="Z197" t="s">
        <v>96</v>
      </c>
      <c r="AA197" s="1" t="s">
        <v>96</v>
      </c>
      <c r="AB197">
        <v>6.42</v>
      </c>
      <c r="AC197">
        <v>17.170000000000002</v>
      </c>
      <c r="AD197">
        <v>114.69</v>
      </c>
      <c r="AE197" s="1" t="s">
        <v>96</v>
      </c>
      <c r="AF197">
        <v>5.82</v>
      </c>
      <c r="AG197">
        <v>402.76</v>
      </c>
      <c r="AH197">
        <v>773.9</v>
      </c>
      <c r="AI197" s="1" t="s">
        <v>96</v>
      </c>
      <c r="AJ197" s="1">
        <v>5.84</v>
      </c>
      <c r="AK197" s="1" t="s">
        <v>96</v>
      </c>
      <c r="AL197" s="1" t="s">
        <v>96</v>
      </c>
      <c r="AM197" s="1" t="s">
        <v>96</v>
      </c>
      <c r="AN197" s="1" t="s">
        <v>96</v>
      </c>
      <c r="AO197">
        <v>45.02</v>
      </c>
      <c r="AP197">
        <v>95.18</v>
      </c>
      <c r="AQ197" s="1" t="s">
        <v>96</v>
      </c>
      <c r="AR197" s="1" t="s">
        <v>96</v>
      </c>
      <c r="AS197">
        <v>350</v>
      </c>
      <c r="AT197">
        <v>6.95</v>
      </c>
      <c r="AU197" s="1" t="s">
        <v>96</v>
      </c>
      <c r="AV197" s="1" t="s">
        <v>96</v>
      </c>
      <c r="AW197">
        <v>3.49</v>
      </c>
      <c r="AX197" s="1" t="s">
        <v>96</v>
      </c>
      <c r="AY197">
        <v>1237.01</v>
      </c>
      <c r="AZ197">
        <v>401.76</v>
      </c>
      <c r="BA197">
        <v>138.44999999999999</v>
      </c>
      <c r="BB197" s="1" t="s">
        <v>96</v>
      </c>
      <c r="BC197">
        <v>538.08000000000004</v>
      </c>
      <c r="BD197" s="1" t="s">
        <v>96</v>
      </c>
      <c r="BE197" s="1" t="s">
        <v>96</v>
      </c>
      <c r="BF197">
        <v>5.96</v>
      </c>
      <c r="BG197" s="1">
        <v>9.42</v>
      </c>
      <c r="BH197" s="1" t="s">
        <v>96</v>
      </c>
      <c r="BI197">
        <v>166.92</v>
      </c>
      <c r="BJ197">
        <v>38.28</v>
      </c>
      <c r="BK197" s="1" t="s">
        <v>96</v>
      </c>
      <c r="BL197" s="1" t="s">
        <v>96</v>
      </c>
      <c r="BM197" t="s">
        <v>96</v>
      </c>
      <c r="BN197">
        <v>108.45</v>
      </c>
      <c r="BO197">
        <v>18.63</v>
      </c>
      <c r="BP197">
        <v>10.02</v>
      </c>
      <c r="BQ197" s="1" t="s">
        <v>96</v>
      </c>
      <c r="BR197" s="1" t="s">
        <v>96</v>
      </c>
      <c r="BS197" s="1">
        <v>7.64</v>
      </c>
      <c r="BT197" s="1">
        <v>5.43</v>
      </c>
      <c r="BU197" s="1">
        <v>12.12</v>
      </c>
      <c r="BV197">
        <v>89.98</v>
      </c>
      <c r="BW197">
        <v>8.74</v>
      </c>
      <c r="BX197" s="1" t="s">
        <v>96</v>
      </c>
      <c r="BY197">
        <v>218.73</v>
      </c>
      <c r="BZ197">
        <v>6.95</v>
      </c>
      <c r="CA197" s="1" t="s">
        <v>96</v>
      </c>
      <c r="CB197">
        <v>68.75</v>
      </c>
      <c r="CC197">
        <v>50.47</v>
      </c>
      <c r="CD197" s="1" t="s">
        <v>96</v>
      </c>
    </row>
    <row r="198" spans="1:82">
      <c r="A198">
        <v>147</v>
      </c>
      <c r="B198" t="s">
        <v>536</v>
      </c>
      <c r="D198" t="b">
        <v>1</v>
      </c>
      <c r="E198" t="s">
        <v>537</v>
      </c>
      <c r="F198">
        <v>38</v>
      </c>
      <c r="G198">
        <v>4</v>
      </c>
      <c r="J198" t="s">
        <v>538</v>
      </c>
      <c r="K198" t="s">
        <v>94</v>
      </c>
      <c r="L198" t="s">
        <v>95</v>
      </c>
      <c r="M198">
        <v>100</v>
      </c>
      <c r="N198" s="1" t="s">
        <v>96</v>
      </c>
      <c r="O198" s="1" t="s">
        <v>96</v>
      </c>
      <c r="P198">
        <v>16.559999999999999</v>
      </c>
      <c r="Q198" s="1" t="s">
        <v>96</v>
      </c>
      <c r="R198" s="1" t="s">
        <v>96</v>
      </c>
      <c r="S198" s="1" t="s">
        <v>96</v>
      </c>
      <c r="T198" s="1" t="s">
        <v>96</v>
      </c>
      <c r="U198" s="1" t="s">
        <v>96</v>
      </c>
      <c r="V198" s="1" t="s">
        <v>96</v>
      </c>
      <c r="W198" s="1" t="s">
        <v>96</v>
      </c>
      <c r="X198" s="1" t="s">
        <v>96</v>
      </c>
      <c r="Y198" s="1" t="s">
        <v>96</v>
      </c>
      <c r="Z198">
        <v>2.6</v>
      </c>
      <c r="AA198" s="1" t="s">
        <v>96</v>
      </c>
      <c r="AB198">
        <v>7.27</v>
      </c>
      <c r="AC198" t="s">
        <v>96</v>
      </c>
      <c r="AD198">
        <v>86.98</v>
      </c>
      <c r="AE198" s="1" t="s">
        <v>96</v>
      </c>
      <c r="AF198" t="s">
        <v>96</v>
      </c>
      <c r="AG198" t="s">
        <v>96</v>
      </c>
      <c r="AH198">
        <v>633.52</v>
      </c>
      <c r="AI198" s="1" t="s">
        <v>96</v>
      </c>
      <c r="AJ198" s="1" t="s">
        <v>96</v>
      </c>
      <c r="AK198" s="1" t="s">
        <v>96</v>
      </c>
      <c r="AL198" s="1" t="s">
        <v>96</v>
      </c>
      <c r="AM198" s="1" t="s">
        <v>96</v>
      </c>
      <c r="AN198" s="1">
        <v>2.7</v>
      </c>
      <c r="AO198">
        <v>61.18</v>
      </c>
      <c r="AP198">
        <v>69.709999999999994</v>
      </c>
      <c r="AQ198" s="1" t="s">
        <v>96</v>
      </c>
      <c r="AR198" s="1" t="s">
        <v>96</v>
      </c>
      <c r="AS198">
        <v>172.66</v>
      </c>
      <c r="AT198">
        <v>14.65</v>
      </c>
      <c r="AU198" s="1" t="s">
        <v>96</v>
      </c>
      <c r="AV198" s="1" t="s">
        <v>96</v>
      </c>
      <c r="AW198" t="s">
        <v>96</v>
      </c>
      <c r="AX198" s="1" t="s">
        <v>96</v>
      </c>
      <c r="AY198" t="s">
        <v>133</v>
      </c>
      <c r="AZ198">
        <v>3.91</v>
      </c>
      <c r="BA198">
        <v>281.74</v>
      </c>
      <c r="BB198" s="1" t="s">
        <v>96</v>
      </c>
      <c r="BC198" t="s">
        <v>133</v>
      </c>
      <c r="BD198" s="1" t="s">
        <v>96</v>
      </c>
      <c r="BE198" s="1" t="s">
        <v>96</v>
      </c>
      <c r="BF198">
        <v>16.559999999999999</v>
      </c>
      <c r="BG198" s="1">
        <v>16.190000000000001</v>
      </c>
      <c r="BH198" s="1" t="s">
        <v>96</v>
      </c>
      <c r="BI198">
        <v>333.27</v>
      </c>
      <c r="BJ198" t="s">
        <v>96</v>
      </c>
      <c r="BK198" s="1" t="s">
        <v>96</v>
      </c>
      <c r="BL198" s="1">
        <v>2.79</v>
      </c>
      <c r="BM198" t="s">
        <v>96</v>
      </c>
      <c r="BN198">
        <v>95.37</v>
      </c>
      <c r="BO198" t="s">
        <v>96</v>
      </c>
      <c r="BP198" t="s">
        <v>96</v>
      </c>
      <c r="BQ198" s="1" t="s">
        <v>96</v>
      </c>
      <c r="BR198" s="1" t="s">
        <v>96</v>
      </c>
      <c r="BS198" s="1" t="s">
        <v>96</v>
      </c>
      <c r="BT198" s="1">
        <v>3.06</v>
      </c>
      <c r="BU198" s="1" t="s">
        <v>96</v>
      </c>
      <c r="BV198">
        <v>140.44999999999999</v>
      </c>
      <c r="BW198">
        <v>18.98</v>
      </c>
      <c r="BX198" s="1" t="s">
        <v>96</v>
      </c>
      <c r="BY198" t="s">
        <v>96</v>
      </c>
      <c r="BZ198" t="s">
        <v>96</v>
      </c>
      <c r="CA198" s="1" t="s">
        <v>96</v>
      </c>
      <c r="CB198">
        <v>55.7</v>
      </c>
      <c r="CC198" t="s">
        <v>96</v>
      </c>
      <c r="CD198" s="1" t="s">
        <v>96</v>
      </c>
    </row>
    <row r="199" spans="1:82">
      <c r="A199">
        <v>248</v>
      </c>
      <c r="B199" t="s">
        <v>839</v>
      </c>
      <c r="D199" t="b">
        <v>1</v>
      </c>
      <c r="E199" t="s">
        <v>840</v>
      </c>
      <c r="F199">
        <v>381</v>
      </c>
      <c r="G199">
        <v>7</v>
      </c>
      <c r="J199" t="s">
        <v>841</v>
      </c>
      <c r="K199" t="s">
        <v>94</v>
      </c>
      <c r="L199" t="s">
        <v>95</v>
      </c>
      <c r="M199">
        <v>100</v>
      </c>
      <c r="N199" s="1" t="s">
        <v>96</v>
      </c>
      <c r="O199" s="1" t="s">
        <v>96</v>
      </c>
      <c r="P199">
        <v>8.34</v>
      </c>
      <c r="Q199" s="1" t="s">
        <v>96</v>
      </c>
      <c r="R199" s="1" t="s">
        <v>96</v>
      </c>
      <c r="S199" s="1" t="s">
        <v>96</v>
      </c>
      <c r="T199" s="1" t="s">
        <v>96</v>
      </c>
      <c r="U199" s="1" t="s">
        <v>96</v>
      </c>
      <c r="V199" s="1" t="s">
        <v>96</v>
      </c>
      <c r="W199" s="1" t="s">
        <v>96</v>
      </c>
      <c r="X199" s="1" t="s">
        <v>96</v>
      </c>
      <c r="Y199" s="1" t="s">
        <v>96</v>
      </c>
      <c r="Z199" t="s">
        <v>96</v>
      </c>
      <c r="AA199" s="1" t="s">
        <v>96</v>
      </c>
      <c r="AB199">
        <v>2.62</v>
      </c>
      <c r="AC199">
        <v>5.41</v>
      </c>
      <c r="AD199">
        <v>352.53</v>
      </c>
      <c r="AE199" s="1" t="s">
        <v>96</v>
      </c>
      <c r="AF199">
        <v>30.77</v>
      </c>
      <c r="AG199">
        <v>365.56</v>
      </c>
      <c r="AH199">
        <v>19.97</v>
      </c>
      <c r="AI199" s="1" t="s">
        <v>96</v>
      </c>
      <c r="AJ199" s="1">
        <v>1.18</v>
      </c>
      <c r="AK199" s="1" t="s">
        <v>96</v>
      </c>
      <c r="AL199" s="1" t="s">
        <v>96</v>
      </c>
      <c r="AM199" s="1" t="s">
        <v>96</v>
      </c>
      <c r="AN199" s="1" t="s">
        <v>96</v>
      </c>
      <c r="AO199">
        <v>106.57</v>
      </c>
      <c r="AP199">
        <v>52.97</v>
      </c>
      <c r="AQ199" s="1" t="s">
        <v>96</v>
      </c>
      <c r="AR199" s="1" t="s">
        <v>96</v>
      </c>
      <c r="AS199">
        <v>13.03</v>
      </c>
      <c r="AT199">
        <v>1.84</v>
      </c>
      <c r="AU199" s="1" t="s">
        <v>96</v>
      </c>
      <c r="AV199" s="1" t="s">
        <v>96</v>
      </c>
      <c r="AW199">
        <v>7.52</v>
      </c>
      <c r="AX199" s="1" t="s">
        <v>96</v>
      </c>
      <c r="AY199">
        <v>403.53</v>
      </c>
      <c r="AZ199">
        <v>268.97000000000003</v>
      </c>
      <c r="BA199">
        <v>149.88999999999999</v>
      </c>
      <c r="BB199" s="1" t="s">
        <v>96</v>
      </c>
      <c r="BC199">
        <v>124.23</v>
      </c>
      <c r="BD199" s="1" t="s">
        <v>96</v>
      </c>
      <c r="BE199" s="1" t="s">
        <v>96</v>
      </c>
      <c r="BF199">
        <v>4.58</v>
      </c>
      <c r="BG199" s="1">
        <v>5.46</v>
      </c>
      <c r="BH199" s="1" t="s">
        <v>96</v>
      </c>
      <c r="BI199">
        <v>42.2</v>
      </c>
      <c r="BJ199">
        <v>36.450000000000003</v>
      </c>
      <c r="BK199" s="1" t="s">
        <v>96</v>
      </c>
      <c r="BL199" s="1" t="s">
        <v>96</v>
      </c>
      <c r="BM199" t="s">
        <v>96</v>
      </c>
      <c r="BN199">
        <v>15.27</v>
      </c>
      <c r="BO199">
        <v>53.16</v>
      </c>
      <c r="BP199">
        <v>2.98</v>
      </c>
      <c r="BQ199" s="1" t="s">
        <v>96</v>
      </c>
      <c r="BR199" s="1" t="s">
        <v>96</v>
      </c>
      <c r="BS199" s="1" t="s">
        <v>96</v>
      </c>
      <c r="BT199" s="1" t="s">
        <v>96</v>
      </c>
      <c r="BU199" s="1" t="s">
        <v>96</v>
      </c>
      <c r="BV199">
        <v>65.349999999999994</v>
      </c>
      <c r="BW199">
        <v>11.95</v>
      </c>
      <c r="BX199" s="1" t="s">
        <v>96</v>
      </c>
      <c r="BY199">
        <v>286.83999999999997</v>
      </c>
      <c r="BZ199">
        <v>35.11</v>
      </c>
      <c r="CA199" s="1">
        <v>14.41</v>
      </c>
      <c r="CB199">
        <v>81.67</v>
      </c>
      <c r="CC199">
        <v>132.91999999999999</v>
      </c>
      <c r="CD199" s="1" t="s">
        <v>96</v>
      </c>
    </row>
    <row r="200" spans="1:82">
      <c r="A200">
        <v>247</v>
      </c>
      <c r="B200" t="s">
        <v>836</v>
      </c>
      <c r="D200" t="b">
        <v>1</v>
      </c>
      <c r="E200" t="s">
        <v>837</v>
      </c>
      <c r="F200">
        <v>380</v>
      </c>
      <c r="G200">
        <v>7</v>
      </c>
      <c r="J200" t="s">
        <v>838</v>
      </c>
      <c r="K200" t="s">
        <v>94</v>
      </c>
      <c r="L200" t="s">
        <v>95</v>
      </c>
      <c r="M200">
        <v>100</v>
      </c>
      <c r="N200" s="1" t="s">
        <v>96</v>
      </c>
      <c r="O200" s="1" t="s">
        <v>96</v>
      </c>
      <c r="P200">
        <v>9.86</v>
      </c>
      <c r="Q200" s="1" t="s">
        <v>96</v>
      </c>
      <c r="R200" s="1" t="s">
        <v>96</v>
      </c>
      <c r="S200" s="1" t="s">
        <v>96</v>
      </c>
      <c r="T200" s="1" t="s">
        <v>96</v>
      </c>
      <c r="U200" s="1" t="s">
        <v>96</v>
      </c>
      <c r="V200" s="1" t="s">
        <v>96</v>
      </c>
      <c r="W200" s="1" t="s">
        <v>96</v>
      </c>
      <c r="X200" s="1" t="s">
        <v>96</v>
      </c>
      <c r="Y200" s="1" t="s">
        <v>96</v>
      </c>
      <c r="Z200">
        <v>1.1399999999999999</v>
      </c>
      <c r="AA200" s="1" t="s">
        <v>96</v>
      </c>
      <c r="AB200">
        <v>12.24</v>
      </c>
      <c r="AC200">
        <v>7.98</v>
      </c>
      <c r="AD200">
        <v>609.62</v>
      </c>
      <c r="AE200" s="1" t="s">
        <v>96</v>
      </c>
      <c r="AF200">
        <v>32.83</v>
      </c>
      <c r="AG200">
        <v>529.19000000000005</v>
      </c>
      <c r="AH200">
        <v>64.290000000000006</v>
      </c>
      <c r="AI200" s="1" t="s">
        <v>96</v>
      </c>
      <c r="AJ200" s="1" t="s">
        <v>96</v>
      </c>
      <c r="AK200" s="1" t="s">
        <v>96</v>
      </c>
      <c r="AL200" s="1" t="s">
        <v>96</v>
      </c>
      <c r="AM200" s="1" t="s">
        <v>96</v>
      </c>
      <c r="AN200" s="1" t="s">
        <v>96</v>
      </c>
      <c r="AO200">
        <v>825.35</v>
      </c>
      <c r="AP200">
        <v>164.48</v>
      </c>
      <c r="AQ200" s="1" t="s">
        <v>96</v>
      </c>
      <c r="AR200" s="1" t="s">
        <v>96</v>
      </c>
      <c r="AS200">
        <v>10.89</v>
      </c>
      <c r="AT200">
        <v>4.62</v>
      </c>
      <c r="AU200" s="1" t="s">
        <v>96</v>
      </c>
      <c r="AV200" s="1" t="s">
        <v>96</v>
      </c>
      <c r="AW200">
        <v>3.62</v>
      </c>
      <c r="AX200" s="1" t="s">
        <v>96</v>
      </c>
      <c r="AY200">
        <v>124</v>
      </c>
      <c r="AZ200">
        <v>149.04</v>
      </c>
      <c r="BA200">
        <v>69</v>
      </c>
      <c r="BB200" s="1" t="s">
        <v>96</v>
      </c>
      <c r="BC200">
        <v>20.91</v>
      </c>
      <c r="BD200" s="1" t="s">
        <v>96</v>
      </c>
      <c r="BE200" s="1">
        <v>2.78</v>
      </c>
      <c r="BF200">
        <v>3.26</v>
      </c>
      <c r="BG200" s="1">
        <v>4.76</v>
      </c>
      <c r="BH200" s="1" t="s">
        <v>96</v>
      </c>
      <c r="BI200">
        <v>19.91</v>
      </c>
      <c r="BJ200">
        <v>26.26</v>
      </c>
      <c r="BK200" s="1" t="s">
        <v>96</v>
      </c>
      <c r="BL200" s="1" t="s">
        <v>96</v>
      </c>
      <c r="BM200">
        <v>2.67</v>
      </c>
      <c r="BN200">
        <v>4.08</v>
      </c>
      <c r="BO200">
        <v>131.07</v>
      </c>
      <c r="BP200">
        <v>5.77</v>
      </c>
      <c r="BQ200" s="1" t="s">
        <v>96</v>
      </c>
      <c r="BR200" s="1" t="s">
        <v>96</v>
      </c>
      <c r="BS200" s="1">
        <v>5.0599999999999996</v>
      </c>
      <c r="BT200" s="1" t="s">
        <v>96</v>
      </c>
      <c r="BU200" s="1" t="s">
        <v>96</v>
      </c>
      <c r="BV200">
        <v>54.17</v>
      </c>
      <c r="BW200">
        <v>14.2</v>
      </c>
      <c r="BX200" s="1" t="s">
        <v>96</v>
      </c>
      <c r="BY200">
        <v>315.74</v>
      </c>
      <c r="BZ200">
        <v>48.21</v>
      </c>
      <c r="CA200" s="1">
        <v>19.079999999999998</v>
      </c>
      <c r="CB200">
        <v>95.37</v>
      </c>
      <c r="CC200">
        <v>123.85</v>
      </c>
      <c r="CD200" s="1" t="s">
        <v>96</v>
      </c>
    </row>
    <row r="201" spans="1:82">
      <c r="A201">
        <v>195</v>
      </c>
      <c r="B201" t="s">
        <v>680</v>
      </c>
      <c r="D201" t="b">
        <v>1</v>
      </c>
      <c r="E201" t="s">
        <v>681</v>
      </c>
      <c r="F201">
        <v>288</v>
      </c>
      <c r="G201">
        <v>5</v>
      </c>
      <c r="J201" t="s">
        <v>682</v>
      </c>
      <c r="K201" t="s">
        <v>94</v>
      </c>
      <c r="L201" t="s">
        <v>95</v>
      </c>
      <c r="M201">
        <v>100</v>
      </c>
      <c r="N201" s="1" t="s">
        <v>96</v>
      </c>
      <c r="O201" s="1" t="s">
        <v>96</v>
      </c>
      <c r="P201">
        <v>28.22</v>
      </c>
      <c r="Q201" s="1" t="s">
        <v>96</v>
      </c>
      <c r="R201" s="1" t="s">
        <v>96</v>
      </c>
      <c r="S201" s="1" t="s">
        <v>96</v>
      </c>
      <c r="T201" s="1" t="s">
        <v>96</v>
      </c>
      <c r="U201" s="1" t="s">
        <v>96</v>
      </c>
      <c r="V201" s="1" t="s">
        <v>96</v>
      </c>
      <c r="W201" s="1" t="s">
        <v>96</v>
      </c>
      <c r="X201" s="1" t="s">
        <v>96</v>
      </c>
      <c r="Y201" s="1" t="s">
        <v>96</v>
      </c>
      <c r="Z201" t="s">
        <v>96</v>
      </c>
      <c r="AA201" s="1" t="s">
        <v>96</v>
      </c>
      <c r="AB201">
        <v>3.48</v>
      </c>
      <c r="AC201">
        <v>2.58</v>
      </c>
      <c r="AD201">
        <v>38.83</v>
      </c>
      <c r="AE201" s="1" t="s">
        <v>96</v>
      </c>
      <c r="AF201">
        <v>11.14</v>
      </c>
      <c r="AG201">
        <v>128.66</v>
      </c>
      <c r="AH201">
        <v>60.96</v>
      </c>
      <c r="AI201" s="1" t="s">
        <v>96</v>
      </c>
      <c r="AJ201" s="1">
        <v>2.41</v>
      </c>
      <c r="AK201" s="1" t="s">
        <v>96</v>
      </c>
      <c r="AL201" s="1" t="s">
        <v>96</v>
      </c>
      <c r="AM201" s="1" t="s">
        <v>96</v>
      </c>
      <c r="AN201" s="1" t="s">
        <v>96</v>
      </c>
      <c r="AO201">
        <v>49.65</v>
      </c>
      <c r="AP201">
        <v>12.58</v>
      </c>
      <c r="AQ201" s="1" t="s">
        <v>96</v>
      </c>
      <c r="AR201" s="1">
        <v>2.58</v>
      </c>
      <c r="AS201">
        <v>19.670000000000002</v>
      </c>
      <c r="AT201">
        <v>4.17</v>
      </c>
      <c r="AU201" s="1" t="s">
        <v>96</v>
      </c>
      <c r="AV201" s="1" t="s">
        <v>96</v>
      </c>
      <c r="AW201">
        <v>7.02</v>
      </c>
      <c r="AX201" s="1" t="s">
        <v>96</v>
      </c>
      <c r="AY201">
        <v>1163.4100000000001</v>
      </c>
      <c r="AZ201">
        <v>265.83999999999997</v>
      </c>
      <c r="BA201">
        <v>26.64</v>
      </c>
      <c r="BB201" s="1" t="s">
        <v>96</v>
      </c>
      <c r="BC201">
        <v>226.6</v>
      </c>
      <c r="BD201" s="1" t="s">
        <v>96</v>
      </c>
      <c r="BE201" s="1">
        <v>4.5199999999999996</v>
      </c>
      <c r="BF201">
        <v>28.47</v>
      </c>
      <c r="BG201" s="1" t="s">
        <v>96</v>
      </c>
      <c r="BH201" s="1" t="s">
        <v>96</v>
      </c>
      <c r="BI201">
        <v>156.97999999999999</v>
      </c>
      <c r="BJ201">
        <v>49.23</v>
      </c>
      <c r="BK201" s="1" t="s">
        <v>96</v>
      </c>
      <c r="BL201" s="1">
        <v>6.43</v>
      </c>
      <c r="BM201">
        <v>3.17</v>
      </c>
      <c r="BN201">
        <v>47.4</v>
      </c>
      <c r="BO201">
        <v>101.06</v>
      </c>
      <c r="BP201">
        <v>2.74</v>
      </c>
      <c r="BQ201" s="1" t="s">
        <v>96</v>
      </c>
      <c r="BR201" s="1" t="s">
        <v>96</v>
      </c>
      <c r="BS201" s="1" t="s">
        <v>96</v>
      </c>
      <c r="BT201" s="1" t="s">
        <v>96</v>
      </c>
      <c r="BU201" s="1">
        <v>8.02</v>
      </c>
      <c r="BV201">
        <v>103.92</v>
      </c>
      <c r="BW201">
        <v>19.7</v>
      </c>
      <c r="BX201" s="1" t="s">
        <v>96</v>
      </c>
      <c r="BY201">
        <v>511.99</v>
      </c>
      <c r="BZ201">
        <v>21.47</v>
      </c>
      <c r="CA201" s="1" t="s">
        <v>96</v>
      </c>
      <c r="CB201">
        <v>7.88</v>
      </c>
      <c r="CC201">
        <v>71.25</v>
      </c>
      <c r="CD201" s="1" t="s">
        <v>96</v>
      </c>
    </row>
    <row r="202" spans="1:82">
      <c r="A202">
        <v>148</v>
      </c>
      <c r="B202" t="s">
        <v>539</v>
      </c>
      <c r="D202" t="b">
        <v>1</v>
      </c>
      <c r="E202" t="s">
        <v>540</v>
      </c>
      <c r="F202">
        <v>39</v>
      </c>
      <c r="G202">
        <v>4</v>
      </c>
      <c r="J202" t="s">
        <v>541</v>
      </c>
      <c r="K202" t="s">
        <v>94</v>
      </c>
      <c r="L202" t="s">
        <v>95</v>
      </c>
      <c r="M202">
        <v>100</v>
      </c>
      <c r="N202" s="1" t="s">
        <v>96</v>
      </c>
      <c r="O202" s="1" t="s">
        <v>96</v>
      </c>
      <c r="P202">
        <v>20.49</v>
      </c>
      <c r="Q202" s="1" t="s">
        <v>96</v>
      </c>
      <c r="R202" s="1" t="s">
        <v>96</v>
      </c>
      <c r="S202" s="1" t="s">
        <v>96</v>
      </c>
      <c r="T202" s="1" t="s">
        <v>96</v>
      </c>
      <c r="U202" s="1" t="s">
        <v>96</v>
      </c>
      <c r="V202" s="1" t="s">
        <v>96</v>
      </c>
      <c r="W202" s="1" t="s">
        <v>96</v>
      </c>
      <c r="X202" s="1" t="s">
        <v>96</v>
      </c>
      <c r="Y202" s="1" t="s">
        <v>96</v>
      </c>
      <c r="Z202" t="s">
        <v>96</v>
      </c>
      <c r="AA202" s="1" t="s">
        <v>96</v>
      </c>
      <c r="AB202">
        <v>2.71</v>
      </c>
      <c r="AC202" t="s">
        <v>96</v>
      </c>
      <c r="AD202">
        <v>23.09</v>
      </c>
      <c r="AE202" s="1" t="s">
        <v>96</v>
      </c>
      <c r="AF202" t="s">
        <v>96</v>
      </c>
      <c r="AG202" t="s">
        <v>96</v>
      </c>
      <c r="AH202">
        <v>271.33</v>
      </c>
      <c r="AI202" s="1" t="s">
        <v>96</v>
      </c>
      <c r="AJ202" s="1" t="s">
        <v>96</v>
      </c>
      <c r="AK202" s="1" t="s">
        <v>96</v>
      </c>
      <c r="AL202" s="1" t="s">
        <v>96</v>
      </c>
      <c r="AM202" s="1" t="s">
        <v>96</v>
      </c>
      <c r="AN202" s="1" t="s">
        <v>96</v>
      </c>
      <c r="AO202">
        <v>42.85</v>
      </c>
      <c r="AP202">
        <v>41.83</v>
      </c>
      <c r="AQ202" s="1" t="s">
        <v>96</v>
      </c>
      <c r="AR202" s="1" t="s">
        <v>96</v>
      </c>
      <c r="AS202">
        <v>113.65</v>
      </c>
      <c r="AT202">
        <v>19.84</v>
      </c>
      <c r="AU202" s="1" t="s">
        <v>96</v>
      </c>
      <c r="AV202" s="1" t="s">
        <v>96</v>
      </c>
      <c r="AW202" t="s">
        <v>96</v>
      </c>
      <c r="AX202" s="1" t="s">
        <v>96</v>
      </c>
      <c r="AY202" t="s">
        <v>133</v>
      </c>
      <c r="AZ202">
        <v>2.71</v>
      </c>
      <c r="BA202">
        <v>295.70999999999998</v>
      </c>
      <c r="BB202" s="1" t="s">
        <v>96</v>
      </c>
      <c r="BC202" t="s">
        <v>133</v>
      </c>
      <c r="BD202" s="1" t="s">
        <v>96</v>
      </c>
      <c r="BE202" s="1" t="s">
        <v>96</v>
      </c>
      <c r="BF202">
        <v>34.94</v>
      </c>
      <c r="BG202" s="1">
        <v>23.03</v>
      </c>
      <c r="BH202" s="1" t="s">
        <v>96</v>
      </c>
      <c r="BI202">
        <v>488.9</v>
      </c>
      <c r="BJ202" t="s">
        <v>96</v>
      </c>
      <c r="BK202" s="1" t="s">
        <v>96</v>
      </c>
      <c r="BL202" s="1">
        <v>6.6</v>
      </c>
      <c r="BM202" t="s">
        <v>96</v>
      </c>
      <c r="BN202">
        <v>175.68</v>
      </c>
      <c r="BO202" t="s">
        <v>96</v>
      </c>
      <c r="BP202" t="s">
        <v>96</v>
      </c>
      <c r="BQ202" s="1" t="s">
        <v>96</v>
      </c>
      <c r="BR202" s="1" t="s">
        <v>96</v>
      </c>
      <c r="BS202" s="1" t="s">
        <v>96</v>
      </c>
      <c r="BT202" s="1" t="s">
        <v>96</v>
      </c>
      <c r="BU202" s="1" t="s">
        <v>96</v>
      </c>
      <c r="BV202">
        <v>190.34</v>
      </c>
      <c r="BW202">
        <v>42.11</v>
      </c>
      <c r="BX202" s="1">
        <v>5.19</v>
      </c>
      <c r="BY202" t="s">
        <v>96</v>
      </c>
      <c r="BZ202" t="s">
        <v>96</v>
      </c>
      <c r="CA202" s="1">
        <v>11.83</v>
      </c>
      <c r="CB202">
        <v>70.45</v>
      </c>
      <c r="CC202" t="s">
        <v>96</v>
      </c>
      <c r="CD202" s="1" t="s">
        <v>96</v>
      </c>
    </row>
    <row r="203" spans="1:82">
      <c r="A203">
        <v>246</v>
      </c>
      <c r="B203" t="s">
        <v>833</v>
      </c>
      <c r="D203" t="b">
        <v>1</v>
      </c>
      <c r="E203" t="s">
        <v>834</v>
      </c>
      <c r="F203">
        <v>379</v>
      </c>
      <c r="G203">
        <v>7</v>
      </c>
      <c r="J203" t="s">
        <v>835</v>
      </c>
      <c r="K203" t="s">
        <v>94</v>
      </c>
      <c r="L203" t="s">
        <v>95</v>
      </c>
      <c r="M203">
        <v>100</v>
      </c>
      <c r="N203" s="1" t="s">
        <v>96</v>
      </c>
      <c r="O203" s="1" t="s">
        <v>96</v>
      </c>
      <c r="P203">
        <v>11.85</v>
      </c>
      <c r="Q203" s="1" t="s">
        <v>96</v>
      </c>
      <c r="R203" s="1" t="s">
        <v>96</v>
      </c>
      <c r="S203" s="1" t="s">
        <v>96</v>
      </c>
      <c r="T203" s="1" t="s">
        <v>96</v>
      </c>
      <c r="U203" s="1" t="s">
        <v>96</v>
      </c>
      <c r="V203" s="1" t="s">
        <v>96</v>
      </c>
      <c r="W203" s="1" t="s">
        <v>96</v>
      </c>
      <c r="X203" s="1" t="s">
        <v>96</v>
      </c>
      <c r="Y203" s="1" t="s">
        <v>96</v>
      </c>
      <c r="Z203" t="s">
        <v>96</v>
      </c>
      <c r="AA203" s="1" t="s">
        <v>96</v>
      </c>
      <c r="AB203">
        <v>1.39</v>
      </c>
      <c r="AC203">
        <v>1.71</v>
      </c>
      <c r="AD203">
        <v>191.04</v>
      </c>
      <c r="AE203" s="1" t="s">
        <v>96</v>
      </c>
      <c r="AF203">
        <v>5.28</v>
      </c>
      <c r="AG203">
        <v>192.96</v>
      </c>
      <c r="AH203">
        <v>27.03</v>
      </c>
      <c r="AI203" s="1" t="s">
        <v>96</v>
      </c>
      <c r="AJ203" s="1" t="s">
        <v>96</v>
      </c>
      <c r="AK203" s="1" t="s">
        <v>96</v>
      </c>
      <c r="AL203" s="1" t="s">
        <v>96</v>
      </c>
      <c r="AM203" s="1" t="s">
        <v>96</v>
      </c>
      <c r="AN203" s="1" t="s">
        <v>96</v>
      </c>
      <c r="AO203">
        <v>179.03</v>
      </c>
      <c r="AP203">
        <v>41.83</v>
      </c>
      <c r="AQ203" s="1" t="s">
        <v>96</v>
      </c>
      <c r="AR203" s="1" t="s">
        <v>96</v>
      </c>
      <c r="AS203">
        <v>30.13</v>
      </c>
      <c r="AT203">
        <v>1.62</v>
      </c>
      <c r="AU203" s="1" t="s">
        <v>96</v>
      </c>
      <c r="AV203" s="1" t="s">
        <v>96</v>
      </c>
      <c r="AW203">
        <v>2.57</v>
      </c>
      <c r="AX203" s="1" t="s">
        <v>96</v>
      </c>
      <c r="AY203">
        <v>1308.0899999999999</v>
      </c>
      <c r="AZ203">
        <v>613.74</v>
      </c>
      <c r="BA203">
        <v>349.25</v>
      </c>
      <c r="BB203" s="1" t="s">
        <v>96</v>
      </c>
      <c r="BC203">
        <v>475.05</v>
      </c>
      <c r="BD203" s="1" t="s">
        <v>96</v>
      </c>
      <c r="BE203" s="1" t="s">
        <v>96</v>
      </c>
      <c r="BF203">
        <v>9.64</v>
      </c>
      <c r="BG203" s="1">
        <v>20.27</v>
      </c>
      <c r="BH203" s="1" t="s">
        <v>96</v>
      </c>
      <c r="BI203">
        <v>202.04</v>
      </c>
      <c r="BJ203">
        <v>121.84</v>
      </c>
      <c r="BK203" s="1" t="s">
        <v>96</v>
      </c>
      <c r="BL203" s="1" t="s">
        <v>96</v>
      </c>
      <c r="BM203">
        <v>6.24</v>
      </c>
      <c r="BN203">
        <v>72.3</v>
      </c>
      <c r="BO203">
        <v>32.07</v>
      </c>
      <c r="BP203" t="s">
        <v>96</v>
      </c>
      <c r="BQ203" s="1" t="s">
        <v>96</v>
      </c>
      <c r="BR203" s="1" t="s">
        <v>96</v>
      </c>
      <c r="BS203" s="1" t="s">
        <v>96</v>
      </c>
      <c r="BT203" s="1" t="s">
        <v>96</v>
      </c>
      <c r="BU203" s="1" t="s">
        <v>96</v>
      </c>
      <c r="BV203">
        <v>107.44</v>
      </c>
      <c r="BW203">
        <v>23.98</v>
      </c>
      <c r="BX203" s="1" t="s">
        <v>96</v>
      </c>
      <c r="BY203">
        <v>145.28</v>
      </c>
      <c r="BZ203">
        <v>50</v>
      </c>
      <c r="CA203" s="1">
        <v>19.149999999999999</v>
      </c>
      <c r="CB203">
        <v>139.56</v>
      </c>
      <c r="CC203">
        <v>142.02000000000001</v>
      </c>
      <c r="CD203" s="1" t="s">
        <v>96</v>
      </c>
    </row>
    <row r="204" spans="1:82">
      <c r="A204">
        <v>150</v>
      </c>
      <c r="B204" t="s">
        <v>545</v>
      </c>
      <c r="D204" t="b">
        <v>1</v>
      </c>
      <c r="E204" t="s">
        <v>546</v>
      </c>
      <c r="F204">
        <v>43</v>
      </c>
      <c r="G204">
        <v>4</v>
      </c>
      <c r="J204" t="s">
        <v>547</v>
      </c>
      <c r="K204" t="s">
        <v>94</v>
      </c>
      <c r="L204" t="s">
        <v>95</v>
      </c>
      <c r="M204">
        <v>100</v>
      </c>
      <c r="N204" s="1" t="s">
        <v>96</v>
      </c>
      <c r="O204" s="1" t="s">
        <v>96</v>
      </c>
      <c r="P204">
        <v>24.91</v>
      </c>
      <c r="Q204" s="1" t="s">
        <v>96</v>
      </c>
      <c r="R204" s="1" t="s">
        <v>96</v>
      </c>
      <c r="S204" s="1" t="s">
        <v>96</v>
      </c>
      <c r="T204" s="1" t="s">
        <v>96</v>
      </c>
      <c r="U204" s="1" t="s">
        <v>96</v>
      </c>
      <c r="V204" s="1" t="s">
        <v>96</v>
      </c>
      <c r="W204" s="1" t="s">
        <v>96</v>
      </c>
      <c r="X204" s="1" t="s">
        <v>96</v>
      </c>
      <c r="Y204" s="1" t="s">
        <v>96</v>
      </c>
      <c r="Z204">
        <v>2.95</v>
      </c>
      <c r="AA204" s="1" t="s">
        <v>96</v>
      </c>
      <c r="AB204">
        <v>3.84</v>
      </c>
      <c r="AC204" t="s">
        <v>96</v>
      </c>
      <c r="AD204">
        <v>108.83</v>
      </c>
      <c r="AE204" s="1" t="s">
        <v>96</v>
      </c>
      <c r="AF204" t="s">
        <v>96</v>
      </c>
      <c r="AG204">
        <v>1.33</v>
      </c>
      <c r="AH204">
        <v>316.89999999999998</v>
      </c>
      <c r="AI204" s="1" t="s">
        <v>96</v>
      </c>
      <c r="AJ204" s="1" t="s">
        <v>96</v>
      </c>
      <c r="AK204" s="1" t="s">
        <v>96</v>
      </c>
      <c r="AL204" s="1" t="s">
        <v>96</v>
      </c>
      <c r="AM204" s="1" t="s">
        <v>96</v>
      </c>
      <c r="AN204" s="1">
        <v>1.6</v>
      </c>
      <c r="AO204" t="s">
        <v>96</v>
      </c>
      <c r="AP204">
        <v>49.2</v>
      </c>
      <c r="AQ204" s="1" t="s">
        <v>96</v>
      </c>
      <c r="AR204" s="1" t="s">
        <v>96</v>
      </c>
      <c r="AS204">
        <v>77.099999999999994</v>
      </c>
      <c r="AT204">
        <v>22.68</v>
      </c>
      <c r="AU204" s="1" t="s">
        <v>96</v>
      </c>
      <c r="AV204" s="1" t="s">
        <v>96</v>
      </c>
      <c r="AW204" t="s">
        <v>96</v>
      </c>
      <c r="AX204" s="1" t="s">
        <v>96</v>
      </c>
      <c r="AY204" t="s">
        <v>133</v>
      </c>
      <c r="AZ204" t="s">
        <v>96</v>
      </c>
      <c r="BA204">
        <v>163.75</v>
      </c>
      <c r="BB204" s="1" t="s">
        <v>96</v>
      </c>
      <c r="BC204">
        <v>430.22</v>
      </c>
      <c r="BD204" s="1" t="s">
        <v>96</v>
      </c>
      <c r="BE204" s="1" t="s">
        <v>96</v>
      </c>
      <c r="BF204">
        <v>28.19</v>
      </c>
      <c r="BG204" s="1">
        <v>7.8</v>
      </c>
      <c r="BH204" s="1" t="s">
        <v>96</v>
      </c>
      <c r="BI204">
        <v>290.42</v>
      </c>
      <c r="BJ204" t="s">
        <v>96</v>
      </c>
      <c r="BK204" s="1" t="s">
        <v>96</v>
      </c>
      <c r="BL204" s="1">
        <v>3.54</v>
      </c>
      <c r="BM204" t="s">
        <v>96</v>
      </c>
      <c r="BN204">
        <v>47.58</v>
      </c>
      <c r="BO204" t="s">
        <v>96</v>
      </c>
      <c r="BP204" t="s">
        <v>96</v>
      </c>
      <c r="BQ204" s="1" t="s">
        <v>96</v>
      </c>
      <c r="BR204" s="1" t="s">
        <v>96</v>
      </c>
      <c r="BS204" s="1" t="s">
        <v>96</v>
      </c>
      <c r="BT204" s="1">
        <v>6.86</v>
      </c>
      <c r="BU204" s="1" t="s">
        <v>96</v>
      </c>
      <c r="BV204">
        <v>242.52</v>
      </c>
      <c r="BW204">
        <v>57.99</v>
      </c>
      <c r="BX204" s="1" t="s">
        <v>96</v>
      </c>
      <c r="BY204">
        <v>8.2799999999999994</v>
      </c>
      <c r="BZ204" t="s">
        <v>96</v>
      </c>
      <c r="CA204" s="1" t="s">
        <v>96</v>
      </c>
      <c r="CB204">
        <v>33.47</v>
      </c>
      <c r="CC204" t="s">
        <v>96</v>
      </c>
      <c r="CD204" s="1" t="s">
        <v>96</v>
      </c>
    </row>
    <row r="205" spans="1:82">
      <c r="A205">
        <v>251</v>
      </c>
      <c r="B205" t="s">
        <v>848</v>
      </c>
      <c r="D205" t="b">
        <v>1</v>
      </c>
      <c r="E205" t="s">
        <v>849</v>
      </c>
      <c r="F205">
        <v>384</v>
      </c>
      <c r="G205">
        <v>7</v>
      </c>
      <c r="J205" t="s">
        <v>850</v>
      </c>
      <c r="K205" t="s">
        <v>94</v>
      </c>
      <c r="L205" t="s">
        <v>95</v>
      </c>
      <c r="M205">
        <v>100</v>
      </c>
      <c r="N205" s="1" t="s">
        <v>96</v>
      </c>
      <c r="O205" s="1" t="s">
        <v>96</v>
      </c>
      <c r="P205">
        <v>10.06</v>
      </c>
      <c r="Q205" s="1" t="s">
        <v>96</v>
      </c>
      <c r="R205" s="1" t="s">
        <v>96</v>
      </c>
      <c r="S205" s="1" t="s">
        <v>96</v>
      </c>
      <c r="T205" s="1" t="s">
        <v>96</v>
      </c>
      <c r="U205" s="1" t="s">
        <v>96</v>
      </c>
      <c r="V205" s="1" t="s">
        <v>96</v>
      </c>
      <c r="W205" s="1" t="s">
        <v>96</v>
      </c>
      <c r="X205" s="1" t="s">
        <v>96</v>
      </c>
      <c r="Y205" s="1" t="s">
        <v>96</v>
      </c>
      <c r="Z205" t="s">
        <v>96</v>
      </c>
      <c r="AA205" s="1" t="s">
        <v>96</v>
      </c>
      <c r="AB205">
        <v>3.06</v>
      </c>
      <c r="AC205">
        <v>3.97</v>
      </c>
      <c r="AD205">
        <v>348.39</v>
      </c>
      <c r="AE205" s="1" t="s">
        <v>96</v>
      </c>
      <c r="AF205">
        <v>13.6</v>
      </c>
      <c r="AG205">
        <v>302.97000000000003</v>
      </c>
      <c r="AH205">
        <v>18.989999999999998</v>
      </c>
      <c r="AI205" s="1" t="s">
        <v>96</v>
      </c>
      <c r="AJ205" s="1">
        <v>1.69</v>
      </c>
      <c r="AK205" s="1" t="s">
        <v>96</v>
      </c>
      <c r="AL205" s="1" t="s">
        <v>96</v>
      </c>
      <c r="AM205" s="1" t="s">
        <v>96</v>
      </c>
      <c r="AN205" s="1" t="s">
        <v>96</v>
      </c>
      <c r="AO205">
        <v>461.96</v>
      </c>
      <c r="AP205">
        <v>68.400000000000006</v>
      </c>
      <c r="AQ205" s="1" t="s">
        <v>96</v>
      </c>
      <c r="AR205" s="1" t="s">
        <v>96</v>
      </c>
      <c r="AS205">
        <v>23.11</v>
      </c>
      <c r="AT205">
        <v>3.31</v>
      </c>
      <c r="AU205" s="1" t="s">
        <v>96</v>
      </c>
      <c r="AV205" s="1" t="s">
        <v>96</v>
      </c>
      <c r="AW205">
        <v>6.4</v>
      </c>
      <c r="AX205" s="1" t="s">
        <v>96</v>
      </c>
      <c r="AY205">
        <v>865.28</v>
      </c>
      <c r="AZ205">
        <v>706.71</v>
      </c>
      <c r="BA205">
        <v>324.86</v>
      </c>
      <c r="BB205" s="1" t="s">
        <v>96</v>
      </c>
      <c r="BC205">
        <v>358.49</v>
      </c>
      <c r="BD205" s="1" t="s">
        <v>96</v>
      </c>
      <c r="BE205" s="1">
        <v>4.71</v>
      </c>
      <c r="BF205">
        <v>7.56</v>
      </c>
      <c r="BG205" s="1">
        <v>34.69</v>
      </c>
      <c r="BH205" s="1" t="s">
        <v>96</v>
      </c>
      <c r="BI205">
        <v>178.61</v>
      </c>
      <c r="BJ205">
        <v>185.82</v>
      </c>
      <c r="BK205" s="1" t="s">
        <v>96</v>
      </c>
      <c r="BL205" s="1" t="s">
        <v>96</v>
      </c>
      <c r="BM205">
        <v>3.86</v>
      </c>
      <c r="BN205">
        <v>82.52</v>
      </c>
      <c r="BO205">
        <v>58.79</v>
      </c>
      <c r="BP205">
        <v>3.5</v>
      </c>
      <c r="BQ205" s="1" t="s">
        <v>96</v>
      </c>
      <c r="BR205" s="1" t="s">
        <v>96</v>
      </c>
      <c r="BS205" s="1" t="s">
        <v>96</v>
      </c>
      <c r="BT205" s="1" t="s">
        <v>96</v>
      </c>
      <c r="BU205" s="1" t="s">
        <v>96</v>
      </c>
      <c r="BV205">
        <v>29.03</v>
      </c>
      <c r="BW205">
        <v>8.5299999999999994</v>
      </c>
      <c r="BX205" s="1" t="s">
        <v>96</v>
      </c>
      <c r="BY205">
        <v>156.33000000000001</v>
      </c>
      <c r="BZ205">
        <v>32.619999999999997</v>
      </c>
      <c r="CA205" s="1" t="s">
        <v>96</v>
      </c>
      <c r="CB205">
        <v>54.9</v>
      </c>
      <c r="CC205">
        <v>59.29</v>
      </c>
      <c r="CD205" s="1" t="s">
        <v>96</v>
      </c>
    </row>
    <row r="206" spans="1:82">
      <c r="A206">
        <v>168</v>
      </c>
      <c r="B206" t="s">
        <v>599</v>
      </c>
      <c r="D206" t="b">
        <v>1</v>
      </c>
      <c r="E206" t="s">
        <v>600</v>
      </c>
      <c r="F206">
        <v>255</v>
      </c>
      <c r="G206">
        <v>5</v>
      </c>
      <c r="J206" t="s">
        <v>601</v>
      </c>
      <c r="K206" t="s">
        <v>94</v>
      </c>
      <c r="L206" t="s">
        <v>95</v>
      </c>
      <c r="M206">
        <v>100</v>
      </c>
      <c r="N206" s="1" t="s">
        <v>96</v>
      </c>
      <c r="O206" s="1" t="s">
        <v>96</v>
      </c>
      <c r="P206">
        <v>10.9</v>
      </c>
      <c r="Q206" s="1" t="s">
        <v>96</v>
      </c>
      <c r="R206" s="1" t="s">
        <v>96</v>
      </c>
      <c r="S206" s="1">
        <v>6.14</v>
      </c>
      <c r="T206" s="1" t="s">
        <v>96</v>
      </c>
      <c r="U206" s="1" t="s">
        <v>96</v>
      </c>
      <c r="V206" s="1" t="s">
        <v>96</v>
      </c>
      <c r="W206" s="1" t="s">
        <v>96</v>
      </c>
      <c r="X206" s="1" t="s">
        <v>96</v>
      </c>
      <c r="Y206" s="1" t="s">
        <v>96</v>
      </c>
      <c r="Z206">
        <v>5.63</v>
      </c>
      <c r="AA206" s="1" t="s">
        <v>96</v>
      </c>
      <c r="AB206">
        <v>27.41</v>
      </c>
      <c r="AC206">
        <v>12.96</v>
      </c>
      <c r="AD206">
        <v>264.91000000000003</v>
      </c>
      <c r="AE206" s="1" t="s">
        <v>96</v>
      </c>
      <c r="AF206">
        <v>63.77</v>
      </c>
      <c r="AG206">
        <v>580.25</v>
      </c>
      <c r="AH206">
        <v>416.61</v>
      </c>
      <c r="AI206" s="1" t="s">
        <v>96</v>
      </c>
      <c r="AJ206" s="1">
        <v>1.79</v>
      </c>
      <c r="AK206" s="1" t="s">
        <v>96</v>
      </c>
      <c r="AL206" s="1" t="s">
        <v>96</v>
      </c>
      <c r="AM206" s="1" t="s">
        <v>96</v>
      </c>
      <c r="AN206" s="1">
        <v>2.2999999999999998</v>
      </c>
      <c r="AO206">
        <v>127.68</v>
      </c>
      <c r="AP206">
        <v>43.34</v>
      </c>
      <c r="AQ206" s="1" t="s">
        <v>96</v>
      </c>
      <c r="AR206" s="1" t="s">
        <v>96</v>
      </c>
      <c r="AS206">
        <v>37.58</v>
      </c>
      <c r="AT206">
        <v>3.81</v>
      </c>
      <c r="AU206" s="1" t="s">
        <v>96</v>
      </c>
      <c r="AV206" s="1" t="s">
        <v>96</v>
      </c>
      <c r="AW206">
        <v>10.35</v>
      </c>
      <c r="AX206" s="1" t="s">
        <v>96</v>
      </c>
      <c r="AY206">
        <v>1326.33</v>
      </c>
      <c r="AZ206">
        <v>714.22</v>
      </c>
      <c r="BA206">
        <v>70.84</v>
      </c>
      <c r="BB206" s="1" t="s">
        <v>96</v>
      </c>
      <c r="BC206">
        <v>784.19</v>
      </c>
      <c r="BD206" s="1" t="s">
        <v>96</v>
      </c>
      <c r="BE206" s="1">
        <v>13.81</v>
      </c>
      <c r="BF206">
        <v>11.17</v>
      </c>
      <c r="BG206" s="1">
        <v>17.62</v>
      </c>
      <c r="BH206" s="1" t="s">
        <v>96</v>
      </c>
      <c r="BI206">
        <v>536.25</v>
      </c>
      <c r="BJ206">
        <v>405.13</v>
      </c>
      <c r="BK206" s="1" t="s">
        <v>96</v>
      </c>
      <c r="BL206" s="1">
        <v>3.97</v>
      </c>
      <c r="BM206">
        <v>3.97</v>
      </c>
      <c r="BN206">
        <v>565.20000000000005</v>
      </c>
      <c r="BO206">
        <v>257.85000000000002</v>
      </c>
      <c r="BP206">
        <v>2.56</v>
      </c>
      <c r="BQ206" s="1" t="s">
        <v>96</v>
      </c>
      <c r="BR206" s="1" t="s">
        <v>96</v>
      </c>
      <c r="BS206" s="1" t="s">
        <v>96</v>
      </c>
      <c r="BT206" s="1" t="s">
        <v>96</v>
      </c>
      <c r="BU206" s="1">
        <v>29.62</v>
      </c>
      <c r="BV206">
        <v>110.36</v>
      </c>
      <c r="BW206">
        <v>49.1</v>
      </c>
      <c r="BX206" s="1" t="s">
        <v>96</v>
      </c>
      <c r="BY206">
        <v>260.13</v>
      </c>
      <c r="BZ206">
        <v>85.76</v>
      </c>
      <c r="CA206" s="1" t="s">
        <v>96</v>
      </c>
      <c r="CB206">
        <v>21.48</v>
      </c>
      <c r="CC206">
        <v>122.95</v>
      </c>
      <c r="CD206" s="1" t="s">
        <v>96</v>
      </c>
    </row>
    <row r="207" spans="1:82">
      <c r="A207">
        <v>169</v>
      </c>
      <c r="B207" t="s">
        <v>602</v>
      </c>
      <c r="D207" t="b">
        <v>1</v>
      </c>
      <c r="E207" t="s">
        <v>603</v>
      </c>
      <c r="F207">
        <v>256</v>
      </c>
      <c r="G207">
        <v>5</v>
      </c>
      <c r="J207" t="s">
        <v>604</v>
      </c>
      <c r="K207" t="s">
        <v>94</v>
      </c>
      <c r="L207" t="s">
        <v>95</v>
      </c>
      <c r="M207">
        <v>100</v>
      </c>
      <c r="N207" s="1" t="s">
        <v>96</v>
      </c>
      <c r="O207" s="1" t="s">
        <v>96</v>
      </c>
      <c r="P207">
        <v>9.4600000000000009</v>
      </c>
      <c r="Q207" s="1" t="s">
        <v>96</v>
      </c>
      <c r="R207" s="1" t="s">
        <v>96</v>
      </c>
      <c r="S207" s="1" t="s">
        <v>96</v>
      </c>
      <c r="T207" s="1" t="s">
        <v>96</v>
      </c>
      <c r="U207" s="1" t="s">
        <v>96</v>
      </c>
      <c r="V207" s="1" t="s">
        <v>96</v>
      </c>
      <c r="W207" s="1" t="s">
        <v>96</v>
      </c>
      <c r="X207" s="1" t="s">
        <v>96</v>
      </c>
      <c r="Y207" s="1" t="s">
        <v>96</v>
      </c>
      <c r="Z207" t="s">
        <v>96</v>
      </c>
      <c r="AA207" s="1" t="s">
        <v>96</v>
      </c>
      <c r="AB207">
        <v>3.58</v>
      </c>
      <c r="AC207">
        <v>9.2200000000000006</v>
      </c>
      <c r="AD207">
        <v>112.5</v>
      </c>
      <c r="AE207" s="1" t="s">
        <v>96</v>
      </c>
      <c r="AF207">
        <v>22.11</v>
      </c>
      <c r="AG207">
        <v>341.6</v>
      </c>
      <c r="AH207">
        <v>68.92</v>
      </c>
      <c r="AI207" s="1">
        <v>4.0599999999999996</v>
      </c>
      <c r="AJ207" s="1">
        <v>1.54</v>
      </c>
      <c r="AK207" s="1" t="s">
        <v>96</v>
      </c>
      <c r="AL207" s="1" t="s">
        <v>96</v>
      </c>
      <c r="AM207" s="1" t="s">
        <v>96</v>
      </c>
      <c r="AN207" s="1" t="s">
        <v>96</v>
      </c>
      <c r="AO207" t="s">
        <v>96</v>
      </c>
      <c r="AP207">
        <v>30.18</v>
      </c>
      <c r="AQ207" s="1" t="s">
        <v>96</v>
      </c>
      <c r="AR207" s="1">
        <v>1.06</v>
      </c>
      <c r="AS207">
        <v>28.74</v>
      </c>
      <c r="AT207">
        <v>2.98</v>
      </c>
      <c r="AU207" s="1" t="s">
        <v>96</v>
      </c>
      <c r="AV207" s="1" t="s">
        <v>96</v>
      </c>
      <c r="AW207">
        <v>3.36</v>
      </c>
      <c r="AX207" s="1" t="s">
        <v>96</v>
      </c>
      <c r="AY207">
        <v>362.35</v>
      </c>
      <c r="AZ207">
        <v>213.79</v>
      </c>
      <c r="BA207">
        <v>31.35</v>
      </c>
      <c r="BB207" s="1" t="s">
        <v>96</v>
      </c>
      <c r="BC207">
        <v>68.95</v>
      </c>
      <c r="BD207" s="1" t="s">
        <v>96</v>
      </c>
      <c r="BE207" s="1">
        <v>8.3800000000000008</v>
      </c>
      <c r="BF207">
        <v>4.03</v>
      </c>
      <c r="BG207" s="1">
        <v>2.5299999999999998</v>
      </c>
      <c r="BH207" s="1" t="s">
        <v>96</v>
      </c>
      <c r="BI207">
        <v>64.72</v>
      </c>
      <c r="BJ207">
        <v>59.34</v>
      </c>
      <c r="BK207" s="1" t="s">
        <v>96</v>
      </c>
      <c r="BL207" s="1" t="s">
        <v>96</v>
      </c>
      <c r="BM207" t="s">
        <v>96</v>
      </c>
      <c r="BN207">
        <v>29.49</v>
      </c>
      <c r="BO207">
        <v>239.76</v>
      </c>
      <c r="BP207" t="s">
        <v>96</v>
      </c>
      <c r="BQ207" s="1" t="s">
        <v>96</v>
      </c>
      <c r="BR207" s="1" t="s">
        <v>96</v>
      </c>
      <c r="BS207" s="1" t="s">
        <v>96</v>
      </c>
      <c r="BT207" s="1" t="s">
        <v>96</v>
      </c>
      <c r="BU207" s="1">
        <v>13.09</v>
      </c>
      <c r="BV207">
        <v>62.98</v>
      </c>
      <c r="BW207">
        <v>15.15</v>
      </c>
      <c r="BX207" s="1" t="s">
        <v>96</v>
      </c>
      <c r="BY207">
        <v>284.77999999999997</v>
      </c>
      <c r="BZ207">
        <v>27.26</v>
      </c>
      <c r="CA207" s="1" t="s">
        <v>96</v>
      </c>
      <c r="CB207">
        <v>16.899999999999999</v>
      </c>
      <c r="CC207">
        <v>50.57</v>
      </c>
      <c r="CD207" s="1" t="s">
        <v>96</v>
      </c>
    </row>
    <row r="208" spans="1:82">
      <c r="A208">
        <v>250</v>
      </c>
      <c r="B208" t="s">
        <v>845</v>
      </c>
      <c r="D208" t="b">
        <v>1</v>
      </c>
      <c r="E208" t="s">
        <v>846</v>
      </c>
      <c r="F208">
        <v>383</v>
      </c>
      <c r="G208">
        <v>7</v>
      </c>
      <c r="J208" t="s">
        <v>847</v>
      </c>
      <c r="K208" t="s">
        <v>94</v>
      </c>
      <c r="L208" t="s">
        <v>95</v>
      </c>
      <c r="M208">
        <v>100</v>
      </c>
      <c r="N208" s="1" t="s">
        <v>96</v>
      </c>
      <c r="O208" s="1" t="s">
        <v>96</v>
      </c>
      <c r="P208">
        <v>12.48</v>
      </c>
      <c r="Q208" s="1" t="s">
        <v>96</v>
      </c>
      <c r="R208" s="1" t="s">
        <v>96</v>
      </c>
      <c r="S208" s="1" t="s">
        <v>96</v>
      </c>
      <c r="T208" s="1" t="s">
        <v>96</v>
      </c>
      <c r="U208" s="1" t="s">
        <v>96</v>
      </c>
      <c r="V208" s="1" t="s">
        <v>96</v>
      </c>
      <c r="W208" s="1" t="s">
        <v>96</v>
      </c>
      <c r="X208" s="1" t="s">
        <v>96</v>
      </c>
      <c r="Y208" s="1" t="s">
        <v>96</v>
      </c>
      <c r="Z208" t="s">
        <v>96</v>
      </c>
      <c r="AA208" s="1" t="s">
        <v>96</v>
      </c>
      <c r="AB208">
        <v>4.42</v>
      </c>
      <c r="AC208">
        <v>3.15</v>
      </c>
      <c r="AD208">
        <v>301.16000000000003</v>
      </c>
      <c r="AE208" s="1" t="s">
        <v>96</v>
      </c>
      <c r="AF208">
        <v>22.9</v>
      </c>
      <c r="AG208">
        <v>338.5</v>
      </c>
      <c r="AH208">
        <v>31.74</v>
      </c>
      <c r="AI208" s="1" t="s">
        <v>96</v>
      </c>
      <c r="AJ208" s="1">
        <v>1.29</v>
      </c>
      <c r="AK208" s="1" t="s">
        <v>96</v>
      </c>
      <c r="AL208" s="1" t="s">
        <v>96</v>
      </c>
      <c r="AM208" s="1" t="s">
        <v>96</v>
      </c>
      <c r="AN208" s="1" t="s">
        <v>96</v>
      </c>
      <c r="AO208">
        <v>37.89</v>
      </c>
      <c r="AP208">
        <v>86.67</v>
      </c>
      <c r="AQ208" s="1" t="s">
        <v>96</v>
      </c>
      <c r="AR208" s="1" t="s">
        <v>96</v>
      </c>
      <c r="AS208">
        <v>11.68</v>
      </c>
      <c r="AT208">
        <v>5.22</v>
      </c>
      <c r="AU208" s="1" t="s">
        <v>96</v>
      </c>
      <c r="AV208" s="1" t="s">
        <v>96</v>
      </c>
      <c r="AW208">
        <v>15.85</v>
      </c>
      <c r="AX208" s="1" t="s">
        <v>96</v>
      </c>
      <c r="AY208">
        <v>890.67</v>
      </c>
      <c r="AZ208">
        <v>513.73</v>
      </c>
      <c r="BA208">
        <v>325.99</v>
      </c>
      <c r="BB208" s="1" t="s">
        <v>96</v>
      </c>
      <c r="BC208">
        <v>189.2</v>
      </c>
      <c r="BD208" s="1" t="s">
        <v>96</v>
      </c>
      <c r="BE208" s="1">
        <v>8.7200000000000006</v>
      </c>
      <c r="BF208">
        <v>11.52</v>
      </c>
      <c r="BG208" s="1">
        <v>26.15</v>
      </c>
      <c r="BH208" s="1" t="s">
        <v>96</v>
      </c>
      <c r="BI208">
        <v>150</v>
      </c>
      <c r="BJ208">
        <v>124.33</v>
      </c>
      <c r="BK208" s="1" t="s">
        <v>96</v>
      </c>
      <c r="BL208" s="1">
        <v>2.71</v>
      </c>
      <c r="BM208">
        <v>9.74</v>
      </c>
      <c r="BN208">
        <v>40.909999999999997</v>
      </c>
      <c r="BO208">
        <v>240.99</v>
      </c>
      <c r="BP208">
        <v>9.74</v>
      </c>
      <c r="BQ208" s="1" t="s">
        <v>96</v>
      </c>
      <c r="BR208" s="1" t="s">
        <v>96</v>
      </c>
      <c r="BS208" s="1" t="s">
        <v>96</v>
      </c>
      <c r="BT208" s="1" t="s">
        <v>96</v>
      </c>
      <c r="BU208" s="1" t="s">
        <v>96</v>
      </c>
      <c r="BV208">
        <v>65.3</v>
      </c>
      <c r="BW208">
        <v>15.55</v>
      </c>
      <c r="BX208" s="1" t="s">
        <v>96</v>
      </c>
      <c r="BY208">
        <v>907.15</v>
      </c>
      <c r="BZ208">
        <v>52.27</v>
      </c>
      <c r="CA208" s="1">
        <v>16.84</v>
      </c>
      <c r="CB208">
        <v>119.29</v>
      </c>
      <c r="CC208">
        <v>133.22</v>
      </c>
      <c r="CD208" s="1" t="s">
        <v>96</v>
      </c>
    </row>
    <row r="209" spans="1:82">
      <c r="A209">
        <v>170</v>
      </c>
      <c r="B209" t="s">
        <v>605</v>
      </c>
      <c r="D209" t="b">
        <v>1</v>
      </c>
      <c r="E209" t="s">
        <v>606</v>
      </c>
      <c r="F209">
        <v>259</v>
      </c>
      <c r="G209">
        <v>5</v>
      </c>
      <c r="J209" t="s">
        <v>607</v>
      </c>
      <c r="K209" t="s">
        <v>94</v>
      </c>
      <c r="L209" t="s">
        <v>95</v>
      </c>
      <c r="M209">
        <v>100</v>
      </c>
      <c r="N209" s="1" t="s">
        <v>96</v>
      </c>
      <c r="O209" s="1" t="s">
        <v>96</v>
      </c>
      <c r="P209">
        <v>9.51</v>
      </c>
      <c r="Q209" s="1" t="s">
        <v>96</v>
      </c>
      <c r="R209" s="1" t="s">
        <v>96</v>
      </c>
      <c r="S209" s="1" t="s">
        <v>96</v>
      </c>
      <c r="T209" s="1" t="s">
        <v>96</v>
      </c>
      <c r="U209" s="1" t="s">
        <v>96</v>
      </c>
      <c r="V209" s="1" t="s">
        <v>96</v>
      </c>
      <c r="W209" s="1" t="s">
        <v>96</v>
      </c>
      <c r="X209" s="1" t="s">
        <v>96</v>
      </c>
      <c r="Y209" s="1" t="s">
        <v>96</v>
      </c>
      <c r="Z209">
        <v>2.0299999999999998</v>
      </c>
      <c r="AA209" s="1" t="s">
        <v>96</v>
      </c>
      <c r="AB209">
        <v>7.53</v>
      </c>
      <c r="AC209">
        <v>7.72</v>
      </c>
      <c r="AD209">
        <v>240.13</v>
      </c>
      <c r="AE209" s="1" t="s">
        <v>96</v>
      </c>
      <c r="AF209">
        <v>19.34</v>
      </c>
      <c r="AG209">
        <v>306.32</v>
      </c>
      <c r="AH209">
        <v>124.96</v>
      </c>
      <c r="AI209" s="1" t="s">
        <v>96</v>
      </c>
      <c r="AJ209" s="1" t="s">
        <v>96</v>
      </c>
      <c r="AK209" s="1" t="s">
        <v>96</v>
      </c>
      <c r="AL209" s="1" t="s">
        <v>96</v>
      </c>
      <c r="AM209" s="1" t="s">
        <v>96</v>
      </c>
      <c r="AN209" s="1" t="s">
        <v>96</v>
      </c>
      <c r="AO209" t="s">
        <v>96</v>
      </c>
      <c r="AP209">
        <v>51.43</v>
      </c>
      <c r="AQ209" s="1" t="s">
        <v>96</v>
      </c>
      <c r="AR209" s="1" t="s">
        <v>96</v>
      </c>
      <c r="AS209">
        <v>29.72</v>
      </c>
      <c r="AT209">
        <v>2.73</v>
      </c>
      <c r="AU209" s="1" t="s">
        <v>96</v>
      </c>
      <c r="AV209" s="1" t="s">
        <v>96</v>
      </c>
      <c r="AW209">
        <v>7.52</v>
      </c>
      <c r="AX209" s="1" t="s">
        <v>96</v>
      </c>
      <c r="AY209">
        <v>859.73</v>
      </c>
      <c r="AZ209">
        <v>312.89</v>
      </c>
      <c r="BA209">
        <v>95.07</v>
      </c>
      <c r="BB209" s="1" t="s">
        <v>96</v>
      </c>
      <c r="BC209">
        <v>242.93</v>
      </c>
      <c r="BD209" s="1" t="s">
        <v>96</v>
      </c>
      <c r="BE209" s="1">
        <v>5.13</v>
      </c>
      <c r="BF209">
        <v>7.82</v>
      </c>
      <c r="BG209" s="1">
        <v>9.57</v>
      </c>
      <c r="BH209" s="1" t="s">
        <v>96</v>
      </c>
      <c r="BI209">
        <v>173.55</v>
      </c>
      <c r="BJ209">
        <v>97.21</v>
      </c>
      <c r="BK209" s="1" t="s">
        <v>96</v>
      </c>
      <c r="BL209" s="1" t="s">
        <v>96</v>
      </c>
      <c r="BM209" t="s">
        <v>96</v>
      </c>
      <c r="BN209">
        <v>86.47</v>
      </c>
      <c r="BO209">
        <v>48.79</v>
      </c>
      <c r="BP209" t="s">
        <v>96</v>
      </c>
      <c r="BQ209" s="1" t="s">
        <v>96</v>
      </c>
      <c r="BR209" s="1" t="s">
        <v>96</v>
      </c>
      <c r="BS209" s="1" t="s">
        <v>96</v>
      </c>
      <c r="BT209" s="1" t="s">
        <v>96</v>
      </c>
      <c r="BU209" s="1">
        <v>6.11</v>
      </c>
      <c r="BV209">
        <v>64.290000000000006</v>
      </c>
      <c r="BW209">
        <v>21.92</v>
      </c>
      <c r="BX209" s="1" t="s">
        <v>96</v>
      </c>
      <c r="BY209">
        <v>106</v>
      </c>
      <c r="BZ209">
        <v>27.23</v>
      </c>
      <c r="CA209" s="1" t="s">
        <v>96</v>
      </c>
      <c r="CB209">
        <v>23.32</v>
      </c>
      <c r="CC209">
        <v>53.82</v>
      </c>
      <c r="CD209" s="1" t="s">
        <v>96</v>
      </c>
    </row>
    <row r="210" spans="1:82">
      <c r="A210">
        <v>239</v>
      </c>
      <c r="B210" t="s">
        <v>812</v>
      </c>
      <c r="D210" t="b">
        <v>1</v>
      </c>
      <c r="E210" t="s">
        <v>813</v>
      </c>
      <c r="F210">
        <v>352</v>
      </c>
      <c r="G210">
        <v>6</v>
      </c>
      <c r="J210" t="s">
        <v>814</v>
      </c>
      <c r="K210" t="s">
        <v>94</v>
      </c>
      <c r="L210" t="s">
        <v>95</v>
      </c>
      <c r="M210">
        <v>100</v>
      </c>
      <c r="N210" s="1" t="s">
        <v>96</v>
      </c>
      <c r="O210" s="1" t="s">
        <v>96</v>
      </c>
      <c r="P210">
        <v>11.95</v>
      </c>
      <c r="Q210" s="1" t="s">
        <v>96</v>
      </c>
      <c r="R210" s="1" t="s">
        <v>96</v>
      </c>
      <c r="S210" s="1">
        <v>10.41</v>
      </c>
      <c r="T210" s="1" t="s">
        <v>96</v>
      </c>
      <c r="U210" s="1" t="s">
        <v>96</v>
      </c>
      <c r="V210" s="1" t="s">
        <v>96</v>
      </c>
      <c r="W210" s="1" t="s">
        <v>96</v>
      </c>
      <c r="X210" s="1" t="s">
        <v>96</v>
      </c>
      <c r="Y210" s="1" t="s">
        <v>96</v>
      </c>
      <c r="Z210">
        <v>1.29</v>
      </c>
      <c r="AA210" s="1" t="s">
        <v>96</v>
      </c>
      <c r="AB210">
        <v>9.5299999999999994</v>
      </c>
      <c r="AC210">
        <v>38.53</v>
      </c>
      <c r="AD210">
        <v>233.6</v>
      </c>
      <c r="AE210" s="1" t="s">
        <v>96</v>
      </c>
      <c r="AF210">
        <v>115.86</v>
      </c>
      <c r="AG210" t="s">
        <v>133</v>
      </c>
      <c r="AH210">
        <v>135.32</v>
      </c>
      <c r="AI210" s="1">
        <v>2.99</v>
      </c>
      <c r="AJ210" s="1" t="s">
        <v>96</v>
      </c>
      <c r="AK210" s="1" t="s">
        <v>96</v>
      </c>
      <c r="AL210" s="1" t="s">
        <v>96</v>
      </c>
      <c r="AM210" s="1" t="s">
        <v>96</v>
      </c>
      <c r="AN210" s="1" t="s">
        <v>96</v>
      </c>
      <c r="AO210">
        <v>62.5</v>
      </c>
      <c r="AP210">
        <v>57.89</v>
      </c>
      <c r="AQ210" s="1" t="s">
        <v>96</v>
      </c>
      <c r="AR210" s="1" t="s">
        <v>96</v>
      </c>
      <c r="AS210">
        <v>23.05</v>
      </c>
      <c r="AT210">
        <v>4.24</v>
      </c>
      <c r="AU210" s="1" t="s">
        <v>96</v>
      </c>
      <c r="AV210" s="1" t="s">
        <v>96</v>
      </c>
      <c r="AW210">
        <v>43.64</v>
      </c>
      <c r="AX210" s="1">
        <v>2.58</v>
      </c>
      <c r="AY210">
        <v>1590.55</v>
      </c>
      <c r="AZ210">
        <v>1319.33</v>
      </c>
      <c r="BA210">
        <v>120.9</v>
      </c>
      <c r="BB210" s="1" t="s">
        <v>96</v>
      </c>
      <c r="BC210">
        <v>415.94</v>
      </c>
      <c r="BD210" s="1" t="s">
        <v>96</v>
      </c>
      <c r="BE210" s="1">
        <v>22.6</v>
      </c>
      <c r="BF210">
        <v>15.11</v>
      </c>
      <c r="BG210" s="1">
        <v>18.420000000000002</v>
      </c>
      <c r="BH210" s="1" t="s">
        <v>96</v>
      </c>
      <c r="BI210">
        <v>387.72</v>
      </c>
      <c r="BJ210">
        <v>436.27</v>
      </c>
      <c r="BK210" s="1" t="s">
        <v>96</v>
      </c>
      <c r="BL210" s="1">
        <v>5.0199999999999996</v>
      </c>
      <c r="BM210">
        <v>17.13</v>
      </c>
      <c r="BN210">
        <v>145.91999999999999</v>
      </c>
      <c r="BO210">
        <v>455.9</v>
      </c>
      <c r="BP210">
        <v>8.66</v>
      </c>
      <c r="BQ210" s="1" t="s">
        <v>96</v>
      </c>
      <c r="BR210" s="1" t="s">
        <v>96</v>
      </c>
      <c r="BS210" s="1" t="s">
        <v>96</v>
      </c>
      <c r="BT210" s="1" t="s">
        <v>96</v>
      </c>
      <c r="BU210" s="1">
        <v>39.82</v>
      </c>
      <c r="BV210">
        <v>63.57</v>
      </c>
      <c r="BW210">
        <v>19.72</v>
      </c>
      <c r="BX210" s="1" t="s">
        <v>96</v>
      </c>
      <c r="BY210">
        <v>1125.74</v>
      </c>
      <c r="BZ210">
        <v>175.95</v>
      </c>
      <c r="CA210" s="1" t="s">
        <v>96</v>
      </c>
      <c r="CB210">
        <v>33.58</v>
      </c>
      <c r="CC210">
        <v>261.58999999999997</v>
      </c>
      <c r="CD210" s="1" t="s">
        <v>96</v>
      </c>
    </row>
    <row r="211" spans="1:82">
      <c r="A211">
        <v>167</v>
      </c>
      <c r="B211" t="s">
        <v>596</v>
      </c>
      <c r="D211" t="b">
        <v>1</v>
      </c>
      <c r="E211" t="s">
        <v>597</v>
      </c>
      <c r="F211">
        <v>254</v>
      </c>
      <c r="G211">
        <v>5</v>
      </c>
      <c r="J211" t="s">
        <v>598</v>
      </c>
      <c r="K211" t="s">
        <v>94</v>
      </c>
      <c r="L211" t="s">
        <v>95</v>
      </c>
      <c r="M211">
        <v>100</v>
      </c>
      <c r="N211" s="1" t="s">
        <v>96</v>
      </c>
      <c r="O211" s="1" t="s">
        <v>96</v>
      </c>
      <c r="P211">
        <v>13.68</v>
      </c>
      <c r="Q211" s="1" t="s">
        <v>96</v>
      </c>
      <c r="R211" s="1" t="s">
        <v>96</v>
      </c>
      <c r="S211" s="1" t="s">
        <v>96</v>
      </c>
      <c r="T211" s="1" t="s">
        <v>96</v>
      </c>
      <c r="U211" s="1" t="s">
        <v>96</v>
      </c>
      <c r="V211" s="1" t="s">
        <v>96</v>
      </c>
      <c r="W211" s="1" t="s">
        <v>96</v>
      </c>
      <c r="X211" s="1" t="s">
        <v>96</v>
      </c>
      <c r="Y211" s="1" t="s">
        <v>96</v>
      </c>
      <c r="Z211" t="s">
        <v>96</v>
      </c>
      <c r="AA211" s="1" t="s">
        <v>96</v>
      </c>
      <c r="AB211">
        <v>6.31</v>
      </c>
      <c r="AC211">
        <v>11.8</v>
      </c>
      <c r="AD211">
        <v>213.01</v>
      </c>
      <c r="AE211" s="1" t="s">
        <v>96</v>
      </c>
      <c r="AF211">
        <v>29.23</v>
      </c>
      <c r="AG211">
        <v>499.75</v>
      </c>
      <c r="AH211">
        <v>126.8</v>
      </c>
      <c r="AI211" s="1" t="s">
        <v>96</v>
      </c>
      <c r="AJ211" s="1">
        <v>2.4900000000000002</v>
      </c>
      <c r="AK211" s="1" t="s">
        <v>96</v>
      </c>
      <c r="AL211" s="1" t="s">
        <v>96</v>
      </c>
      <c r="AM211" s="1" t="s">
        <v>96</v>
      </c>
      <c r="AN211" s="1">
        <v>1.52</v>
      </c>
      <c r="AO211">
        <v>53.1</v>
      </c>
      <c r="AP211">
        <v>52.71</v>
      </c>
      <c r="AQ211" s="1" t="s">
        <v>96</v>
      </c>
      <c r="AR211" s="1" t="s">
        <v>96</v>
      </c>
      <c r="AS211">
        <v>29.44</v>
      </c>
      <c r="AT211">
        <v>4.91</v>
      </c>
      <c r="AU211" s="1" t="s">
        <v>96</v>
      </c>
      <c r="AV211" s="1" t="s">
        <v>96</v>
      </c>
      <c r="AW211">
        <v>26.35</v>
      </c>
      <c r="AX211" s="1" t="s">
        <v>96</v>
      </c>
      <c r="AY211" t="s">
        <v>133</v>
      </c>
      <c r="AZ211">
        <v>1576.1</v>
      </c>
      <c r="BA211">
        <v>267.51</v>
      </c>
      <c r="BB211" s="1" t="s">
        <v>96</v>
      </c>
      <c r="BC211" t="s">
        <v>133</v>
      </c>
      <c r="BD211" s="1" t="s">
        <v>96</v>
      </c>
      <c r="BE211" s="1">
        <v>20.28</v>
      </c>
      <c r="BF211">
        <v>9.91</v>
      </c>
      <c r="BG211" s="1">
        <v>61.34</v>
      </c>
      <c r="BH211" s="1" t="s">
        <v>96</v>
      </c>
      <c r="BI211">
        <v>1177.3499999999999</v>
      </c>
      <c r="BJ211">
        <v>716.92</v>
      </c>
      <c r="BK211" s="1" t="s">
        <v>96</v>
      </c>
      <c r="BL211" s="1">
        <v>6.22</v>
      </c>
      <c r="BM211">
        <v>4.66</v>
      </c>
      <c r="BN211">
        <v>694.86</v>
      </c>
      <c r="BO211">
        <v>159.69</v>
      </c>
      <c r="BP211">
        <v>3.24</v>
      </c>
      <c r="BQ211" s="1" t="s">
        <v>96</v>
      </c>
      <c r="BR211" s="1" t="s">
        <v>96</v>
      </c>
      <c r="BS211" s="1" t="s">
        <v>96</v>
      </c>
      <c r="BT211" s="1" t="s">
        <v>96</v>
      </c>
      <c r="BU211" s="1">
        <v>12.21</v>
      </c>
      <c r="BV211">
        <v>47.23</v>
      </c>
      <c r="BW211">
        <v>22.52</v>
      </c>
      <c r="BX211" s="1" t="s">
        <v>96</v>
      </c>
      <c r="BY211">
        <v>368.85</v>
      </c>
      <c r="BZ211">
        <v>40.270000000000003</v>
      </c>
      <c r="CA211" s="1">
        <v>10.78</v>
      </c>
      <c r="CB211">
        <v>28.24</v>
      </c>
      <c r="CC211">
        <v>64.05</v>
      </c>
      <c r="CD211" s="1" t="s">
        <v>96</v>
      </c>
    </row>
    <row r="212" spans="1:82">
      <c r="A212">
        <v>171</v>
      </c>
      <c r="B212" t="s">
        <v>608</v>
      </c>
      <c r="D212" t="b">
        <v>1</v>
      </c>
      <c r="E212" t="s">
        <v>609</v>
      </c>
      <c r="F212">
        <v>260</v>
      </c>
      <c r="G212">
        <v>5</v>
      </c>
      <c r="J212" t="s">
        <v>610</v>
      </c>
      <c r="K212" t="s">
        <v>94</v>
      </c>
      <c r="L212" t="s">
        <v>95</v>
      </c>
      <c r="M212">
        <v>100</v>
      </c>
      <c r="N212" s="1" t="s">
        <v>96</v>
      </c>
      <c r="O212" s="1" t="s">
        <v>96</v>
      </c>
      <c r="P212">
        <v>12.56</v>
      </c>
      <c r="Q212" s="1" t="s">
        <v>96</v>
      </c>
      <c r="R212" s="1" t="s">
        <v>96</v>
      </c>
      <c r="S212" s="1" t="s">
        <v>96</v>
      </c>
      <c r="T212" s="1" t="s">
        <v>96</v>
      </c>
      <c r="U212" s="1" t="s">
        <v>96</v>
      </c>
      <c r="V212" s="1" t="s">
        <v>96</v>
      </c>
      <c r="W212" s="1" t="s">
        <v>96</v>
      </c>
      <c r="X212" s="1" t="s">
        <v>96</v>
      </c>
      <c r="Y212" s="1" t="s">
        <v>96</v>
      </c>
      <c r="Z212">
        <v>1.34</v>
      </c>
      <c r="AA212" s="1" t="s">
        <v>96</v>
      </c>
      <c r="AB212">
        <v>8.9600000000000009</v>
      </c>
      <c r="AC212">
        <v>13.19</v>
      </c>
      <c r="AD212">
        <v>122.08</v>
      </c>
      <c r="AE212" s="1" t="s">
        <v>96</v>
      </c>
      <c r="AF212">
        <v>18.760000000000002</v>
      </c>
      <c r="AG212">
        <v>924.66</v>
      </c>
      <c r="AH212">
        <v>885.16</v>
      </c>
      <c r="AI212" s="1" t="s">
        <v>96</v>
      </c>
      <c r="AJ212" s="1">
        <v>6.24</v>
      </c>
      <c r="AK212" s="1" t="s">
        <v>96</v>
      </c>
      <c r="AL212" s="1" t="s">
        <v>96</v>
      </c>
      <c r="AM212" s="1" t="s">
        <v>96</v>
      </c>
      <c r="AN212" s="1">
        <v>1.23</v>
      </c>
      <c r="AO212">
        <v>67.73</v>
      </c>
      <c r="AP212">
        <v>78.91</v>
      </c>
      <c r="AQ212" s="1" t="s">
        <v>96</v>
      </c>
      <c r="AR212" s="1" t="s">
        <v>96</v>
      </c>
      <c r="AS212">
        <v>637.77</v>
      </c>
      <c r="AT212">
        <v>14.2</v>
      </c>
      <c r="AU212" s="1" t="s">
        <v>96</v>
      </c>
      <c r="AV212" s="1" t="s">
        <v>96</v>
      </c>
      <c r="AW212">
        <v>22.55</v>
      </c>
      <c r="AX212" s="1" t="s">
        <v>96</v>
      </c>
      <c r="AY212">
        <v>2036.46</v>
      </c>
      <c r="AZ212">
        <v>1164.5</v>
      </c>
      <c r="BA212">
        <v>143.78</v>
      </c>
      <c r="BB212" s="1" t="s">
        <v>96</v>
      </c>
      <c r="BC212">
        <v>703.18</v>
      </c>
      <c r="BD212" s="1" t="s">
        <v>96</v>
      </c>
      <c r="BE212" s="1">
        <v>16.71</v>
      </c>
      <c r="BF212">
        <v>8.1999999999999993</v>
      </c>
      <c r="BG212" s="1">
        <v>29.09</v>
      </c>
      <c r="BH212" s="1" t="s">
        <v>96</v>
      </c>
      <c r="BI212">
        <v>687.16</v>
      </c>
      <c r="BJ212">
        <v>515.54999999999995</v>
      </c>
      <c r="BK212" s="1" t="s">
        <v>96</v>
      </c>
      <c r="BL212" s="1">
        <v>4.24</v>
      </c>
      <c r="BM212">
        <v>3.06</v>
      </c>
      <c r="BN212">
        <v>365.35</v>
      </c>
      <c r="BO212">
        <v>138.04</v>
      </c>
      <c r="BP212">
        <v>4.09</v>
      </c>
      <c r="BQ212" s="1" t="s">
        <v>96</v>
      </c>
      <c r="BR212" s="1" t="s">
        <v>96</v>
      </c>
      <c r="BS212" s="1">
        <v>5.13</v>
      </c>
      <c r="BT212" s="1" t="s">
        <v>96</v>
      </c>
      <c r="BU212" s="1">
        <v>10.32</v>
      </c>
      <c r="BV212">
        <v>75.77</v>
      </c>
      <c r="BW212">
        <v>28.84</v>
      </c>
      <c r="BX212" s="1" t="s">
        <v>96</v>
      </c>
      <c r="BY212">
        <v>343.13</v>
      </c>
      <c r="BZ212">
        <v>54.03</v>
      </c>
      <c r="CA212" s="1">
        <v>26.08</v>
      </c>
      <c r="CB212">
        <v>26.59</v>
      </c>
      <c r="CC212">
        <v>85.61</v>
      </c>
      <c r="CD212" s="1" t="s">
        <v>96</v>
      </c>
    </row>
    <row r="213" spans="1:82">
      <c r="A213">
        <v>85</v>
      </c>
      <c r="B213" t="s">
        <v>350</v>
      </c>
      <c r="D213" t="b">
        <v>1</v>
      </c>
      <c r="E213" t="s">
        <v>351</v>
      </c>
      <c r="F213">
        <v>132</v>
      </c>
      <c r="G213">
        <v>3</v>
      </c>
      <c r="J213" t="s">
        <v>352</v>
      </c>
      <c r="K213" t="s">
        <v>94</v>
      </c>
      <c r="L213" t="s">
        <v>95</v>
      </c>
      <c r="M213">
        <v>100</v>
      </c>
      <c r="N213" s="1" t="s">
        <v>96</v>
      </c>
      <c r="O213" s="1" t="s">
        <v>96</v>
      </c>
      <c r="P213">
        <v>14.8</v>
      </c>
      <c r="Q213" s="1" t="s">
        <v>96</v>
      </c>
      <c r="R213" s="1" t="s">
        <v>96</v>
      </c>
      <c r="S213" s="1" t="s">
        <v>96</v>
      </c>
      <c r="T213" s="1" t="s">
        <v>96</v>
      </c>
      <c r="U213" s="1" t="s">
        <v>96</v>
      </c>
      <c r="V213" s="1" t="s">
        <v>96</v>
      </c>
      <c r="W213" s="1" t="s">
        <v>96</v>
      </c>
      <c r="X213" s="1" t="s">
        <v>96</v>
      </c>
      <c r="Y213" s="1" t="s">
        <v>96</v>
      </c>
      <c r="Z213">
        <v>1.19</v>
      </c>
      <c r="AA213" s="1" t="s">
        <v>96</v>
      </c>
      <c r="AB213">
        <v>12.59</v>
      </c>
      <c r="AC213">
        <v>1.98</v>
      </c>
      <c r="AD213">
        <v>296.86</v>
      </c>
      <c r="AE213" s="1" t="s">
        <v>96</v>
      </c>
      <c r="AF213">
        <v>8.1999999999999993</v>
      </c>
      <c r="AG213">
        <v>144.4</v>
      </c>
      <c r="AH213">
        <v>179.31</v>
      </c>
      <c r="AI213" s="1" t="s">
        <v>96</v>
      </c>
      <c r="AJ213" s="1" t="s">
        <v>96</v>
      </c>
      <c r="AK213" s="1" t="s">
        <v>96</v>
      </c>
      <c r="AL213" s="1" t="s">
        <v>96</v>
      </c>
      <c r="AM213" s="1" t="s">
        <v>96</v>
      </c>
      <c r="AN213" s="1" t="s">
        <v>96</v>
      </c>
      <c r="AO213">
        <v>61.93</v>
      </c>
      <c r="AP213">
        <v>106.05</v>
      </c>
      <c r="AQ213" s="1" t="s">
        <v>96</v>
      </c>
      <c r="AR213" s="1" t="s">
        <v>96</v>
      </c>
      <c r="AS213">
        <v>79.849999999999994</v>
      </c>
      <c r="AT213">
        <v>9.52</v>
      </c>
      <c r="AU213" s="1" t="s">
        <v>96</v>
      </c>
      <c r="AV213" s="1" t="s">
        <v>96</v>
      </c>
      <c r="AW213" t="s">
        <v>96</v>
      </c>
      <c r="AX213" s="1" t="s">
        <v>96</v>
      </c>
      <c r="AY213">
        <v>478.41</v>
      </c>
      <c r="AZ213">
        <v>113.99</v>
      </c>
      <c r="BA213">
        <v>133.86000000000001</v>
      </c>
      <c r="BB213" s="1" t="s">
        <v>96</v>
      </c>
      <c r="BC213">
        <v>168.36</v>
      </c>
      <c r="BD213" s="1" t="s">
        <v>96</v>
      </c>
      <c r="BE213" s="1" t="s">
        <v>96</v>
      </c>
      <c r="BF213">
        <v>10.65</v>
      </c>
      <c r="BG213" s="1">
        <v>4.47</v>
      </c>
      <c r="BH213" s="1" t="s">
        <v>96</v>
      </c>
      <c r="BI213">
        <v>53.36</v>
      </c>
      <c r="BJ213">
        <v>15.29</v>
      </c>
      <c r="BK213" s="1" t="s">
        <v>96</v>
      </c>
      <c r="BL213" s="1" t="s">
        <v>96</v>
      </c>
      <c r="BM213" t="s">
        <v>96</v>
      </c>
      <c r="BN213">
        <v>21.6</v>
      </c>
      <c r="BO213">
        <v>25.03</v>
      </c>
      <c r="BP213">
        <v>2.64</v>
      </c>
      <c r="BQ213" s="1" t="s">
        <v>96</v>
      </c>
      <c r="BR213" s="1" t="s">
        <v>96</v>
      </c>
      <c r="BS213" s="1" t="s">
        <v>96</v>
      </c>
      <c r="BT213" s="1" t="s">
        <v>96</v>
      </c>
      <c r="BU213" s="1">
        <v>5.21</v>
      </c>
      <c r="BV213">
        <v>50.71</v>
      </c>
      <c r="BW213">
        <v>15.19</v>
      </c>
      <c r="BX213" s="1" t="s">
        <v>96</v>
      </c>
      <c r="BY213">
        <v>100.03</v>
      </c>
      <c r="BZ213">
        <v>12.64</v>
      </c>
      <c r="CA213" s="1" t="s">
        <v>96</v>
      </c>
      <c r="CB213">
        <v>34.11</v>
      </c>
      <c r="CC213">
        <v>33.130000000000003</v>
      </c>
      <c r="CD213" s="1" t="s">
        <v>96</v>
      </c>
    </row>
    <row r="214" spans="1:82">
      <c r="A214">
        <v>81</v>
      </c>
      <c r="B214" t="s">
        <v>338</v>
      </c>
      <c r="D214" t="b">
        <v>1</v>
      </c>
      <c r="E214" t="s">
        <v>339</v>
      </c>
      <c r="F214">
        <v>128</v>
      </c>
      <c r="G214">
        <v>3</v>
      </c>
      <c r="J214" t="s">
        <v>340</v>
      </c>
      <c r="K214" t="s">
        <v>94</v>
      </c>
      <c r="L214" t="s">
        <v>95</v>
      </c>
      <c r="M214">
        <v>100</v>
      </c>
      <c r="N214" s="1" t="s">
        <v>96</v>
      </c>
      <c r="O214" s="1" t="s">
        <v>96</v>
      </c>
      <c r="P214">
        <v>16.98</v>
      </c>
      <c r="Q214" s="1" t="s">
        <v>96</v>
      </c>
      <c r="R214" s="1" t="s">
        <v>96</v>
      </c>
      <c r="S214" s="1" t="s">
        <v>96</v>
      </c>
      <c r="T214" s="1" t="s">
        <v>96</v>
      </c>
      <c r="U214" s="1" t="s">
        <v>96</v>
      </c>
      <c r="V214" s="1" t="s">
        <v>96</v>
      </c>
      <c r="W214" s="1" t="s">
        <v>96</v>
      </c>
      <c r="X214" s="1" t="s">
        <v>96</v>
      </c>
      <c r="Y214" s="1" t="s">
        <v>96</v>
      </c>
      <c r="Z214" t="s">
        <v>96</v>
      </c>
      <c r="AA214" s="1" t="s">
        <v>96</v>
      </c>
      <c r="AB214">
        <v>6.48</v>
      </c>
      <c r="AC214">
        <v>1.55</v>
      </c>
      <c r="AD214">
        <v>18.739999999999998</v>
      </c>
      <c r="AE214" s="1" t="s">
        <v>96</v>
      </c>
      <c r="AF214" t="s">
        <v>96</v>
      </c>
      <c r="AG214">
        <v>46.56</v>
      </c>
      <c r="AH214">
        <v>116.08</v>
      </c>
      <c r="AI214" s="1" t="s">
        <v>96</v>
      </c>
      <c r="AJ214" s="1" t="s">
        <v>96</v>
      </c>
      <c r="AK214" s="1" t="s">
        <v>96</v>
      </c>
      <c r="AL214" s="1" t="s">
        <v>96</v>
      </c>
      <c r="AM214" s="1" t="s">
        <v>96</v>
      </c>
      <c r="AN214" s="1" t="s">
        <v>96</v>
      </c>
      <c r="AO214">
        <v>42.79</v>
      </c>
      <c r="AP214">
        <v>13.62</v>
      </c>
      <c r="AQ214" s="1" t="s">
        <v>96</v>
      </c>
      <c r="AR214" s="1" t="s">
        <v>96</v>
      </c>
      <c r="AS214">
        <v>42.54</v>
      </c>
      <c r="AT214">
        <v>7.3</v>
      </c>
      <c r="AU214" s="1" t="s">
        <v>96</v>
      </c>
      <c r="AV214" s="1" t="s">
        <v>96</v>
      </c>
      <c r="AW214" t="s">
        <v>96</v>
      </c>
      <c r="AX214" s="1" t="s">
        <v>96</v>
      </c>
      <c r="AY214">
        <v>1214.82</v>
      </c>
      <c r="AZ214">
        <v>249.13</v>
      </c>
      <c r="BA214">
        <v>148.38</v>
      </c>
      <c r="BB214" s="1" t="s">
        <v>96</v>
      </c>
      <c r="BC214">
        <v>567.84</v>
      </c>
      <c r="BD214" s="1" t="s">
        <v>96</v>
      </c>
      <c r="BE214" s="1" t="s">
        <v>96</v>
      </c>
      <c r="BF214">
        <v>42.47</v>
      </c>
      <c r="BG214" s="1">
        <v>9.65</v>
      </c>
      <c r="BH214" s="1" t="s">
        <v>96</v>
      </c>
      <c r="BI214">
        <v>165.82</v>
      </c>
      <c r="BJ214">
        <v>39.5</v>
      </c>
      <c r="BK214" s="1" t="s">
        <v>96</v>
      </c>
      <c r="BL214" s="1">
        <v>6.02</v>
      </c>
      <c r="BM214">
        <v>4.1500000000000004</v>
      </c>
      <c r="BN214">
        <v>61.21</v>
      </c>
      <c r="BO214">
        <v>26.88</v>
      </c>
      <c r="BP214">
        <v>3.3</v>
      </c>
      <c r="BQ214" s="1" t="s">
        <v>96</v>
      </c>
      <c r="BR214" s="1" t="s">
        <v>96</v>
      </c>
      <c r="BS214" s="1" t="s">
        <v>96</v>
      </c>
      <c r="BT214" s="1" t="s">
        <v>96</v>
      </c>
      <c r="BU214" s="1" t="s">
        <v>96</v>
      </c>
      <c r="BV214">
        <v>157.77000000000001</v>
      </c>
      <c r="BW214">
        <v>47.64</v>
      </c>
      <c r="BX214" s="1" t="s">
        <v>96</v>
      </c>
      <c r="BY214">
        <v>194.85</v>
      </c>
      <c r="BZ214">
        <v>19.23</v>
      </c>
      <c r="CA214" s="1" t="s">
        <v>96</v>
      </c>
      <c r="CB214">
        <v>27.32</v>
      </c>
      <c r="CC214">
        <v>77.77</v>
      </c>
      <c r="CD214" s="1" t="s">
        <v>96</v>
      </c>
    </row>
    <row r="215" spans="1:82">
      <c r="A215">
        <v>82</v>
      </c>
      <c r="B215" t="s">
        <v>341</v>
      </c>
      <c r="D215" t="b">
        <v>1</v>
      </c>
      <c r="E215" t="s">
        <v>342</v>
      </c>
      <c r="F215">
        <v>129</v>
      </c>
      <c r="G215">
        <v>3</v>
      </c>
      <c r="J215" t="s">
        <v>343</v>
      </c>
      <c r="K215" t="s">
        <v>94</v>
      </c>
      <c r="L215" t="s">
        <v>95</v>
      </c>
      <c r="M215">
        <v>100</v>
      </c>
      <c r="N215" s="1" t="s">
        <v>96</v>
      </c>
      <c r="O215" s="1" t="s">
        <v>96</v>
      </c>
      <c r="P215">
        <v>15.82</v>
      </c>
      <c r="Q215" s="1" t="s">
        <v>96</v>
      </c>
      <c r="R215" s="1" t="s">
        <v>96</v>
      </c>
      <c r="S215" s="1" t="s">
        <v>96</v>
      </c>
      <c r="T215" s="1" t="s">
        <v>96</v>
      </c>
      <c r="U215" s="1" t="s">
        <v>96</v>
      </c>
      <c r="V215" s="1" t="s">
        <v>96</v>
      </c>
      <c r="W215" s="1" t="s">
        <v>96</v>
      </c>
      <c r="X215" s="1" t="s">
        <v>96</v>
      </c>
      <c r="Y215" s="1" t="s">
        <v>96</v>
      </c>
      <c r="Z215" t="s">
        <v>96</v>
      </c>
      <c r="AA215" s="1" t="s">
        <v>96</v>
      </c>
      <c r="AB215">
        <v>1.52</v>
      </c>
      <c r="AC215" t="s">
        <v>96</v>
      </c>
      <c r="AD215">
        <v>13.9</v>
      </c>
      <c r="AE215" s="1" t="s">
        <v>96</v>
      </c>
      <c r="AF215" t="s">
        <v>96</v>
      </c>
      <c r="AG215">
        <v>17.11</v>
      </c>
      <c r="AH215">
        <v>61.69</v>
      </c>
      <c r="AI215" s="1" t="s">
        <v>96</v>
      </c>
      <c r="AJ215" s="1">
        <v>1.27</v>
      </c>
      <c r="AK215" s="1" t="s">
        <v>96</v>
      </c>
      <c r="AL215" s="1" t="s">
        <v>96</v>
      </c>
      <c r="AM215" s="1" t="s">
        <v>96</v>
      </c>
      <c r="AN215" s="1" t="s">
        <v>96</v>
      </c>
      <c r="AO215" t="s">
        <v>96</v>
      </c>
      <c r="AP215">
        <v>5.47</v>
      </c>
      <c r="AQ215" s="1" t="s">
        <v>96</v>
      </c>
      <c r="AR215" s="1" t="s">
        <v>96</v>
      </c>
      <c r="AS215">
        <v>31.73</v>
      </c>
      <c r="AT215">
        <v>3.77</v>
      </c>
      <c r="AU215" s="1" t="s">
        <v>96</v>
      </c>
      <c r="AV215" s="1" t="s">
        <v>96</v>
      </c>
      <c r="AW215" t="s">
        <v>96</v>
      </c>
      <c r="AX215" s="1" t="s">
        <v>96</v>
      </c>
      <c r="AY215" t="s">
        <v>133</v>
      </c>
      <c r="AZ215">
        <v>353.45</v>
      </c>
      <c r="BA215">
        <v>117.73</v>
      </c>
      <c r="BB215" s="1" t="s">
        <v>96</v>
      </c>
      <c r="BC215">
        <v>974.17</v>
      </c>
      <c r="BD215" s="1" t="s">
        <v>96</v>
      </c>
      <c r="BE215" s="1">
        <v>2.76</v>
      </c>
      <c r="BF215">
        <v>24.75</v>
      </c>
      <c r="BG215" s="1">
        <v>15.46</v>
      </c>
      <c r="BH215" s="1" t="s">
        <v>96</v>
      </c>
      <c r="BI215">
        <v>682.45</v>
      </c>
      <c r="BJ215">
        <v>107.94</v>
      </c>
      <c r="BK215" s="1" t="s">
        <v>96</v>
      </c>
      <c r="BL215" s="1">
        <v>9.77</v>
      </c>
      <c r="BM215">
        <v>2.69</v>
      </c>
      <c r="BN215">
        <v>239.18</v>
      </c>
      <c r="BO215">
        <v>39.520000000000003</v>
      </c>
      <c r="BP215" t="s">
        <v>96</v>
      </c>
      <c r="BQ215" s="1" t="s">
        <v>96</v>
      </c>
      <c r="BR215" s="1" t="s">
        <v>96</v>
      </c>
      <c r="BS215" s="1" t="s">
        <v>96</v>
      </c>
      <c r="BT215" s="1" t="s">
        <v>96</v>
      </c>
      <c r="BU215" s="1" t="s">
        <v>96</v>
      </c>
      <c r="BV215">
        <v>115.46</v>
      </c>
      <c r="BW215">
        <v>28.19</v>
      </c>
      <c r="BX215" s="1" t="s">
        <v>96</v>
      </c>
      <c r="BY215">
        <v>82.78</v>
      </c>
      <c r="BZ215">
        <v>13.17</v>
      </c>
      <c r="CA215" s="1" t="s">
        <v>96</v>
      </c>
      <c r="CB215">
        <v>11.23</v>
      </c>
      <c r="CC215">
        <v>28.52</v>
      </c>
      <c r="CD215" s="1" t="s">
        <v>96</v>
      </c>
    </row>
    <row r="216" spans="1:82">
      <c r="A216">
        <v>86</v>
      </c>
      <c r="B216" t="s">
        <v>353</v>
      </c>
      <c r="D216" t="b">
        <v>1</v>
      </c>
      <c r="E216" t="s">
        <v>354</v>
      </c>
      <c r="F216">
        <v>133</v>
      </c>
      <c r="G216">
        <v>3</v>
      </c>
      <c r="J216" t="s">
        <v>355</v>
      </c>
      <c r="K216" t="s">
        <v>94</v>
      </c>
      <c r="L216" t="s">
        <v>95</v>
      </c>
      <c r="M216">
        <v>100</v>
      </c>
      <c r="N216" s="1" t="s">
        <v>96</v>
      </c>
      <c r="O216" s="1" t="s">
        <v>96</v>
      </c>
      <c r="P216">
        <v>9.25</v>
      </c>
      <c r="Q216" s="1" t="s">
        <v>96</v>
      </c>
      <c r="R216" s="1" t="s">
        <v>96</v>
      </c>
      <c r="S216" s="1" t="s">
        <v>96</v>
      </c>
      <c r="T216" s="1" t="s">
        <v>96</v>
      </c>
      <c r="U216" s="1" t="s">
        <v>96</v>
      </c>
      <c r="V216" s="1" t="s">
        <v>96</v>
      </c>
      <c r="W216" s="1" t="s">
        <v>96</v>
      </c>
      <c r="X216" s="1" t="s">
        <v>96</v>
      </c>
      <c r="Y216" s="1" t="s">
        <v>96</v>
      </c>
      <c r="Z216" t="s">
        <v>96</v>
      </c>
      <c r="AA216" s="1" t="s">
        <v>96</v>
      </c>
      <c r="AB216">
        <v>10.74</v>
      </c>
      <c r="AC216" t="s">
        <v>96</v>
      </c>
      <c r="AD216">
        <v>22.29</v>
      </c>
      <c r="AE216" s="1" t="s">
        <v>96</v>
      </c>
      <c r="AF216" t="s">
        <v>96</v>
      </c>
      <c r="AG216">
        <v>87.58</v>
      </c>
      <c r="AH216">
        <v>452.65</v>
      </c>
      <c r="AI216" s="1" t="s">
        <v>96</v>
      </c>
      <c r="AJ216" s="1" t="s">
        <v>96</v>
      </c>
      <c r="AK216" s="1" t="s">
        <v>96</v>
      </c>
      <c r="AL216" s="1" t="s">
        <v>96</v>
      </c>
      <c r="AM216" s="1" t="s">
        <v>96</v>
      </c>
      <c r="AN216" s="1" t="s">
        <v>96</v>
      </c>
      <c r="AO216">
        <v>64.23</v>
      </c>
      <c r="AP216">
        <v>13.67</v>
      </c>
      <c r="AQ216" s="1" t="s">
        <v>96</v>
      </c>
      <c r="AR216" s="1" t="s">
        <v>96</v>
      </c>
      <c r="AS216">
        <v>270.92</v>
      </c>
      <c r="AT216">
        <v>11.93</v>
      </c>
      <c r="AU216" s="1" t="s">
        <v>96</v>
      </c>
      <c r="AV216" s="1" t="s">
        <v>96</v>
      </c>
      <c r="AW216" t="s">
        <v>96</v>
      </c>
      <c r="AX216" s="1" t="s">
        <v>96</v>
      </c>
      <c r="AY216">
        <v>964.24</v>
      </c>
      <c r="AZ216">
        <v>118.98</v>
      </c>
      <c r="BA216">
        <v>41.18</v>
      </c>
      <c r="BB216" s="1" t="s">
        <v>96</v>
      </c>
      <c r="BC216">
        <v>290.02</v>
      </c>
      <c r="BD216" s="1" t="s">
        <v>96</v>
      </c>
      <c r="BE216" s="1" t="s">
        <v>96</v>
      </c>
      <c r="BF216">
        <v>19.39</v>
      </c>
      <c r="BG216" s="1" t="s">
        <v>96</v>
      </c>
      <c r="BH216" s="1" t="s">
        <v>96</v>
      </c>
      <c r="BI216">
        <v>145.81</v>
      </c>
      <c r="BJ216">
        <v>20.18</v>
      </c>
      <c r="BK216" s="1" t="s">
        <v>96</v>
      </c>
      <c r="BL216" s="1">
        <v>3.28</v>
      </c>
      <c r="BM216" t="s">
        <v>96</v>
      </c>
      <c r="BN216">
        <v>58.6</v>
      </c>
      <c r="BO216">
        <v>28.25</v>
      </c>
      <c r="BP216" t="s">
        <v>96</v>
      </c>
      <c r="BQ216" s="1" t="s">
        <v>96</v>
      </c>
      <c r="BR216" s="1" t="s">
        <v>96</v>
      </c>
      <c r="BS216" s="1" t="s">
        <v>96</v>
      </c>
      <c r="BT216" s="1" t="s">
        <v>96</v>
      </c>
      <c r="BU216" s="1" t="s">
        <v>96</v>
      </c>
      <c r="BV216">
        <v>135.55000000000001</v>
      </c>
      <c r="BW216">
        <v>29.73</v>
      </c>
      <c r="BX216" s="1" t="s">
        <v>96</v>
      </c>
      <c r="BY216">
        <v>122.62</v>
      </c>
      <c r="BZ216">
        <v>13.15</v>
      </c>
      <c r="CA216" s="1" t="s">
        <v>96</v>
      </c>
      <c r="CB216">
        <v>9.36</v>
      </c>
      <c r="CC216">
        <v>47.85</v>
      </c>
      <c r="CD216" s="1" t="s">
        <v>96</v>
      </c>
    </row>
    <row r="217" spans="1:82">
      <c r="A217">
        <v>153</v>
      </c>
      <c r="B217" t="s">
        <v>554</v>
      </c>
      <c r="D217" t="b">
        <v>1</v>
      </c>
      <c r="E217" t="s">
        <v>555</v>
      </c>
      <c r="F217">
        <v>46</v>
      </c>
      <c r="G217">
        <v>4</v>
      </c>
      <c r="J217" t="s">
        <v>556</v>
      </c>
      <c r="K217" t="s">
        <v>94</v>
      </c>
      <c r="L217" t="s">
        <v>95</v>
      </c>
      <c r="M217">
        <v>100</v>
      </c>
      <c r="N217" s="1" t="s">
        <v>96</v>
      </c>
      <c r="O217" s="1" t="s">
        <v>96</v>
      </c>
      <c r="P217">
        <v>20.64</v>
      </c>
      <c r="Q217" s="1" t="s">
        <v>96</v>
      </c>
      <c r="R217" s="1" t="s">
        <v>96</v>
      </c>
      <c r="S217" s="1" t="s">
        <v>96</v>
      </c>
      <c r="T217" s="1" t="s">
        <v>96</v>
      </c>
      <c r="U217" s="1" t="s">
        <v>96</v>
      </c>
      <c r="V217" s="1" t="s">
        <v>96</v>
      </c>
      <c r="W217" s="1" t="s">
        <v>96</v>
      </c>
      <c r="X217" s="1" t="s">
        <v>96</v>
      </c>
      <c r="Y217" s="1" t="s">
        <v>96</v>
      </c>
      <c r="Z217">
        <v>1.1100000000000001</v>
      </c>
      <c r="AA217" s="1" t="s">
        <v>96</v>
      </c>
      <c r="AB217">
        <v>9.33</v>
      </c>
      <c r="AC217">
        <v>4.18</v>
      </c>
      <c r="AD217">
        <v>390.94</v>
      </c>
      <c r="AE217" s="1" t="s">
        <v>96</v>
      </c>
      <c r="AF217">
        <v>20.96</v>
      </c>
      <c r="AG217">
        <v>376.36</v>
      </c>
      <c r="AH217">
        <v>605.01</v>
      </c>
      <c r="AI217" s="1" t="s">
        <v>96</v>
      </c>
      <c r="AJ217" s="1" t="s">
        <v>96</v>
      </c>
      <c r="AK217" s="1" t="s">
        <v>96</v>
      </c>
      <c r="AL217" s="1" t="s">
        <v>96</v>
      </c>
      <c r="AM217" s="1" t="s">
        <v>96</v>
      </c>
      <c r="AN217" s="1">
        <v>1.26</v>
      </c>
      <c r="AO217">
        <v>97.36</v>
      </c>
      <c r="AP217">
        <v>94.67</v>
      </c>
      <c r="AQ217" s="1">
        <v>1.9</v>
      </c>
      <c r="AR217" s="1" t="s">
        <v>96</v>
      </c>
      <c r="AS217">
        <v>442.22</v>
      </c>
      <c r="AT217">
        <v>9.32</v>
      </c>
      <c r="AU217" s="1" t="s">
        <v>96</v>
      </c>
      <c r="AV217" s="1" t="s">
        <v>96</v>
      </c>
      <c r="AW217">
        <v>9.57</v>
      </c>
      <c r="AX217" s="1" t="s">
        <v>96</v>
      </c>
      <c r="AY217">
        <v>1229.3599999999999</v>
      </c>
      <c r="AZ217">
        <v>275.54000000000002</v>
      </c>
      <c r="BA217">
        <v>97.51</v>
      </c>
      <c r="BB217" s="1" t="s">
        <v>96</v>
      </c>
      <c r="BC217">
        <v>307.5</v>
      </c>
      <c r="BD217" s="1" t="s">
        <v>96</v>
      </c>
      <c r="BE217" s="1">
        <v>2.88</v>
      </c>
      <c r="BF217">
        <v>7.06</v>
      </c>
      <c r="BG217" s="1">
        <v>10.62</v>
      </c>
      <c r="BH217" s="1" t="s">
        <v>96</v>
      </c>
      <c r="BI217">
        <v>250.66</v>
      </c>
      <c r="BJ217">
        <v>60.11</v>
      </c>
      <c r="BK217" s="1" t="s">
        <v>96</v>
      </c>
      <c r="BL217" s="1" t="s">
        <v>96</v>
      </c>
      <c r="BM217">
        <v>3.76</v>
      </c>
      <c r="BN217">
        <v>84.26</v>
      </c>
      <c r="BO217">
        <v>34.89</v>
      </c>
      <c r="BP217" t="s">
        <v>96</v>
      </c>
      <c r="BQ217" s="1" t="s">
        <v>96</v>
      </c>
      <c r="BR217" s="1" t="s">
        <v>96</v>
      </c>
      <c r="BS217" s="1" t="s">
        <v>96</v>
      </c>
      <c r="BT217" s="1" t="s">
        <v>96</v>
      </c>
      <c r="BU217" s="1" t="s">
        <v>96</v>
      </c>
      <c r="BV217">
        <v>67.989999999999995</v>
      </c>
      <c r="BW217">
        <v>12.73</v>
      </c>
      <c r="BX217" s="1" t="s">
        <v>96</v>
      </c>
      <c r="BY217">
        <v>167.13</v>
      </c>
      <c r="BZ217">
        <v>36.590000000000003</v>
      </c>
      <c r="CA217" s="1" t="s">
        <v>96</v>
      </c>
      <c r="CB217">
        <v>26.04</v>
      </c>
      <c r="CC217">
        <v>95.35</v>
      </c>
      <c r="CD217" s="1" t="s">
        <v>96</v>
      </c>
    </row>
    <row r="218" spans="1:82">
      <c r="A218">
        <v>172</v>
      </c>
      <c r="B218" t="s">
        <v>611</v>
      </c>
      <c r="D218" t="b">
        <v>1</v>
      </c>
      <c r="E218" t="s">
        <v>612</v>
      </c>
      <c r="F218">
        <v>261</v>
      </c>
      <c r="G218">
        <v>5</v>
      </c>
      <c r="J218" t="s">
        <v>613</v>
      </c>
      <c r="K218" t="s">
        <v>94</v>
      </c>
      <c r="L218" t="s">
        <v>95</v>
      </c>
      <c r="M218">
        <v>100</v>
      </c>
      <c r="N218" s="1" t="s">
        <v>96</v>
      </c>
      <c r="O218" s="1" t="s">
        <v>96</v>
      </c>
      <c r="P218">
        <v>14.32</v>
      </c>
      <c r="Q218" s="1" t="s">
        <v>96</v>
      </c>
      <c r="R218" s="1" t="s">
        <v>96</v>
      </c>
      <c r="S218" s="1" t="s">
        <v>96</v>
      </c>
      <c r="T218" s="1" t="s">
        <v>96</v>
      </c>
      <c r="U218" s="1" t="s">
        <v>96</v>
      </c>
      <c r="V218" s="1" t="s">
        <v>96</v>
      </c>
      <c r="W218" s="1" t="s">
        <v>96</v>
      </c>
      <c r="X218" s="1" t="s">
        <v>96</v>
      </c>
      <c r="Y218" s="1" t="s">
        <v>96</v>
      </c>
      <c r="Z218" t="s">
        <v>96</v>
      </c>
      <c r="AA218" s="1" t="s">
        <v>96</v>
      </c>
      <c r="AB218">
        <v>1.78</v>
      </c>
      <c r="AC218">
        <v>4.5599999999999996</v>
      </c>
      <c r="AD218">
        <v>202.05</v>
      </c>
      <c r="AE218" s="1" t="s">
        <v>96</v>
      </c>
      <c r="AF218">
        <v>12.09</v>
      </c>
      <c r="AG218">
        <v>235.16</v>
      </c>
      <c r="AH218">
        <v>191.55</v>
      </c>
      <c r="AI218" s="1" t="s">
        <v>96</v>
      </c>
      <c r="AJ218" s="1">
        <v>1.4</v>
      </c>
      <c r="AK218" s="1" t="s">
        <v>96</v>
      </c>
      <c r="AL218" s="1" t="s">
        <v>96</v>
      </c>
      <c r="AM218" s="1" t="s">
        <v>96</v>
      </c>
      <c r="AN218" s="1" t="s">
        <v>96</v>
      </c>
      <c r="AO218" t="s">
        <v>96</v>
      </c>
      <c r="AP218">
        <v>29.68</v>
      </c>
      <c r="AQ218" s="1" t="s">
        <v>96</v>
      </c>
      <c r="AR218" s="1" t="s">
        <v>96</v>
      </c>
      <c r="AS218">
        <v>185.12</v>
      </c>
      <c r="AT218">
        <v>5.28</v>
      </c>
      <c r="AU218" s="1" t="s">
        <v>96</v>
      </c>
      <c r="AV218" s="1" t="s">
        <v>96</v>
      </c>
      <c r="AW218" t="s">
        <v>96</v>
      </c>
      <c r="AX218" s="1" t="s">
        <v>96</v>
      </c>
      <c r="AY218">
        <v>1002.68</v>
      </c>
      <c r="AZ218">
        <v>571.64</v>
      </c>
      <c r="BA218">
        <v>115.66</v>
      </c>
      <c r="BB218" s="1" t="s">
        <v>96</v>
      </c>
      <c r="BC218">
        <v>342.88</v>
      </c>
      <c r="BD218" s="1" t="s">
        <v>96</v>
      </c>
      <c r="BE218" s="1">
        <v>6.15</v>
      </c>
      <c r="BF218">
        <v>9.94</v>
      </c>
      <c r="BG218" s="1">
        <v>17.93</v>
      </c>
      <c r="BH218" s="1" t="s">
        <v>96</v>
      </c>
      <c r="BI218">
        <v>318.06</v>
      </c>
      <c r="BJ218">
        <v>188.03</v>
      </c>
      <c r="BK218" s="1" t="s">
        <v>96</v>
      </c>
      <c r="BL218" s="1" t="s">
        <v>96</v>
      </c>
      <c r="BM218">
        <v>2.52</v>
      </c>
      <c r="BN218">
        <v>150.30000000000001</v>
      </c>
      <c r="BO218">
        <v>275.02</v>
      </c>
      <c r="BP218" t="s">
        <v>96</v>
      </c>
      <c r="BQ218" s="1" t="s">
        <v>96</v>
      </c>
      <c r="BR218" s="1" t="s">
        <v>96</v>
      </c>
      <c r="BS218" s="1" t="s">
        <v>96</v>
      </c>
      <c r="BT218" s="1" t="s">
        <v>96</v>
      </c>
      <c r="BU218" s="1">
        <v>8.09</v>
      </c>
      <c r="BV218">
        <v>121.42</v>
      </c>
      <c r="BW218">
        <v>33.229999999999997</v>
      </c>
      <c r="BX218" s="1" t="s">
        <v>96</v>
      </c>
      <c r="BY218">
        <v>424.35</v>
      </c>
      <c r="BZ218">
        <v>42.01</v>
      </c>
      <c r="CA218" s="1" t="s">
        <v>96</v>
      </c>
      <c r="CB218">
        <v>33.909999999999997</v>
      </c>
      <c r="CC218">
        <v>126.88</v>
      </c>
      <c r="CD218" s="1" t="s">
        <v>96</v>
      </c>
    </row>
    <row r="219" spans="1:82">
      <c r="A219">
        <v>83</v>
      </c>
      <c r="B219" t="s">
        <v>344</v>
      </c>
      <c r="D219" t="b">
        <v>1</v>
      </c>
      <c r="E219" t="s">
        <v>345</v>
      </c>
      <c r="F219">
        <v>130</v>
      </c>
      <c r="G219">
        <v>3</v>
      </c>
      <c r="J219" t="s">
        <v>346</v>
      </c>
      <c r="K219" t="s">
        <v>94</v>
      </c>
      <c r="L219" t="s">
        <v>95</v>
      </c>
      <c r="M219">
        <v>100</v>
      </c>
      <c r="N219" s="1" t="s">
        <v>96</v>
      </c>
      <c r="O219" s="1" t="s">
        <v>96</v>
      </c>
      <c r="P219">
        <v>13.58</v>
      </c>
      <c r="Q219" s="1" t="s">
        <v>96</v>
      </c>
      <c r="R219" s="1" t="s">
        <v>96</v>
      </c>
      <c r="S219" s="1" t="s">
        <v>96</v>
      </c>
      <c r="T219" s="1" t="s">
        <v>96</v>
      </c>
      <c r="U219" s="1" t="s">
        <v>96</v>
      </c>
      <c r="V219" s="1" t="s">
        <v>96</v>
      </c>
      <c r="W219" s="1" t="s">
        <v>96</v>
      </c>
      <c r="X219" s="1" t="s">
        <v>96</v>
      </c>
      <c r="Y219" s="1" t="s">
        <v>96</v>
      </c>
      <c r="Z219" t="s">
        <v>96</v>
      </c>
      <c r="AA219" s="1" t="s">
        <v>96</v>
      </c>
      <c r="AB219">
        <v>1.18</v>
      </c>
      <c r="AC219" t="s">
        <v>96</v>
      </c>
      <c r="AD219">
        <v>24.85</v>
      </c>
      <c r="AE219" s="1" t="s">
        <v>96</v>
      </c>
      <c r="AF219" t="s">
        <v>96</v>
      </c>
      <c r="AG219">
        <v>24.72</v>
      </c>
      <c r="AH219">
        <v>113.99</v>
      </c>
      <c r="AI219" s="1" t="s">
        <v>96</v>
      </c>
      <c r="AJ219" s="1" t="s">
        <v>96</v>
      </c>
      <c r="AK219" s="1" t="s">
        <v>96</v>
      </c>
      <c r="AL219" s="1" t="s">
        <v>96</v>
      </c>
      <c r="AM219" s="1" t="s">
        <v>96</v>
      </c>
      <c r="AN219" s="1" t="s">
        <v>96</v>
      </c>
      <c r="AO219" t="s">
        <v>96</v>
      </c>
      <c r="AP219">
        <v>10.27</v>
      </c>
      <c r="AQ219" s="1" t="s">
        <v>96</v>
      </c>
      <c r="AR219" s="1" t="s">
        <v>96</v>
      </c>
      <c r="AS219">
        <v>87.25</v>
      </c>
      <c r="AT219">
        <v>2.86</v>
      </c>
      <c r="AU219" s="1" t="s">
        <v>96</v>
      </c>
      <c r="AV219" s="1" t="s">
        <v>96</v>
      </c>
      <c r="AW219" t="s">
        <v>96</v>
      </c>
      <c r="AX219" s="1" t="s">
        <v>96</v>
      </c>
      <c r="AY219">
        <v>628.82000000000005</v>
      </c>
      <c r="AZ219">
        <v>52.98</v>
      </c>
      <c r="BA219">
        <v>107.9</v>
      </c>
      <c r="BB219" s="1" t="s">
        <v>96</v>
      </c>
      <c r="BC219">
        <v>228.21</v>
      </c>
      <c r="BD219" s="1" t="s">
        <v>96</v>
      </c>
      <c r="BE219" s="1" t="s">
        <v>96</v>
      </c>
      <c r="BF219">
        <v>16.600000000000001</v>
      </c>
      <c r="BG219" s="1">
        <v>7.4</v>
      </c>
      <c r="BH219" s="1" t="s">
        <v>96</v>
      </c>
      <c r="BI219">
        <v>98.27</v>
      </c>
      <c r="BJ219">
        <v>9.73</v>
      </c>
      <c r="BK219" s="1" t="s">
        <v>96</v>
      </c>
      <c r="BL219" s="1">
        <v>2.79</v>
      </c>
      <c r="BM219" t="s">
        <v>96</v>
      </c>
      <c r="BN219">
        <v>25.74</v>
      </c>
      <c r="BO219">
        <v>31.46</v>
      </c>
      <c r="BP219" t="s">
        <v>96</v>
      </c>
      <c r="BQ219" s="1" t="s">
        <v>96</v>
      </c>
      <c r="BR219" s="1" t="s">
        <v>96</v>
      </c>
      <c r="BS219" s="1" t="s">
        <v>96</v>
      </c>
      <c r="BT219" s="1" t="s">
        <v>96</v>
      </c>
      <c r="BU219" s="1" t="s">
        <v>96</v>
      </c>
      <c r="BV219">
        <v>208.8</v>
      </c>
      <c r="BW219">
        <v>40.08</v>
      </c>
      <c r="BX219" s="1" t="s">
        <v>96</v>
      </c>
      <c r="BY219">
        <v>180.19</v>
      </c>
      <c r="BZ219">
        <v>16.239999999999998</v>
      </c>
      <c r="CA219" s="1" t="s">
        <v>96</v>
      </c>
      <c r="CB219">
        <v>37.57</v>
      </c>
      <c r="CC219">
        <v>66.42</v>
      </c>
      <c r="CD219" s="1" t="s">
        <v>96</v>
      </c>
    </row>
    <row r="220" spans="1:82">
      <c r="A220">
        <v>35</v>
      </c>
      <c r="B220" t="s">
        <v>200</v>
      </c>
      <c r="D220" t="b">
        <v>1</v>
      </c>
      <c r="E220" t="s">
        <v>201</v>
      </c>
      <c r="F220">
        <v>228</v>
      </c>
      <c r="G220">
        <v>1</v>
      </c>
      <c r="J220" t="s">
        <v>202</v>
      </c>
      <c r="K220" t="s">
        <v>94</v>
      </c>
      <c r="L220" t="s">
        <v>95</v>
      </c>
      <c r="M220">
        <v>100</v>
      </c>
      <c r="N220" s="1" t="s">
        <v>96</v>
      </c>
      <c r="O220" s="1" t="s">
        <v>96</v>
      </c>
      <c r="P220">
        <v>9.51</v>
      </c>
      <c r="Q220" s="1" t="s">
        <v>96</v>
      </c>
      <c r="R220" s="1" t="s">
        <v>96</v>
      </c>
      <c r="S220" s="1">
        <v>9.5299999999999994</v>
      </c>
      <c r="T220" s="1" t="s">
        <v>96</v>
      </c>
      <c r="U220" s="1" t="s">
        <v>96</v>
      </c>
      <c r="V220" s="1" t="s">
        <v>96</v>
      </c>
      <c r="W220" s="1" t="s">
        <v>96</v>
      </c>
      <c r="X220" s="1" t="s">
        <v>96</v>
      </c>
      <c r="Y220" s="1" t="s">
        <v>96</v>
      </c>
      <c r="Z220" t="s">
        <v>96</v>
      </c>
      <c r="AA220" s="1" t="s">
        <v>96</v>
      </c>
      <c r="AB220">
        <v>1.75</v>
      </c>
      <c r="AC220">
        <v>50.67</v>
      </c>
      <c r="AD220">
        <v>23.88</v>
      </c>
      <c r="AE220" s="1" t="s">
        <v>96</v>
      </c>
      <c r="AF220">
        <v>49.54</v>
      </c>
      <c r="AG220">
        <v>775.79</v>
      </c>
      <c r="AH220">
        <v>34.020000000000003</v>
      </c>
      <c r="AI220" s="1" t="s">
        <v>96</v>
      </c>
      <c r="AJ220" s="1" t="s">
        <v>96</v>
      </c>
      <c r="AK220" s="1" t="s">
        <v>96</v>
      </c>
      <c r="AL220" s="1" t="s">
        <v>96</v>
      </c>
      <c r="AM220" s="1" t="s">
        <v>96</v>
      </c>
      <c r="AN220" s="1" t="s">
        <v>96</v>
      </c>
      <c r="AO220">
        <v>417.06</v>
      </c>
      <c r="AP220">
        <v>34.770000000000003</v>
      </c>
      <c r="AQ220" s="1" t="s">
        <v>96</v>
      </c>
      <c r="AR220" s="1">
        <v>2.02</v>
      </c>
      <c r="AS220">
        <v>11.9</v>
      </c>
      <c r="AT220" t="s">
        <v>96</v>
      </c>
      <c r="AU220" s="1" t="s">
        <v>96</v>
      </c>
      <c r="AV220" s="1" t="s">
        <v>96</v>
      </c>
      <c r="AW220">
        <v>14.56</v>
      </c>
      <c r="AX220" s="1" t="s">
        <v>96</v>
      </c>
      <c r="AY220">
        <v>700.74</v>
      </c>
      <c r="AZ220">
        <v>754.88</v>
      </c>
      <c r="BA220">
        <v>18.38</v>
      </c>
      <c r="BB220" s="1" t="s">
        <v>96</v>
      </c>
      <c r="BC220">
        <v>160.76</v>
      </c>
      <c r="BD220" s="1" t="s">
        <v>96</v>
      </c>
      <c r="BE220" s="1">
        <v>5.05</v>
      </c>
      <c r="BF220" t="s">
        <v>96</v>
      </c>
      <c r="BG220" s="1" t="s">
        <v>96</v>
      </c>
      <c r="BH220" s="1" t="s">
        <v>96</v>
      </c>
      <c r="BI220">
        <v>66.16</v>
      </c>
      <c r="BJ220">
        <v>87.45</v>
      </c>
      <c r="BK220" s="1" t="s">
        <v>96</v>
      </c>
      <c r="BL220" s="1" t="s">
        <v>96</v>
      </c>
      <c r="BM220" t="s">
        <v>96</v>
      </c>
      <c r="BN220">
        <v>19.84</v>
      </c>
      <c r="BO220">
        <v>97.46</v>
      </c>
      <c r="BP220">
        <v>7.47</v>
      </c>
      <c r="BQ220" s="1" t="s">
        <v>96</v>
      </c>
      <c r="BR220" s="1" t="s">
        <v>96</v>
      </c>
      <c r="BS220" s="1" t="s">
        <v>96</v>
      </c>
      <c r="BT220" s="1" t="s">
        <v>96</v>
      </c>
      <c r="BU220" s="1">
        <v>70.06</v>
      </c>
      <c r="BV220">
        <v>34.909999999999997</v>
      </c>
      <c r="BW220" t="s">
        <v>96</v>
      </c>
      <c r="BX220" s="1" t="s">
        <v>96</v>
      </c>
      <c r="BY220">
        <v>778.73</v>
      </c>
      <c r="BZ220">
        <v>16.89</v>
      </c>
      <c r="CA220" s="1" t="s">
        <v>96</v>
      </c>
      <c r="CB220">
        <v>11.36</v>
      </c>
      <c r="CC220">
        <v>123.65</v>
      </c>
      <c r="CD220" s="1" t="s">
        <v>96</v>
      </c>
    </row>
    <row r="221" spans="1:82">
      <c r="A221">
        <v>59</v>
      </c>
      <c r="B221" t="s">
        <v>272</v>
      </c>
      <c r="D221" t="b">
        <v>1</v>
      </c>
      <c r="E221" t="s">
        <v>273</v>
      </c>
      <c r="F221">
        <v>88</v>
      </c>
      <c r="G221">
        <v>2</v>
      </c>
      <c r="J221" t="s">
        <v>274</v>
      </c>
      <c r="K221" t="s">
        <v>94</v>
      </c>
      <c r="L221" t="s">
        <v>95</v>
      </c>
      <c r="M221">
        <v>100</v>
      </c>
      <c r="N221" s="1" t="s">
        <v>96</v>
      </c>
      <c r="O221" s="1" t="s">
        <v>96</v>
      </c>
      <c r="P221">
        <v>8.86</v>
      </c>
      <c r="Q221" s="1" t="s">
        <v>96</v>
      </c>
      <c r="R221" s="1" t="s">
        <v>96</v>
      </c>
      <c r="S221" s="1" t="s">
        <v>96</v>
      </c>
      <c r="T221" s="1" t="s">
        <v>96</v>
      </c>
      <c r="U221" s="1" t="s">
        <v>96</v>
      </c>
      <c r="V221" s="1" t="s">
        <v>96</v>
      </c>
      <c r="W221" s="1" t="s">
        <v>96</v>
      </c>
      <c r="X221" s="1" t="s">
        <v>96</v>
      </c>
      <c r="Y221" s="1" t="s">
        <v>96</v>
      </c>
      <c r="Z221" t="s">
        <v>96</v>
      </c>
      <c r="AA221" s="1" t="s">
        <v>96</v>
      </c>
      <c r="AB221">
        <v>1.99</v>
      </c>
      <c r="AC221" t="s">
        <v>96</v>
      </c>
      <c r="AD221">
        <v>146.91</v>
      </c>
      <c r="AE221" s="1" t="s">
        <v>96</v>
      </c>
      <c r="AF221" t="s">
        <v>96</v>
      </c>
      <c r="AG221" t="s">
        <v>96</v>
      </c>
      <c r="AH221">
        <v>79.72</v>
      </c>
      <c r="AI221" s="1" t="s">
        <v>96</v>
      </c>
      <c r="AJ221" s="1" t="s">
        <v>96</v>
      </c>
      <c r="AK221" s="1" t="s">
        <v>96</v>
      </c>
      <c r="AL221" s="1" t="s">
        <v>96</v>
      </c>
      <c r="AM221" s="1" t="s">
        <v>96</v>
      </c>
      <c r="AN221" s="1">
        <v>2.29</v>
      </c>
      <c r="AO221">
        <v>104.77</v>
      </c>
      <c r="AP221">
        <v>37.83</v>
      </c>
      <c r="AQ221" s="1" t="s">
        <v>96</v>
      </c>
      <c r="AR221" s="1" t="s">
        <v>96</v>
      </c>
      <c r="AS221">
        <v>74.89</v>
      </c>
      <c r="AT221">
        <v>1.37</v>
      </c>
      <c r="AU221" s="1" t="s">
        <v>96</v>
      </c>
      <c r="AV221" s="1" t="s">
        <v>96</v>
      </c>
      <c r="AW221" t="s">
        <v>96</v>
      </c>
      <c r="AX221" s="1" t="s">
        <v>96</v>
      </c>
      <c r="AY221">
        <v>1877.72</v>
      </c>
      <c r="AZ221" t="s">
        <v>96</v>
      </c>
      <c r="BA221">
        <v>331.38</v>
      </c>
      <c r="BB221" s="1" t="s">
        <v>96</v>
      </c>
      <c r="BC221">
        <v>648.49</v>
      </c>
      <c r="BD221" s="1" t="s">
        <v>96</v>
      </c>
      <c r="BE221" s="1" t="s">
        <v>96</v>
      </c>
      <c r="BF221">
        <v>8.17</v>
      </c>
      <c r="BG221" s="1" t="s">
        <v>96</v>
      </c>
      <c r="BH221" s="1" t="s">
        <v>96</v>
      </c>
      <c r="BI221">
        <v>10.32</v>
      </c>
      <c r="BJ221" t="s">
        <v>96</v>
      </c>
      <c r="BK221" s="1" t="s">
        <v>96</v>
      </c>
      <c r="BL221" s="1" t="s">
        <v>96</v>
      </c>
      <c r="BM221" t="s">
        <v>96</v>
      </c>
      <c r="BN221">
        <v>3.24</v>
      </c>
      <c r="BO221" t="s">
        <v>96</v>
      </c>
      <c r="BP221" t="s">
        <v>96</v>
      </c>
      <c r="BQ221" s="1" t="s">
        <v>96</v>
      </c>
      <c r="BR221" s="1" t="s">
        <v>96</v>
      </c>
      <c r="BS221" s="1" t="s">
        <v>96</v>
      </c>
      <c r="BT221" s="1" t="s">
        <v>96</v>
      </c>
      <c r="BU221" s="1" t="s">
        <v>96</v>
      </c>
      <c r="BV221">
        <v>70.5</v>
      </c>
      <c r="BW221" t="s">
        <v>96</v>
      </c>
      <c r="BX221" s="1" t="s">
        <v>96</v>
      </c>
      <c r="BY221" t="s">
        <v>96</v>
      </c>
      <c r="BZ221" t="s">
        <v>96</v>
      </c>
      <c r="CA221" s="1" t="s">
        <v>96</v>
      </c>
      <c r="CB221">
        <v>84.96</v>
      </c>
      <c r="CC221" t="s">
        <v>96</v>
      </c>
      <c r="CD221" s="1" t="s">
        <v>96</v>
      </c>
    </row>
    <row r="222" spans="1:82">
      <c r="A222">
        <v>60</v>
      </c>
      <c r="B222" t="s">
        <v>275</v>
      </c>
      <c r="D222" t="b">
        <v>1</v>
      </c>
      <c r="E222" t="s">
        <v>276</v>
      </c>
      <c r="F222">
        <v>91</v>
      </c>
      <c r="G222">
        <v>2</v>
      </c>
      <c r="J222" t="s">
        <v>277</v>
      </c>
      <c r="K222" t="s">
        <v>94</v>
      </c>
      <c r="L222" t="s">
        <v>95</v>
      </c>
      <c r="M222">
        <v>100</v>
      </c>
      <c r="N222" s="1" t="s">
        <v>96</v>
      </c>
      <c r="O222" s="1" t="s">
        <v>96</v>
      </c>
      <c r="P222">
        <v>6.98</v>
      </c>
      <c r="Q222" s="1" t="s">
        <v>96</v>
      </c>
      <c r="R222" s="1" t="s">
        <v>96</v>
      </c>
      <c r="S222" s="1" t="s">
        <v>96</v>
      </c>
      <c r="T222" s="1" t="s">
        <v>96</v>
      </c>
      <c r="U222" s="1" t="s">
        <v>96</v>
      </c>
      <c r="V222" s="1" t="s">
        <v>96</v>
      </c>
      <c r="W222" s="1" t="s">
        <v>96</v>
      </c>
      <c r="X222" s="1" t="s">
        <v>96</v>
      </c>
      <c r="Y222" s="1" t="s">
        <v>96</v>
      </c>
      <c r="Z222">
        <v>1.89</v>
      </c>
      <c r="AA222" s="1" t="s">
        <v>96</v>
      </c>
      <c r="AB222">
        <v>8.1</v>
      </c>
      <c r="AC222" t="s">
        <v>96</v>
      </c>
      <c r="AD222">
        <v>194.03</v>
      </c>
      <c r="AE222" s="1" t="s">
        <v>96</v>
      </c>
      <c r="AF222" t="s">
        <v>96</v>
      </c>
      <c r="AG222" t="s">
        <v>96</v>
      </c>
      <c r="AH222" t="s">
        <v>133</v>
      </c>
      <c r="AI222" s="1" t="s">
        <v>96</v>
      </c>
      <c r="AJ222" s="1" t="s">
        <v>96</v>
      </c>
      <c r="AK222" s="1" t="s">
        <v>96</v>
      </c>
      <c r="AL222" s="1" t="s">
        <v>96</v>
      </c>
      <c r="AM222" s="1" t="s">
        <v>96</v>
      </c>
      <c r="AN222" s="1">
        <v>2.2400000000000002</v>
      </c>
      <c r="AO222">
        <v>116.01</v>
      </c>
      <c r="AP222">
        <v>126.93</v>
      </c>
      <c r="AQ222" s="1" t="s">
        <v>96</v>
      </c>
      <c r="AR222" s="1" t="s">
        <v>96</v>
      </c>
      <c r="AS222">
        <v>269.91000000000003</v>
      </c>
      <c r="AT222">
        <v>10.220000000000001</v>
      </c>
      <c r="AU222" s="1" t="s">
        <v>96</v>
      </c>
      <c r="AV222" s="1" t="s">
        <v>96</v>
      </c>
      <c r="AW222" t="s">
        <v>96</v>
      </c>
      <c r="AX222" s="1">
        <v>2.68</v>
      </c>
      <c r="AY222">
        <v>2129.4299999999998</v>
      </c>
      <c r="AZ222" t="s">
        <v>96</v>
      </c>
      <c r="BA222">
        <v>183.75</v>
      </c>
      <c r="BB222" s="1" t="s">
        <v>96</v>
      </c>
      <c r="BC222">
        <v>438.46</v>
      </c>
      <c r="BD222" s="1" t="s">
        <v>96</v>
      </c>
      <c r="BE222" s="1" t="s">
        <v>96</v>
      </c>
      <c r="BF222">
        <v>9.76</v>
      </c>
      <c r="BG222" s="1" t="s">
        <v>96</v>
      </c>
      <c r="BH222" s="1" t="s">
        <v>96</v>
      </c>
      <c r="BI222">
        <v>6.53</v>
      </c>
      <c r="BJ222" t="s">
        <v>96</v>
      </c>
      <c r="BK222" s="1" t="s">
        <v>96</v>
      </c>
      <c r="BL222" s="1" t="s">
        <v>96</v>
      </c>
      <c r="BM222" t="s">
        <v>96</v>
      </c>
      <c r="BN222" t="s">
        <v>96</v>
      </c>
      <c r="BO222" t="s">
        <v>96</v>
      </c>
      <c r="BP222" t="s">
        <v>96</v>
      </c>
      <c r="BQ222" s="1" t="s">
        <v>96</v>
      </c>
      <c r="BR222" s="1" t="s">
        <v>96</v>
      </c>
      <c r="BS222" s="1" t="s">
        <v>96</v>
      </c>
      <c r="BT222" s="1">
        <v>7.86</v>
      </c>
      <c r="BU222" s="1">
        <v>5.82</v>
      </c>
      <c r="BV222">
        <v>64.97</v>
      </c>
      <c r="BW222" t="s">
        <v>96</v>
      </c>
      <c r="BX222" s="1" t="s">
        <v>96</v>
      </c>
      <c r="BY222" t="s">
        <v>96</v>
      </c>
      <c r="BZ222" t="s">
        <v>96</v>
      </c>
      <c r="CA222" s="1" t="s">
        <v>96</v>
      </c>
      <c r="CB222">
        <v>41.51</v>
      </c>
      <c r="CC222" t="s">
        <v>96</v>
      </c>
      <c r="CD222" s="1" t="s">
        <v>96</v>
      </c>
    </row>
    <row r="223" spans="1:82">
      <c r="A223">
        <v>65</v>
      </c>
      <c r="B223" t="s">
        <v>290</v>
      </c>
      <c r="D223" t="b">
        <v>1</v>
      </c>
      <c r="E223" t="s">
        <v>291</v>
      </c>
      <c r="F223">
        <v>96</v>
      </c>
      <c r="G223">
        <v>2</v>
      </c>
      <c r="J223" t="s">
        <v>292</v>
      </c>
      <c r="K223" t="s">
        <v>94</v>
      </c>
      <c r="L223" t="s">
        <v>95</v>
      </c>
      <c r="M223">
        <v>100</v>
      </c>
      <c r="N223" s="1" t="s">
        <v>96</v>
      </c>
      <c r="O223" s="1" t="s">
        <v>96</v>
      </c>
      <c r="P223">
        <v>10.72</v>
      </c>
      <c r="Q223" s="1" t="s">
        <v>96</v>
      </c>
      <c r="R223" s="1" t="s">
        <v>96</v>
      </c>
      <c r="S223" s="1" t="s">
        <v>96</v>
      </c>
      <c r="T223" s="1" t="s">
        <v>96</v>
      </c>
      <c r="U223" s="1" t="s">
        <v>96</v>
      </c>
      <c r="V223" s="1">
        <v>18.29</v>
      </c>
      <c r="W223" s="1" t="s">
        <v>96</v>
      </c>
      <c r="X223" s="1" t="s">
        <v>96</v>
      </c>
      <c r="Y223" s="1" t="s">
        <v>96</v>
      </c>
      <c r="Z223" t="s">
        <v>96</v>
      </c>
      <c r="AA223" s="1" t="s">
        <v>96</v>
      </c>
      <c r="AB223" t="s">
        <v>96</v>
      </c>
      <c r="AC223" t="s">
        <v>96</v>
      </c>
      <c r="AD223">
        <v>135.91</v>
      </c>
      <c r="AE223" s="1" t="s">
        <v>96</v>
      </c>
      <c r="AF223" t="s">
        <v>96</v>
      </c>
      <c r="AG223">
        <v>38.130000000000003</v>
      </c>
      <c r="AH223">
        <v>12.72</v>
      </c>
      <c r="AI223" s="1" t="s">
        <v>96</v>
      </c>
      <c r="AJ223" s="1" t="s">
        <v>96</v>
      </c>
      <c r="AK223" s="1" t="s">
        <v>96</v>
      </c>
      <c r="AL223" s="1">
        <v>1.54</v>
      </c>
      <c r="AM223" s="1" t="s">
        <v>96</v>
      </c>
      <c r="AN223" s="1" t="s">
        <v>96</v>
      </c>
      <c r="AO223">
        <v>247.02</v>
      </c>
      <c r="AP223">
        <v>5.66</v>
      </c>
      <c r="AQ223" s="1">
        <v>1.56</v>
      </c>
      <c r="AR223" s="1">
        <v>1.03</v>
      </c>
      <c r="AS223">
        <v>25.2</v>
      </c>
      <c r="AT223" t="s">
        <v>96</v>
      </c>
      <c r="AU223" s="1" t="s">
        <v>96</v>
      </c>
      <c r="AV223" s="1" t="s">
        <v>96</v>
      </c>
      <c r="AW223">
        <v>3.01</v>
      </c>
      <c r="AX223" s="1" t="s">
        <v>96</v>
      </c>
      <c r="AY223">
        <v>1228.8900000000001</v>
      </c>
      <c r="AZ223">
        <v>510.13</v>
      </c>
      <c r="BA223">
        <v>170.48</v>
      </c>
      <c r="BB223" s="1" t="s">
        <v>96</v>
      </c>
      <c r="BC223">
        <v>380.55</v>
      </c>
      <c r="BD223" s="1" t="s">
        <v>96</v>
      </c>
      <c r="BE223" s="1">
        <v>4.33</v>
      </c>
      <c r="BF223">
        <v>22.42</v>
      </c>
      <c r="BG223" s="1">
        <v>15.51</v>
      </c>
      <c r="BH223" s="1" t="s">
        <v>96</v>
      </c>
      <c r="BI223">
        <v>211.97</v>
      </c>
      <c r="BJ223">
        <v>142.13999999999999</v>
      </c>
      <c r="BK223" s="1" t="s">
        <v>96</v>
      </c>
      <c r="BL223" s="1">
        <v>7.17</v>
      </c>
      <c r="BM223">
        <v>8.92</v>
      </c>
      <c r="BN223">
        <v>107.24</v>
      </c>
      <c r="BO223">
        <v>143.34</v>
      </c>
      <c r="BP223">
        <v>4.46</v>
      </c>
      <c r="BQ223" s="1" t="s">
        <v>96</v>
      </c>
      <c r="BR223" s="1" t="s">
        <v>96</v>
      </c>
      <c r="BS223" s="1" t="s">
        <v>96</v>
      </c>
      <c r="BT223" s="1" t="s">
        <v>96</v>
      </c>
      <c r="BU223" s="1">
        <v>6.28</v>
      </c>
      <c r="BV223">
        <v>76.430000000000007</v>
      </c>
      <c r="BW223">
        <v>22.62</v>
      </c>
      <c r="BX223" s="1" t="s">
        <v>96</v>
      </c>
      <c r="BY223">
        <v>428.44</v>
      </c>
      <c r="BZ223">
        <v>45.36</v>
      </c>
      <c r="CA223" s="1" t="s">
        <v>96</v>
      </c>
      <c r="CB223">
        <v>42.7</v>
      </c>
      <c r="CC223">
        <v>101.74</v>
      </c>
      <c r="CD223" s="1" t="s">
        <v>96</v>
      </c>
    </row>
    <row r="224" spans="1:82">
      <c r="A224">
        <v>249</v>
      </c>
      <c r="B224" t="s">
        <v>842</v>
      </c>
      <c r="D224" t="b">
        <v>1</v>
      </c>
      <c r="E224" t="s">
        <v>843</v>
      </c>
      <c r="F224">
        <v>382</v>
      </c>
      <c r="G224">
        <v>7</v>
      </c>
      <c r="J224" t="s">
        <v>844</v>
      </c>
      <c r="K224" t="s">
        <v>94</v>
      </c>
      <c r="L224" t="s">
        <v>95</v>
      </c>
      <c r="M224">
        <v>100</v>
      </c>
      <c r="N224" s="1" t="s">
        <v>96</v>
      </c>
      <c r="O224" s="1" t="s">
        <v>96</v>
      </c>
      <c r="P224">
        <v>5.59</v>
      </c>
      <c r="Q224" s="1" t="s">
        <v>96</v>
      </c>
      <c r="R224" s="1" t="s">
        <v>96</v>
      </c>
      <c r="S224" s="1" t="s">
        <v>96</v>
      </c>
      <c r="T224" s="1" t="s">
        <v>96</v>
      </c>
      <c r="U224" s="1" t="s">
        <v>96</v>
      </c>
      <c r="V224" s="1" t="s">
        <v>96</v>
      </c>
      <c r="W224" s="1" t="s">
        <v>96</v>
      </c>
      <c r="X224" s="1" t="s">
        <v>96</v>
      </c>
      <c r="Y224" s="1" t="s">
        <v>96</v>
      </c>
      <c r="Z224" t="s">
        <v>96</v>
      </c>
      <c r="AA224" s="1" t="s">
        <v>96</v>
      </c>
      <c r="AB224">
        <v>2.06</v>
      </c>
      <c r="AC224">
        <v>1.79</v>
      </c>
      <c r="AD224">
        <v>373.67</v>
      </c>
      <c r="AE224" s="1" t="s">
        <v>96</v>
      </c>
      <c r="AF224">
        <v>16.64</v>
      </c>
      <c r="AG224">
        <v>160.22</v>
      </c>
      <c r="AH224">
        <v>31.57</v>
      </c>
      <c r="AI224" s="1" t="s">
        <v>96</v>
      </c>
      <c r="AJ224" s="1">
        <v>4.0199999999999996</v>
      </c>
      <c r="AK224" s="1" t="s">
        <v>96</v>
      </c>
      <c r="AL224" s="1" t="s">
        <v>96</v>
      </c>
      <c r="AM224" s="1" t="s">
        <v>96</v>
      </c>
      <c r="AN224" s="1" t="s">
        <v>96</v>
      </c>
      <c r="AO224">
        <v>54.06</v>
      </c>
      <c r="AP224">
        <v>41.03</v>
      </c>
      <c r="AQ224" s="1">
        <v>1.25</v>
      </c>
      <c r="AR224" s="1" t="s">
        <v>96</v>
      </c>
      <c r="AS224">
        <v>15.78</v>
      </c>
      <c r="AT224">
        <v>1.64</v>
      </c>
      <c r="AU224" s="1" t="s">
        <v>96</v>
      </c>
      <c r="AV224" s="1" t="s">
        <v>96</v>
      </c>
      <c r="AW224">
        <v>6.84</v>
      </c>
      <c r="AX224" s="1" t="s">
        <v>96</v>
      </c>
      <c r="AY224">
        <v>802.28</v>
      </c>
      <c r="AZ224">
        <v>221.44</v>
      </c>
      <c r="BA224">
        <v>211.02</v>
      </c>
      <c r="BB224" s="1" t="s">
        <v>96</v>
      </c>
      <c r="BC224">
        <v>172.89</v>
      </c>
      <c r="BD224" s="1" t="s">
        <v>96</v>
      </c>
      <c r="BE224" s="1" t="s">
        <v>96</v>
      </c>
      <c r="BF224">
        <v>2.92</v>
      </c>
      <c r="BG224" s="1">
        <v>12.17</v>
      </c>
      <c r="BH224" s="1" t="s">
        <v>96</v>
      </c>
      <c r="BI224">
        <v>108.95</v>
      </c>
      <c r="BJ224">
        <v>36.57</v>
      </c>
      <c r="BK224" s="1" t="s">
        <v>96</v>
      </c>
      <c r="BL224" s="1" t="s">
        <v>96</v>
      </c>
      <c r="BM224" t="s">
        <v>96</v>
      </c>
      <c r="BN224">
        <v>26.42</v>
      </c>
      <c r="BO224">
        <v>32.58</v>
      </c>
      <c r="BP224" t="s">
        <v>96</v>
      </c>
      <c r="BQ224" s="1" t="s">
        <v>96</v>
      </c>
      <c r="BR224" s="1" t="s">
        <v>96</v>
      </c>
      <c r="BS224" s="1" t="s">
        <v>96</v>
      </c>
      <c r="BT224" s="1" t="s">
        <v>96</v>
      </c>
      <c r="BU224" s="1" t="s">
        <v>96</v>
      </c>
      <c r="BV224">
        <v>50.13</v>
      </c>
      <c r="BW224">
        <v>11.19</v>
      </c>
      <c r="BX224" s="1" t="s">
        <v>96</v>
      </c>
      <c r="BY224">
        <v>204.13</v>
      </c>
      <c r="BZ224">
        <v>15.27</v>
      </c>
      <c r="CA224" s="1">
        <v>11.76</v>
      </c>
      <c r="CB224">
        <v>93.44</v>
      </c>
      <c r="CC224">
        <v>44.85</v>
      </c>
      <c r="CD224" s="1" t="s">
        <v>96</v>
      </c>
    </row>
    <row r="225" spans="1:82">
      <c r="A225">
        <v>193</v>
      </c>
      <c r="B225" t="s">
        <v>674</v>
      </c>
      <c r="D225" t="b">
        <v>1</v>
      </c>
      <c r="E225" t="s">
        <v>675</v>
      </c>
      <c r="F225">
        <v>286</v>
      </c>
      <c r="G225">
        <v>5</v>
      </c>
      <c r="J225" t="s">
        <v>676</v>
      </c>
      <c r="K225" t="s">
        <v>94</v>
      </c>
      <c r="L225" t="s">
        <v>95</v>
      </c>
      <c r="M225">
        <v>100</v>
      </c>
      <c r="N225" s="1" t="s">
        <v>96</v>
      </c>
      <c r="O225" s="1" t="s">
        <v>96</v>
      </c>
      <c r="P225">
        <v>103.87</v>
      </c>
      <c r="Q225" s="1" t="s">
        <v>96</v>
      </c>
      <c r="R225" s="1" t="s">
        <v>96</v>
      </c>
      <c r="S225" s="1">
        <v>8.4700000000000006</v>
      </c>
      <c r="T225" s="1" t="s">
        <v>96</v>
      </c>
      <c r="U225" s="1" t="s">
        <v>96</v>
      </c>
      <c r="V225" s="1" t="s">
        <v>96</v>
      </c>
      <c r="W225" s="1" t="s">
        <v>96</v>
      </c>
      <c r="X225" s="1" t="s">
        <v>96</v>
      </c>
      <c r="Y225" s="1" t="s">
        <v>96</v>
      </c>
      <c r="Z225">
        <v>1.33</v>
      </c>
      <c r="AA225" s="1" t="s">
        <v>96</v>
      </c>
      <c r="AB225">
        <v>8.99</v>
      </c>
      <c r="AC225">
        <v>12.3</v>
      </c>
      <c r="AD225">
        <v>48.18</v>
      </c>
      <c r="AE225" s="1" t="s">
        <v>96</v>
      </c>
      <c r="AF225">
        <v>28.3</v>
      </c>
      <c r="AG225">
        <v>343</v>
      </c>
      <c r="AH225">
        <v>177.64</v>
      </c>
      <c r="AI225" s="1" t="s">
        <v>96</v>
      </c>
      <c r="AJ225" s="1" t="s">
        <v>96</v>
      </c>
      <c r="AK225" s="1" t="s">
        <v>96</v>
      </c>
      <c r="AL225" s="1" t="s">
        <v>96</v>
      </c>
      <c r="AM225" s="1" t="s">
        <v>96</v>
      </c>
      <c r="AN225" s="1" t="s">
        <v>96</v>
      </c>
      <c r="AO225">
        <v>26.39</v>
      </c>
      <c r="AP225">
        <v>26.45</v>
      </c>
      <c r="AQ225" s="1" t="s">
        <v>96</v>
      </c>
      <c r="AR225" s="1" t="s">
        <v>96</v>
      </c>
      <c r="AS225">
        <v>25.26</v>
      </c>
      <c r="AT225">
        <v>2.63</v>
      </c>
      <c r="AU225" s="1" t="s">
        <v>96</v>
      </c>
      <c r="AV225" s="1" t="s">
        <v>96</v>
      </c>
      <c r="AW225">
        <v>6.18</v>
      </c>
      <c r="AX225" s="1" t="s">
        <v>96</v>
      </c>
      <c r="AY225">
        <v>2070.1</v>
      </c>
      <c r="AZ225">
        <v>498.59</v>
      </c>
      <c r="BA225">
        <v>33.57</v>
      </c>
      <c r="BB225" s="1" t="s">
        <v>96</v>
      </c>
      <c r="BC225">
        <v>817.22</v>
      </c>
      <c r="BD225" s="1" t="s">
        <v>96</v>
      </c>
      <c r="BE225" s="1">
        <v>5.1100000000000003</v>
      </c>
      <c r="BF225">
        <v>42.6</v>
      </c>
      <c r="BG225" s="1" t="s">
        <v>96</v>
      </c>
      <c r="BH225" s="1" t="s">
        <v>96</v>
      </c>
      <c r="BI225">
        <v>222.18</v>
      </c>
      <c r="BJ225">
        <v>96.72</v>
      </c>
      <c r="BK225" s="1" t="s">
        <v>96</v>
      </c>
      <c r="BL225" s="1">
        <v>4.7</v>
      </c>
      <c r="BM225">
        <v>3.08</v>
      </c>
      <c r="BN225">
        <v>127.1</v>
      </c>
      <c r="BO225">
        <v>166.76</v>
      </c>
      <c r="BP225">
        <v>2.82</v>
      </c>
      <c r="BQ225" s="1" t="s">
        <v>96</v>
      </c>
      <c r="BR225" s="1" t="s">
        <v>96</v>
      </c>
      <c r="BS225" s="1" t="s">
        <v>96</v>
      </c>
      <c r="BT225" s="1" t="s">
        <v>96</v>
      </c>
      <c r="BU225" s="1">
        <v>5.51</v>
      </c>
      <c r="BV225">
        <v>253.06</v>
      </c>
      <c r="BW225">
        <v>28.17</v>
      </c>
      <c r="BX225" s="1" t="s">
        <v>96</v>
      </c>
      <c r="BY225">
        <v>793.65</v>
      </c>
      <c r="BZ225">
        <v>36.119999999999997</v>
      </c>
      <c r="CA225" s="1" t="s">
        <v>96</v>
      </c>
      <c r="CB225">
        <v>12.13</v>
      </c>
      <c r="CC225">
        <v>185.62</v>
      </c>
      <c r="CD225" s="1" t="s">
        <v>96</v>
      </c>
    </row>
    <row r="226" spans="1:82">
      <c r="A226">
        <v>98</v>
      </c>
      <c r="B226" t="s">
        <v>389</v>
      </c>
      <c r="D226" t="b">
        <v>1</v>
      </c>
      <c r="E226" t="s">
        <v>390</v>
      </c>
      <c r="F226">
        <v>147</v>
      </c>
      <c r="G226">
        <v>3</v>
      </c>
      <c r="J226" t="s">
        <v>391</v>
      </c>
      <c r="K226" t="s">
        <v>94</v>
      </c>
      <c r="L226" t="s">
        <v>95</v>
      </c>
      <c r="M226">
        <v>100</v>
      </c>
      <c r="N226" s="1" t="s">
        <v>96</v>
      </c>
      <c r="O226" s="1" t="s">
        <v>96</v>
      </c>
      <c r="P226">
        <v>17.16</v>
      </c>
      <c r="Q226" s="1" t="s">
        <v>96</v>
      </c>
      <c r="R226" s="1" t="s">
        <v>96</v>
      </c>
      <c r="S226" s="1" t="s">
        <v>96</v>
      </c>
      <c r="T226" s="1" t="s">
        <v>96</v>
      </c>
      <c r="U226" s="1" t="s">
        <v>96</v>
      </c>
      <c r="V226" s="1" t="s">
        <v>96</v>
      </c>
      <c r="W226" s="1" t="s">
        <v>96</v>
      </c>
      <c r="X226" s="1" t="s">
        <v>96</v>
      </c>
      <c r="Y226" s="1" t="s">
        <v>96</v>
      </c>
      <c r="Z226" t="s">
        <v>96</v>
      </c>
      <c r="AA226" s="1" t="s">
        <v>96</v>
      </c>
      <c r="AB226">
        <v>8.07</v>
      </c>
      <c r="AC226">
        <v>3.48</v>
      </c>
      <c r="AD226">
        <v>13.8</v>
      </c>
      <c r="AE226" s="1" t="s">
        <v>96</v>
      </c>
      <c r="AF226" t="s">
        <v>96</v>
      </c>
      <c r="AG226">
        <v>99.7</v>
      </c>
      <c r="AH226">
        <v>534.74</v>
      </c>
      <c r="AI226" s="1">
        <v>3.85</v>
      </c>
      <c r="AJ226" s="1" t="s">
        <v>96</v>
      </c>
      <c r="AK226" s="1" t="s">
        <v>96</v>
      </c>
      <c r="AL226" s="1" t="s">
        <v>96</v>
      </c>
      <c r="AM226" s="1" t="s">
        <v>96</v>
      </c>
      <c r="AN226" s="1" t="s">
        <v>96</v>
      </c>
      <c r="AO226">
        <v>174.67</v>
      </c>
      <c r="AP226">
        <v>25.48</v>
      </c>
      <c r="AQ226" s="1" t="s">
        <v>96</v>
      </c>
      <c r="AR226" s="1" t="s">
        <v>96</v>
      </c>
      <c r="AS226">
        <v>442.02</v>
      </c>
      <c r="AT226">
        <v>12.17</v>
      </c>
      <c r="AU226" s="1" t="s">
        <v>96</v>
      </c>
      <c r="AV226" s="1" t="s">
        <v>96</v>
      </c>
      <c r="AW226" t="s">
        <v>96</v>
      </c>
      <c r="AX226" s="1">
        <v>3.16</v>
      </c>
      <c r="AY226">
        <v>1926.93</v>
      </c>
      <c r="AZ226">
        <v>174.77</v>
      </c>
      <c r="BA226">
        <v>153.97999999999999</v>
      </c>
      <c r="BB226" s="1" t="s">
        <v>96</v>
      </c>
      <c r="BC226">
        <v>390.13</v>
      </c>
      <c r="BD226" s="1" t="s">
        <v>96</v>
      </c>
      <c r="BE226" s="1" t="s">
        <v>96</v>
      </c>
      <c r="BF226">
        <v>24.94</v>
      </c>
      <c r="BG226" s="1">
        <v>8.17</v>
      </c>
      <c r="BH226" s="1" t="s">
        <v>96</v>
      </c>
      <c r="BI226">
        <v>199.93</v>
      </c>
      <c r="BJ226">
        <v>19.77</v>
      </c>
      <c r="BK226" s="1" t="s">
        <v>96</v>
      </c>
      <c r="BL226" s="1">
        <v>2.54</v>
      </c>
      <c r="BM226">
        <v>15.05</v>
      </c>
      <c r="BN226">
        <v>32.020000000000003</v>
      </c>
      <c r="BO226">
        <v>43.96</v>
      </c>
      <c r="BP226">
        <v>3.93</v>
      </c>
      <c r="BQ226" s="1" t="s">
        <v>96</v>
      </c>
      <c r="BR226" s="1" t="s">
        <v>96</v>
      </c>
      <c r="BS226" s="1" t="s">
        <v>96</v>
      </c>
      <c r="BT226" s="1">
        <v>3.01</v>
      </c>
      <c r="BU226" s="1" t="s">
        <v>96</v>
      </c>
      <c r="BV226">
        <v>81.81</v>
      </c>
      <c r="BW226">
        <v>17.7</v>
      </c>
      <c r="BX226" s="1" t="s">
        <v>96</v>
      </c>
      <c r="BY226">
        <v>119.69</v>
      </c>
      <c r="BZ226">
        <v>5.13</v>
      </c>
      <c r="CA226" s="1" t="s">
        <v>96</v>
      </c>
      <c r="CB226">
        <v>23.54</v>
      </c>
      <c r="CC226">
        <v>26.86</v>
      </c>
      <c r="CD226" s="1" t="s">
        <v>96</v>
      </c>
    </row>
    <row r="227" spans="1:82">
      <c r="A227">
        <v>194</v>
      </c>
      <c r="B227" t="s">
        <v>677</v>
      </c>
      <c r="D227" t="b">
        <v>1</v>
      </c>
      <c r="E227" t="s">
        <v>678</v>
      </c>
      <c r="F227">
        <v>287</v>
      </c>
      <c r="G227">
        <v>5</v>
      </c>
      <c r="J227" t="s">
        <v>679</v>
      </c>
      <c r="K227" t="s">
        <v>94</v>
      </c>
      <c r="L227" t="s">
        <v>95</v>
      </c>
      <c r="M227">
        <v>100</v>
      </c>
      <c r="N227" s="1" t="s">
        <v>96</v>
      </c>
      <c r="O227" s="1" t="s">
        <v>96</v>
      </c>
      <c r="P227">
        <v>27.77</v>
      </c>
      <c r="Q227" s="1" t="s">
        <v>96</v>
      </c>
      <c r="R227" s="1" t="s">
        <v>96</v>
      </c>
      <c r="S227" s="1" t="s">
        <v>96</v>
      </c>
      <c r="T227" s="1" t="s">
        <v>96</v>
      </c>
      <c r="U227" s="1" t="s">
        <v>96</v>
      </c>
      <c r="V227" s="1" t="s">
        <v>96</v>
      </c>
      <c r="W227" s="1" t="s">
        <v>96</v>
      </c>
      <c r="X227" s="1" t="s">
        <v>96</v>
      </c>
      <c r="Y227" s="1" t="s">
        <v>96</v>
      </c>
      <c r="Z227" t="s">
        <v>96</v>
      </c>
      <c r="AA227" s="1" t="s">
        <v>96</v>
      </c>
      <c r="AB227" t="s">
        <v>96</v>
      </c>
      <c r="AC227" t="s">
        <v>96</v>
      </c>
      <c r="AD227">
        <v>8</v>
      </c>
      <c r="AE227" s="1" t="s">
        <v>96</v>
      </c>
      <c r="AF227" t="s">
        <v>96</v>
      </c>
      <c r="AG227">
        <v>50.6</v>
      </c>
      <c r="AH227">
        <v>53.13</v>
      </c>
      <c r="AI227" s="1" t="s">
        <v>96</v>
      </c>
      <c r="AJ227" s="1">
        <v>2.64</v>
      </c>
      <c r="AK227" s="1" t="s">
        <v>96</v>
      </c>
      <c r="AL227" s="1" t="s">
        <v>96</v>
      </c>
      <c r="AM227" s="1" t="s">
        <v>96</v>
      </c>
      <c r="AN227" s="1" t="s">
        <v>96</v>
      </c>
      <c r="AO227" t="s">
        <v>96</v>
      </c>
      <c r="AP227">
        <v>5.75</v>
      </c>
      <c r="AQ227" s="1" t="s">
        <v>96</v>
      </c>
      <c r="AR227" s="1" t="s">
        <v>96</v>
      </c>
      <c r="AS227">
        <v>6.84</v>
      </c>
      <c r="AT227" t="s">
        <v>96</v>
      </c>
      <c r="AU227" s="1" t="s">
        <v>96</v>
      </c>
      <c r="AV227" s="1" t="s">
        <v>96</v>
      </c>
      <c r="AW227">
        <v>5.29</v>
      </c>
      <c r="AX227" s="1" t="s">
        <v>96</v>
      </c>
      <c r="AY227">
        <v>1841.52</v>
      </c>
      <c r="AZ227">
        <v>425.96</v>
      </c>
      <c r="BA227">
        <v>25.95</v>
      </c>
      <c r="BB227" s="1" t="s">
        <v>96</v>
      </c>
      <c r="BC227">
        <v>490.77</v>
      </c>
      <c r="BD227" s="1" t="s">
        <v>96</v>
      </c>
      <c r="BE227" s="1">
        <v>5.32</v>
      </c>
      <c r="BF227">
        <v>44.53</v>
      </c>
      <c r="BG227" s="1" t="s">
        <v>96</v>
      </c>
      <c r="BH227" s="1" t="s">
        <v>96</v>
      </c>
      <c r="BI227">
        <v>198.7</v>
      </c>
      <c r="BJ227">
        <v>89.83</v>
      </c>
      <c r="BK227" s="1" t="s">
        <v>96</v>
      </c>
      <c r="BL227" s="1">
        <v>5.56</v>
      </c>
      <c r="BM227">
        <v>2.8</v>
      </c>
      <c r="BN227">
        <v>80.489999999999995</v>
      </c>
      <c r="BO227">
        <v>163.38</v>
      </c>
      <c r="BP227" t="s">
        <v>96</v>
      </c>
      <c r="BQ227" s="1" t="s">
        <v>96</v>
      </c>
      <c r="BR227" s="1" t="s">
        <v>96</v>
      </c>
      <c r="BS227" s="1" t="s">
        <v>96</v>
      </c>
      <c r="BT227" s="1" t="s">
        <v>96</v>
      </c>
      <c r="BU227" s="1" t="s">
        <v>96</v>
      </c>
      <c r="BV227">
        <v>160.31</v>
      </c>
      <c r="BW227">
        <v>19.87</v>
      </c>
      <c r="BX227" s="1" t="s">
        <v>96</v>
      </c>
      <c r="BY227">
        <v>576.34</v>
      </c>
      <c r="BZ227">
        <v>26.7</v>
      </c>
      <c r="CA227" s="1" t="s">
        <v>96</v>
      </c>
      <c r="CB227">
        <v>6.91</v>
      </c>
      <c r="CC227">
        <v>102.76</v>
      </c>
      <c r="CD227" s="1" t="s">
        <v>96</v>
      </c>
    </row>
    <row r="228" spans="1:82">
      <c r="A228">
        <v>192</v>
      </c>
      <c r="B228" t="s">
        <v>671</v>
      </c>
      <c r="D228" t="b">
        <v>1</v>
      </c>
      <c r="E228" t="s">
        <v>672</v>
      </c>
      <c r="F228">
        <v>285</v>
      </c>
      <c r="G228">
        <v>5</v>
      </c>
      <c r="J228" t="s">
        <v>673</v>
      </c>
      <c r="K228" t="s">
        <v>94</v>
      </c>
      <c r="L228" t="s">
        <v>95</v>
      </c>
      <c r="M228">
        <v>100</v>
      </c>
      <c r="N228" s="1" t="s">
        <v>96</v>
      </c>
      <c r="O228" s="1" t="s">
        <v>96</v>
      </c>
      <c r="P228">
        <v>58.82</v>
      </c>
      <c r="Q228" s="1" t="s">
        <v>96</v>
      </c>
      <c r="R228" s="1" t="s">
        <v>96</v>
      </c>
      <c r="S228" s="1">
        <v>10.029999999999999</v>
      </c>
      <c r="T228" s="1" t="s">
        <v>96</v>
      </c>
      <c r="U228" s="1" t="s">
        <v>96</v>
      </c>
      <c r="V228" s="1" t="s">
        <v>96</v>
      </c>
      <c r="W228" s="1" t="s">
        <v>96</v>
      </c>
      <c r="X228" s="1" t="s">
        <v>96</v>
      </c>
      <c r="Y228" s="1" t="s">
        <v>96</v>
      </c>
      <c r="Z228">
        <v>1.28</v>
      </c>
      <c r="AA228" s="1" t="s">
        <v>96</v>
      </c>
      <c r="AB228">
        <v>8.7100000000000009</v>
      </c>
      <c r="AC228">
        <v>2.9</v>
      </c>
      <c r="AD228">
        <v>26.15</v>
      </c>
      <c r="AE228" s="1" t="s">
        <v>96</v>
      </c>
      <c r="AF228">
        <v>16.38</v>
      </c>
      <c r="AG228">
        <v>235.35</v>
      </c>
      <c r="AH228">
        <v>196.06</v>
      </c>
      <c r="AI228" s="1" t="s">
        <v>96</v>
      </c>
      <c r="AJ228" s="1">
        <v>1.04</v>
      </c>
      <c r="AK228" s="1" t="s">
        <v>96</v>
      </c>
      <c r="AL228" s="1" t="s">
        <v>96</v>
      </c>
      <c r="AM228" s="1" t="s">
        <v>96</v>
      </c>
      <c r="AN228" s="1" t="s">
        <v>96</v>
      </c>
      <c r="AO228">
        <v>37.130000000000003</v>
      </c>
      <c r="AP228">
        <v>14.12</v>
      </c>
      <c r="AQ228" s="1" t="s">
        <v>96</v>
      </c>
      <c r="AR228" s="1">
        <v>1.5</v>
      </c>
      <c r="AS228">
        <v>15.73</v>
      </c>
      <c r="AT228">
        <v>5.09</v>
      </c>
      <c r="AU228" s="1" t="s">
        <v>96</v>
      </c>
      <c r="AV228" s="1" t="s">
        <v>96</v>
      </c>
      <c r="AW228">
        <v>4.5599999999999996</v>
      </c>
      <c r="AX228" s="1" t="s">
        <v>96</v>
      </c>
      <c r="AY228">
        <v>1424.3</v>
      </c>
      <c r="AZ228">
        <v>354.41</v>
      </c>
      <c r="BA228">
        <v>29.37</v>
      </c>
      <c r="BB228" s="1" t="s">
        <v>96</v>
      </c>
      <c r="BC228">
        <v>331.73</v>
      </c>
      <c r="BD228" s="1" t="s">
        <v>96</v>
      </c>
      <c r="BE228" s="1">
        <v>4.91</v>
      </c>
      <c r="BF228">
        <v>42.33</v>
      </c>
      <c r="BG228" s="1" t="s">
        <v>96</v>
      </c>
      <c r="BH228" s="1" t="s">
        <v>96</v>
      </c>
      <c r="BI228">
        <v>131.55000000000001</v>
      </c>
      <c r="BJ228">
        <v>56.88</v>
      </c>
      <c r="BK228" s="1" t="s">
        <v>96</v>
      </c>
      <c r="BL228" s="1">
        <v>5.62</v>
      </c>
      <c r="BM228">
        <v>2.87</v>
      </c>
      <c r="BN228">
        <v>52.86</v>
      </c>
      <c r="BO228">
        <v>173.25</v>
      </c>
      <c r="BP228">
        <v>6.81</v>
      </c>
      <c r="BQ228" s="1" t="s">
        <v>96</v>
      </c>
      <c r="BR228" s="1" t="s">
        <v>96</v>
      </c>
      <c r="BS228" s="1" t="s">
        <v>96</v>
      </c>
      <c r="BT228" s="1" t="s">
        <v>96</v>
      </c>
      <c r="BU228" s="1" t="s">
        <v>96</v>
      </c>
      <c r="BV228">
        <v>183</v>
      </c>
      <c r="BW228">
        <v>24.6</v>
      </c>
      <c r="BX228" s="1" t="s">
        <v>96</v>
      </c>
      <c r="BY228">
        <v>666.41</v>
      </c>
      <c r="BZ228">
        <v>29.11</v>
      </c>
      <c r="CA228" s="1" t="s">
        <v>96</v>
      </c>
      <c r="CB228">
        <v>15.8</v>
      </c>
      <c r="CC228">
        <v>133.30000000000001</v>
      </c>
      <c r="CD228" s="1" t="s">
        <v>96</v>
      </c>
    </row>
    <row r="229" spans="1:82">
      <c r="A229">
        <v>197</v>
      </c>
      <c r="B229" t="s">
        <v>686</v>
      </c>
      <c r="D229" t="b">
        <v>1</v>
      </c>
      <c r="E229" t="s">
        <v>687</v>
      </c>
      <c r="F229">
        <v>290</v>
      </c>
      <c r="G229">
        <v>5</v>
      </c>
      <c r="J229" t="s">
        <v>688</v>
      </c>
      <c r="K229" t="s">
        <v>94</v>
      </c>
      <c r="L229" t="s">
        <v>95</v>
      </c>
      <c r="M229">
        <v>100</v>
      </c>
      <c r="N229" s="1" t="s">
        <v>96</v>
      </c>
      <c r="O229" s="1" t="s">
        <v>96</v>
      </c>
      <c r="P229">
        <v>21.17</v>
      </c>
      <c r="Q229" s="1" t="s">
        <v>96</v>
      </c>
      <c r="R229" s="1" t="s">
        <v>96</v>
      </c>
      <c r="S229" s="1" t="s">
        <v>96</v>
      </c>
      <c r="T229" s="1" t="s">
        <v>96</v>
      </c>
      <c r="U229" s="1" t="s">
        <v>96</v>
      </c>
      <c r="V229" s="1" t="s">
        <v>96</v>
      </c>
      <c r="W229" s="1" t="s">
        <v>96</v>
      </c>
      <c r="X229" s="1" t="s">
        <v>96</v>
      </c>
      <c r="Y229" s="1" t="s">
        <v>96</v>
      </c>
      <c r="Z229" t="s">
        <v>96</v>
      </c>
      <c r="AA229" s="1" t="s">
        <v>96</v>
      </c>
      <c r="AB229">
        <v>2.48</v>
      </c>
      <c r="AC229" t="s">
        <v>96</v>
      </c>
      <c r="AD229">
        <v>12.5</v>
      </c>
      <c r="AE229" s="1" t="s">
        <v>96</v>
      </c>
      <c r="AF229" t="s">
        <v>96</v>
      </c>
      <c r="AG229">
        <v>75.150000000000006</v>
      </c>
      <c r="AH229">
        <v>188.27</v>
      </c>
      <c r="AI229" s="1" t="s">
        <v>96</v>
      </c>
      <c r="AJ229" s="1">
        <v>1.28</v>
      </c>
      <c r="AK229" s="1" t="s">
        <v>96</v>
      </c>
      <c r="AL229" s="1" t="s">
        <v>96</v>
      </c>
      <c r="AM229" s="1" t="s">
        <v>96</v>
      </c>
      <c r="AN229" s="1" t="s">
        <v>96</v>
      </c>
      <c r="AO229" t="s">
        <v>96</v>
      </c>
      <c r="AP229">
        <v>5.85</v>
      </c>
      <c r="AQ229" s="1" t="s">
        <v>96</v>
      </c>
      <c r="AR229" s="1" t="s">
        <v>96</v>
      </c>
      <c r="AS229">
        <v>18.97</v>
      </c>
      <c r="AT229">
        <v>3.55</v>
      </c>
      <c r="AU229" s="1" t="s">
        <v>96</v>
      </c>
      <c r="AV229" s="1" t="s">
        <v>96</v>
      </c>
      <c r="AW229" t="s">
        <v>96</v>
      </c>
      <c r="AX229" s="1" t="s">
        <v>96</v>
      </c>
      <c r="AY229">
        <v>1854.85</v>
      </c>
      <c r="AZ229">
        <v>247.97</v>
      </c>
      <c r="BA229">
        <v>32.369999999999997</v>
      </c>
      <c r="BB229" s="1" t="s">
        <v>96</v>
      </c>
      <c r="BC229">
        <v>376.6</v>
      </c>
      <c r="BD229" s="1" t="s">
        <v>96</v>
      </c>
      <c r="BE229" s="1" t="s">
        <v>96</v>
      </c>
      <c r="BF229">
        <v>59.28</v>
      </c>
      <c r="BG229" s="1" t="s">
        <v>96</v>
      </c>
      <c r="BH229" s="1" t="s">
        <v>96</v>
      </c>
      <c r="BI229">
        <v>237.87</v>
      </c>
      <c r="BJ229">
        <v>62.92</v>
      </c>
      <c r="BK229" s="1" t="s">
        <v>96</v>
      </c>
      <c r="BL229" s="1">
        <v>12.13</v>
      </c>
      <c r="BM229">
        <v>4.25</v>
      </c>
      <c r="BN229">
        <v>85.17</v>
      </c>
      <c r="BO229">
        <v>104.04</v>
      </c>
      <c r="BP229" t="s">
        <v>96</v>
      </c>
      <c r="BQ229" s="1" t="s">
        <v>96</v>
      </c>
      <c r="BR229" s="1" t="s">
        <v>96</v>
      </c>
      <c r="BS229" s="1" t="s">
        <v>96</v>
      </c>
      <c r="BT229" s="1" t="s">
        <v>96</v>
      </c>
      <c r="BU229" s="1" t="s">
        <v>96</v>
      </c>
      <c r="BV229">
        <v>199.47</v>
      </c>
      <c r="BW229">
        <v>47.71</v>
      </c>
      <c r="BX229" s="1" t="s">
        <v>96</v>
      </c>
      <c r="BY229">
        <v>298.88</v>
      </c>
      <c r="BZ229">
        <v>40.020000000000003</v>
      </c>
      <c r="CA229" s="1" t="s">
        <v>96</v>
      </c>
      <c r="CB229">
        <v>11.78</v>
      </c>
      <c r="CC229">
        <v>92.24</v>
      </c>
      <c r="CD229" s="1" t="s">
        <v>96</v>
      </c>
    </row>
    <row r="230" spans="1:82">
      <c r="A230">
        <v>152</v>
      </c>
      <c r="B230" t="s">
        <v>551</v>
      </c>
      <c r="D230" t="b">
        <v>1</v>
      </c>
      <c r="E230" t="s">
        <v>552</v>
      </c>
      <c r="F230">
        <v>45</v>
      </c>
      <c r="G230">
        <v>4</v>
      </c>
      <c r="J230" t="s">
        <v>553</v>
      </c>
      <c r="K230" t="s">
        <v>94</v>
      </c>
      <c r="L230" t="s">
        <v>95</v>
      </c>
      <c r="M230">
        <v>100</v>
      </c>
      <c r="N230" s="1" t="s">
        <v>96</v>
      </c>
      <c r="O230" s="1" t="s">
        <v>96</v>
      </c>
      <c r="P230">
        <v>17.8</v>
      </c>
      <c r="Q230" s="1" t="s">
        <v>96</v>
      </c>
      <c r="R230" s="1" t="s">
        <v>96</v>
      </c>
      <c r="S230" s="1" t="s">
        <v>96</v>
      </c>
      <c r="T230" s="1" t="s">
        <v>96</v>
      </c>
      <c r="U230" s="1" t="s">
        <v>96</v>
      </c>
      <c r="V230" s="1" t="s">
        <v>96</v>
      </c>
      <c r="W230" s="1" t="s">
        <v>96</v>
      </c>
      <c r="X230" s="1" t="s">
        <v>96</v>
      </c>
      <c r="Y230" s="1" t="s">
        <v>96</v>
      </c>
      <c r="Z230">
        <v>3.23</v>
      </c>
      <c r="AA230" s="1" t="s">
        <v>96</v>
      </c>
      <c r="AB230">
        <v>35.03</v>
      </c>
      <c r="AC230" t="s">
        <v>96</v>
      </c>
      <c r="AD230">
        <v>88.85</v>
      </c>
      <c r="AE230" s="1" t="s">
        <v>96</v>
      </c>
      <c r="AF230" t="s">
        <v>96</v>
      </c>
      <c r="AG230">
        <v>2.8</v>
      </c>
      <c r="AH230" t="s">
        <v>133</v>
      </c>
      <c r="AI230" s="1" t="s">
        <v>96</v>
      </c>
      <c r="AJ230" s="1" t="s">
        <v>96</v>
      </c>
      <c r="AK230" s="1" t="s">
        <v>96</v>
      </c>
      <c r="AL230" s="1" t="s">
        <v>96</v>
      </c>
      <c r="AM230" s="1" t="s">
        <v>96</v>
      </c>
      <c r="AN230" s="1">
        <v>6.05</v>
      </c>
      <c r="AO230">
        <v>887</v>
      </c>
      <c r="AP230">
        <v>406.46</v>
      </c>
      <c r="AQ230" s="1" t="s">
        <v>96</v>
      </c>
      <c r="AR230" s="1">
        <v>5</v>
      </c>
      <c r="AS230" t="s">
        <v>133</v>
      </c>
      <c r="AT230">
        <v>42.09</v>
      </c>
      <c r="AU230" s="1" t="s">
        <v>96</v>
      </c>
      <c r="AV230" s="1" t="s">
        <v>96</v>
      </c>
      <c r="AW230" t="s">
        <v>96</v>
      </c>
      <c r="AX230" s="1" t="s">
        <v>96</v>
      </c>
      <c r="AY230" t="s">
        <v>133</v>
      </c>
      <c r="AZ230" t="s">
        <v>96</v>
      </c>
      <c r="BA230">
        <v>309.08</v>
      </c>
      <c r="BB230" s="1" t="s">
        <v>96</v>
      </c>
      <c r="BC230" t="s">
        <v>133</v>
      </c>
      <c r="BD230" s="1" t="s">
        <v>96</v>
      </c>
      <c r="BE230" s="1" t="s">
        <v>96</v>
      </c>
      <c r="BF230">
        <v>16.47</v>
      </c>
      <c r="BG230" s="1">
        <v>10.62</v>
      </c>
      <c r="BH230" s="1" t="s">
        <v>96</v>
      </c>
      <c r="BI230">
        <v>232.44</v>
      </c>
      <c r="BJ230" t="s">
        <v>96</v>
      </c>
      <c r="BK230" s="1" t="s">
        <v>96</v>
      </c>
      <c r="BL230" s="1" t="s">
        <v>96</v>
      </c>
      <c r="BM230" t="s">
        <v>96</v>
      </c>
      <c r="BN230">
        <v>99.33</v>
      </c>
      <c r="BO230" t="s">
        <v>96</v>
      </c>
      <c r="BP230" t="s">
        <v>96</v>
      </c>
      <c r="BQ230" s="1" t="s">
        <v>96</v>
      </c>
      <c r="BR230" s="1" t="s">
        <v>96</v>
      </c>
      <c r="BS230" s="1" t="s">
        <v>96</v>
      </c>
      <c r="BT230" s="1">
        <v>15.04</v>
      </c>
      <c r="BU230" s="1">
        <v>9.4499999999999993</v>
      </c>
      <c r="BV230">
        <v>207.08</v>
      </c>
      <c r="BW230">
        <v>14.1</v>
      </c>
      <c r="BX230" s="1">
        <v>6.73</v>
      </c>
      <c r="BY230" t="s">
        <v>96</v>
      </c>
      <c r="BZ230" t="s">
        <v>96</v>
      </c>
      <c r="CA230" s="1" t="s">
        <v>96</v>
      </c>
      <c r="CB230">
        <v>112.56</v>
      </c>
      <c r="CC230" t="s">
        <v>96</v>
      </c>
      <c r="CD230" s="1" t="s">
        <v>96</v>
      </c>
    </row>
    <row r="231" spans="1:82">
      <c r="A231">
        <v>61</v>
      </c>
      <c r="B231" t="s">
        <v>278</v>
      </c>
      <c r="D231" t="b">
        <v>1</v>
      </c>
      <c r="E231" t="s">
        <v>279</v>
      </c>
      <c r="F231">
        <v>92</v>
      </c>
      <c r="G231">
        <v>2</v>
      </c>
      <c r="J231" t="s">
        <v>280</v>
      </c>
      <c r="K231" t="s">
        <v>94</v>
      </c>
      <c r="L231" t="s">
        <v>95</v>
      </c>
      <c r="M231">
        <v>100</v>
      </c>
      <c r="N231" s="1" t="s">
        <v>96</v>
      </c>
      <c r="O231" s="1" t="s">
        <v>96</v>
      </c>
      <c r="P231">
        <v>10.83</v>
      </c>
      <c r="Q231" s="1" t="s">
        <v>96</v>
      </c>
      <c r="R231" s="1" t="s">
        <v>96</v>
      </c>
      <c r="S231" s="1" t="s">
        <v>96</v>
      </c>
      <c r="T231" s="1" t="s">
        <v>96</v>
      </c>
      <c r="U231" s="1" t="s">
        <v>96</v>
      </c>
      <c r="V231" s="1" t="s">
        <v>96</v>
      </c>
      <c r="W231" s="1" t="s">
        <v>96</v>
      </c>
      <c r="X231" s="1" t="s">
        <v>96</v>
      </c>
      <c r="Y231" s="1" t="s">
        <v>96</v>
      </c>
      <c r="Z231" t="s">
        <v>96</v>
      </c>
      <c r="AA231" s="1" t="s">
        <v>96</v>
      </c>
      <c r="AB231">
        <v>14.01</v>
      </c>
      <c r="AC231" t="s">
        <v>96</v>
      </c>
      <c r="AD231">
        <v>1.49</v>
      </c>
      <c r="AE231" s="1" t="s">
        <v>96</v>
      </c>
      <c r="AF231" t="s">
        <v>96</v>
      </c>
      <c r="AG231" t="s">
        <v>96</v>
      </c>
      <c r="AH231">
        <v>153.94</v>
      </c>
      <c r="AI231" s="1" t="s">
        <v>96</v>
      </c>
      <c r="AJ231" s="1" t="s">
        <v>96</v>
      </c>
      <c r="AK231" s="1" t="s">
        <v>96</v>
      </c>
      <c r="AL231" s="1" t="s">
        <v>96</v>
      </c>
      <c r="AM231" s="1" t="s">
        <v>96</v>
      </c>
      <c r="AN231" s="1">
        <v>1.02</v>
      </c>
      <c r="AO231">
        <v>2106.02</v>
      </c>
      <c r="AP231">
        <v>11.97</v>
      </c>
      <c r="AQ231" s="1" t="s">
        <v>96</v>
      </c>
      <c r="AR231" s="1" t="s">
        <v>96</v>
      </c>
      <c r="AS231">
        <v>142.72</v>
      </c>
      <c r="AT231">
        <v>1.1299999999999999</v>
      </c>
      <c r="AU231" s="1" t="s">
        <v>96</v>
      </c>
      <c r="AV231" s="1" t="s">
        <v>96</v>
      </c>
      <c r="AW231" t="s">
        <v>96</v>
      </c>
      <c r="AX231" s="1" t="s">
        <v>96</v>
      </c>
      <c r="AY231">
        <v>1050.6099999999999</v>
      </c>
      <c r="AZ231" t="s">
        <v>96</v>
      </c>
      <c r="BA231">
        <v>92.57</v>
      </c>
      <c r="BB231" s="1" t="s">
        <v>96</v>
      </c>
      <c r="BC231">
        <v>920.79</v>
      </c>
      <c r="BD231" s="1" t="s">
        <v>96</v>
      </c>
      <c r="BE231" s="1" t="s">
        <v>96</v>
      </c>
      <c r="BF231">
        <v>28.55</v>
      </c>
      <c r="BG231" s="1" t="s">
        <v>96</v>
      </c>
      <c r="BH231" s="1" t="s">
        <v>96</v>
      </c>
      <c r="BI231" t="s">
        <v>96</v>
      </c>
      <c r="BJ231" t="s">
        <v>96</v>
      </c>
      <c r="BK231" s="1" t="s">
        <v>96</v>
      </c>
      <c r="BL231" s="1" t="s">
        <v>96</v>
      </c>
      <c r="BM231" t="s">
        <v>96</v>
      </c>
      <c r="BN231">
        <v>4.16</v>
      </c>
      <c r="BO231" t="s">
        <v>96</v>
      </c>
      <c r="BP231" t="s">
        <v>96</v>
      </c>
      <c r="BQ231" s="1" t="s">
        <v>96</v>
      </c>
      <c r="BR231" s="1" t="s">
        <v>96</v>
      </c>
      <c r="BS231" s="1" t="s">
        <v>96</v>
      </c>
      <c r="BT231" s="1" t="s">
        <v>96</v>
      </c>
      <c r="BU231" s="1" t="s">
        <v>96</v>
      </c>
      <c r="BV231">
        <v>161.83000000000001</v>
      </c>
      <c r="BW231" t="s">
        <v>96</v>
      </c>
      <c r="BX231" s="1" t="s">
        <v>96</v>
      </c>
      <c r="BY231" t="s">
        <v>96</v>
      </c>
      <c r="BZ231" t="s">
        <v>96</v>
      </c>
      <c r="CA231" s="1" t="s">
        <v>96</v>
      </c>
      <c r="CB231">
        <v>28.5</v>
      </c>
      <c r="CC231" t="s">
        <v>96</v>
      </c>
      <c r="CD231" s="1" t="s">
        <v>96</v>
      </c>
    </row>
    <row r="232" spans="1:82">
      <c r="A232">
        <v>159</v>
      </c>
      <c r="B232" t="s">
        <v>572</v>
      </c>
      <c r="D232" t="b">
        <v>1</v>
      </c>
      <c r="E232" t="s">
        <v>573</v>
      </c>
      <c r="F232">
        <v>52</v>
      </c>
      <c r="G232">
        <v>4</v>
      </c>
      <c r="J232" t="s">
        <v>574</v>
      </c>
      <c r="K232" t="s">
        <v>94</v>
      </c>
      <c r="L232" t="s">
        <v>95</v>
      </c>
      <c r="M232">
        <v>100</v>
      </c>
      <c r="N232" s="1" t="s">
        <v>96</v>
      </c>
      <c r="O232" s="1" t="s">
        <v>96</v>
      </c>
      <c r="P232">
        <v>32.369999999999997</v>
      </c>
      <c r="Q232" s="1" t="s">
        <v>96</v>
      </c>
      <c r="R232" s="1" t="s">
        <v>96</v>
      </c>
      <c r="S232" s="1">
        <v>8.76</v>
      </c>
      <c r="T232" s="1" t="s">
        <v>96</v>
      </c>
      <c r="U232" s="1" t="s">
        <v>96</v>
      </c>
      <c r="V232" s="1" t="s">
        <v>96</v>
      </c>
      <c r="W232" s="1" t="s">
        <v>96</v>
      </c>
      <c r="X232" s="1" t="s">
        <v>96</v>
      </c>
      <c r="Y232" s="1" t="s">
        <v>96</v>
      </c>
      <c r="Z232" t="s">
        <v>96</v>
      </c>
      <c r="AA232" s="1" t="s">
        <v>96</v>
      </c>
      <c r="AB232">
        <v>8.2899999999999991</v>
      </c>
      <c r="AC232">
        <v>10.55</v>
      </c>
      <c r="AD232">
        <v>228.73</v>
      </c>
      <c r="AE232" s="1" t="s">
        <v>96</v>
      </c>
      <c r="AF232">
        <v>25.22</v>
      </c>
      <c r="AG232">
        <v>556.62</v>
      </c>
      <c r="AH232">
        <v>497.59</v>
      </c>
      <c r="AI232" s="1">
        <v>2.59</v>
      </c>
      <c r="AJ232" s="1" t="s">
        <v>96</v>
      </c>
      <c r="AK232" s="1" t="s">
        <v>96</v>
      </c>
      <c r="AL232" s="1" t="s">
        <v>96</v>
      </c>
      <c r="AM232" s="1" t="s">
        <v>96</v>
      </c>
      <c r="AN232" s="1" t="s">
        <v>96</v>
      </c>
      <c r="AO232">
        <v>169.27</v>
      </c>
      <c r="AP232">
        <v>148.38999999999999</v>
      </c>
      <c r="AQ232" s="1" t="s">
        <v>96</v>
      </c>
      <c r="AR232" s="1" t="s">
        <v>96</v>
      </c>
      <c r="AS232">
        <v>399.53</v>
      </c>
      <c r="AT232">
        <v>11.44</v>
      </c>
      <c r="AU232" s="1" t="s">
        <v>96</v>
      </c>
      <c r="AV232" s="1" t="s">
        <v>96</v>
      </c>
      <c r="AW232">
        <v>3.85</v>
      </c>
      <c r="AX232" s="1" t="s">
        <v>96</v>
      </c>
      <c r="AY232">
        <v>1006.54</v>
      </c>
      <c r="AZ232">
        <v>402.73</v>
      </c>
      <c r="BA232">
        <v>223.38</v>
      </c>
      <c r="BB232" s="1" t="s">
        <v>96</v>
      </c>
      <c r="BC232">
        <v>494.95</v>
      </c>
      <c r="BD232" s="1" t="s">
        <v>96</v>
      </c>
      <c r="BE232" s="1" t="s">
        <v>96</v>
      </c>
      <c r="BF232">
        <v>12.86</v>
      </c>
      <c r="BG232" s="1">
        <v>8.67</v>
      </c>
      <c r="BH232" s="1" t="s">
        <v>96</v>
      </c>
      <c r="BI232">
        <v>82.17</v>
      </c>
      <c r="BJ232">
        <v>26.81</v>
      </c>
      <c r="BK232" s="1" t="s">
        <v>96</v>
      </c>
      <c r="BL232" s="1" t="s">
        <v>96</v>
      </c>
      <c r="BM232">
        <v>2.69</v>
      </c>
      <c r="BN232">
        <v>36.56</v>
      </c>
      <c r="BO232">
        <v>54.46</v>
      </c>
      <c r="BP232">
        <v>5.42</v>
      </c>
      <c r="BQ232" s="1" t="s">
        <v>96</v>
      </c>
      <c r="BR232" s="1" t="s">
        <v>96</v>
      </c>
      <c r="BS232" s="1" t="s">
        <v>96</v>
      </c>
      <c r="BT232" s="1" t="s">
        <v>96</v>
      </c>
      <c r="BU232" s="1">
        <v>17.11</v>
      </c>
      <c r="BV232">
        <v>99.28</v>
      </c>
      <c r="BW232">
        <v>15.25</v>
      </c>
      <c r="BX232" s="1" t="s">
        <v>96</v>
      </c>
      <c r="BY232">
        <v>360.94</v>
      </c>
      <c r="BZ232">
        <v>14.33</v>
      </c>
      <c r="CA232" s="1">
        <v>10.130000000000001</v>
      </c>
      <c r="CB232">
        <v>69.06</v>
      </c>
      <c r="CC232">
        <v>109.81</v>
      </c>
      <c r="CD232" s="1" t="s">
        <v>96</v>
      </c>
    </row>
    <row r="233" spans="1:82">
      <c r="A233">
        <v>31</v>
      </c>
      <c r="B233" t="s">
        <v>188</v>
      </c>
      <c r="D233" t="b">
        <v>1</v>
      </c>
      <c r="E233" t="s">
        <v>189</v>
      </c>
      <c r="F233">
        <v>224</v>
      </c>
      <c r="G233">
        <v>1</v>
      </c>
      <c r="J233" t="s">
        <v>190</v>
      </c>
      <c r="K233" t="s">
        <v>94</v>
      </c>
      <c r="L233" t="s">
        <v>95</v>
      </c>
      <c r="M233">
        <v>100</v>
      </c>
      <c r="N233" s="1" t="s">
        <v>96</v>
      </c>
      <c r="O233" s="1" t="s">
        <v>96</v>
      </c>
      <c r="P233">
        <v>14.52</v>
      </c>
      <c r="Q233" s="1" t="s">
        <v>96</v>
      </c>
      <c r="R233" s="1" t="s">
        <v>96</v>
      </c>
      <c r="S233" s="1" t="s">
        <v>96</v>
      </c>
      <c r="T233" s="1" t="s">
        <v>96</v>
      </c>
      <c r="U233" s="1" t="s">
        <v>96</v>
      </c>
      <c r="V233" s="1" t="s">
        <v>96</v>
      </c>
      <c r="W233" s="1" t="s">
        <v>96</v>
      </c>
      <c r="X233" s="1" t="s">
        <v>96</v>
      </c>
      <c r="Y233" s="1" t="s">
        <v>96</v>
      </c>
      <c r="Z233" t="s">
        <v>96</v>
      </c>
      <c r="AA233" s="1" t="s">
        <v>96</v>
      </c>
      <c r="AB233">
        <v>1.53</v>
      </c>
      <c r="AC233">
        <v>1.58</v>
      </c>
      <c r="AD233">
        <v>14.07</v>
      </c>
      <c r="AE233" s="1" t="s">
        <v>96</v>
      </c>
      <c r="AF233" t="s">
        <v>96</v>
      </c>
      <c r="AG233">
        <v>49.01</v>
      </c>
      <c r="AH233">
        <v>55.61</v>
      </c>
      <c r="AI233" s="1" t="s">
        <v>96</v>
      </c>
      <c r="AJ233" s="1" t="s">
        <v>96</v>
      </c>
      <c r="AK233" s="1" t="s">
        <v>96</v>
      </c>
      <c r="AL233" s="1" t="s">
        <v>96</v>
      </c>
      <c r="AM233" s="1" t="s">
        <v>96</v>
      </c>
      <c r="AN233" s="1" t="s">
        <v>96</v>
      </c>
      <c r="AO233" t="s">
        <v>96</v>
      </c>
      <c r="AP233">
        <v>7.59</v>
      </c>
      <c r="AQ233" s="1" t="s">
        <v>96</v>
      </c>
      <c r="AR233" s="1" t="s">
        <v>96</v>
      </c>
      <c r="AS233">
        <v>21.44</v>
      </c>
      <c r="AT233" t="s">
        <v>96</v>
      </c>
      <c r="AU233" s="1" t="s">
        <v>96</v>
      </c>
      <c r="AV233" s="1" t="s">
        <v>96</v>
      </c>
      <c r="AW233" t="s">
        <v>96</v>
      </c>
      <c r="AX233" s="1" t="s">
        <v>96</v>
      </c>
      <c r="AY233">
        <v>1329.03</v>
      </c>
      <c r="AZ233">
        <v>303.51</v>
      </c>
      <c r="BA233">
        <v>72.349999999999994</v>
      </c>
      <c r="BB233" s="1" t="s">
        <v>96</v>
      </c>
      <c r="BC233">
        <v>422.2</v>
      </c>
      <c r="BD233" s="1" t="s">
        <v>96</v>
      </c>
      <c r="BE233" s="1">
        <v>3.62</v>
      </c>
      <c r="BF233">
        <v>21.36</v>
      </c>
      <c r="BG233" s="1">
        <v>13.9</v>
      </c>
      <c r="BH233" s="1" t="s">
        <v>96</v>
      </c>
      <c r="BI233">
        <v>497.03</v>
      </c>
      <c r="BJ233">
        <v>184.5</v>
      </c>
      <c r="BK233" s="1" t="s">
        <v>96</v>
      </c>
      <c r="BL233" s="1">
        <v>16.28</v>
      </c>
      <c r="BM233">
        <v>9.0299999999999994</v>
      </c>
      <c r="BN233">
        <v>198.37</v>
      </c>
      <c r="BO233">
        <v>166.17</v>
      </c>
      <c r="BP233" t="s">
        <v>96</v>
      </c>
      <c r="BQ233" s="1" t="s">
        <v>96</v>
      </c>
      <c r="BR233" s="1" t="s">
        <v>96</v>
      </c>
      <c r="BS233" s="1" t="s">
        <v>96</v>
      </c>
      <c r="BT233" s="1" t="s">
        <v>96</v>
      </c>
      <c r="BU233" s="1" t="s">
        <v>96</v>
      </c>
      <c r="BV233">
        <v>73.8</v>
      </c>
      <c r="BW233">
        <v>43.06</v>
      </c>
      <c r="BX233" s="1" t="s">
        <v>96</v>
      </c>
      <c r="BY233">
        <v>127.1</v>
      </c>
      <c r="BZ233">
        <v>50.4</v>
      </c>
      <c r="CA233" s="1" t="s">
        <v>96</v>
      </c>
      <c r="CB233">
        <v>8.2100000000000009</v>
      </c>
      <c r="CC233">
        <v>56.69</v>
      </c>
      <c r="CD233" s="1" t="s">
        <v>96</v>
      </c>
    </row>
    <row r="234" spans="1:82">
      <c r="A234">
        <v>144</v>
      </c>
      <c r="B234" t="s">
        <v>527</v>
      </c>
      <c r="D234" t="b">
        <v>1</v>
      </c>
      <c r="E234" t="s">
        <v>528</v>
      </c>
      <c r="F234">
        <v>35</v>
      </c>
      <c r="G234">
        <v>4</v>
      </c>
      <c r="J234" t="s">
        <v>529</v>
      </c>
      <c r="K234" t="s">
        <v>94</v>
      </c>
      <c r="L234" t="s">
        <v>95</v>
      </c>
      <c r="M234">
        <v>100</v>
      </c>
      <c r="N234" s="1" t="s">
        <v>96</v>
      </c>
      <c r="O234" s="1" t="s">
        <v>96</v>
      </c>
      <c r="P234">
        <v>27.1</v>
      </c>
      <c r="Q234" s="1" t="s">
        <v>96</v>
      </c>
      <c r="R234" s="1">
        <v>15.37</v>
      </c>
      <c r="S234" s="1">
        <v>8.11</v>
      </c>
      <c r="T234" s="1" t="s">
        <v>96</v>
      </c>
      <c r="U234" s="1" t="s">
        <v>96</v>
      </c>
      <c r="V234" s="1" t="s">
        <v>96</v>
      </c>
      <c r="W234" s="1" t="s">
        <v>96</v>
      </c>
      <c r="X234" s="1" t="s">
        <v>96</v>
      </c>
      <c r="Y234" s="1" t="s">
        <v>96</v>
      </c>
      <c r="Z234">
        <v>1.75</v>
      </c>
      <c r="AA234" s="1" t="s">
        <v>96</v>
      </c>
      <c r="AB234">
        <v>9.56</v>
      </c>
      <c r="AC234">
        <v>38.64</v>
      </c>
      <c r="AD234">
        <v>240.11</v>
      </c>
      <c r="AE234" s="1" t="s">
        <v>96</v>
      </c>
      <c r="AF234">
        <v>30.24</v>
      </c>
      <c r="AG234">
        <v>395.03</v>
      </c>
      <c r="AH234">
        <v>104.02</v>
      </c>
      <c r="AI234" s="1" t="s">
        <v>96</v>
      </c>
      <c r="AJ234" s="1" t="s">
        <v>96</v>
      </c>
      <c r="AK234" s="1" t="s">
        <v>96</v>
      </c>
      <c r="AL234" s="1" t="s">
        <v>96</v>
      </c>
      <c r="AM234" s="1" t="s">
        <v>96</v>
      </c>
      <c r="AN234" s="1">
        <v>1.57</v>
      </c>
      <c r="AO234" t="s">
        <v>96</v>
      </c>
      <c r="AP234">
        <v>52.07</v>
      </c>
      <c r="AQ234" s="1">
        <v>1.85</v>
      </c>
      <c r="AR234" s="1" t="s">
        <v>96</v>
      </c>
      <c r="AS234">
        <v>58.92</v>
      </c>
      <c r="AT234">
        <v>2.71</v>
      </c>
      <c r="AU234" s="1" t="s">
        <v>96</v>
      </c>
      <c r="AV234" s="1" t="s">
        <v>96</v>
      </c>
      <c r="AW234">
        <v>34.770000000000003</v>
      </c>
      <c r="AX234" s="1">
        <v>2.59</v>
      </c>
      <c r="AY234" t="s">
        <v>133</v>
      </c>
      <c r="AZ234" t="s">
        <v>133</v>
      </c>
      <c r="BA234">
        <v>245.38</v>
      </c>
      <c r="BB234" s="1" t="s">
        <v>96</v>
      </c>
      <c r="BC234" t="s">
        <v>133</v>
      </c>
      <c r="BD234" s="1" t="s">
        <v>96</v>
      </c>
      <c r="BE234" s="1">
        <v>14.57</v>
      </c>
      <c r="BF234">
        <v>25.07</v>
      </c>
      <c r="BG234" s="1">
        <v>18.12</v>
      </c>
      <c r="BH234" s="1" t="s">
        <v>96</v>
      </c>
      <c r="BI234">
        <v>703.33</v>
      </c>
      <c r="BJ234">
        <v>407.33</v>
      </c>
      <c r="BK234" s="1" t="s">
        <v>96</v>
      </c>
      <c r="BL234" s="1" t="s">
        <v>96</v>
      </c>
      <c r="BM234" t="s">
        <v>96</v>
      </c>
      <c r="BN234">
        <v>934.19</v>
      </c>
      <c r="BO234">
        <v>48.23</v>
      </c>
      <c r="BP234">
        <v>5.97</v>
      </c>
      <c r="BQ234" s="1" t="s">
        <v>96</v>
      </c>
      <c r="BR234" s="1" t="s">
        <v>96</v>
      </c>
      <c r="BS234" s="1" t="s">
        <v>96</v>
      </c>
      <c r="BT234" s="1" t="s">
        <v>96</v>
      </c>
      <c r="BU234" s="1">
        <v>16.37</v>
      </c>
      <c r="BV234">
        <v>118.12</v>
      </c>
      <c r="BW234">
        <v>5.96</v>
      </c>
      <c r="BX234" s="1" t="s">
        <v>96</v>
      </c>
      <c r="BY234">
        <v>608.11</v>
      </c>
      <c r="BZ234">
        <v>15.92</v>
      </c>
      <c r="CA234" s="1" t="s">
        <v>96</v>
      </c>
      <c r="CB234">
        <v>25.1</v>
      </c>
      <c r="CC234">
        <v>157.11000000000001</v>
      </c>
      <c r="CD234" s="1" t="s">
        <v>96</v>
      </c>
    </row>
    <row r="235" spans="1:82">
      <c r="A235">
        <v>19</v>
      </c>
      <c r="B235" t="s">
        <v>152</v>
      </c>
      <c r="D235" t="b">
        <v>1</v>
      </c>
      <c r="E235" t="s">
        <v>153</v>
      </c>
      <c r="F235">
        <v>208</v>
      </c>
      <c r="G235">
        <v>1</v>
      </c>
      <c r="J235" t="s">
        <v>154</v>
      </c>
      <c r="K235" t="s">
        <v>94</v>
      </c>
      <c r="L235" t="s">
        <v>95</v>
      </c>
      <c r="M235">
        <v>100</v>
      </c>
      <c r="N235" s="1" t="s">
        <v>96</v>
      </c>
      <c r="O235" s="1" t="s">
        <v>96</v>
      </c>
      <c r="P235">
        <v>26.89</v>
      </c>
      <c r="Q235" s="1" t="s">
        <v>96</v>
      </c>
      <c r="R235" s="1" t="s">
        <v>96</v>
      </c>
      <c r="S235" s="1" t="s">
        <v>96</v>
      </c>
      <c r="T235" s="1" t="s">
        <v>96</v>
      </c>
      <c r="U235" s="1" t="s">
        <v>96</v>
      </c>
      <c r="V235" s="1" t="s">
        <v>96</v>
      </c>
      <c r="W235" s="1" t="s">
        <v>96</v>
      </c>
      <c r="X235" s="1" t="s">
        <v>96</v>
      </c>
      <c r="Y235" s="1" t="s">
        <v>96</v>
      </c>
      <c r="Z235" t="s">
        <v>96</v>
      </c>
      <c r="AA235" s="1" t="s">
        <v>96</v>
      </c>
      <c r="AB235">
        <v>10.44</v>
      </c>
      <c r="AC235">
        <v>7.7</v>
      </c>
      <c r="AD235">
        <v>205.69</v>
      </c>
      <c r="AE235" s="1" t="s">
        <v>96</v>
      </c>
      <c r="AF235">
        <v>10.130000000000001</v>
      </c>
      <c r="AG235">
        <v>185.24</v>
      </c>
      <c r="AH235">
        <v>97.97</v>
      </c>
      <c r="AI235" s="1" t="s">
        <v>96</v>
      </c>
      <c r="AJ235" s="1" t="s">
        <v>96</v>
      </c>
      <c r="AK235" s="1" t="s">
        <v>96</v>
      </c>
      <c r="AL235" s="1" t="s">
        <v>96</v>
      </c>
      <c r="AM235" s="1" t="s">
        <v>96</v>
      </c>
      <c r="AN235" s="1" t="s">
        <v>96</v>
      </c>
      <c r="AO235">
        <v>377.96</v>
      </c>
      <c r="AP235">
        <v>75.930000000000007</v>
      </c>
      <c r="AQ235" s="1" t="s">
        <v>96</v>
      </c>
      <c r="AR235" s="1" t="s">
        <v>96</v>
      </c>
      <c r="AS235">
        <v>51.33</v>
      </c>
      <c r="AT235">
        <v>11.46</v>
      </c>
      <c r="AU235" s="1" t="s">
        <v>96</v>
      </c>
      <c r="AV235" s="1" t="s">
        <v>96</v>
      </c>
      <c r="AW235">
        <v>3.1</v>
      </c>
      <c r="AX235" s="1" t="s">
        <v>96</v>
      </c>
      <c r="AY235">
        <v>164.96</v>
      </c>
      <c r="AZ235">
        <v>69.849999999999994</v>
      </c>
      <c r="BA235">
        <v>41.15</v>
      </c>
      <c r="BB235" s="1" t="s">
        <v>96</v>
      </c>
      <c r="BC235">
        <v>36.33</v>
      </c>
      <c r="BD235" s="1" t="s">
        <v>96</v>
      </c>
      <c r="BE235" s="1" t="s">
        <v>96</v>
      </c>
      <c r="BF235">
        <v>10.86</v>
      </c>
      <c r="BG235" s="1" t="s">
        <v>96</v>
      </c>
      <c r="BH235" s="1" t="s">
        <v>96</v>
      </c>
      <c r="BI235">
        <v>16.72</v>
      </c>
      <c r="BJ235">
        <v>6.68</v>
      </c>
      <c r="BK235" s="1" t="s">
        <v>96</v>
      </c>
      <c r="BL235" s="1" t="s">
        <v>96</v>
      </c>
      <c r="BM235">
        <v>3.32</v>
      </c>
      <c r="BN235">
        <v>3.35</v>
      </c>
      <c r="BO235">
        <v>69.66</v>
      </c>
      <c r="BP235">
        <v>4.62</v>
      </c>
      <c r="BQ235" s="1" t="s">
        <v>96</v>
      </c>
      <c r="BR235" s="1" t="s">
        <v>96</v>
      </c>
      <c r="BS235" s="1">
        <v>10.31</v>
      </c>
      <c r="BT235" s="1">
        <v>5</v>
      </c>
      <c r="BU235" s="1">
        <v>6.64</v>
      </c>
      <c r="BV235">
        <v>99.4</v>
      </c>
      <c r="BW235">
        <v>22.02</v>
      </c>
      <c r="BX235" s="1" t="s">
        <v>96</v>
      </c>
      <c r="BY235">
        <v>239.4</v>
      </c>
      <c r="BZ235">
        <v>34.79</v>
      </c>
      <c r="CA235" s="1" t="s">
        <v>96</v>
      </c>
      <c r="CB235">
        <v>32.94</v>
      </c>
      <c r="CC235">
        <v>118.97</v>
      </c>
      <c r="CD235" s="1" t="s">
        <v>96</v>
      </c>
    </row>
    <row r="236" spans="1:82">
      <c r="A236">
        <v>146</v>
      </c>
      <c r="B236" t="s">
        <v>533</v>
      </c>
      <c r="D236" t="b">
        <v>1</v>
      </c>
      <c r="E236" t="s">
        <v>534</v>
      </c>
      <c r="F236">
        <v>37</v>
      </c>
      <c r="G236">
        <v>4</v>
      </c>
      <c r="J236" t="s">
        <v>535</v>
      </c>
      <c r="K236" t="s">
        <v>94</v>
      </c>
      <c r="L236" t="s">
        <v>95</v>
      </c>
      <c r="M236">
        <v>100</v>
      </c>
      <c r="N236" s="1" t="s">
        <v>96</v>
      </c>
      <c r="O236" s="1" t="s">
        <v>96</v>
      </c>
      <c r="P236">
        <v>11.82</v>
      </c>
      <c r="Q236" s="1" t="s">
        <v>96</v>
      </c>
      <c r="R236" s="1" t="s">
        <v>96</v>
      </c>
      <c r="S236" s="1">
        <v>6.36</v>
      </c>
      <c r="T236" s="1" t="s">
        <v>96</v>
      </c>
      <c r="U236" s="1" t="s">
        <v>96</v>
      </c>
      <c r="V236" s="1" t="s">
        <v>96</v>
      </c>
      <c r="W236" s="1" t="s">
        <v>96</v>
      </c>
      <c r="X236" s="1" t="s">
        <v>96</v>
      </c>
      <c r="Y236" s="1" t="s">
        <v>96</v>
      </c>
      <c r="Z236">
        <v>1.27</v>
      </c>
      <c r="AA236" s="1" t="s">
        <v>96</v>
      </c>
      <c r="AB236">
        <v>1.94</v>
      </c>
      <c r="AC236">
        <v>2.73</v>
      </c>
      <c r="AD236">
        <v>354.57</v>
      </c>
      <c r="AE236" s="1" t="s">
        <v>96</v>
      </c>
      <c r="AF236">
        <v>20.74</v>
      </c>
      <c r="AG236">
        <v>150.93</v>
      </c>
      <c r="AH236">
        <v>89.37</v>
      </c>
      <c r="AI236" s="1">
        <v>2.66</v>
      </c>
      <c r="AJ236" s="1">
        <v>1.39</v>
      </c>
      <c r="AK236" s="1" t="s">
        <v>96</v>
      </c>
      <c r="AL236" s="1" t="s">
        <v>96</v>
      </c>
      <c r="AM236" s="1" t="s">
        <v>96</v>
      </c>
      <c r="AN236" s="1" t="s">
        <v>96</v>
      </c>
      <c r="AO236" t="s">
        <v>96</v>
      </c>
      <c r="AP236">
        <v>33.75</v>
      </c>
      <c r="AQ236" s="1">
        <v>2.2799999999999998</v>
      </c>
      <c r="AR236" s="1" t="s">
        <v>96</v>
      </c>
      <c r="AS236">
        <v>3.29</v>
      </c>
      <c r="AT236">
        <v>1.35</v>
      </c>
      <c r="AU236" s="1" t="s">
        <v>96</v>
      </c>
      <c r="AV236" s="1" t="s">
        <v>96</v>
      </c>
      <c r="AW236" t="s">
        <v>96</v>
      </c>
      <c r="AX236" s="1" t="s">
        <v>96</v>
      </c>
      <c r="AY236">
        <v>130.19</v>
      </c>
      <c r="AZ236">
        <v>49.3</v>
      </c>
      <c r="BA236">
        <v>26.23</v>
      </c>
      <c r="BB236" s="1" t="s">
        <v>96</v>
      </c>
      <c r="BC236">
        <v>35.79</v>
      </c>
      <c r="BD236" s="1" t="s">
        <v>96</v>
      </c>
      <c r="BE236" s="1" t="s">
        <v>96</v>
      </c>
      <c r="BF236">
        <v>9.75</v>
      </c>
      <c r="BG236" s="1">
        <v>2.9</v>
      </c>
      <c r="BH236" s="1" t="s">
        <v>96</v>
      </c>
      <c r="BI236">
        <v>38.53</v>
      </c>
      <c r="BJ236">
        <v>16.98</v>
      </c>
      <c r="BK236" s="1" t="s">
        <v>96</v>
      </c>
      <c r="BL236" s="1" t="s">
        <v>96</v>
      </c>
      <c r="BM236">
        <v>2.72</v>
      </c>
      <c r="BN236">
        <v>8.19</v>
      </c>
      <c r="BO236">
        <v>236.14</v>
      </c>
      <c r="BP236">
        <v>5.79</v>
      </c>
      <c r="BQ236" s="1" t="s">
        <v>96</v>
      </c>
      <c r="BR236" s="1" t="s">
        <v>96</v>
      </c>
      <c r="BS236" s="1" t="s">
        <v>96</v>
      </c>
      <c r="BT236" s="1" t="s">
        <v>96</v>
      </c>
      <c r="BU236" s="1">
        <v>13.19</v>
      </c>
      <c r="BV236">
        <v>84.83</v>
      </c>
      <c r="BW236">
        <v>29.59</v>
      </c>
      <c r="BX236" s="1" t="s">
        <v>96</v>
      </c>
      <c r="BY236">
        <v>575.23</v>
      </c>
      <c r="BZ236">
        <v>81.38</v>
      </c>
      <c r="CA236" s="1">
        <v>10.210000000000001</v>
      </c>
      <c r="CB236">
        <v>25.29</v>
      </c>
      <c r="CC236">
        <v>155.94</v>
      </c>
      <c r="CD236" s="1" t="s">
        <v>96</v>
      </c>
    </row>
    <row r="237" spans="1:82">
      <c r="A237">
        <v>11</v>
      </c>
      <c r="B237" t="s">
        <v>127</v>
      </c>
      <c r="D237" t="b">
        <v>1</v>
      </c>
      <c r="E237" t="s">
        <v>128</v>
      </c>
      <c r="F237">
        <v>200</v>
      </c>
      <c r="G237">
        <v>1</v>
      </c>
      <c r="J237" t="s">
        <v>129</v>
      </c>
      <c r="K237" t="s">
        <v>94</v>
      </c>
      <c r="L237" t="s">
        <v>95</v>
      </c>
      <c r="M237">
        <v>100</v>
      </c>
      <c r="N237" s="1" t="s">
        <v>96</v>
      </c>
      <c r="O237" s="1" t="s">
        <v>96</v>
      </c>
      <c r="P237">
        <v>28.65</v>
      </c>
      <c r="Q237" s="1" t="s">
        <v>96</v>
      </c>
      <c r="R237" s="1">
        <v>14.16</v>
      </c>
      <c r="S237" s="1">
        <v>14.42</v>
      </c>
      <c r="T237" s="1" t="s">
        <v>96</v>
      </c>
      <c r="U237" s="1" t="s">
        <v>96</v>
      </c>
      <c r="V237" s="1" t="s">
        <v>96</v>
      </c>
      <c r="W237" s="1" t="s">
        <v>96</v>
      </c>
      <c r="X237" s="1" t="s">
        <v>96</v>
      </c>
      <c r="Y237" s="1" t="s">
        <v>96</v>
      </c>
      <c r="Z237" t="s">
        <v>96</v>
      </c>
      <c r="AA237" s="1" t="s">
        <v>96</v>
      </c>
      <c r="AB237" t="s">
        <v>96</v>
      </c>
      <c r="AC237">
        <v>4.25</v>
      </c>
      <c r="AD237">
        <v>94.17</v>
      </c>
      <c r="AE237" s="1" t="s">
        <v>96</v>
      </c>
      <c r="AF237">
        <v>19.13</v>
      </c>
      <c r="AG237">
        <v>84.94</v>
      </c>
      <c r="AH237">
        <v>15.68</v>
      </c>
      <c r="AI237" s="1" t="s">
        <v>96</v>
      </c>
      <c r="AJ237" s="1">
        <v>3.04</v>
      </c>
      <c r="AK237" s="1" t="s">
        <v>96</v>
      </c>
      <c r="AL237" s="1" t="s">
        <v>96</v>
      </c>
      <c r="AM237" s="1" t="s">
        <v>96</v>
      </c>
      <c r="AN237" s="1" t="s">
        <v>96</v>
      </c>
      <c r="AO237">
        <v>250.95</v>
      </c>
      <c r="AP237">
        <v>28.81</v>
      </c>
      <c r="AQ237" s="1">
        <v>1.08</v>
      </c>
      <c r="AR237" s="1">
        <v>5.35</v>
      </c>
      <c r="AS237">
        <v>6.36</v>
      </c>
      <c r="AT237">
        <v>1.03</v>
      </c>
      <c r="AU237" s="1" t="s">
        <v>96</v>
      </c>
      <c r="AV237" s="1" t="s">
        <v>96</v>
      </c>
      <c r="AW237">
        <v>7.32</v>
      </c>
      <c r="AX237" s="1" t="s">
        <v>96</v>
      </c>
      <c r="AY237">
        <v>475.57</v>
      </c>
      <c r="AZ237">
        <v>232.8</v>
      </c>
      <c r="BA237">
        <v>50.82</v>
      </c>
      <c r="BB237" s="1" t="s">
        <v>96</v>
      </c>
      <c r="BC237">
        <v>96.99</v>
      </c>
      <c r="BD237" s="1" t="s">
        <v>96</v>
      </c>
      <c r="BE237" s="1">
        <v>13.75</v>
      </c>
      <c r="BF237">
        <v>4.03</v>
      </c>
      <c r="BG237" s="1">
        <v>5.85</v>
      </c>
      <c r="BH237" s="1" t="s">
        <v>96</v>
      </c>
      <c r="BI237">
        <v>151.69999999999999</v>
      </c>
      <c r="BJ237">
        <v>105.36</v>
      </c>
      <c r="BK237" s="1" t="s">
        <v>96</v>
      </c>
      <c r="BL237" s="1" t="s">
        <v>96</v>
      </c>
      <c r="BM237">
        <v>2.96</v>
      </c>
      <c r="BN237">
        <v>59.94</v>
      </c>
      <c r="BO237">
        <v>198.58</v>
      </c>
      <c r="BP237">
        <v>3.47</v>
      </c>
      <c r="BQ237" s="1" t="s">
        <v>96</v>
      </c>
      <c r="BR237" s="1" t="s">
        <v>96</v>
      </c>
      <c r="BS237" s="1" t="s">
        <v>96</v>
      </c>
      <c r="BT237" s="1" t="s">
        <v>96</v>
      </c>
      <c r="BU237" s="1">
        <v>10.24</v>
      </c>
      <c r="BV237">
        <v>29.92</v>
      </c>
      <c r="BW237">
        <v>11.55</v>
      </c>
      <c r="BX237" s="1" t="s">
        <v>96</v>
      </c>
      <c r="BY237">
        <v>191.7</v>
      </c>
      <c r="BZ237">
        <v>50.76</v>
      </c>
      <c r="CA237" s="1" t="s">
        <v>96</v>
      </c>
      <c r="CB237">
        <v>8.5299999999999994</v>
      </c>
      <c r="CC237">
        <v>77.180000000000007</v>
      </c>
      <c r="CD237" s="1" t="s">
        <v>96</v>
      </c>
    </row>
    <row r="238" spans="1:82">
      <c r="A238">
        <v>176</v>
      </c>
      <c r="B238" t="s">
        <v>623</v>
      </c>
      <c r="D238" t="b">
        <v>1</v>
      </c>
      <c r="E238" t="s">
        <v>624</v>
      </c>
      <c r="F238">
        <v>265</v>
      </c>
      <c r="G238">
        <v>5</v>
      </c>
      <c r="J238" t="s">
        <v>625</v>
      </c>
      <c r="K238" t="s">
        <v>94</v>
      </c>
      <c r="L238" t="s">
        <v>95</v>
      </c>
      <c r="M238">
        <v>100</v>
      </c>
      <c r="N238" s="1" t="s">
        <v>96</v>
      </c>
      <c r="O238" s="1" t="s">
        <v>96</v>
      </c>
      <c r="P238">
        <v>18.059999999999999</v>
      </c>
      <c r="Q238" s="1" t="s">
        <v>96</v>
      </c>
      <c r="R238" s="1" t="s">
        <v>96</v>
      </c>
      <c r="S238" s="1">
        <v>13.8</v>
      </c>
      <c r="T238" s="1" t="s">
        <v>96</v>
      </c>
      <c r="U238" s="1" t="s">
        <v>96</v>
      </c>
      <c r="V238" s="1" t="s">
        <v>96</v>
      </c>
      <c r="W238" s="1" t="s">
        <v>96</v>
      </c>
      <c r="X238" s="1" t="s">
        <v>96</v>
      </c>
      <c r="Y238" s="1" t="s">
        <v>96</v>
      </c>
      <c r="Z238" t="s">
        <v>96</v>
      </c>
      <c r="AA238" s="1" t="s">
        <v>96</v>
      </c>
      <c r="AB238" t="s">
        <v>96</v>
      </c>
      <c r="AC238">
        <v>9.51</v>
      </c>
      <c r="AD238">
        <v>23.15</v>
      </c>
      <c r="AE238" s="1" t="s">
        <v>96</v>
      </c>
      <c r="AF238">
        <v>74.900000000000006</v>
      </c>
      <c r="AG238">
        <v>344.54</v>
      </c>
      <c r="AH238">
        <v>45.88</v>
      </c>
      <c r="AI238" s="1">
        <v>2.76</v>
      </c>
      <c r="AJ238" s="1">
        <v>8.18</v>
      </c>
      <c r="AK238" s="1" t="s">
        <v>96</v>
      </c>
      <c r="AL238" s="1" t="s">
        <v>96</v>
      </c>
      <c r="AM238" s="1" t="s">
        <v>96</v>
      </c>
      <c r="AN238" s="1" t="s">
        <v>96</v>
      </c>
      <c r="AO238" t="s">
        <v>96</v>
      </c>
      <c r="AP238">
        <v>29.79</v>
      </c>
      <c r="AQ238" s="1" t="s">
        <v>96</v>
      </c>
      <c r="AR238" s="1">
        <v>1.29</v>
      </c>
      <c r="AS238">
        <v>104.62</v>
      </c>
      <c r="AT238">
        <v>6.78</v>
      </c>
      <c r="AU238" s="1" t="s">
        <v>96</v>
      </c>
      <c r="AV238" s="1" t="s">
        <v>96</v>
      </c>
      <c r="AW238">
        <v>6.25</v>
      </c>
      <c r="AX238" s="1" t="s">
        <v>96</v>
      </c>
      <c r="AY238">
        <v>283.5</v>
      </c>
      <c r="AZ238">
        <v>161.94999999999999</v>
      </c>
      <c r="BA238">
        <v>12.82</v>
      </c>
      <c r="BB238" s="1" t="s">
        <v>96</v>
      </c>
      <c r="BC238">
        <v>113.17</v>
      </c>
      <c r="BD238" s="1" t="s">
        <v>96</v>
      </c>
      <c r="BE238" s="1" t="s">
        <v>96</v>
      </c>
      <c r="BF238">
        <v>12.21</v>
      </c>
      <c r="BG238" s="1" t="s">
        <v>96</v>
      </c>
      <c r="BH238" s="1" t="s">
        <v>96</v>
      </c>
      <c r="BI238">
        <v>33.29</v>
      </c>
      <c r="BJ238">
        <v>26.41</v>
      </c>
      <c r="BK238" s="1" t="s">
        <v>96</v>
      </c>
      <c r="BL238" s="1" t="s">
        <v>96</v>
      </c>
      <c r="BM238">
        <v>2.76</v>
      </c>
      <c r="BN238">
        <v>16.73</v>
      </c>
      <c r="BO238">
        <v>144.18</v>
      </c>
      <c r="BP238">
        <v>6.03</v>
      </c>
      <c r="BQ238" s="1" t="s">
        <v>96</v>
      </c>
      <c r="BR238" s="1" t="s">
        <v>96</v>
      </c>
      <c r="BS238" s="1" t="s">
        <v>96</v>
      </c>
      <c r="BT238" s="1" t="s">
        <v>96</v>
      </c>
      <c r="BU238" s="1">
        <v>24.17</v>
      </c>
      <c r="BV238">
        <v>90.23</v>
      </c>
      <c r="BW238">
        <v>19.11</v>
      </c>
      <c r="BX238" s="1" t="s">
        <v>96</v>
      </c>
      <c r="BY238">
        <v>467.16</v>
      </c>
      <c r="BZ238">
        <v>64.319999999999993</v>
      </c>
      <c r="CA238" s="1" t="s">
        <v>96</v>
      </c>
      <c r="CB238">
        <v>6.58</v>
      </c>
      <c r="CC238">
        <v>226.19</v>
      </c>
      <c r="CD238" s="1" t="s">
        <v>96</v>
      </c>
    </row>
    <row r="239" spans="1:82">
      <c r="A239">
        <v>224</v>
      </c>
      <c r="B239" t="s">
        <v>767</v>
      </c>
      <c r="D239" t="b">
        <v>1</v>
      </c>
      <c r="E239" t="s">
        <v>768</v>
      </c>
      <c r="F239">
        <v>335</v>
      </c>
      <c r="G239">
        <v>6</v>
      </c>
      <c r="J239" t="s">
        <v>769</v>
      </c>
      <c r="K239" t="s">
        <v>94</v>
      </c>
      <c r="L239" t="s">
        <v>95</v>
      </c>
      <c r="M239">
        <v>100</v>
      </c>
      <c r="N239" s="1" t="s">
        <v>96</v>
      </c>
      <c r="O239" s="1" t="s">
        <v>96</v>
      </c>
      <c r="P239">
        <v>24.14</v>
      </c>
      <c r="Q239" s="1" t="s">
        <v>96</v>
      </c>
      <c r="R239" s="1" t="s">
        <v>96</v>
      </c>
      <c r="S239" s="1">
        <v>20.87</v>
      </c>
      <c r="T239" s="1" t="s">
        <v>96</v>
      </c>
      <c r="U239" s="1" t="s">
        <v>96</v>
      </c>
      <c r="V239" s="1" t="s">
        <v>96</v>
      </c>
      <c r="W239" s="1" t="s">
        <v>96</v>
      </c>
      <c r="X239" s="1" t="s">
        <v>96</v>
      </c>
      <c r="Y239" s="1" t="s">
        <v>96</v>
      </c>
      <c r="Z239" t="s">
        <v>96</v>
      </c>
      <c r="AA239" s="1" t="s">
        <v>96</v>
      </c>
      <c r="AB239">
        <v>7.77</v>
      </c>
      <c r="AC239">
        <v>10.47</v>
      </c>
      <c r="AD239">
        <v>60.43</v>
      </c>
      <c r="AE239" s="1" t="s">
        <v>96</v>
      </c>
      <c r="AF239">
        <v>32.92</v>
      </c>
      <c r="AG239">
        <v>270.36</v>
      </c>
      <c r="AH239">
        <v>136.68</v>
      </c>
      <c r="AI239" s="1">
        <v>3.95</v>
      </c>
      <c r="AJ239" s="1">
        <v>1.86</v>
      </c>
      <c r="AK239" s="1" t="s">
        <v>96</v>
      </c>
      <c r="AL239" s="1" t="s">
        <v>96</v>
      </c>
      <c r="AM239" s="1" t="s">
        <v>96</v>
      </c>
      <c r="AN239" s="1" t="s">
        <v>96</v>
      </c>
      <c r="AO239">
        <v>240.19</v>
      </c>
      <c r="AP239">
        <v>41.06</v>
      </c>
      <c r="AQ239" s="1" t="s">
        <v>96</v>
      </c>
      <c r="AR239" s="1">
        <v>3.36</v>
      </c>
      <c r="AS239">
        <v>260.39999999999998</v>
      </c>
      <c r="AT239">
        <v>7.97</v>
      </c>
      <c r="AU239" s="1" t="s">
        <v>96</v>
      </c>
      <c r="AV239" s="1" t="s">
        <v>96</v>
      </c>
      <c r="AW239">
        <v>3.78</v>
      </c>
      <c r="AX239" s="1" t="s">
        <v>96</v>
      </c>
      <c r="AY239">
        <v>1545.03</v>
      </c>
      <c r="AZ239">
        <v>677.17</v>
      </c>
      <c r="BA239">
        <v>64.3</v>
      </c>
      <c r="BB239" s="1" t="s">
        <v>96</v>
      </c>
      <c r="BC239">
        <v>910.33</v>
      </c>
      <c r="BD239" s="1" t="s">
        <v>96</v>
      </c>
      <c r="BE239" s="1">
        <v>5.83</v>
      </c>
      <c r="BF239">
        <v>16.489999999999998</v>
      </c>
      <c r="BG239" s="1">
        <v>3.25</v>
      </c>
      <c r="BH239" s="1" t="s">
        <v>96</v>
      </c>
      <c r="BI239">
        <v>168.63</v>
      </c>
      <c r="BJ239">
        <v>99.87</v>
      </c>
      <c r="BK239" s="1" t="s">
        <v>96</v>
      </c>
      <c r="BL239" s="1" t="s">
        <v>96</v>
      </c>
      <c r="BM239">
        <v>4.66</v>
      </c>
      <c r="BN239">
        <v>133.44999999999999</v>
      </c>
      <c r="BO239">
        <v>155.33000000000001</v>
      </c>
      <c r="BP239">
        <v>12.65</v>
      </c>
      <c r="BQ239" s="1" t="s">
        <v>96</v>
      </c>
      <c r="BR239" s="1" t="s">
        <v>96</v>
      </c>
      <c r="BS239" s="1" t="s">
        <v>96</v>
      </c>
      <c r="BT239" s="1" t="s">
        <v>96</v>
      </c>
      <c r="BU239" s="1">
        <v>7.61</v>
      </c>
      <c r="BV239">
        <v>112.08</v>
      </c>
      <c r="BW239">
        <v>18.510000000000002</v>
      </c>
      <c r="BX239" s="1" t="s">
        <v>96</v>
      </c>
      <c r="BY239">
        <v>714.97</v>
      </c>
      <c r="BZ239">
        <v>20.86</v>
      </c>
      <c r="CA239" s="1" t="s">
        <v>96</v>
      </c>
      <c r="CB239">
        <v>12.25</v>
      </c>
      <c r="CC239">
        <v>112.86</v>
      </c>
      <c r="CD239" s="1" t="s">
        <v>96</v>
      </c>
    </row>
    <row r="240" spans="1:82">
      <c r="A240">
        <v>93</v>
      </c>
      <c r="B240" t="s">
        <v>374</v>
      </c>
      <c r="D240" t="b">
        <v>1</v>
      </c>
      <c r="E240" t="s">
        <v>375</v>
      </c>
      <c r="F240">
        <v>142</v>
      </c>
      <c r="G240">
        <v>3</v>
      </c>
      <c r="J240" t="s">
        <v>376</v>
      </c>
      <c r="K240" t="s">
        <v>94</v>
      </c>
      <c r="L240" t="s">
        <v>95</v>
      </c>
      <c r="M240">
        <v>100</v>
      </c>
      <c r="N240" s="1" t="s">
        <v>96</v>
      </c>
      <c r="O240" s="1" t="s">
        <v>96</v>
      </c>
      <c r="P240">
        <v>19.649999999999999</v>
      </c>
      <c r="Q240" s="1" t="s">
        <v>96</v>
      </c>
      <c r="R240" s="1" t="s">
        <v>96</v>
      </c>
      <c r="S240" s="1">
        <v>9.24</v>
      </c>
      <c r="T240" s="1" t="s">
        <v>96</v>
      </c>
      <c r="U240" s="1" t="s">
        <v>96</v>
      </c>
      <c r="V240" s="1" t="s">
        <v>96</v>
      </c>
      <c r="W240" s="1" t="s">
        <v>96</v>
      </c>
      <c r="X240" s="1" t="s">
        <v>96</v>
      </c>
      <c r="Y240" s="1" t="s">
        <v>96</v>
      </c>
      <c r="Z240" t="s">
        <v>96</v>
      </c>
      <c r="AA240" s="1" t="s">
        <v>96</v>
      </c>
      <c r="AB240">
        <v>1.26</v>
      </c>
      <c r="AC240">
        <v>3.66</v>
      </c>
      <c r="AD240">
        <v>98.66</v>
      </c>
      <c r="AE240" s="1" t="s">
        <v>96</v>
      </c>
      <c r="AF240">
        <v>12.39</v>
      </c>
      <c r="AG240">
        <v>79.64</v>
      </c>
      <c r="AH240">
        <v>39.659999999999997</v>
      </c>
      <c r="AI240" s="1">
        <v>3.01</v>
      </c>
      <c r="AJ240" s="1">
        <v>2.46</v>
      </c>
      <c r="AK240" s="1" t="s">
        <v>96</v>
      </c>
      <c r="AL240" s="1" t="s">
        <v>96</v>
      </c>
      <c r="AM240" s="1" t="s">
        <v>96</v>
      </c>
      <c r="AN240" s="1" t="s">
        <v>96</v>
      </c>
      <c r="AO240">
        <v>117.47</v>
      </c>
      <c r="AP240">
        <v>7.62</v>
      </c>
      <c r="AQ240" s="1">
        <v>1.02</v>
      </c>
      <c r="AR240" s="1" t="s">
        <v>96</v>
      </c>
      <c r="AS240">
        <v>25.38</v>
      </c>
      <c r="AT240">
        <v>3.63</v>
      </c>
      <c r="AU240" s="1" t="s">
        <v>96</v>
      </c>
      <c r="AV240" s="1" t="s">
        <v>96</v>
      </c>
      <c r="AW240">
        <v>8.2799999999999994</v>
      </c>
      <c r="AX240" s="1" t="s">
        <v>96</v>
      </c>
      <c r="AY240">
        <v>524.99</v>
      </c>
      <c r="AZ240">
        <v>105.41</v>
      </c>
      <c r="BA240">
        <v>40.049999999999997</v>
      </c>
      <c r="BB240" s="1" t="s">
        <v>96</v>
      </c>
      <c r="BC240">
        <v>88.78</v>
      </c>
      <c r="BD240" s="1" t="s">
        <v>96</v>
      </c>
      <c r="BE240" s="1" t="s">
        <v>96</v>
      </c>
      <c r="BF240">
        <v>10.19</v>
      </c>
      <c r="BG240" s="1" t="s">
        <v>96</v>
      </c>
      <c r="BH240" s="1" t="s">
        <v>96</v>
      </c>
      <c r="BI240">
        <v>28.03</v>
      </c>
      <c r="BJ240">
        <v>5.94</v>
      </c>
      <c r="BK240" s="1" t="s">
        <v>96</v>
      </c>
      <c r="BL240" s="1" t="s">
        <v>96</v>
      </c>
      <c r="BM240">
        <v>2.78</v>
      </c>
      <c r="BN240">
        <v>4.92</v>
      </c>
      <c r="BO240">
        <v>51.36</v>
      </c>
      <c r="BP240">
        <v>5.45</v>
      </c>
      <c r="BQ240" s="1" t="s">
        <v>96</v>
      </c>
      <c r="BR240" s="1" t="s">
        <v>96</v>
      </c>
      <c r="BS240" s="1" t="s">
        <v>96</v>
      </c>
      <c r="BT240" s="1" t="s">
        <v>96</v>
      </c>
      <c r="BU240" s="1">
        <v>5.76</v>
      </c>
      <c r="BV240">
        <v>31.32</v>
      </c>
      <c r="BW240">
        <v>5.92</v>
      </c>
      <c r="BX240" s="1" t="s">
        <v>96</v>
      </c>
      <c r="BY240">
        <v>319.41000000000003</v>
      </c>
      <c r="BZ240">
        <v>7.79</v>
      </c>
      <c r="CA240" s="1" t="s">
        <v>96</v>
      </c>
      <c r="CB240">
        <v>5.2</v>
      </c>
      <c r="CC240">
        <v>36.44</v>
      </c>
      <c r="CD240" s="1" t="s">
        <v>96</v>
      </c>
    </row>
    <row r="241" spans="1:82">
      <c r="A241">
        <v>63</v>
      </c>
      <c r="B241" t="s">
        <v>284</v>
      </c>
      <c r="D241" t="b">
        <v>1</v>
      </c>
      <c r="E241" t="s">
        <v>285</v>
      </c>
      <c r="F241">
        <v>94</v>
      </c>
      <c r="G241">
        <v>2</v>
      </c>
      <c r="J241" t="s">
        <v>286</v>
      </c>
      <c r="K241" t="s">
        <v>94</v>
      </c>
      <c r="L241" t="s">
        <v>95</v>
      </c>
      <c r="M241">
        <v>100</v>
      </c>
      <c r="N241" s="1" t="s">
        <v>96</v>
      </c>
      <c r="O241" s="1" t="s">
        <v>96</v>
      </c>
      <c r="P241">
        <v>14.23</v>
      </c>
      <c r="Q241" s="1" t="s">
        <v>96</v>
      </c>
      <c r="R241" s="1" t="s">
        <v>96</v>
      </c>
      <c r="S241" s="1">
        <v>9.06</v>
      </c>
      <c r="T241" s="1" t="s">
        <v>96</v>
      </c>
      <c r="U241" s="1" t="s">
        <v>96</v>
      </c>
      <c r="V241" s="1" t="s">
        <v>96</v>
      </c>
      <c r="W241" s="1" t="s">
        <v>96</v>
      </c>
      <c r="X241" s="1" t="s">
        <v>96</v>
      </c>
      <c r="Y241" s="1" t="s">
        <v>96</v>
      </c>
      <c r="Z241" t="s">
        <v>96</v>
      </c>
      <c r="AA241" s="1" t="s">
        <v>96</v>
      </c>
      <c r="AB241" t="s">
        <v>96</v>
      </c>
      <c r="AC241">
        <v>5.12</v>
      </c>
      <c r="AD241">
        <v>27.89</v>
      </c>
      <c r="AE241" s="1" t="s">
        <v>96</v>
      </c>
      <c r="AF241">
        <v>39.770000000000003</v>
      </c>
      <c r="AG241">
        <v>209.81</v>
      </c>
      <c r="AH241">
        <v>16.260000000000002</v>
      </c>
      <c r="AI241" s="1">
        <v>2.68</v>
      </c>
      <c r="AJ241" s="1">
        <v>2.69</v>
      </c>
      <c r="AK241" s="1" t="s">
        <v>96</v>
      </c>
      <c r="AL241" s="1" t="s">
        <v>96</v>
      </c>
      <c r="AM241" s="1" t="s">
        <v>96</v>
      </c>
      <c r="AN241" s="1" t="s">
        <v>96</v>
      </c>
      <c r="AO241">
        <v>152.41</v>
      </c>
      <c r="AP241">
        <v>51.76</v>
      </c>
      <c r="AQ241" s="1" t="s">
        <v>96</v>
      </c>
      <c r="AR241" s="1" t="s">
        <v>96</v>
      </c>
      <c r="AS241">
        <v>36.64</v>
      </c>
      <c r="AT241">
        <v>1.48</v>
      </c>
      <c r="AU241" s="1" t="s">
        <v>96</v>
      </c>
      <c r="AV241" s="1" t="s">
        <v>96</v>
      </c>
      <c r="AW241" t="s">
        <v>96</v>
      </c>
      <c r="AX241" s="1" t="s">
        <v>96</v>
      </c>
      <c r="AY241">
        <v>179.11</v>
      </c>
      <c r="AZ241">
        <v>105.61</v>
      </c>
      <c r="BA241">
        <v>6.25</v>
      </c>
      <c r="BB241" s="1" t="s">
        <v>96</v>
      </c>
      <c r="BC241">
        <v>106.75</v>
      </c>
      <c r="BD241" s="1" t="s">
        <v>96</v>
      </c>
      <c r="BE241" s="1" t="s">
        <v>96</v>
      </c>
      <c r="BF241">
        <v>6.22</v>
      </c>
      <c r="BG241" s="1" t="s">
        <v>96</v>
      </c>
      <c r="BH241" s="1" t="s">
        <v>96</v>
      </c>
      <c r="BI241">
        <v>25.17</v>
      </c>
      <c r="BJ241">
        <v>15.4</v>
      </c>
      <c r="BK241" s="1" t="s">
        <v>96</v>
      </c>
      <c r="BL241" s="1" t="s">
        <v>96</v>
      </c>
      <c r="BM241" t="s">
        <v>96</v>
      </c>
      <c r="BN241">
        <v>11.07</v>
      </c>
      <c r="BO241">
        <v>85.77</v>
      </c>
      <c r="BP241">
        <v>3.2</v>
      </c>
      <c r="BQ241" s="1" t="s">
        <v>96</v>
      </c>
      <c r="BR241" s="1" t="s">
        <v>96</v>
      </c>
      <c r="BS241" s="1" t="s">
        <v>96</v>
      </c>
      <c r="BT241" s="1" t="s">
        <v>96</v>
      </c>
      <c r="BU241" s="1">
        <v>13.77</v>
      </c>
      <c r="BV241">
        <v>40.35</v>
      </c>
      <c r="BW241">
        <v>8.9499999999999993</v>
      </c>
      <c r="BX241" s="1" t="s">
        <v>96</v>
      </c>
      <c r="BY241">
        <v>202.75</v>
      </c>
      <c r="BZ241">
        <v>15.27</v>
      </c>
      <c r="CA241" s="1" t="s">
        <v>96</v>
      </c>
      <c r="CB241" t="s">
        <v>96</v>
      </c>
      <c r="CC241">
        <v>49.9</v>
      </c>
      <c r="CD241" s="1" t="s">
        <v>96</v>
      </c>
    </row>
    <row r="242" spans="1:82">
      <c r="A242">
        <v>238</v>
      </c>
      <c r="B242" t="s">
        <v>809</v>
      </c>
      <c r="D242" t="b">
        <v>1</v>
      </c>
      <c r="E242" t="s">
        <v>810</v>
      </c>
      <c r="F242">
        <v>351</v>
      </c>
      <c r="G242">
        <v>6</v>
      </c>
      <c r="J242" t="s">
        <v>811</v>
      </c>
      <c r="K242" t="s">
        <v>94</v>
      </c>
      <c r="L242" t="s">
        <v>95</v>
      </c>
      <c r="M242">
        <v>100</v>
      </c>
      <c r="N242" s="1" t="s">
        <v>96</v>
      </c>
      <c r="O242" s="1" t="s">
        <v>96</v>
      </c>
      <c r="P242">
        <v>32.46</v>
      </c>
      <c r="Q242" s="1" t="s">
        <v>96</v>
      </c>
      <c r="R242" s="1" t="s">
        <v>96</v>
      </c>
      <c r="S242" s="1">
        <v>19.329999999999998</v>
      </c>
      <c r="T242" s="1" t="s">
        <v>96</v>
      </c>
      <c r="U242" s="1" t="s">
        <v>96</v>
      </c>
      <c r="V242" s="1" t="s">
        <v>96</v>
      </c>
      <c r="W242" s="1" t="s">
        <v>96</v>
      </c>
      <c r="X242" s="1" t="s">
        <v>96</v>
      </c>
      <c r="Y242" s="1" t="s">
        <v>96</v>
      </c>
      <c r="Z242" t="s">
        <v>96</v>
      </c>
      <c r="AA242" s="1" t="s">
        <v>96</v>
      </c>
      <c r="AB242">
        <v>5.31</v>
      </c>
      <c r="AC242">
        <v>10.55</v>
      </c>
      <c r="AD242">
        <v>216.44</v>
      </c>
      <c r="AE242" s="1" t="s">
        <v>96</v>
      </c>
      <c r="AF242">
        <v>73.28</v>
      </c>
      <c r="AG242">
        <v>438.05</v>
      </c>
      <c r="AH242">
        <v>178.23</v>
      </c>
      <c r="AI242" s="1">
        <v>5.08</v>
      </c>
      <c r="AJ242" s="1">
        <v>2.81</v>
      </c>
      <c r="AK242" s="1" t="s">
        <v>96</v>
      </c>
      <c r="AL242" s="1" t="s">
        <v>96</v>
      </c>
      <c r="AM242" s="1" t="s">
        <v>96</v>
      </c>
      <c r="AN242" s="1" t="s">
        <v>96</v>
      </c>
      <c r="AO242">
        <v>233.26</v>
      </c>
      <c r="AP242">
        <v>89.9</v>
      </c>
      <c r="AQ242" s="1" t="s">
        <v>96</v>
      </c>
      <c r="AR242" s="1">
        <v>1.34</v>
      </c>
      <c r="AS242">
        <v>77.22</v>
      </c>
      <c r="AT242">
        <v>12.7</v>
      </c>
      <c r="AU242" s="1" t="s">
        <v>96</v>
      </c>
      <c r="AV242" s="1" t="s">
        <v>96</v>
      </c>
      <c r="AW242">
        <v>17.12</v>
      </c>
      <c r="AX242" s="1" t="s">
        <v>96</v>
      </c>
      <c r="AY242">
        <v>469.94</v>
      </c>
      <c r="AZ242">
        <v>262.16000000000003</v>
      </c>
      <c r="BA242">
        <v>117.05</v>
      </c>
      <c r="BB242" s="1" t="s">
        <v>96</v>
      </c>
      <c r="BC242">
        <v>203.7</v>
      </c>
      <c r="BD242" s="1" t="s">
        <v>96</v>
      </c>
      <c r="BE242" s="1">
        <v>2.77</v>
      </c>
      <c r="BF242">
        <v>32.75</v>
      </c>
      <c r="BG242" s="1">
        <v>3.01</v>
      </c>
      <c r="BH242" s="1" t="s">
        <v>96</v>
      </c>
      <c r="BI242">
        <v>34.31</v>
      </c>
      <c r="BJ242">
        <v>20.3</v>
      </c>
      <c r="BK242" s="1" t="s">
        <v>96</v>
      </c>
      <c r="BL242" s="1" t="s">
        <v>96</v>
      </c>
      <c r="BM242">
        <v>4.66</v>
      </c>
      <c r="BN242">
        <v>15.37</v>
      </c>
      <c r="BO242">
        <v>263.60000000000002</v>
      </c>
      <c r="BP242">
        <v>10.89</v>
      </c>
      <c r="BQ242" s="1" t="s">
        <v>96</v>
      </c>
      <c r="BR242" s="1" t="s">
        <v>96</v>
      </c>
      <c r="BS242" s="1" t="s">
        <v>96</v>
      </c>
      <c r="BT242" s="1" t="s">
        <v>96</v>
      </c>
      <c r="BU242" s="1">
        <v>23.94</v>
      </c>
      <c r="BV242">
        <v>226.23</v>
      </c>
      <c r="BW242">
        <v>32.58</v>
      </c>
      <c r="BX242" s="1" t="s">
        <v>96</v>
      </c>
      <c r="BY242">
        <v>1102.1199999999999</v>
      </c>
      <c r="BZ242">
        <v>44.97</v>
      </c>
      <c r="CA242" s="1" t="s">
        <v>96</v>
      </c>
      <c r="CB242">
        <v>53.73</v>
      </c>
      <c r="CC242">
        <v>319.38</v>
      </c>
      <c r="CD242" s="1" t="s">
        <v>96</v>
      </c>
    </row>
    <row r="243" spans="1:82">
      <c r="A243">
        <v>182</v>
      </c>
      <c r="B243" t="s">
        <v>641</v>
      </c>
      <c r="D243" t="b">
        <v>1</v>
      </c>
      <c r="E243" t="s">
        <v>642</v>
      </c>
      <c r="F243">
        <v>273</v>
      </c>
      <c r="G243">
        <v>5</v>
      </c>
      <c r="J243" t="s">
        <v>643</v>
      </c>
      <c r="K243" t="s">
        <v>94</v>
      </c>
      <c r="L243" t="s">
        <v>95</v>
      </c>
      <c r="M243">
        <v>100</v>
      </c>
      <c r="N243" s="1" t="s">
        <v>96</v>
      </c>
      <c r="O243" s="1" t="s">
        <v>96</v>
      </c>
      <c r="P243">
        <v>21.57</v>
      </c>
      <c r="Q243" s="1" t="s">
        <v>96</v>
      </c>
      <c r="R243" s="1" t="s">
        <v>96</v>
      </c>
      <c r="S243" s="1" t="s">
        <v>96</v>
      </c>
      <c r="T243" s="1" t="s">
        <v>96</v>
      </c>
      <c r="U243" s="1" t="s">
        <v>96</v>
      </c>
      <c r="V243" s="1" t="s">
        <v>96</v>
      </c>
      <c r="W243" s="1" t="s">
        <v>96</v>
      </c>
      <c r="X243" s="1" t="s">
        <v>96</v>
      </c>
      <c r="Y243" s="1" t="s">
        <v>96</v>
      </c>
      <c r="Z243" t="s">
        <v>96</v>
      </c>
      <c r="AA243" s="1" t="s">
        <v>96</v>
      </c>
      <c r="AB243">
        <v>2.86</v>
      </c>
      <c r="AC243">
        <v>1.74</v>
      </c>
      <c r="AD243">
        <v>24.73</v>
      </c>
      <c r="AE243" s="1" t="s">
        <v>96</v>
      </c>
      <c r="AF243" t="s">
        <v>96</v>
      </c>
      <c r="AG243">
        <v>37.26</v>
      </c>
      <c r="AH243">
        <v>146.82</v>
      </c>
      <c r="AI243" s="1" t="s">
        <v>96</v>
      </c>
      <c r="AJ243" s="1">
        <v>14.57</v>
      </c>
      <c r="AK243" s="1" t="s">
        <v>96</v>
      </c>
      <c r="AL243" s="1" t="s">
        <v>96</v>
      </c>
      <c r="AM243" s="1" t="s">
        <v>96</v>
      </c>
      <c r="AN243" s="1" t="s">
        <v>96</v>
      </c>
      <c r="AO243">
        <v>95.58</v>
      </c>
      <c r="AP243">
        <v>20.59</v>
      </c>
      <c r="AQ243" s="1" t="s">
        <v>96</v>
      </c>
      <c r="AR243" s="1">
        <v>3.02</v>
      </c>
      <c r="AS243">
        <v>144.15</v>
      </c>
      <c r="AT243">
        <v>3.72</v>
      </c>
      <c r="AU243" s="1" t="s">
        <v>96</v>
      </c>
      <c r="AV243" s="1" t="s">
        <v>96</v>
      </c>
      <c r="AW243" t="s">
        <v>96</v>
      </c>
      <c r="AX243" s="1" t="s">
        <v>96</v>
      </c>
      <c r="AY243" t="s">
        <v>133</v>
      </c>
      <c r="AZ243">
        <v>277.93</v>
      </c>
      <c r="BA243">
        <v>182.71</v>
      </c>
      <c r="BB243" s="1" t="s">
        <v>96</v>
      </c>
      <c r="BC243">
        <v>680.43</v>
      </c>
      <c r="BD243" s="1" t="s">
        <v>96</v>
      </c>
      <c r="BE243" s="1">
        <v>13.5</v>
      </c>
      <c r="BF243">
        <v>23.3</v>
      </c>
      <c r="BG243" s="1">
        <v>25.31</v>
      </c>
      <c r="BH243" s="1" t="s">
        <v>96</v>
      </c>
      <c r="BI243">
        <v>675.46</v>
      </c>
      <c r="BJ243">
        <v>97.73</v>
      </c>
      <c r="BK243" s="1" t="s">
        <v>96</v>
      </c>
      <c r="BL243" s="1">
        <v>9.84</v>
      </c>
      <c r="BM243">
        <v>3.82</v>
      </c>
      <c r="BN243">
        <v>180.4</v>
      </c>
      <c r="BO243">
        <v>222.22</v>
      </c>
      <c r="BP243" t="s">
        <v>96</v>
      </c>
      <c r="BQ243" s="1" t="s">
        <v>96</v>
      </c>
      <c r="BR243" s="1" t="s">
        <v>96</v>
      </c>
      <c r="BS243" s="1" t="s">
        <v>96</v>
      </c>
      <c r="BT243" s="1" t="s">
        <v>96</v>
      </c>
      <c r="BU243" s="1" t="s">
        <v>96</v>
      </c>
      <c r="BV243">
        <v>82.69</v>
      </c>
      <c r="BW243">
        <v>29.86</v>
      </c>
      <c r="BX243" s="1" t="s">
        <v>96</v>
      </c>
      <c r="BY243">
        <v>329.62</v>
      </c>
      <c r="BZ243">
        <v>9.7899999999999991</v>
      </c>
      <c r="CA243" s="1" t="s">
        <v>96</v>
      </c>
      <c r="CB243">
        <v>7.36</v>
      </c>
      <c r="CC243">
        <v>20.61</v>
      </c>
      <c r="CD243" s="1" t="s">
        <v>96</v>
      </c>
    </row>
    <row r="244" spans="1:82">
      <c r="A244">
        <v>214</v>
      </c>
      <c r="B244" t="s">
        <v>737</v>
      </c>
      <c r="D244" t="b">
        <v>1</v>
      </c>
      <c r="E244" t="s">
        <v>738</v>
      </c>
      <c r="F244">
        <v>323</v>
      </c>
      <c r="G244">
        <v>6</v>
      </c>
      <c r="J244" t="s">
        <v>739</v>
      </c>
      <c r="K244" t="s">
        <v>94</v>
      </c>
      <c r="L244" t="s">
        <v>95</v>
      </c>
      <c r="M244">
        <v>100</v>
      </c>
      <c r="N244" s="1" t="s">
        <v>96</v>
      </c>
      <c r="O244" s="1" t="s">
        <v>96</v>
      </c>
      <c r="P244">
        <v>20.54</v>
      </c>
      <c r="Q244" s="1" t="s">
        <v>96</v>
      </c>
      <c r="R244" s="1" t="s">
        <v>96</v>
      </c>
      <c r="S244" s="1">
        <v>15.28</v>
      </c>
      <c r="T244" s="1" t="s">
        <v>96</v>
      </c>
      <c r="U244" s="1" t="s">
        <v>96</v>
      </c>
      <c r="V244" s="1" t="s">
        <v>96</v>
      </c>
      <c r="W244" s="1" t="s">
        <v>96</v>
      </c>
      <c r="X244" s="1" t="s">
        <v>96</v>
      </c>
      <c r="Y244" s="1" t="s">
        <v>96</v>
      </c>
      <c r="Z244">
        <v>2.98</v>
      </c>
      <c r="AA244" s="1" t="s">
        <v>96</v>
      </c>
      <c r="AB244">
        <v>21.89</v>
      </c>
      <c r="AC244">
        <v>17.989999999999998</v>
      </c>
      <c r="AD244">
        <v>307.43</v>
      </c>
      <c r="AE244" s="1" t="s">
        <v>96</v>
      </c>
      <c r="AF244">
        <v>128.52000000000001</v>
      </c>
      <c r="AG244">
        <v>925.74</v>
      </c>
      <c r="AH244">
        <v>515.46</v>
      </c>
      <c r="AI244" s="1" t="s">
        <v>96</v>
      </c>
      <c r="AJ244" s="1" t="s">
        <v>96</v>
      </c>
      <c r="AK244" s="1" t="s">
        <v>96</v>
      </c>
      <c r="AL244" s="1" t="s">
        <v>96</v>
      </c>
      <c r="AM244" s="1" t="s">
        <v>96</v>
      </c>
      <c r="AN244" s="1">
        <v>1.02</v>
      </c>
      <c r="AO244">
        <v>85.49</v>
      </c>
      <c r="AP244">
        <v>145.91</v>
      </c>
      <c r="AQ244" s="1" t="s">
        <v>96</v>
      </c>
      <c r="AR244" s="1" t="s">
        <v>96</v>
      </c>
      <c r="AS244">
        <v>183.53</v>
      </c>
      <c r="AT244">
        <v>5.0199999999999996</v>
      </c>
      <c r="AU244" s="1" t="s">
        <v>96</v>
      </c>
      <c r="AV244" s="1" t="s">
        <v>96</v>
      </c>
      <c r="AW244">
        <v>5.66</v>
      </c>
      <c r="AX244" s="1" t="s">
        <v>96</v>
      </c>
      <c r="AY244">
        <v>349.51</v>
      </c>
      <c r="AZ244">
        <v>248.42</v>
      </c>
      <c r="BA244">
        <v>71.72</v>
      </c>
      <c r="BB244" s="1" t="s">
        <v>96</v>
      </c>
      <c r="BC244">
        <v>80.760000000000005</v>
      </c>
      <c r="BD244" s="1" t="s">
        <v>96</v>
      </c>
      <c r="BE244" s="1" t="s">
        <v>96</v>
      </c>
      <c r="BF244">
        <v>2.82</v>
      </c>
      <c r="BG244" s="1" t="s">
        <v>96</v>
      </c>
      <c r="BH244" s="1" t="s">
        <v>96</v>
      </c>
      <c r="BI244">
        <v>20.68</v>
      </c>
      <c r="BJ244">
        <v>13.03</v>
      </c>
      <c r="BK244" s="1" t="s">
        <v>96</v>
      </c>
      <c r="BL244" s="1" t="s">
        <v>96</v>
      </c>
      <c r="BM244" t="s">
        <v>96</v>
      </c>
      <c r="BN244">
        <v>8.41</v>
      </c>
      <c r="BO244">
        <v>22.73</v>
      </c>
      <c r="BP244">
        <v>4.28</v>
      </c>
      <c r="BQ244" s="1" t="s">
        <v>96</v>
      </c>
      <c r="BR244" s="1" t="s">
        <v>96</v>
      </c>
      <c r="BS244" s="1" t="s">
        <v>96</v>
      </c>
      <c r="BT244" s="1" t="s">
        <v>96</v>
      </c>
      <c r="BU244" s="1">
        <v>47.86</v>
      </c>
      <c r="BV244">
        <v>28.86</v>
      </c>
      <c r="BW244" t="s">
        <v>96</v>
      </c>
      <c r="BX244" s="1" t="s">
        <v>96</v>
      </c>
      <c r="BY244">
        <v>291.20999999999998</v>
      </c>
      <c r="BZ244">
        <v>7.86</v>
      </c>
      <c r="CA244" s="1" t="s">
        <v>96</v>
      </c>
      <c r="CB244">
        <v>36.29</v>
      </c>
      <c r="CC244">
        <v>65.78</v>
      </c>
      <c r="CD244" s="1" t="s">
        <v>96</v>
      </c>
    </row>
    <row r="245" spans="1:82">
      <c r="A245">
        <v>228</v>
      </c>
      <c r="B245" t="s">
        <v>779</v>
      </c>
      <c r="D245" t="b">
        <v>1</v>
      </c>
      <c r="E245" t="s">
        <v>780</v>
      </c>
      <c r="F245">
        <v>339</v>
      </c>
      <c r="G245">
        <v>6</v>
      </c>
      <c r="J245" t="s">
        <v>781</v>
      </c>
      <c r="K245" t="s">
        <v>94</v>
      </c>
      <c r="L245" t="s">
        <v>95</v>
      </c>
      <c r="M245">
        <v>100</v>
      </c>
      <c r="N245" s="1" t="s">
        <v>96</v>
      </c>
      <c r="O245" s="1" t="s">
        <v>96</v>
      </c>
      <c r="P245">
        <v>13.63</v>
      </c>
      <c r="Q245" s="1" t="s">
        <v>96</v>
      </c>
      <c r="R245" s="1" t="s">
        <v>96</v>
      </c>
      <c r="S245" s="1">
        <v>8.66</v>
      </c>
      <c r="T245" s="1" t="s">
        <v>96</v>
      </c>
      <c r="U245" s="1" t="s">
        <v>96</v>
      </c>
      <c r="V245" s="1" t="s">
        <v>96</v>
      </c>
      <c r="W245" s="1" t="s">
        <v>96</v>
      </c>
      <c r="X245" s="1" t="s">
        <v>96</v>
      </c>
      <c r="Y245" s="1" t="s">
        <v>96</v>
      </c>
      <c r="Z245" t="s">
        <v>96</v>
      </c>
      <c r="AA245" s="1" t="s">
        <v>96</v>
      </c>
      <c r="AB245">
        <v>13.61</v>
      </c>
      <c r="AC245">
        <v>23.29</v>
      </c>
      <c r="AD245">
        <v>51.68</v>
      </c>
      <c r="AE245" s="1" t="s">
        <v>96</v>
      </c>
      <c r="AF245">
        <v>61.58</v>
      </c>
      <c r="AG245" t="s">
        <v>133</v>
      </c>
      <c r="AH245">
        <v>650.80999999999995</v>
      </c>
      <c r="AI245" s="1" t="s">
        <v>96</v>
      </c>
      <c r="AJ245" s="1">
        <v>2.33</v>
      </c>
      <c r="AK245" s="1" t="s">
        <v>96</v>
      </c>
      <c r="AL245" s="1" t="s">
        <v>96</v>
      </c>
      <c r="AM245" s="1" t="s">
        <v>96</v>
      </c>
      <c r="AN245" s="1">
        <v>2.54</v>
      </c>
      <c r="AO245">
        <v>151.94999999999999</v>
      </c>
      <c r="AP245">
        <v>92.66</v>
      </c>
      <c r="AQ245" s="1" t="s">
        <v>96</v>
      </c>
      <c r="AR245" s="1">
        <v>2.59</v>
      </c>
      <c r="AS245" t="s">
        <v>133</v>
      </c>
      <c r="AT245">
        <v>15.99</v>
      </c>
      <c r="AU245" s="1" t="s">
        <v>96</v>
      </c>
      <c r="AV245" s="1" t="s">
        <v>96</v>
      </c>
      <c r="AW245">
        <v>6.81</v>
      </c>
      <c r="AX245" s="1" t="s">
        <v>96</v>
      </c>
      <c r="AY245">
        <v>866.09</v>
      </c>
      <c r="AZ245">
        <v>922.14</v>
      </c>
      <c r="BA245">
        <v>128.59</v>
      </c>
      <c r="BB245" s="1" t="s">
        <v>96</v>
      </c>
      <c r="BC245">
        <v>308.45999999999998</v>
      </c>
      <c r="BD245" s="1" t="s">
        <v>96</v>
      </c>
      <c r="BE245" s="1" t="s">
        <v>96</v>
      </c>
      <c r="BF245">
        <v>13.62</v>
      </c>
      <c r="BG245" s="1">
        <v>3.43</v>
      </c>
      <c r="BH245" s="1" t="s">
        <v>96</v>
      </c>
      <c r="BI245">
        <v>42.79</v>
      </c>
      <c r="BJ245">
        <v>60.7</v>
      </c>
      <c r="BK245" s="1" t="s">
        <v>96</v>
      </c>
      <c r="BL245" s="1" t="s">
        <v>96</v>
      </c>
      <c r="BM245">
        <v>3.21</v>
      </c>
      <c r="BN245">
        <v>16.75</v>
      </c>
      <c r="BO245">
        <v>62.8</v>
      </c>
      <c r="BP245">
        <v>14.67</v>
      </c>
      <c r="BQ245" s="1" t="s">
        <v>96</v>
      </c>
      <c r="BR245" s="1" t="s">
        <v>96</v>
      </c>
      <c r="BS245" s="1">
        <v>11.93</v>
      </c>
      <c r="BT245" s="1" t="s">
        <v>96</v>
      </c>
      <c r="BU245" s="1">
        <v>14.49</v>
      </c>
      <c r="BV245">
        <v>47.18</v>
      </c>
      <c r="BW245" t="s">
        <v>96</v>
      </c>
      <c r="BX245" s="1" t="s">
        <v>96</v>
      </c>
      <c r="BY245">
        <v>433.33</v>
      </c>
      <c r="BZ245">
        <v>16.510000000000002</v>
      </c>
      <c r="CA245" s="1" t="s">
        <v>96</v>
      </c>
      <c r="CB245">
        <v>22.62</v>
      </c>
      <c r="CC245">
        <v>128.72999999999999</v>
      </c>
      <c r="CD245" s="1" t="s">
        <v>96</v>
      </c>
    </row>
    <row r="246" spans="1:82">
      <c r="A246">
        <v>43</v>
      </c>
      <c r="B246" t="s">
        <v>224</v>
      </c>
      <c r="D246" t="b">
        <v>1</v>
      </c>
      <c r="E246" t="s">
        <v>225</v>
      </c>
      <c r="F246">
        <v>70</v>
      </c>
      <c r="G246">
        <v>2</v>
      </c>
      <c r="J246" t="s">
        <v>226</v>
      </c>
      <c r="K246" t="s">
        <v>94</v>
      </c>
      <c r="L246" t="s">
        <v>95</v>
      </c>
      <c r="M246">
        <v>100</v>
      </c>
      <c r="N246" s="1" t="s">
        <v>96</v>
      </c>
      <c r="O246" s="1" t="s">
        <v>96</v>
      </c>
      <c r="P246">
        <v>26.74</v>
      </c>
      <c r="Q246" s="1" t="s">
        <v>96</v>
      </c>
      <c r="R246" s="1" t="s">
        <v>96</v>
      </c>
      <c r="S246" s="1">
        <v>11.35</v>
      </c>
      <c r="T246" s="1" t="s">
        <v>96</v>
      </c>
      <c r="U246" s="1" t="s">
        <v>96</v>
      </c>
      <c r="V246" s="1" t="s">
        <v>96</v>
      </c>
      <c r="W246" s="1" t="s">
        <v>96</v>
      </c>
      <c r="X246" s="1" t="s">
        <v>96</v>
      </c>
      <c r="Y246" s="1" t="s">
        <v>96</v>
      </c>
      <c r="Z246" t="s">
        <v>96</v>
      </c>
      <c r="AA246" s="1" t="s">
        <v>96</v>
      </c>
      <c r="AB246">
        <v>22.56</v>
      </c>
      <c r="AC246">
        <v>29.01</v>
      </c>
      <c r="AD246">
        <v>22.96</v>
      </c>
      <c r="AE246" s="1" t="s">
        <v>96</v>
      </c>
      <c r="AF246">
        <v>33.04</v>
      </c>
      <c r="AG246">
        <v>523.64</v>
      </c>
      <c r="AH246">
        <v>263.27999999999997</v>
      </c>
      <c r="AI246" s="1">
        <v>6.75</v>
      </c>
      <c r="AJ246" s="1">
        <v>3.58</v>
      </c>
      <c r="AK246" s="1" t="s">
        <v>96</v>
      </c>
      <c r="AL246" s="1" t="s">
        <v>96</v>
      </c>
      <c r="AM246" s="1" t="s">
        <v>96</v>
      </c>
      <c r="AN246" s="1" t="s">
        <v>96</v>
      </c>
      <c r="AO246">
        <v>819.74</v>
      </c>
      <c r="AP246">
        <v>50</v>
      </c>
      <c r="AQ246" s="1" t="s">
        <v>96</v>
      </c>
      <c r="AR246" s="1">
        <v>1.02</v>
      </c>
      <c r="AS246">
        <v>273.54000000000002</v>
      </c>
      <c r="AT246">
        <v>30.35</v>
      </c>
      <c r="AU246" s="1" t="s">
        <v>96</v>
      </c>
      <c r="AV246" s="1" t="s">
        <v>96</v>
      </c>
      <c r="AW246">
        <v>20.11</v>
      </c>
      <c r="AX246" s="1" t="s">
        <v>96</v>
      </c>
      <c r="AY246">
        <v>1034.57</v>
      </c>
      <c r="AZ246">
        <v>561.09</v>
      </c>
      <c r="BA246">
        <v>68.75</v>
      </c>
      <c r="BB246" s="1" t="s">
        <v>96</v>
      </c>
      <c r="BC246">
        <v>289.52999999999997</v>
      </c>
      <c r="BD246" s="1" t="s">
        <v>96</v>
      </c>
      <c r="BE246" s="1" t="s">
        <v>96</v>
      </c>
      <c r="BF246">
        <v>13.2</v>
      </c>
      <c r="BG246" s="1">
        <v>2.59</v>
      </c>
      <c r="BH246" s="1" t="s">
        <v>96</v>
      </c>
      <c r="BI246">
        <v>82.54</v>
      </c>
      <c r="BJ246">
        <v>49.96</v>
      </c>
      <c r="BK246" s="1" t="s">
        <v>96</v>
      </c>
      <c r="BL246" s="1" t="s">
        <v>96</v>
      </c>
      <c r="BM246">
        <v>4.4400000000000004</v>
      </c>
      <c r="BN246">
        <v>20.96</v>
      </c>
      <c r="BO246">
        <v>47.69</v>
      </c>
      <c r="BP246">
        <v>9.19</v>
      </c>
      <c r="BQ246" s="1" t="s">
        <v>96</v>
      </c>
      <c r="BR246" s="1" t="s">
        <v>96</v>
      </c>
      <c r="BS246" s="1">
        <v>8.7799999999999994</v>
      </c>
      <c r="BT246" s="1">
        <v>2.63</v>
      </c>
      <c r="BU246" s="1">
        <v>14.69</v>
      </c>
      <c r="BV246">
        <v>43.59</v>
      </c>
      <c r="BW246">
        <v>9.9700000000000006</v>
      </c>
      <c r="BX246" s="1" t="s">
        <v>96</v>
      </c>
      <c r="BY246">
        <v>309.16000000000003</v>
      </c>
      <c r="BZ246">
        <v>26.61</v>
      </c>
      <c r="CA246" s="1" t="s">
        <v>96</v>
      </c>
      <c r="CB246">
        <v>14.17</v>
      </c>
      <c r="CC246">
        <v>90.93</v>
      </c>
      <c r="CD246" s="1" t="s">
        <v>96</v>
      </c>
    </row>
    <row r="247" spans="1:82">
      <c r="A247">
        <v>204</v>
      </c>
      <c r="B247" t="s">
        <v>707</v>
      </c>
      <c r="D247" t="b">
        <v>1</v>
      </c>
      <c r="E247" t="s">
        <v>708</v>
      </c>
      <c r="F247">
        <v>311</v>
      </c>
      <c r="G247">
        <v>6</v>
      </c>
      <c r="J247" t="s">
        <v>709</v>
      </c>
      <c r="K247" t="s">
        <v>94</v>
      </c>
      <c r="L247" t="s">
        <v>95</v>
      </c>
      <c r="M247">
        <v>100</v>
      </c>
      <c r="N247" s="1" t="s">
        <v>96</v>
      </c>
      <c r="O247" s="1" t="s">
        <v>96</v>
      </c>
      <c r="P247">
        <v>21.08</v>
      </c>
      <c r="Q247" s="1" t="s">
        <v>96</v>
      </c>
      <c r="R247" s="1" t="s">
        <v>96</v>
      </c>
      <c r="S247" s="1">
        <v>28.64</v>
      </c>
      <c r="T247" s="1" t="s">
        <v>96</v>
      </c>
      <c r="U247" s="1" t="s">
        <v>96</v>
      </c>
      <c r="V247" s="1" t="s">
        <v>96</v>
      </c>
      <c r="W247" s="1" t="s">
        <v>96</v>
      </c>
      <c r="X247" s="1" t="s">
        <v>96</v>
      </c>
      <c r="Y247" s="1" t="s">
        <v>96</v>
      </c>
      <c r="Z247">
        <v>1.96</v>
      </c>
      <c r="AA247" s="1" t="s">
        <v>96</v>
      </c>
      <c r="AB247">
        <v>21.99</v>
      </c>
      <c r="AC247">
        <v>17.940000000000001</v>
      </c>
      <c r="AD247">
        <v>360.53</v>
      </c>
      <c r="AE247" s="1" t="s">
        <v>96</v>
      </c>
      <c r="AF247">
        <v>90.61</v>
      </c>
      <c r="AG247">
        <v>461.06</v>
      </c>
      <c r="AH247">
        <v>221.72</v>
      </c>
      <c r="AI247" s="1">
        <v>2.6</v>
      </c>
      <c r="AJ247" s="1" t="s">
        <v>96</v>
      </c>
      <c r="AK247" s="1" t="s">
        <v>96</v>
      </c>
      <c r="AL247" s="1" t="s">
        <v>96</v>
      </c>
      <c r="AM247" s="1" t="s">
        <v>96</v>
      </c>
      <c r="AN247" s="1" t="s">
        <v>96</v>
      </c>
      <c r="AO247">
        <v>560.15</v>
      </c>
      <c r="AP247">
        <v>49.96</v>
      </c>
      <c r="AQ247" s="1">
        <v>1.78</v>
      </c>
      <c r="AR247" s="1">
        <v>2.71</v>
      </c>
      <c r="AS247">
        <v>194.19</v>
      </c>
      <c r="AT247">
        <v>10.15</v>
      </c>
      <c r="AU247" s="1" t="s">
        <v>96</v>
      </c>
      <c r="AV247" s="1" t="s">
        <v>96</v>
      </c>
      <c r="AW247">
        <v>3.89</v>
      </c>
      <c r="AX247" s="1" t="s">
        <v>96</v>
      </c>
      <c r="AY247">
        <v>236.86</v>
      </c>
      <c r="AZ247">
        <v>145.86000000000001</v>
      </c>
      <c r="BA247">
        <v>26.58</v>
      </c>
      <c r="BB247" s="1" t="s">
        <v>96</v>
      </c>
      <c r="BC247">
        <v>111.61</v>
      </c>
      <c r="BD247" s="1" t="s">
        <v>96</v>
      </c>
      <c r="BE247" s="1" t="s">
        <v>96</v>
      </c>
      <c r="BF247">
        <v>9.9</v>
      </c>
      <c r="BG247" s="1" t="s">
        <v>96</v>
      </c>
      <c r="BH247" s="1" t="s">
        <v>96</v>
      </c>
      <c r="BI247">
        <v>17.309999999999999</v>
      </c>
      <c r="BJ247">
        <v>10.41</v>
      </c>
      <c r="BK247" s="1" t="s">
        <v>96</v>
      </c>
      <c r="BL247" s="1" t="s">
        <v>96</v>
      </c>
      <c r="BM247" t="s">
        <v>96</v>
      </c>
      <c r="BN247">
        <v>7.33</v>
      </c>
      <c r="BO247">
        <v>83.06</v>
      </c>
      <c r="BP247">
        <v>8.35</v>
      </c>
      <c r="BQ247" s="1" t="s">
        <v>96</v>
      </c>
      <c r="BR247" s="1" t="s">
        <v>96</v>
      </c>
      <c r="BS247" s="1" t="s">
        <v>96</v>
      </c>
      <c r="BT247" s="1" t="s">
        <v>96</v>
      </c>
      <c r="BU247" s="1">
        <v>49.18</v>
      </c>
      <c r="BV247">
        <v>56.56</v>
      </c>
      <c r="BW247" t="s">
        <v>96</v>
      </c>
      <c r="BX247" s="1" t="s">
        <v>96</v>
      </c>
      <c r="BY247">
        <v>462.56</v>
      </c>
      <c r="BZ247">
        <v>12.81</v>
      </c>
      <c r="CA247" s="1" t="s">
        <v>96</v>
      </c>
      <c r="CB247">
        <v>17.399999999999999</v>
      </c>
      <c r="CC247">
        <v>105.95</v>
      </c>
      <c r="CD247" s="1" t="s">
        <v>96</v>
      </c>
    </row>
    <row r="248" spans="1:82">
      <c r="A248">
        <v>64</v>
      </c>
      <c r="B248" t="s">
        <v>287</v>
      </c>
      <c r="D248" t="b">
        <v>1</v>
      </c>
      <c r="E248" t="s">
        <v>288</v>
      </c>
      <c r="F248">
        <v>95</v>
      </c>
      <c r="G248">
        <v>2</v>
      </c>
      <c r="J248" t="s">
        <v>289</v>
      </c>
      <c r="K248" t="s">
        <v>94</v>
      </c>
      <c r="L248" t="s">
        <v>95</v>
      </c>
      <c r="M248">
        <v>100</v>
      </c>
      <c r="N248" s="1" t="s">
        <v>96</v>
      </c>
      <c r="O248" s="1" t="s">
        <v>96</v>
      </c>
      <c r="P248">
        <v>16.72</v>
      </c>
      <c r="Q248" s="1" t="s">
        <v>96</v>
      </c>
      <c r="R248" s="1" t="s">
        <v>96</v>
      </c>
      <c r="S248" s="1">
        <v>7.3</v>
      </c>
      <c r="T248" s="1" t="s">
        <v>96</v>
      </c>
      <c r="U248" s="1" t="s">
        <v>96</v>
      </c>
      <c r="V248" s="1" t="s">
        <v>96</v>
      </c>
      <c r="W248" s="1" t="s">
        <v>96</v>
      </c>
      <c r="X248" s="1" t="s">
        <v>96</v>
      </c>
      <c r="Y248" s="1" t="s">
        <v>96</v>
      </c>
      <c r="Z248" t="s">
        <v>96</v>
      </c>
      <c r="AA248" s="1" t="s">
        <v>96</v>
      </c>
      <c r="AB248">
        <v>2.57</v>
      </c>
      <c r="AC248">
        <v>4.4000000000000004</v>
      </c>
      <c r="AD248">
        <v>40.99</v>
      </c>
      <c r="AE248" s="1" t="s">
        <v>96</v>
      </c>
      <c r="AF248">
        <v>5.61</v>
      </c>
      <c r="AG248">
        <v>59.95</v>
      </c>
      <c r="AH248">
        <v>223.25</v>
      </c>
      <c r="AI248" s="1" t="s">
        <v>96</v>
      </c>
      <c r="AJ248" s="1" t="s">
        <v>96</v>
      </c>
      <c r="AK248" s="1" t="s">
        <v>96</v>
      </c>
      <c r="AL248" s="1" t="s">
        <v>96</v>
      </c>
      <c r="AM248" s="1" t="s">
        <v>96</v>
      </c>
      <c r="AN248" s="1" t="s">
        <v>96</v>
      </c>
      <c r="AO248">
        <v>51.34</v>
      </c>
      <c r="AP248">
        <v>21.76</v>
      </c>
      <c r="AQ248" s="1" t="s">
        <v>96</v>
      </c>
      <c r="AR248" s="1" t="s">
        <v>96</v>
      </c>
      <c r="AS248">
        <v>146.80000000000001</v>
      </c>
      <c r="AT248">
        <v>12.31</v>
      </c>
      <c r="AU248" s="1" t="s">
        <v>96</v>
      </c>
      <c r="AV248" s="1" t="s">
        <v>96</v>
      </c>
      <c r="AW248" t="s">
        <v>96</v>
      </c>
      <c r="AX248" s="1" t="s">
        <v>96</v>
      </c>
      <c r="AY248">
        <v>629.25</v>
      </c>
      <c r="AZ248">
        <v>59.64</v>
      </c>
      <c r="BA248">
        <v>64.61</v>
      </c>
      <c r="BB248" s="1" t="s">
        <v>96</v>
      </c>
      <c r="BC248">
        <v>242.63</v>
      </c>
      <c r="BD248" s="1" t="s">
        <v>96</v>
      </c>
      <c r="BE248" s="1" t="s">
        <v>96</v>
      </c>
      <c r="BF248">
        <v>17.66</v>
      </c>
      <c r="BG248" s="1" t="s">
        <v>96</v>
      </c>
      <c r="BH248" s="1" t="s">
        <v>96</v>
      </c>
      <c r="BI248">
        <v>51.88</v>
      </c>
      <c r="BJ248">
        <v>3.66</v>
      </c>
      <c r="BK248" s="1" t="s">
        <v>96</v>
      </c>
      <c r="BL248" s="1" t="s">
        <v>96</v>
      </c>
      <c r="BM248" t="s">
        <v>96</v>
      </c>
      <c r="BN248">
        <v>11.92</v>
      </c>
      <c r="BO248">
        <v>45.61</v>
      </c>
      <c r="BP248">
        <v>3.2</v>
      </c>
      <c r="BQ248" s="1" t="s">
        <v>96</v>
      </c>
      <c r="BR248" s="1" t="s">
        <v>96</v>
      </c>
      <c r="BS248" s="1" t="s">
        <v>96</v>
      </c>
      <c r="BT248" s="1" t="s">
        <v>96</v>
      </c>
      <c r="BU248" s="1">
        <v>5.2</v>
      </c>
      <c r="BV248">
        <v>87.83</v>
      </c>
      <c r="BW248">
        <v>10.24</v>
      </c>
      <c r="BX248" s="1" t="s">
        <v>96</v>
      </c>
      <c r="BY248">
        <v>298.16000000000003</v>
      </c>
      <c r="BZ248" t="s">
        <v>96</v>
      </c>
      <c r="CA248" s="1" t="s">
        <v>96</v>
      </c>
      <c r="CB248">
        <v>18.04</v>
      </c>
      <c r="CC248">
        <v>23.69</v>
      </c>
      <c r="CD248" s="1" t="s">
        <v>96</v>
      </c>
    </row>
    <row r="249" spans="1:82">
      <c r="A249">
        <v>20</v>
      </c>
      <c r="B249" t="s">
        <v>155</v>
      </c>
      <c r="D249" t="b">
        <v>1</v>
      </c>
      <c r="E249" t="s">
        <v>156</v>
      </c>
      <c r="F249">
        <v>211</v>
      </c>
      <c r="G249">
        <v>1</v>
      </c>
      <c r="J249" t="s">
        <v>157</v>
      </c>
      <c r="K249" t="s">
        <v>94</v>
      </c>
      <c r="L249" t="s">
        <v>95</v>
      </c>
      <c r="M249">
        <v>100</v>
      </c>
      <c r="N249" s="1" t="s">
        <v>96</v>
      </c>
      <c r="O249" s="1" t="s">
        <v>96</v>
      </c>
      <c r="P249">
        <v>24.1</v>
      </c>
      <c r="Q249" s="1" t="s">
        <v>96</v>
      </c>
      <c r="R249" s="1" t="s">
        <v>96</v>
      </c>
      <c r="S249" s="1">
        <v>20.7</v>
      </c>
      <c r="T249" s="1" t="s">
        <v>96</v>
      </c>
      <c r="U249" s="1" t="s">
        <v>96</v>
      </c>
      <c r="V249" s="1" t="s">
        <v>96</v>
      </c>
      <c r="W249" s="1" t="s">
        <v>96</v>
      </c>
      <c r="X249" s="1" t="s">
        <v>96</v>
      </c>
      <c r="Y249" s="1" t="s">
        <v>96</v>
      </c>
      <c r="Z249" t="s">
        <v>96</v>
      </c>
      <c r="AA249" s="1" t="s">
        <v>96</v>
      </c>
      <c r="AB249" t="s">
        <v>96</v>
      </c>
      <c r="AC249">
        <v>9.98</v>
      </c>
      <c r="AD249">
        <v>58.93</v>
      </c>
      <c r="AE249" s="1" t="s">
        <v>96</v>
      </c>
      <c r="AF249">
        <v>50.41</v>
      </c>
      <c r="AG249">
        <v>332.2</v>
      </c>
      <c r="AH249">
        <v>36.4</v>
      </c>
      <c r="AI249" s="1" t="s">
        <v>96</v>
      </c>
      <c r="AJ249" s="1">
        <v>5.05</v>
      </c>
      <c r="AK249" s="1" t="s">
        <v>96</v>
      </c>
      <c r="AL249" s="1" t="s">
        <v>96</v>
      </c>
      <c r="AM249" s="1" t="s">
        <v>96</v>
      </c>
      <c r="AN249" s="1" t="s">
        <v>96</v>
      </c>
      <c r="AO249" t="s">
        <v>96</v>
      </c>
      <c r="AP249">
        <v>33.619999999999997</v>
      </c>
      <c r="AQ249" s="1" t="s">
        <v>96</v>
      </c>
      <c r="AR249" s="1" t="s">
        <v>96</v>
      </c>
      <c r="AS249">
        <v>19.5</v>
      </c>
      <c r="AT249" t="s">
        <v>96</v>
      </c>
      <c r="AU249" s="1" t="s">
        <v>96</v>
      </c>
      <c r="AV249" s="1" t="s">
        <v>96</v>
      </c>
      <c r="AW249">
        <v>3.75</v>
      </c>
      <c r="AX249" s="1" t="s">
        <v>96</v>
      </c>
      <c r="AY249">
        <v>82.45</v>
      </c>
      <c r="AZ249">
        <v>64.569999999999993</v>
      </c>
      <c r="BA249">
        <v>9.6300000000000008</v>
      </c>
      <c r="BB249" s="1" t="s">
        <v>96</v>
      </c>
      <c r="BC249">
        <v>19.61</v>
      </c>
      <c r="BD249" s="1" t="s">
        <v>96</v>
      </c>
      <c r="BE249" s="1" t="s">
        <v>96</v>
      </c>
      <c r="BF249" t="s">
        <v>96</v>
      </c>
      <c r="BG249" s="1" t="s">
        <v>96</v>
      </c>
      <c r="BH249" s="1" t="s">
        <v>96</v>
      </c>
      <c r="BI249">
        <v>16.79</v>
      </c>
      <c r="BJ249">
        <v>8.93</v>
      </c>
      <c r="BK249" s="1" t="s">
        <v>96</v>
      </c>
      <c r="BL249" s="1" t="s">
        <v>96</v>
      </c>
      <c r="BM249" t="s">
        <v>96</v>
      </c>
      <c r="BN249">
        <v>3.08</v>
      </c>
      <c r="BO249">
        <v>33.21</v>
      </c>
      <c r="BP249">
        <v>4.0599999999999996</v>
      </c>
      <c r="BQ249" s="1" t="s">
        <v>96</v>
      </c>
      <c r="BR249" s="1" t="s">
        <v>96</v>
      </c>
      <c r="BS249" s="1" t="s">
        <v>96</v>
      </c>
      <c r="BT249" s="1" t="s">
        <v>96</v>
      </c>
      <c r="BU249" s="1">
        <v>21.98</v>
      </c>
      <c r="BV249">
        <v>10.09</v>
      </c>
      <c r="BW249" t="s">
        <v>96</v>
      </c>
      <c r="BX249" s="1" t="s">
        <v>96</v>
      </c>
      <c r="BY249">
        <v>200.24</v>
      </c>
      <c r="BZ249">
        <v>7.21</v>
      </c>
      <c r="CA249" s="1" t="s">
        <v>96</v>
      </c>
      <c r="CB249">
        <v>7.75</v>
      </c>
      <c r="CC249">
        <v>24.85</v>
      </c>
      <c r="CD249" s="1" t="s">
        <v>96</v>
      </c>
    </row>
    <row r="250" spans="1:82">
      <c r="A250">
        <v>183</v>
      </c>
      <c r="B250" t="s">
        <v>644</v>
      </c>
      <c r="D250" t="b">
        <v>1</v>
      </c>
      <c r="E250" t="s">
        <v>645</v>
      </c>
      <c r="F250">
        <v>274</v>
      </c>
      <c r="G250">
        <v>5</v>
      </c>
      <c r="J250" t="s">
        <v>646</v>
      </c>
      <c r="K250" t="s">
        <v>94</v>
      </c>
      <c r="L250" t="s">
        <v>95</v>
      </c>
      <c r="M250">
        <v>100</v>
      </c>
      <c r="N250" s="1" t="s">
        <v>96</v>
      </c>
      <c r="O250" s="1" t="s">
        <v>96</v>
      </c>
      <c r="P250">
        <v>17.07</v>
      </c>
      <c r="Q250" s="1" t="s">
        <v>96</v>
      </c>
      <c r="R250" s="1" t="s">
        <v>96</v>
      </c>
      <c r="S250" s="1">
        <v>20.65</v>
      </c>
      <c r="T250" s="1" t="s">
        <v>96</v>
      </c>
      <c r="U250" s="1" t="s">
        <v>96</v>
      </c>
      <c r="V250" s="1" t="s">
        <v>96</v>
      </c>
      <c r="W250" s="1" t="s">
        <v>96</v>
      </c>
      <c r="X250" s="1" t="s">
        <v>96</v>
      </c>
      <c r="Y250" s="1" t="s">
        <v>96</v>
      </c>
      <c r="Z250" t="s">
        <v>96</v>
      </c>
      <c r="AA250" s="1" t="s">
        <v>96</v>
      </c>
      <c r="AB250">
        <v>4.47</v>
      </c>
      <c r="AC250">
        <v>15.87</v>
      </c>
      <c r="AD250">
        <v>215.65</v>
      </c>
      <c r="AE250" s="1" t="s">
        <v>96</v>
      </c>
      <c r="AF250">
        <v>108.07</v>
      </c>
      <c r="AG250">
        <v>635.4</v>
      </c>
      <c r="AH250">
        <v>242.54</v>
      </c>
      <c r="AI250" s="1">
        <v>4.21</v>
      </c>
      <c r="AJ250" s="1" t="s">
        <v>96</v>
      </c>
      <c r="AK250" s="1" t="s">
        <v>96</v>
      </c>
      <c r="AL250" s="1" t="s">
        <v>96</v>
      </c>
      <c r="AM250" s="1" t="s">
        <v>96</v>
      </c>
      <c r="AN250" s="1" t="s">
        <v>96</v>
      </c>
      <c r="AO250">
        <v>307.2</v>
      </c>
      <c r="AP250">
        <v>109.54</v>
      </c>
      <c r="AQ250" s="1" t="s">
        <v>96</v>
      </c>
      <c r="AR250" s="1">
        <v>2.5299999999999998</v>
      </c>
      <c r="AS250">
        <v>94</v>
      </c>
      <c r="AT250">
        <v>11.23</v>
      </c>
      <c r="AU250" s="1" t="s">
        <v>96</v>
      </c>
      <c r="AV250" s="1" t="s">
        <v>96</v>
      </c>
      <c r="AW250">
        <v>6.83</v>
      </c>
      <c r="AX250" s="1" t="s">
        <v>96</v>
      </c>
      <c r="AY250">
        <v>166.84</v>
      </c>
      <c r="AZ250">
        <v>136.77000000000001</v>
      </c>
      <c r="BA250">
        <v>33.9</v>
      </c>
      <c r="BB250" s="1" t="s">
        <v>96</v>
      </c>
      <c r="BC250">
        <v>50.37</v>
      </c>
      <c r="BD250" s="1" t="s">
        <v>96</v>
      </c>
      <c r="BE250" s="1" t="s">
        <v>96</v>
      </c>
      <c r="BF250">
        <v>7.64</v>
      </c>
      <c r="BG250" s="1" t="s">
        <v>96</v>
      </c>
      <c r="BH250" s="1" t="s">
        <v>96</v>
      </c>
      <c r="BI250">
        <v>10.35</v>
      </c>
      <c r="BJ250">
        <v>6.42</v>
      </c>
      <c r="BK250" s="1" t="s">
        <v>96</v>
      </c>
      <c r="BL250" s="1" t="s">
        <v>96</v>
      </c>
      <c r="BM250" t="s">
        <v>96</v>
      </c>
      <c r="BN250">
        <v>2.6</v>
      </c>
      <c r="BO250">
        <v>26.02</v>
      </c>
      <c r="BP250">
        <v>4.8899999999999997</v>
      </c>
      <c r="BQ250" s="1" t="s">
        <v>96</v>
      </c>
      <c r="BR250" s="1" t="s">
        <v>96</v>
      </c>
      <c r="BS250" s="1" t="s">
        <v>96</v>
      </c>
      <c r="BT250" s="1" t="s">
        <v>96</v>
      </c>
      <c r="BU250" s="1">
        <v>36.979999999999997</v>
      </c>
      <c r="BV250">
        <v>44.18</v>
      </c>
      <c r="BW250" t="s">
        <v>96</v>
      </c>
      <c r="BX250" s="1" t="s">
        <v>96</v>
      </c>
      <c r="BY250">
        <v>301.98</v>
      </c>
      <c r="BZ250">
        <v>8.59</v>
      </c>
      <c r="CA250" s="1" t="s">
        <v>96</v>
      </c>
      <c r="CB250">
        <v>20.329999999999998</v>
      </c>
      <c r="CC250">
        <v>115.62</v>
      </c>
      <c r="CD250" s="1" t="s">
        <v>96</v>
      </c>
    </row>
    <row r="251" spans="1:82">
      <c r="A251">
        <v>252</v>
      </c>
      <c r="B251" t="s">
        <v>851</v>
      </c>
      <c r="D251" t="b">
        <v>1</v>
      </c>
      <c r="E251" t="s">
        <v>852</v>
      </c>
      <c r="F251">
        <v>385</v>
      </c>
      <c r="G251">
        <v>7</v>
      </c>
      <c r="J251" t="s">
        <v>853</v>
      </c>
      <c r="K251" t="s">
        <v>94</v>
      </c>
      <c r="L251" t="s">
        <v>95</v>
      </c>
      <c r="M251">
        <v>100</v>
      </c>
      <c r="N251" s="1" t="s">
        <v>96</v>
      </c>
      <c r="O251" s="1" t="s">
        <v>96</v>
      </c>
      <c r="P251">
        <v>13.26</v>
      </c>
      <c r="Q251" s="1" t="s">
        <v>96</v>
      </c>
      <c r="R251" s="1" t="s">
        <v>96</v>
      </c>
      <c r="S251" s="1">
        <v>28.38</v>
      </c>
      <c r="T251" s="1" t="s">
        <v>96</v>
      </c>
      <c r="U251" s="1" t="s">
        <v>96</v>
      </c>
      <c r="V251" s="1" t="s">
        <v>96</v>
      </c>
      <c r="W251" s="1" t="s">
        <v>96</v>
      </c>
      <c r="X251" s="1" t="s">
        <v>96</v>
      </c>
      <c r="Y251" s="1" t="s">
        <v>96</v>
      </c>
      <c r="Z251" t="s">
        <v>96</v>
      </c>
      <c r="AA251" s="1" t="s">
        <v>96</v>
      </c>
      <c r="AB251" t="s">
        <v>96</v>
      </c>
      <c r="AC251">
        <v>18.41</v>
      </c>
      <c r="AD251">
        <v>66.260000000000005</v>
      </c>
      <c r="AE251" s="1" t="s">
        <v>96</v>
      </c>
      <c r="AF251">
        <v>38.44</v>
      </c>
      <c r="AG251">
        <v>139.72</v>
      </c>
      <c r="AH251">
        <v>50.65</v>
      </c>
      <c r="AI251" s="1">
        <v>3.47</v>
      </c>
      <c r="AJ251" s="1">
        <v>2.59</v>
      </c>
      <c r="AK251" s="1" t="s">
        <v>96</v>
      </c>
      <c r="AL251" s="1" t="s">
        <v>96</v>
      </c>
      <c r="AM251" s="1" t="s">
        <v>96</v>
      </c>
      <c r="AN251" s="1" t="s">
        <v>96</v>
      </c>
      <c r="AO251">
        <v>157.38999999999999</v>
      </c>
      <c r="AP251">
        <v>22.23</v>
      </c>
      <c r="AQ251" s="1" t="s">
        <v>96</v>
      </c>
      <c r="AR251" s="1">
        <v>1.83</v>
      </c>
      <c r="AS251">
        <v>35.69</v>
      </c>
      <c r="AT251">
        <v>3.5</v>
      </c>
      <c r="AU251" s="1" t="s">
        <v>96</v>
      </c>
      <c r="AV251" s="1" t="s">
        <v>96</v>
      </c>
      <c r="AW251">
        <v>22.19</v>
      </c>
      <c r="AX251" s="1" t="s">
        <v>96</v>
      </c>
      <c r="AY251">
        <v>229.19</v>
      </c>
      <c r="AZ251">
        <v>81.739999999999995</v>
      </c>
      <c r="BA251">
        <v>21.55</v>
      </c>
      <c r="BB251" s="1" t="s">
        <v>96</v>
      </c>
      <c r="BC251">
        <v>37.19</v>
      </c>
      <c r="BD251" s="1" t="s">
        <v>96</v>
      </c>
      <c r="BE251" s="1">
        <v>2.78</v>
      </c>
      <c r="BF251">
        <v>4.16</v>
      </c>
      <c r="BG251" s="1" t="s">
        <v>96</v>
      </c>
      <c r="BH251" s="1" t="s">
        <v>96</v>
      </c>
      <c r="BI251">
        <v>19.579999999999998</v>
      </c>
      <c r="BJ251">
        <v>5.83</v>
      </c>
      <c r="BK251" s="1" t="s">
        <v>96</v>
      </c>
      <c r="BL251" s="1" t="s">
        <v>96</v>
      </c>
      <c r="BM251" t="s">
        <v>96</v>
      </c>
      <c r="BN251">
        <v>2.63</v>
      </c>
      <c r="BO251">
        <v>55.9</v>
      </c>
      <c r="BP251">
        <v>10.97</v>
      </c>
      <c r="BQ251" s="1" t="s">
        <v>96</v>
      </c>
      <c r="BR251" s="1" t="s">
        <v>96</v>
      </c>
      <c r="BS251" s="1" t="s">
        <v>96</v>
      </c>
      <c r="BT251" s="1" t="s">
        <v>96</v>
      </c>
      <c r="BU251" s="1">
        <v>24.9</v>
      </c>
      <c r="BV251">
        <v>34.74</v>
      </c>
      <c r="BW251">
        <v>5.77</v>
      </c>
      <c r="BX251" s="1" t="s">
        <v>96</v>
      </c>
      <c r="BY251">
        <v>350.76</v>
      </c>
      <c r="BZ251">
        <v>7.89</v>
      </c>
      <c r="CA251" s="1" t="s">
        <v>96</v>
      </c>
      <c r="CB251">
        <v>6.71</v>
      </c>
      <c r="CC251">
        <v>46.85</v>
      </c>
      <c r="CD251" s="1" t="s">
        <v>96</v>
      </c>
    </row>
    <row r="252" spans="1:82">
      <c r="A252">
        <v>229</v>
      </c>
      <c r="B252" t="s">
        <v>782</v>
      </c>
      <c r="D252" t="b">
        <v>1</v>
      </c>
      <c r="E252" t="s">
        <v>783</v>
      </c>
      <c r="F252">
        <v>340</v>
      </c>
      <c r="G252">
        <v>6</v>
      </c>
      <c r="J252" t="s">
        <v>784</v>
      </c>
      <c r="K252" t="s">
        <v>94</v>
      </c>
      <c r="L252" t="s">
        <v>95</v>
      </c>
      <c r="M252">
        <v>100</v>
      </c>
      <c r="N252" s="1" t="s">
        <v>96</v>
      </c>
      <c r="O252" s="1" t="s">
        <v>96</v>
      </c>
      <c r="P252">
        <v>20.12</v>
      </c>
      <c r="Q252" s="1" t="s">
        <v>96</v>
      </c>
      <c r="R252" s="1" t="s">
        <v>96</v>
      </c>
      <c r="S252" s="1">
        <v>15.52</v>
      </c>
      <c r="T252" s="1" t="s">
        <v>96</v>
      </c>
      <c r="U252" s="1" t="s">
        <v>96</v>
      </c>
      <c r="V252" s="1" t="s">
        <v>96</v>
      </c>
      <c r="W252" s="1" t="s">
        <v>96</v>
      </c>
      <c r="X252" s="1" t="s">
        <v>96</v>
      </c>
      <c r="Y252" s="1" t="s">
        <v>96</v>
      </c>
      <c r="Z252" t="s">
        <v>96</v>
      </c>
      <c r="AA252" s="1" t="s">
        <v>96</v>
      </c>
      <c r="AB252">
        <v>3.38</v>
      </c>
      <c r="AC252">
        <v>6.71</v>
      </c>
      <c r="AD252">
        <v>68.739999999999995</v>
      </c>
      <c r="AE252" s="1" t="s">
        <v>96</v>
      </c>
      <c r="AF252">
        <v>22.35</v>
      </c>
      <c r="AG252">
        <v>227.34</v>
      </c>
      <c r="AH252">
        <v>75.81</v>
      </c>
      <c r="AI252" s="1">
        <v>8.56</v>
      </c>
      <c r="AJ252" s="1" t="s">
        <v>96</v>
      </c>
      <c r="AK252" s="1" t="s">
        <v>96</v>
      </c>
      <c r="AL252" s="1" t="s">
        <v>96</v>
      </c>
      <c r="AM252" s="1" t="s">
        <v>96</v>
      </c>
      <c r="AN252" s="1" t="s">
        <v>96</v>
      </c>
      <c r="AO252">
        <v>32.700000000000003</v>
      </c>
      <c r="AP252">
        <v>55.41</v>
      </c>
      <c r="AQ252" s="1" t="s">
        <v>96</v>
      </c>
      <c r="AR252" s="1">
        <v>6.82</v>
      </c>
      <c r="AS252">
        <v>31.13</v>
      </c>
      <c r="AT252">
        <v>8.26</v>
      </c>
      <c r="AU252" s="1" t="s">
        <v>96</v>
      </c>
      <c r="AV252" s="1" t="s">
        <v>96</v>
      </c>
      <c r="AW252">
        <v>6.84</v>
      </c>
      <c r="AX252" s="1" t="s">
        <v>96</v>
      </c>
      <c r="AY252">
        <v>856.55</v>
      </c>
      <c r="AZ252">
        <v>259.35000000000002</v>
      </c>
      <c r="BA252">
        <v>89.76</v>
      </c>
      <c r="BB252" s="1" t="s">
        <v>96</v>
      </c>
      <c r="BC252">
        <v>323.48</v>
      </c>
      <c r="BD252" s="1" t="s">
        <v>96</v>
      </c>
      <c r="BE252" s="1" t="s">
        <v>96</v>
      </c>
      <c r="BF252">
        <v>32.5</v>
      </c>
      <c r="BG252" s="1">
        <v>2.91</v>
      </c>
      <c r="BH252" s="1" t="s">
        <v>96</v>
      </c>
      <c r="BI252">
        <v>73.89</v>
      </c>
      <c r="BJ252">
        <v>30.12</v>
      </c>
      <c r="BK252" s="1" t="s">
        <v>96</v>
      </c>
      <c r="BL252" s="1">
        <v>3.7</v>
      </c>
      <c r="BM252">
        <v>10.92</v>
      </c>
      <c r="BN252">
        <v>28.1</v>
      </c>
      <c r="BO252">
        <v>58.58</v>
      </c>
      <c r="BP252">
        <v>3</v>
      </c>
      <c r="BQ252" s="1" t="s">
        <v>96</v>
      </c>
      <c r="BR252" s="1" t="s">
        <v>96</v>
      </c>
      <c r="BS252" s="1" t="s">
        <v>96</v>
      </c>
      <c r="BT252" s="1" t="s">
        <v>96</v>
      </c>
      <c r="BU252" s="1">
        <v>16.04</v>
      </c>
      <c r="BV252">
        <v>120.98</v>
      </c>
      <c r="BW252">
        <v>18.100000000000001</v>
      </c>
      <c r="BX252" s="1" t="s">
        <v>96</v>
      </c>
      <c r="BY252">
        <v>506.11</v>
      </c>
      <c r="BZ252">
        <v>14.98</v>
      </c>
      <c r="CA252" s="1" t="s">
        <v>96</v>
      </c>
      <c r="CB252">
        <v>52.83</v>
      </c>
      <c r="CC252">
        <v>76.08</v>
      </c>
      <c r="CD252" s="1" t="s">
        <v>96</v>
      </c>
    </row>
    <row r="253" spans="1:82">
      <c r="A253">
        <v>230</v>
      </c>
      <c r="B253" t="s">
        <v>785</v>
      </c>
      <c r="D253" t="b">
        <v>1</v>
      </c>
      <c r="E253" t="s">
        <v>786</v>
      </c>
      <c r="F253">
        <v>343</v>
      </c>
      <c r="G253">
        <v>6</v>
      </c>
      <c r="J253" t="s">
        <v>787</v>
      </c>
      <c r="K253" t="s">
        <v>94</v>
      </c>
      <c r="L253" t="s">
        <v>95</v>
      </c>
      <c r="M253">
        <v>100</v>
      </c>
      <c r="N253" s="1" t="s">
        <v>96</v>
      </c>
      <c r="O253" s="1" t="s">
        <v>96</v>
      </c>
      <c r="P253">
        <v>22.07</v>
      </c>
      <c r="Q253" s="1" t="s">
        <v>96</v>
      </c>
      <c r="R253" s="1" t="s">
        <v>96</v>
      </c>
      <c r="S253" s="1">
        <v>6.84</v>
      </c>
      <c r="T253" s="1" t="s">
        <v>96</v>
      </c>
      <c r="U253" s="1" t="s">
        <v>96</v>
      </c>
      <c r="V253" s="1" t="s">
        <v>96</v>
      </c>
      <c r="W253" s="1" t="s">
        <v>96</v>
      </c>
      <c r="X253" s="1" t="s">
        <v>96</v>
      </c>
      <c r="Y253" s="1" t="s">
        <v>96</v>
      </c>
      <c r="Z253">
        <v>1.22</v>
      </c>
      <c r="AA253" s="1" t="s">
        <v>96</v>
      </c>
      <c r="AB253">
        <v>4.66</v>
      </c>
      <c r="AC253">
        <v>5.76</v>
      </c>
      <c r="AD253">
        <v>118.96</v>
      </c>
      <c r="AE253" s="1" t="s">
        <v>96</v>
      </c>
      <c r="AF253">
        <v>33.369999999999997</v>
      </c>
      <c r="AG253">
        <v>185.81</v>
      </c>
      <c r="AH253">
        <v>71.06</v>
      </c>
      <c r="AI253" s="1" t="s">
        <v>96</v>
      </c>
      <c r="AJ253" s="1">
        <v>1.89</v>
      </c>
      <c r="AK253" s="1" t="s">
        <v>96</v>
      </c>
      <c r="AL253" s="1" t="s">
        <v>96</v>
      </c>
      <c r="AM253" s="1" t="s">
        <v>96</v>
      </c>
      <c r="AN253" s="1" t="s">
        <v>96</v>
      </c>
      <c r="AO253">
        <v>71.819999999999993</v>
      </c>
      <c r="AP253">
        <v>17.88</v>
      </c>
      <c r="AQ253" s="1" t="s">
        <v>96</v>
      </c>
      <c r="AR253" s="1">
        <v>1.84</v>
      </c>
      <c r="AS253">
        <v>23.93</v>
      </c>
      <c r="AT253">
        <v>3.29</v>
      </c>
      <c r="AU253" s="1" t="s">
        <v>96</v>
      </c>
      <c r="AV253" s="1" t="s">
        <v>96</v>
      </c>
      <c r="AW253" t="s">
        <v>96</v>
      </c>
      <c r="AX253" s="1" t="s">
        <v>96</v>
      </c>
      <c r="AY253">
        <v>370.97</v>
      </c>
      <c r="AZ253">
        <v>210.41</v>
      </c>
      <c r="BA253">
        <v>17.95</v>
      </c>
      <c r="BB253" s="1" t="s">
        <v>96</v>
      </c>
      <c r="BC253">
        <v>125.68</v>
      </c>
      <c r="BD253" s="1" t="s">
        <v>96</v>
      </c>
      <c r="BE253" s="1" t="s">
        <v>96</v>
      </c>
      <c r="BF253">
        <v>11.86</v>
      </c>
      <c r="BG253" s="1" t="s">
        <v>96</v>
      </c>
      <c r="BH253" s="1" t="s">
        <v>96</v>
      </c>
      <c r="BI253">
        <v>44.05</v>
      </c>
      <c r="BJ253">
        <v>34.479999999999997</v>
      </c>
      <c r="BK253" s="1" t="s">
        <v>96</v>
      </c>
      <c r="BL253" s="1" t="s">
        <v>96</v>
      </c>
      <c r="BM253">
        <v>3.67</v>
      </c>
      <c r="BN253">
        <v>17.91</v>
      </c>
      <c r="BO253">
        <v>55.12</v>
      </c>
      <c r="BP253" t="s">
        <v>96</v>
      </c>
      <c r="BQ253" s="1" t="s">
        <v>96</v>
      </c>
      <c r="BR253" s="1" t="s">
        <v>96</v>
      </c>
      <c r="BS253" s="1" t="s">
        <v>96</v>
      </c>
      <c r="BT253" s="1" t="s">
        <v>96</v>
      </c>
      <c r="BU253" s="1" t="s">
        <v>96</v>
      </c>
      <c r="BV253">
        <v>57.92</v>
      </c>
      <c r="BW253">
        <v>8.92</v>
      </c>
      <c r="BX253" s="1" t="s">
        <v>96</v>
      </c>
      <c r="BY253">
        <v>232.28</v>
      </c>
      <c r="BZ253">
        <v>44.15</v>
      </c>
      <c r="CA253" s="1" t="s">
        <v>96</v>
      </c>
      <c r="CB253">
        <v>7.94</v>
      </c>
      <c r="CC253">
        <v>174.68</v>
      </c>
      <c r="CD253" s="1" t="s">
        <v>96</v>
      </c>
    </row>
    <row r="254" spans="1:82">
      <c r="A254">
        <v>160</v>
      </c>
      <c r="B254" t="s">
        <v>575</v>
      </c>
      <c r="D254" t="b">
        <v>1</v>
      </c>
      <c r="E254" t="s">
        <v>576</v>
      </c>
      <c r="F254">
        <v>247</v>
      </c>
      <c r="G254">
        <v>5</v>
      </c>
      <c r="J254" t="s">
        <v>577</v>
      </c>
      <c r="K254" t="s">
        <v>94</v>
      </c>
      <c r="L254" t="s">
        <v>95</v>
      </c>
      <c r="M254">
        <v>100</v>
      </c>
      <c r="N254" s="1" t="s">
        <v>96</v>
      </c>
      <c r="O254" s="1" t="s">
        <v>96</v>
      </c>
      <c r="P254">
        <v>27.46</v>
      </c>
      <c r="Q254" s="1" t="s">
        <v>96</v>
      </c>
      <c r="R254" s="1" t="s">
        <v>96</v>
      </c>
      <c r="S254" s="1" t="s">
        <v>96</v>
      </c>
      <c r="T254" s="1" t="s">
        <v>96</v>
      </c>
      <c r="U254" s="1" t="s">
        <v>96</v>
      </c>
      <c r="V254" s="1" t="s">
        <v>96</v>
      </c>
      <c r="W254" s="1" t="s">
        <v>96</v>
      </c>
      <c r="X254" s="1" t="s">
        <v>96</v>
      </c>
      <c r="Y254" s="1" t="s">
        <v>96</v>
      </c>
      <c r="Z254">
        <v>2.27</v>
      </c>
      <c r="AA254" s="1" t="s">
        <v>96</v>
      </c>
      <c r="AB254">
        <v>19.98</v>
      </c>
      <c r="AC254">
        <v>6.71</v>
      </c>
      <c r="AD254">
        <v>156.47</v>
      </c>
      <c r="AE254" s="1" t="s">
        <v>96</v>
      </c>
      <c r="AF254">
        <v>8.09</v>
      </c>
      <c r="AG254">
        <v>242.13</v>
      </c>
      <c r="AH254">
        <v>407.93</v>
      </c>
      <c r="AI254" s="1" t="s">
        <v>96</v>
      </c>
      <c r="AJ254" s="1">
        <v>5.73</v>
      </c>
      <c r="AK254" s="1" t="s">
        <v>96</v>
      </c>
      <c r="AL254" s="1" t="s">
        <v>96</v>
      </c>
      <c r="AM254" s="1" t="s">
        <v>96</v>
      </c>
      <c r="AN254" s="1" t="s">
        <v>96</v>
      </c>
      <c r="AO254">
        <v>68.37</v>
      </c>
      <c r="AP254">
        <v>94.32</v>
      </c>
      <c r="AQ254" s="1" t="s">
        <v>96</v>
      </c>
      <c r="AR254" s="1" t="s">
        <v>96</v>
      </c>
      <c r="AS254">
        <v>216.85</v>
      </c>
      <c r="AT254">
        <v>20.45</v>
      </c>
      <c r="AU254" s="1" t="s">
        <v>96</v>
      </c>
      <c r="AV254" s="1" t="s">
        <v>96</v>
      </c>
      <c r="AW254">
        <v>2.66</v>
      </c>
      <c r="AX254" s="1" t="s">
        <v>96</v>
      </c>
      <c r="AY254" t="s">
        <v>133</v>
      </c>
      <c r="AZ254">
        <v>532.79999999999995</v>
      </c>
      <c r="BA254">
        <v>486.67</v>
      </c>
      <c r="BB254" s="1" t="s">
        <v>96</v>
      </c>
      <c r="BC254">
        <v>612.63</v>
      </c>
      <c r="BD254" s="1" t="s">
        <v>96</v>
      </c>
      <c r="BE254" s="1" t="s">
        <v>96</v>
      </c>
      <c r="BF254">
        <v>33.76</v>
      </c>
      <c r="BG254" s="1">
        <v>17.73</v>
      </c>
      <c r="BH254" s="1" t="s">
        <v>96</v>
      </c>
      <c r="BI254">
        <v>185.17</v>
      </c>
      <c r="BJ254">
        <v>49.39</v>
      </c>
      <c r="BK254" s="1" t="s">
        <v>96</v>
      </c>
      <c r="BL254" s="1">
        <v>4.1399999999999997</v>
      </c>
      <c r="BM254">
        <v>2.62</v>
      </c>
      <c r="BN254">
        <v>44.71</v>
      </c>
      <c r="BO254">
        <v>15.36</v>
      </c>
      <c r="BP254">
        <v>4.21</v>
      </c>
      <c r="BQ254" s="1" t="s">
        <v>96</v>
      </c>
      <c r="BR254" s="1" t="s">
        <v>96</v>
      </c>
      <c r="BS254" s="1">
        <v>5.68</v>
      </c>
      <c r="BT254" s="1">
        <v>2.86</v>
      </c>
      <c r="BU254" s="1" t="s">
        <v>96</v>
      </c>
      <c r="BV254">
        <v>75.709999999999994</v>
      </c>
      <c r="BW254">
        <v>8.14</v>
      </c>
      <c r="BX254" s="1" t="s">
        <v>96</v>
      </c>
      <c r="BY254">
        <v>74.22</v>
      </c>
      <c r="BZ254">
        <v>6.3</v>
      </c>
      <c r="CA254" s="1" t="s">
        <v>96</v>
      </c>
      <c r="CB254">
        <v>42.16</v>
      </c>
      <c r="CC254">
        <v>33.97</v>
      </c>
      <c r="CD254" s="1" t="s">
        <v>96</v>
      </c>
    </row>
    <row r="255" spans="1:82">
      <c r="A255" t="s">
        <v>12</v>
      </c>
      <c r="N255" s="1" t="s">
        <v>13</v>
      </c>
      <c r="O255" s="1" t="s">
        <v>14</v>
      </c>
      <c r="P255" t="s">
        <v>15</v>
      </c>
      <c r="Q255" s="1" t="s">
        <v>16</v>
      </c>
      <c r="R255" s="1" t="s">
        <v>17</v>
      </c>
      <c r="S255" s="1" t="s">
        <v>18</v>
      </c>
      <c r="T255" s="1" t="s">
        <v>19</v>
      </c>
      <c r="U255" s="1" t="s">
        <v>20</v>
      </c>
      <c r="V255" s="1" t="s">
        <v>21</v>
      </c>
      <c r="W255" s="1" t="s">
        <v>22</v>
      </c>
      <c r="X255" s="1" t="s">
        <v>23</v>
      </c>
      <c r="Y255" s="1" t="s">
        <v>24</v>
      </c>
      <c r="Z255" t="s">
        <v>25</v>
      </c>
      <c r="AA255" s="1" t="s">
        <v>26</v>
      </c>
      <c r="AB255" t="s">
        <v>27</v>
      </c>
      <c r="AC255" t="s">
        <v>28</v>
      </c>
      <c r="AD255" t="s">
        <v>29</v>
      </c>
      <c r="AE255" s="1" t="s">
        <v>30</v>
      </c>
      <c r="AF255" t="s">
        <v>31</v>
      </c>
      <c r="AG255" t="s">
        <v>32</v>
      </c>
      <c r="AH255" t="s">
        <v>33</v>
      </c>
      <c r="AI255" s="1" t="s">
        <v>34</v>
      </c>
      <c r="AJ255" s="1" t="s">
        <v>35</v>
      </c>
      <c r="AK255" s="1" t="s">
        <v>36</v>
      </c>
      <c r="AL255" s="1" t="s">
        <v>37</v>
      </c>
      <c r="AM255" s="1" t="s">
        <v>38</v>
      </c>
      <c r="AN255" s="1" t="s">
        <v>39</v>
      </c>
      <c r="AO255" t="s">
        <v>40</v>
      </c>
      <c r="AP255" t="s">
        <v>41</v>
      </c>
      <c r="AQ255" s="1" t="s">
        <v>42</v>
      </c>
      <c r="AR255" s="1" t="s">
        <v>43</v>
      </c>
      <c r="AS255" t="s">
        <v>44</v>
      </c>
      <c r="AT255" t="s">
        <v>45</v>
      </c>
      <c r="AU255" s="1" t="s">
        <v>46</v>
      </c>
      <c r="AV255" s="1" t="s">
        <v>47</v>
      </c>
      <c r="AW255" t="s">
        <v>48</v>
      </c>
      <c r="AX255" s="1" t="s">
        <v>49</v>
      </c>
      <c r="AY255" t="s">
        <v>50</v>
      </c>
      <c r="AZ255" t="s">
        <v>51</v>
      </c>
      <c r="BA255" t="s">
        <v>52</v>
      </c>
      <c r="BB255" s="1" t="s">
        <v>53</v>
      </c>
      <c r="BC255" t="s">
        <v>54</v>
      </c>
      <c r="BD255" s="1" t="s">
        <v>55</v>
      </c>
      <c r="BE255" s="1" t="s">
        <v>56</v>
      </c>
      <c r="BF255" t="s">
        <v>57</v>
      </c>
      <c r="BG255" s="1" t="s">
        <v>58</v>
      </c>
      <c r="BH255" s="1" t="s">
        <v>59</v>
      </c>
      <c r="BI255" t="s">
        <v>60</v>
      </c>
      <c r="BJ255" t="s">
        <v>61</v>
      </c>
      <c r="BK255" s="1" t="s">
        <v>62</v>
      </c>
      <c r="BL255" s="1" t="s">
        <v>63</v>
      </c>
      <c r="BM255" t="s">
        <v>64</v>
      </c>
      <c r="BN255" t="s">
        <v>65</v>
      </c>
      <c r="BO255" t="s">
        <v>66</v>
      </c>
      <c r="BP255" t="s">
        <v>67</v>
      </c>
      <c r="BQ255" s="1" t="s">
        <v>68</v>
      </c>
      <c r="BR255" s="1" t="s">
        <v>69</v>
      </c>
      <c r="BS255" s="1" t="s">
        <v>70</v>
      </c>
      <c r="BT255" s="1" t="s">
        <v>71</v>
      </c>
      <c r="BU255" s="1" t="s">
        <v>72</v>
      </c>
      <c r="BV255" t="s">
        <v>73</v>
      </c>
      <c r="BW255" t="s">
        <v>74</v>
      </c>
      <c r="BX255" s="1" t="s">
        <v>75</v>
      </c>
      <c r="BY255" t="s">
        <v>76</v>
      </c>
      <c r="BZ255" t="s">
        <v>77</v>
      </c>
      <c r="CA255" s="1" t="s">
        <v>78</v>
      </c>
      <c r="CB255" t="s">
        <v>79</v>
      </c>
      <c r="CC255" t="s">
        <v>80</v>
      </c>
      <c r="CD255" s="1" t="s">
        <v>81</v>
      </c>
    </row>
    <row r="256" spans="1:82">
      <c r="A256" t="s">
        <v>82</v>
      </c>
      <c r="N256" s="1" t="s">
        <v>83</v>
      </c>
      <c r="O256" s="1" t="s">
        <v>83</v>
      </c>
      <c r="P256" t="s">
        <v>83</v>
      </c>
      <c r="Q256" s="1" t="s">
        <v>83</v>
      </c>
      <c r="R256" s="1" t="s">
        <v>83</v>
      </c>
      <c r="S256" s="1" t="s">
        <v>83</v>
      </c>
      <c r="T256" s="1" t="s">
        <v>83</v>
      </c>
      <c r="U256" s="1" t="s">
        <v>83</v>
      </c>
      <c r="V256" s="1" t="s">
        <v>83</v>
      </c>
      <c r="W256" s="1" t="s">
        <v>83</v>
      </c>
      <c r="X256" s="1" t="s">
        <v>83</v>
      </c>
      <c r="Y256" s="1" t="s">
        <v>83</v>
      </c>
      <c r="Z256" t="s">
        <v>83</v>
      </c>
      <c r="AA256" s="1" t="s">
        <v>83</v>
      </c>
      <c r="AB256" t="s">
        <v>83</v>
      </c>
      <c r="AC256" t="s">
        <v>83</v>
      </c>
      <c r="AD256" t="s">
        <v>83</v>
      </c>
      <c r="AE256" s="1" t="s">
        <v>83</v>
      </c>
      <c r="AF256" t="s">
        <v>83</v>
      </c>
      <c r="AG256" t="s">
        <v>83</v>
      </c>
      <c r="AH256" t="s">
        <v>83</v>
      </c>
      <c r="AI256" s="1" t="s">
        <v>83</v>
      </c>
      <c r="AJ256" s="1" t="s">
        <v>83</v>
      </c>
      <c r="AK256" s="1" t="s">
        <v>83</v>
      </c>
      <c r="AL256" s="1" t="s">
        <v>83</v>
      </c>
      <c r="AM256" s="1" t="s">
        <v>83</v>
      </c>
      <c r="AN256" s="1" t="s">
        <v>83</v>
      </c>
      <c r="AO256" t="s">
        <v>83</v>
      </c>
      <c r="AP256" t="s">
        <v>83</v>
      </c>
      <c r="AQ256" s="1" t="s">
        <v>83</v>
      </c>
      <c r="AR256" s="1" t="s">
        <v>83</v>
      </c>
      <c r="AS256" t="s">
        <v>83</v>
      </c>
      <c r="AT256" t="s">
        <v>83</v>
      </c>
      <c r="AU256" s="1" t="s">
        <v>83</v>
      </c>
      <c r="AV256" s="1" t="s">
        <v>83</v>
      </c>
      <c r="AW256" t="s">
        <v>83</v>
      </c>
      <c r="AX256" s="1" t="s">
        <v>83</v>
      </c>
      <c r="AY256" t="s">
        <v>83</v>
      </c>
      <c r="AZ256" t="s">
        <v>83</v>
      </c>
      <c r="BA256" t="s">
        <v>83</v>
      </c>
      <c r="BB256" s="1" t="s">
        <v>83</v>
      </c>
      <c r="BC256" t="s">
        <v>83</v>
      </c>
      <c r="BD256" s="1" t="s">
        <v>83</v>
      </c>
      <c r="BE256" s="1" t="s">
        <v>83</v>
      </c>
      <c r="BF256" t="s">
        <v>83</v>
      </c>
      <c r="BG256" s="1" t="s">
        <v>83</v>
      </c>
      <c r="BH256" s="1" t="s">
        <v>83</v>
      </c>
      <c r="BI256" t="s">
        <v>83</v>
      </c>
      <c r="BJ256" t="s">
        <v>83</v>
      </c>
      <c r="BK256" s="1" t="s">
        <v>83</v>
      </c>
      <c r="BL256" s="1" t="s">
        <v>83</v>
      </c>
      <c r="BM256" t="s">
        <v>83</v>
      </c>
      <c r="BN256" t="s">
        <v>83</v>
      </c>
      <c r="BO256" t="s">
        <v>83</v>
      </c>
      <c r="BP256" t="s">
        <v>83</v>
      </c>
      <c r="BQ256" s="1" t="s">
        <v>83</v>
      </c>
      <c r="BR256" s="1" t="s">
        <v>83</v>
      </c>
      <c r="BS256" s="1" t="s">
        <v>83</v>
      </c>
      <c r="BT256" s="1" t="s">
        <v>83</v>
      </c>
      <c r="BU256" s="1" t="s">
        <v>83</v>
      </c>
      <c r="BV256" t="s">
        <v>83</v>
      </c>
      <c r="BW256" t="s">
        <v>83</v>
      </c>
      <c r="BX256" s="1" t="s">
        <v>83</v>
      </c>
      <c r="BY256" t="s">
        <v>83</v>
      </c>
      <c r="BZ256" t="s">
        <v>83</v>
      </c>
      <c r="CA256" s="1" t="s">
        <v>83</v>
      </c>
      <c r="CB256" t="s">
        <v>83</v>
      </c>
      <c r="CC256" t="s">
        <v>83</v>
      </c>
      <c r="CD256" s="1" t="s">
        <v>83</v>
      </c>
    </row>
    <row r="257" spans="1:82">
      <c r="A257" t="s">
        <v>84</v>
      </c>
      <c r="N257" s="1" t="s">
        <v>85</v>
      </c>
      <c r="O257" s="1" t="s">
        <v>85</v>
      </c>
      <c r="P257" t="s">
        <v>85</v>
      </c>
      <c r="Q257" s="1" t="s">
        <v>85</v>
      </c>
      <c r="R257" s="1" t="s">
        <v>86</v>
      </c>
      <c r="S257" s="1" t="s">
        <v>85</v>
      </c>
      <c r="T257" s="1" t="s">
        <v>85</v>
      </c>
      <c r="U257" s="1" t="s">
        <v>85</v>
      </c>
      <c r="V257" s="1" t="s">
        <v>85</v>
      </c>
      <c r="W257" s="1" t="s">
        <v>85</v>
      </c>
      <c r="X257" s="1" t="s">
        <v>85</v>
      </c>
      <c r="Y257" s="1" t="s">
        <v>85</v>
      </c>
      <c r="Z257" t="s">
        <v>85</v>
      </c>
      <c r="AA257" s="1" t="s">
        <v>85</v>
      </c>
      <c r="AB257" t="s">
        <v>85</v>
      </c>
      <c r="AC257" t="s">
        <v>85</v>
      </c>
      <c r="AD257" t="s">
        <v>85</v>
      </c>
      <c r="AE257" s="1" t="s">
        <v>85</v>
      </c>
      <c r="AF257" t="s">
        <v>85</v>
      </c>
      <c r="AG257" t="s">
        <v>86</v>
      </c>
      <c r="AH257" t="s">
        <v>86</v>
      </c>
      <c r="AI257" s="1" t="s">
        <v>85</v>
      </c>
      <c r="AJ257" s="1" t="s">
        <v>85</v>
      </c>
      <c r="AK257" s="1" t="s">
        <v>85</v>
      </c>
      <c r="AL257" s="1" t="s">
        <v>85</v>
      </c>
      <c r="AM257" s="1" t="s">
        <v>85</v>
      </c>
      <c r="AN257" s="1" t="s">
        <v>85</v>
      </c>
      <c r="AO257" t="s">
        <v>85</v>
      </c>
      <c r="AP257" t="s">
        <v>85</v>
      </c>
      <c r="AQ257" s="1" t="s">
        <v>85</v>
      </c>
      <c r="AR257" s="1" t="s">
        <v>85</v>
      </c>
      <c r="AS257" t="s">
        <v>86</v>
      </c>
      <c r="AT257" t="s">
        <v>85</v>
      </c>
      <c r="AU257" s="1" t="s">
        <v>85</v>
      </c>
      <c r="AV257" s="1" t="s">
        <v>85</v>
      </c>
      <c r="AW257" t="s">
        <v>86</v>
      </c>
      <c r="AX257" s="1" t="s">
        <v>85</v>
      </c>
      <c r="AY257" t="s">
        <v>86</v>
      </c>
      <c r="AZ257" t="s">
        <v>86</v>
      </c>
      <c r="BA257" t="s">
        <v>86</v>
      </c>
      <c r="BB257" s="1" t="s">
        <v>85</v>
      </c>
      <c r="BC257" t="s">
        <v>86</v>
      </c>
      <c r="BD257" s="1" t="s">
        <v>85</v>
      </c>
      <c r="BE257" s="1" t="s">
        <v>86</v>
      </c>
      <c r="BF257" t="s">
        <v>85</v>
      </c>
      <c r="BG257" s="1" t="s">
        <v>86</v>
      </c>
      <c r="BH257" s="1" t="s">
        <v>85</v>
      </c>
      <c r="BI257" t="s">
        <v>86</v>
      </c>
      <c r="BJ257" t="s">
        <v>86</v>
      </c>
      <c r="BK257" s="1" t="s">
        <v>85</v>
      </c>
      <c r="BL257" s="1" t="s">
        <v>85</v>
      </c>
      <c r="BM257" t="s">
        <v>85</v>
      </c>
      <c r="BN257" t="s">
        <v>86</v>
      </c>
      <c r="BO257" t="s">
        <v>85</v>
      </c>
      <c r="BP257" t="s">
        <v>86</v>
      </c>
      <c r="BQ257" s="1" t="s">
        <v>85</v>
      </c>
      <c r="BR257" s="1" t="s">
        <v>86</v>
      </c>
      <c r="BS257" s="1" t="s">
        <v>86</v>
      </c>
      <c r="BT257" s="1" t="s">
        <v>85</v>
      </c>
      <c r="BU257" s="1" t="s">
        <v>85</v>
      </c>
      <c r="BV257" t="s">
        <v>86</v>
      </c>
      <c r="BW257" t="s">
        <v>85</v>
      </c>
      <c r="BX257" s="1" t="s">
        <v>86</v>
      </c>
      <c r="BY257" t="s">
        <v>86</v>
      </c>
      <c r="BZ257" t="s">
        <v>86</v>
      </c>
      <c r="CA257" s="1" t="s">
        <v>85</v>
      </c>
      <c r="CB257" t="s">
        <v>85</v>
      </c>
      <c r="CC257" t="s">
        <v>85</v>
      </c>
      <c r="CD257" s="1" t="s">
        <v>86</v>
      </c>
    </row>
    <row r="258" spans="1:82">
      <c r="A258" t="s">
        <v>87</v>
      </c>
      <c r="N258" s="1" t="s">
        <v>88</v>
      </c>
      <c r="O258" s="1" t="s">
        <v>88</v>
      </c>
      <c r="P258" t="s">
        <v>88</v>
      </c>
      <c r="Q258" s="1" t="s">
        <v>88</v>
      </c>
      <c r="R258" s="1" t="s">
        <v>88</v>
      </c>
      <c r="S258" s="1" t="s">
        <v>88</v>
      </c>
      <c r="T258" s="1" t="s">
        <v>88</v>
      </c>
      <c r="U258" s="1" t="s">
        <v>88</v>
      </c>
      <c r="V258" s="1" t="s">
        <v>88</v>
      </c>
      <c r="W258" s="1" t="s">
        <v>88</v>
      </c>
      <c r="X258" s="1" t="s">
        <v>88</v>
      </c>
      <c r="Y258" s="1" t="s">
        <v>88</v>
      </c>
      <c r="Z258" t="s">
        <v>88</v>
      </c>
      <c r="AA258" s="1" t="s">
        <v>88</v>
      </c>
      <c r="AB258" t="s">
        <v>88</v>
      </c>
      <c r="AC258" t="s">
        <v>88</v>
      </c>
      <c r="AD258" t="s">
        <v>88</v>
      </c>
      <c r="AE258" s="1" t="s">
        <v>88</v>
      </c>
      <c r="AF258" t="s">
        <v>88</v>
      </c>
      <c r="AG258" t="s">
        <v>88</v>
      </c>
      <c r="AH258" t="s">
        <v>88</v>
      </c>
      <c r="AI258" s="1" t="s">
        <v>88</v>
      </c>
      <c r="AJ258" s="1" t="s">
        <v>88</v>
      </c>
      <c r="AK258" s="1" t="s">
        <v>88</v>
      </c>
      <c r="AL258" s="1" t="s">
        <v>88</v>
      </c>
      <c r="AM258" s="1" t="s">
        <v>88</v>
      </c>
      <c r="AN258" s="1" t="s">
        <v>88</v>
      </c>
      <c r="AO258" t="s">
        <v>88</v>
      </c>
      <c r="AP258" t="s">
        <v>88</v>
      </c>
      <c r="AQ258" s="1" t="s">
        <v>88</v>
      </c>
      <c r="AR258" s="1" t="s">
        <v>88</v>
      </c>
      <c r="AS258" t="s">
        <v>88</v>
      </c>
      <c r="AT258" t="s">
        <v>88</v>
      </c>
      <c r="AU258" s="1" t="s">
        <v>88</v>
      </c>
      <c r="AV258" s="1" t="s">
        <v>88</v>
      </c>
      <c r="AW258" t="s">
        <v>88</v>
      </c>
      <c r="AX258" s="1" t="s">
        <v>88</v>
      </c>
      <c r="AY258" t="s">
        <v>88</v>
      </c>
      <c r="AZ258" t="s">
        <v>88</v>
      </c>
      <c r="BA258" t="s">
        <v>88</v>
      </c>
      <c r="BB258" s="1" t="s">
        <v>88</v>
      </c>
      <c r="BC258" t="s">
        <v>88</v>
      </c>
      <c r="BD258" s="1" t="s">
        <v>88</v>
      </c>
      <c r="BE258" s="1" t="s">
        <v>88</v>
      </c>
      <c r="BF258" t="s">
        <v>88</v>
      </c>
      <c r="BG258" s="1" t="s">
        <v>88</v>
      </c>
      <c r="BH258" s="1" t="s">
        <v>88</v>
      </c>
      <c r="BI258" t="s">
        <v>88</v>
      </c>
      <c r="BJ258" t="s">
        <v>88</v>
      </c>
      <c r="BK258" s="1" t="s">
        <v>88</v>
      </c>
      <c r="BL258" s="1" t="s">
        <v>88</v>
      </c>
      <c r="BM258" t="s">
        <v>88</v>
      </c>
      <c r="BN258" t="s">
        <v>88</v>
      </c>
      <c r="BO258" t="s">
        <v>88</v>
      </c>
      <c r="BP258" t="s">
        <v>88</v>
      </c>
      <c r="BQ258" s="1" t="s">
        <v>88</v>
      </c>
      <c r="BR258" s="1" t="s">
        <v>88</v>
      </c>
      <c r="BS258" s="1" t="s">
        <v>88</v>
      </c>
      <c r="BT258" s="1" t="s">
        <v>88</v>
      </c>
      <c r="BU258" s="1" t="s">
        <v>88</v>
      </c>
      <c r="BV258" t="s">
        <v>88</v>
      </c>
      <c r="BW258" t="s">
        <v>88</v>
      </c>
      <c r="BX258" s="1" t="s">
        <v>88</v>
      </c>
      <c r="BY258" t="s">
        <v>88</v>
      </c>
      <c r="BZ258" t="s">
        <v>88</v>
      </c>
      <c r="CA258" s="1" t="s">
        <v>88</v>
      </c>
      <c r="CB258" t="s">
        <v>88</v>
      </c>
      <c r="CC258" t="s">
        <v>88</v>
      </c>
      <c r="CD258" s="1" t="s">
        <v>88</v>
      </c>
    </row>
    <row r="259" spans="1:82">
      <c r="A259" t="s">
        <v>89</v>
      </c>
      <c r="N259" s="1">
        <v>50</v>
      </c>
      <c r="O259" s="1">
        <v>5</v>
      </c>
      <c r="P259">
        <v>2.5</v>
      </c>
      <c r="Q259" s="1">
        <v>10</v>
      </c>
      <c r="R259" s="1">
        <v>10</v>
      </c>
      <c r="S259" s="1">
        <v>5</v>
      </c>
      <c r="T259" s="1">
        <v>50</v>
      </c>
      <c r="U259" s="1">
        <v>10</v>
      </c>
      <c r="V259" s="1">
        <v>10</v>
      </c>
      <c r="W259" s="1">
        <v>10</v>
      </c>
      <c r="X259" s="1">
        <v>2.5</v>
      </c>
      <c r="Y259" s="1">
        <v>2.5</v>
      </c>
      <c r="Z259">
        <v>1</v>
      </c>
      <c r="AA259" s="1">
        <v>1</v>
      </c>
      <c r="AB259">
        <v>1</v>
      </c>
      <c r="AC259">
        <v>1</v>
      </c>
      <c r="AD259">
        <v>1</v>
      </c>
      <c r="AE259" s="1">
        <v>1</v>
      </c>
      <c r="AF259">
        <v>5</v>
      </c>
      <c r="AG259">
        <v>1</v>
      </c>
      <c r="AH259">
        <v>1</v>
      </c>
      <c r="AI259" s="1">
        <v>2.5</v>
      </c>
      <c r="AJ259" s="1">
        <v>1</v>
      </c>
      <c r="AK259" s="1">
        <v>1</v>
      </c>
      <c r="AL259" s="1">
        <v>1</v>
      </c>
      <c r="AM259" s="1">
        <v>2.5</v>
      </c>
      <c r="AN259" s="1">
        <v>1</v>
      </c>
      <c r="AO259">
        <v>25</v>
      </c>
      <c r="AP259">
        <v>1</v>
      </c>
      <c r="AQ259" s="1">
        <v>1</v>
      </c>
      <c r="AR259" s="1">
        <v>1</v>
      </c>
      <c r="AS259">
        <v>1</v>
      </c>
      <c r="AT259">
        <v>1</v>
      </c>
      <c r="AU259" s="1">
        <v>1</v>
      </c>
      <c r="AV259" s="1">
        <v>10</v>
      </c>
      <c r="AW259">
        <v>2.5</v>
      </c>
      <c r="AX259" s="1">
        <v>2.5</v>
      </c>
      <c r="AY259">
        <v>2.5</v>
      </c>
      <c r="AZ259">
        <v>2.5</v>
      </c>
      <c r="BA259">
        <v>2.5</v>
      </c>
      <c r="BB259" s="1">
        <v>1</v>
      </c>
      <c r="BC259">
        <v>5</v>
      </c>
      <c r="BD259" s="1">
        <v>10</v>
      </c>
      <c r="BE259" s="1">
        <v>2.5</v>
      </c>
      <c r="BF259">
        <v>2.5</v>
      </c>
      <c r="BG259" s="1">
        <v>2.5</v>
      </c>
      <c r="BH259" s="1">
        <v>2.5</v>
      </c>
      <c r="BI259">
        <v>5</v>
      </c>
      <c r="BJ259">
        <v>2.5</v>
      </c>
      <c r="BK259" s="1">
        <v>1</v>
      </c>
      <c r="BL259" s="1">
        <v>2.5</v>
      </c>
      <c r="BM259">
        <v>2.5</v>
      </c>
      <c r="BN259">
        <v>2.5</v>
      </c>
      <c r="BO259">
        <v>10</v>
      </c>
      <c r="BP259">
        <v>2.5</v>
      </c>
      <c r="BQ259" s="1">
        <v>1</v>
      </c>
      <c r="BR259" s="1">
        <v>2.5</v>
      </c>
      <c r="BS259" s="1">
        <v>5</v>
      </c>
      <c r="BT259" s="1">
        <v>2.5</v>
      </c>
      <c r="BU259" s="1">
        <v>5</v>
      </c>
      <c r="BV259">
        <v>2.5</v>
      </c>
      <c r="BW259">
        <v>5</v>
      </c>
      <c r="BX259" s="1">
        <v>5</v>
      </c>
      <c r="BY259">
        <v>5</v>
      </c>
      <c r="BZ259">
        <v>5</v>
      </c>
      <c r="CA259" s="1">
        <v>10</v>
      </c>
      <c r="CB259">
        <v>5</v>
      </c>
      <c r="CC259">
        <v>5</v>
      </c>
      <c r="CD259" s="1">
        <v>5</v>
      </c>
    </row>
    <row r="260" spans="1:82">
      <c r="A260" t="s">
        <v>90</v>
      </c>
      <c r="N260" s="1">
        <v>1000</v>
      </c>
      <c r="O260" s="1">
        <v>500</v>
      </c>
      <c r="P260">
        <v>500</v>
      </c>
      <c r="Q260" s="1">
        <v>500</v>
      </c>
      <c r="R260" s="1">
        <v>500</v>
      </c>
      <c r="S260" s="1">
        <v>250</v>
      </c>
      <c r="T260" s="1">
        <v>1000</v>
      </c>
      <c r="U260" s="1">
        <v>2500</v>
      </c>
      <c r="V260" s="1">
        <v>1000</v>
      </c>
      <c r="W260" s="1">
        <v>1000</v>
      </c>
      <c r="X260" s="1">
        <v>1000</v>
      </c>
      <c r="Y260" s="1">
        <v>500</v>
      </c>
      <c r="Z260">
        <v>500</v>
      </c>
      <c r="AA260" s="1">
        <v>500</v>
      </c>
      <c r="AB260">
        <v>500</v>
      </c>
      <c r="AC260">
        <v>500</v>
      </c>
      <c r="AD260">
        <v>1000</v>
      </c>
      <c r="AE260" s="1">
        <v>500</v>
      </c>
      <c r="AF260">
        <v>500</v>
      </c>
      <c r="AG260">
        <v>1000</v>
      </c>
      <c r="AH260">
        <v>1000</v>
      </c>
      <c r="AI260" s="1">
        <v>500</v>
      </c>
      <c r="AJ260" s="1">
        <v>1000</v>
      </c>
      <c r="AK260" s="1">
        <v>1000</v>
      </c>
      <c r="AL260" s="1">
        <v>1000</v>
      </c>
      <c r="AM260" s="1">
        <v>1000</v>
      </c>
      <c r="AN260" s="1">
        <v>1000</v>
      </c>
      <c r="AO260">
        <v>2500</v>
      </c>
      <c r="AP260">
        <v>1000</v>
      </c>
      <c r="AQ260" s="1">
        <v>1000</v>
      </c>
      <c r="AR260" s="1">
        <v>1000</v>
      </c>
      <c r="AS260">
        <v>1000</v>
      </c>
      <c r="AT260">
        <v>1000</v>
      </c>
      <c r="AU260" s="1">
        <v>1000</v>
      </c>
      <c r="AV260" s="1">
        <v>1000</v>
      </c>
      <c r="AW260">
        <v>2500</v>
      </c>
      <c r="AX260" s="1">
        <v>1000</v>
      </c>
      <c r="AY260">
        <v>2500</v>
      </c>
      <c r="AZ260">
        <v>2500</v>
      </c>
      <c r="BA260">
        <v>2500</v>
      </c>
      <c r="BB260" s="1">
        <v>1000</v>
      </c>
      <c r="BC260">
        <v>1000</v>
      </c>
      <c r="BD260" s="1">
        <v>2500</v>
      </c>
      <c r="BE260" s="1">
        <v>2500</v>
      </c>
      <c r="BF260">
        <v>1000</v>
      </c>
      <c r="BG260" s="1">
        <v>1000</v>
      </c>
      <c r="BH260" s="1">
        <v>1000</v>
      </c>
      <c r="BI260">
        <v>2500</v>
      </c>
      <c r="BJ260">
        <v>2500</v>
      </c>
      <c r="BK260" s="1">
        <v>500</v>
      </c>
      <c r="BL260" s="1">
        <v>1000</v>
      </c>
      <c r="BM260">
        <v>2500</v>
      </c>
      <c r="BN260">
        <v>1000</v>
      </c>
      <c r="BO260">
        <v>2500</v>
      </c>
      <c r="BP260">
        <v>1000</v>
      </c>
      <c r="BQ260" s="1">
        <v>1000</v>
      </c>
      <c r="BR260" s="1">
        <v>1000</v>
      </c>
      <c r="BS260" s="1">
        <v>1000</v>
      </c>
      <c r="BT260" s="1">
        <v>500</v>
      </c>
      <c r="BU260" s="1">
        <v>1000</v>
      </c>
      <c r="BV260">
        <v>1000</v>
      </c>
      <c r="BW260">
        <v>1000</v>
      </c>
      <c r="BX260" s="1">
        <v>2500</v>
      </c>
      <c r="BY260">
        <v>2500</v>
      </c>
      <c r="BZ260">
        <v>2500</v>
      </c>
      <c r="CA260" s="1">
        <v>1000</v>
      </c>
      <c r="CB260">
        <v>2500</v>
      </c>
      <c r="CC260">
        <v>2500</v>
      </c>
      <c r="CD260" s="1">
        <v>2500</v>
      </c>
    </row>
  </sheetData>
  <sortState xmlns:xlrd2="http://schemas.microsoft.com/office/spreadsheetml/2017/richdata2" ref="A2:CD260">
    <sortCondition ref="J8:J26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F996B-58DA-AF4C-A603-7DF73427AF37}">
  <dimension ref="A1:BX260"/>
  <sheetViews>
    <sheetView workbookViewId="0">
      <selection activeCell="BV1" sqref="BV1:BW1048576"/>
    </sheetView>
  </sheetViews>
  <sheetFormatPr defaultColWidth="8.85546875" defaultRowHeight="15"/>
  <cols>
    <col min="8" max="9" width="8.85546875" style="1"/>
    <col min="11" max="19" width="8.85546875" style="1"/>
    <col min="21" max="21" width="8.85546875" style="1"/>
    <col min="25" max="25" width="8.85546875" style="1"/>
    <col min="29" max="34" width="8.85546875" style="1"/>
    <col min="37" max="38" width="8.85546875" style="1"/>
    <col min="41" max="42" width="8.85546875" style="1"/>
    <col min="44" max="44" width="8.85546875" style="1"/>
    <col min="48" max="48" width="8.85546875" style="1"/>
    <col min="50" max="51" width="8.85546875" style="1"/>
    <col min="53" max="54" width="8.85546875" style="1"/>
    <col min="57" max="58" width="8.85546875" style="1"/>
    <col min="63" max="67" width="8.85546875" style="1"/>
    <col min="70" max="70" width="8.85546875" style="1"/>
    <col min="73" max="73" width="8.85546875" style="1"/>
    <col min="76" max="76" width="8.85546875" style="1"/>
  </cols>
  <sheetData>
    <row r="1" spans="1:76"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8</v>
      </c>
      <c r="H1" s="1" t="s">
        <v>13</v>
      </c>
      <c r="I1" s="1" t="s">
        <v>14</v>
      </c>
      <c r="J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23</v>
      </c>
      <c r="S1" s="1" t="s">
        <v>24</v>
      </c>
      <c r="T1" t="s">
        <v>25</v>
      </c>
      <c r="U1" s="1" t="s">
        <v>26</v>
      </c>
      <c r="V1" t="s">
        <v>27</v>
      </c>
      <c r="W1" t="s">
        <v>28</v>
      </c>
      <c r="X1" t="s">
        <v>29</v>
      </c>
      <c r="Y1" s="1" t="s">
        <v>30</v>
      </c>
      <c r="Z1" t="s">
        <v>31</v>
      </c>
      <c r="AA1" t="s">
        <v>32</v>
      </c>
      <c r="AB1" t="s">
        <v>33</v>
      </c>
      <c r="AC1" s="1" t="s">
        <v>34</v>
      </c>
      <c r="AD1" s="1" t="s">
        <v>35</v>
      </c>
      <c r="AE1" s="1" t="s">
        <v>36</v>
      </c>
      <c r="AF1" s="1" t="s">
        <v>37</v>
      </c>
      <c r="AG1" s="1" t="s">
        <v>38</v>
      </c>
      <c r="AH1" s="1" t="s">
        <v>39</v>
      </c>
      <c r="AI1" t="s">
        <v>40</v>
      </c>
      <c r="AJ1" t="s">
        <v>41</v>
      </c>
      <c r="AK1" s="1" t="s">
        <v>42</v>
      </c>
      <c r="AL1" s="1" t="s">
        <v>43</v>
      </c>
      <c r="AM1" t="s">
        <v>44</v>
      </c>
      <c r="AN1" t="s">
        <v>45</v>
      </c>
      <c r="AO1" s="1" t="s">
        <v>46</v>
      </c>
      <c r="AP1" s="1" t="s">
        <v>47</v>
      </c>
      <c r="AQ1" t="s">
        <v>48</v>
      </c>
      <c r="AR1" s="1" t="s">
        <v>49</v>
      </c>
      <c r="AS1" t="s">
        <v>50</v>
      </c>
      <c r="AT1" t="s">
        <v>51</v>
      </c>
      <c r="AU1" t="s">
        <v>52</v>
      </c>
      <c r="AV1" s="1" t="s">
        <v>53</v>
      </c>
      <c r="AW1" t="s">
        <v>54</v>
      </c>
      <c r="AX1" s="1" t="s">
        <v>55</v>
      </c>
      <c r="AY1" s="1" t="s">
        <v>56</v>
      </c>
      <c r="AZ1" t="s">
        <v>57</v>
      </c>
      <c r="BA1" s="1" t="s">
        <v>58</v>
      </c>
      <c r="BB1" s="1" t="s">
        <v>59</v>
      </c>
      <c r="BC1" t="s">
        <v>60</v>
      </c>
      <c r="BD1" t="s">
        <v>61</v>
      </c>
      <c r="BE1" s="1" t="s">
        <v>62</v>
      </c>
      <c r="BF1" s="1" t="s">
        <v>63</v>
      </c>
      <c r="BG1" t="s">
        <v>64</v>
      </c>
      <c r="BH1" t="s">
        <v>65</v>
      </c>
      <c r="BI1" t="s">
        <v>66</v>
      </c>
      <c r="BJ1" t="s">
        <v>67</v>
      </c>
      <c r="BK1" s="1" t="s">
        <v>68</v>
      </c>
      <c r="BL1" s="1" t="s">
        <v>69</v>
      </c>
      <c r="BM1" s="1" t="s">
        <v>70</v>
      </c>
      <c r="BN1" s="1" t="s">
        <v>71</v>
      </c>
      <c r="BO1" s="1" t="s">
        <v>72</v>
      </c>
      <c r="BP1" t="s">
        <v>73</v>
      </c>
      <c r="BQ1" t="s">
        <v>74</v>
      </c>
      <c r="BR1" s="1" t="s">
        <v>75</v>
      </c>
      <c r="BS1" t="s">
        <v>76</v>
      </c>
      <c r="BT1" t="s">
        <v>77</v>
      </c>
      <c r="BU1" s="1" t="s">
        <v>78</v>
      </c>
      <c r="BV1" t="s">
        <v>79</v>
      </c>
      <c r="BW1" t="s">
        <v>80</v>
      </c>
      <c r="BX1" s="1" t="s">
        <v>81</v>
      </c>
    </row>
    <row r="2" spans="1:76">
      <c r="A2">
        <v>110</v>
      </c>
      <c r="B2" t="s">
        <v>425</v>
      </c>
      <c r="D2" t="b">
        <v>1</v>
      </c>
      <c r="E2" t="s">
        <v>426</v>
      </c>
      <c r="G2" t="s">
        <v>427</v>
      </c>
      <c r="H2" s="1" t="s">
        <v>96</v>
      </c>
      <c r="I2" s="1" t="s">
        <v>96</v>
      </c>
      <c r="J2">
        <v>22.52</v>
      </c>
      <c r="K2" s="1" t="s">
        <v>96</v>
      </c>
      <c r="L2" s="1" t="s">
        <v>96</v>
      </c>
      <c r="M2" s="1" t="s">
        <v>96</v>
      </c>
      <c r="N2" s="1" t="s">
        <v>96</v>
      </c>
      <c r="O2" s="1" t="s">
        <v>96</v>
      </c>
      <c r="P2" s="1" t="s">
        <v>96</v>
      </c>
      <c r="Q2" s="1" t="s">
        <v>96</v>
      </c>
      <c r="R2" s="1" t="s">
        <v>96</v>
      </c>
      <c r="S2" s="1" t="s">
        <v>96</v>
      </c>
      <c r="T2">
        <v>2.88</v>
      </c>
      <c r="U2" s="1" t="s">
        <v>96</v>
      </c>
      <c r="V2">
        <v>61.74</v>
      </c>
      <c r="W2">
        <v>3.87</v>
      </c>
      <c r="X2">
        <v>262.68</v>
      </c>
      <c r="Y2" s="1" t="s">
        <v>96</v>
      </c>
      <c r="Z2">
        <v>14.28</v>
      </c>
      <c r="AA2">
        <v>356.88</v>
      </c>
      <c r="AB2">
        <v>917.94</v>
      </c>
      <c r="AC2" s="1" t="s">
        <v>96</v>
      </c>
      <c r="AD2" s="1" t="s">
        <v>96</v>
      </c>
      <c r="AE2" s="1" t="s">
        <v>96</v>
      </c>
      <c r="AF2" s="1" t="s">
        <v>96</v>
      </c>
      <c r="AG2" s="1" t="s">
        <v>96</v>
      </c>
      <c r="AH2" s="1">
        <v>4.16</v>
      </c>
      <c r="AI2">
        <v>440.12</v>
      </c>
      <c r="AJ2">
        <v>148.26</v>
      </c>
      <c r="AK2" s="1" t="s">
        <v>96</v>
      </c>
      <c r="AL2" s="1" t="s">
        <v>96</v>
      </c>
      <c r="AM2">
        <v>171.92</v>
      </c>
      <c r="AN2">
        <v>9.17</v>
      </c>
      <c r="AO2" s="1" t="s">
        <v>96</v>
      </c>
      <c r="AP2" s="1" t="s">
        <v>96</v>
      </c>
      <c r="AQ2" t="s">
        <v>96</v>
      </c>
      <c r="AR2" s="1" t="s">
        <v>96</v>
      </c>
      <c r="AS2">
        <v>832.19</v>
      </c>
      <c r="AT2">
        <v>123.64</v>
      </c>
      <c r="AU2">
        <v>140.41</v>
      </c>
      <c r="AV2" s="1" t="s">
        <v>96</v>
      </c>
      <c r="AW2">
        <v>220.67</v>
      </c>
      <c r="AX2" s="1" t="s">
        <v>96</v>
      </c>
      <c r="AY2" s="1" t="s">
        <v>96</v>
      </c>
      <c r="AZ2">
        <v>6.29</v>
      </c>
      <c r="BA2" s="1">
        <v>3.67</v>
      </c>
      <c r="BB2" s="1" t="s">
        <v>96</v>
      </c>
      <c r="BC2">
        <v>55.83</v>
      </c>
      <c r="BD2">
        <v>8.36</v>
      </c>
      <c r="BE2" s="1" t="s">
        <v>96</v>
      </c>
      <c r="BF2" s="1" t="s">
        <v>96</v>
      </c>
      <c r="BG2" t="s">
        <v>96</v>
      </c>
      <c r="BH2">
        <v>20.8</v>
      </c>
      <c r="BI2" t="s">
        <v>96</v>
      </c>
      <c r="BJ2" t="s">
        <v>96</v>
      </c>
      <c r="BK2" s="1" t="s">
        <v>96</v>
      </c>
      <c r="BL2" s="1" t="s">
        <v>96</v>
      </c>
      <c r="BM2" s="1" t="s">
        <v>96</v>
      </c>
      <c r="BN2" s="1" t="s">
        <v>96</v>
      </c>
      <c r="BO2" s="1">
        <v>5.56</v>
      </c>
      <c r="BP2">
        <v>92.16</v>
      </c>
      <c r="BQ2">
        <v>7.62</v>
      </c>
      <c r="BR2" s="1" t="s">
        <v>96</v>
      </c>
      <c r="BS2">
        <v>74.05</v>
      </c>
      <c r="BT2">
        <v>5.81</v>
      </c>
      <c r="BU2" s="1" t="s">
        <v>96</v>
      </c>
      <c r="BV2">
        <v>139.80000000000001</v>
      </c>
      <c r="BW2">
        <v>54.4</v>
      </c>
      <c r="BX2" s="1" t="s">
        <v>96</v>
      </c>
    </row>
    <row r="3" spans="1:76">
      <c r="A3">
        <v>13</v>
      </c>
      <c r="B3" t="s">
        <v>134</v>
      </c>
      <c r="D3" t="b">
        <v>1</v>
      </c>
      <c r="E3" t="s">
        <v>135</v>
      </c>
      <c r="G3" t="s">
        <v>136</v>
      </c>
      <c r="H3" s="1" t="s">
        <v>96</v>
      </c>
      <c r="I3" s="1" t="s">
        <v>96</v>
      </c>
      <c r="J3">
        <v>13.96</v>
      </c>
      <c r="K3" s="1" t="s">
        <v>96</v>
      </c>
      <c r="L3" s="1" t="s">
        <v>96</v>
      </c>
      <c r="M3" s="1" t="s">
        <v>96</v>
      </c>
      <c r="N3" s="1" t="s">
        <v>96</v>
      </c>
      <c r="O3" s="1" t="s">
        <v>96</v>
      </c>
      <c r="P3" s="1" t="s">
        <v>96</v>
      </c>
      <c r="Q3" s="1" t="s">
        <v>96</v>
      </c>
      <c r="R3" s="1" t="s">
        <v>96</v>
      </c>
      <c r="S3" s="1" t="s">
        <v>96</v>
      </c>
      <c r="T3">
        <v>4.5999999999999996</v>
      </c>
      <c r="U3" s="1" t="s">
        <v>96</v>
      </c>
      <c r="V3">
        <v>2.94</v>
      </c>
      <c r="W3" t="s">
        <v>96</v>
      </c>
      <c r="X3">
        <v>172.78</v>
      </c>
      <c r="Y3" s="1" t="s">
        <v>96</v>
      </c>
      <c r="Z3" t="s">
        <v>96</v>
      </c>
      <c r="AA3" t="s">
        <v>96</v>
      </c>
      <c r="AB3">
        <v>836.11</v>
      </c>
      <c r="AC3" s="1" t="s">
        <v>96</v>
      </c>
      <c r="AD3" s="1" t="s">
        <v>96</v>
      </c>
      <c r="AE3" s="1" t="s">
        <v>96</v>
      </c>
      <c r="AF3" s="1" t="s">
        <v>96</v>
      </c>
      <c r="AG3" s="1" t="s">
        <v>96</v>
      </c>
      <c r="AH3" s="1">
        <v>2.68</v>
      </c>
      <c r="AI3">
        <v>42.26</v>
      </c>
      <c r="AJ3">
        <v>44.05</v>
      </c>
      <c r="AK3" s="1" t="s">
        <v>96</v>
      </c>
      <c r="AL3" s="1" t="s">
        <v>96</v>
      </c>
      <c r="AM3">
        <v>85.35</v>
      </c>
      <c r="AN3">
        <v>5.14</v>
      </c>
      <c r="AO3" s="1" t="s">
        <v>96</v>
      </c>
      <c r="AP3" s="1" t="s">
        <v>96</v>
      </c>
      <c r="AQ3" t="s">
        <v>96</v>
      </c>
      <c r="AR3" s="1">
        <v>3.12</v>
      </c>
      <c r="AS3" t="s">
        <v>133</v>
      </c>
      <c r="AT3">
        <v>3.21</v>
      </c>
      <c r="AU3">
        <v>159.05000000000001</v>
      </c>
      <c r="AV3" s="1" t="s">
        <v>96</v>
      </c>
      <c r="AW3" t="s">
        <v>133</v>
      </c>
      <c r="AX3" s="1" t="s">
        <v>96</v>
      </c>
      <c r="AY3" s="1" t="s">
        <v>96</v>
      </c>
      <c r="AZ3">
        <v>25.28</v>
      </c>
      <c r="BA3" s="1">
        <v>4.8899999999999997</v>
      </c>
      <c r="BB3" s="1" t="s">
        <v>96</v>
      </c>
      <c r="BC3">
        <v>281.48</v>
      </c>
      <c r="BD3" t="s">
        <v>96</v>
      </c>
      <c r="BE3" s="1" t="s">
        <v>96</v>
      </c>
      <c r="BF3" s="1" t="s">
        <v>96</v>
      </c>
      <c r="BG3" t="s">
        <v>96</v>
      </c>
      <c r="BH3">
        <v>115.65</v>
      </c>
      <c r="BI3" t="s">
        <v>96</v>
      </c>
      <c r="BJ3" t="s">
        <v>96</v>
      </c>
      <c r="BK3" s="1" t="s">
        <v>96</v>
      </c>
      <c r="BL3" s="1" t="s">
        <v>96</v>
      </c>
      <c r="BM3" s="1" t="s">
        <v>96</v>
      </c>
      <c r="BN3" s="1" t="s">
        <v>96</v>
      </c>
      <c r="BO3" s="1" t="s">
        <v>96</v>
      </c>
      <c r="BP3">
        <v>434.96</v>
      </c>
      <c r="BQ3">
        <v>27.07</v>
      </c>
      <c r="BR3" s="1">
        <v>8.4499999999999993</v>
      </c>
      <c r="BS3">
        <v>12.86</v>
      </c>
      <c r="BT3" t="s">
        <v>96</v>
      </c>
      <c r="BU3" s="1" t="s">
        <v>96</v>
      </c>
      <c r="BV3">
        <v>92.38</v>
      </c>
      <c r="BW3" t="s">
        <v>96</v>
      </c>
      <c r="BX3" s="1" t="s">
        <v>96</v>
      </c>
    </row>
    <row r="4" spans="1:76">
      <c r="A4">
        <v>117</v>
      </c>
      <c r="B4" t="s">
        <v>446</v>
      </c>
      <c r="D4" t="b">
        <v>1</v>
      </c>
      <c r="E4" t="s">
        <v>447</v>
      </c>
      <c r="G4" t="s">
        <v>448</v>
      </c>
      <c r="H4" s="1" t="s">
        <v>96</v>
      </c>
      <c r="I4" s="1" t="s">
        <v>96</v>
      </c>
      <c r="J4">
        <v>7.57</v>
      </c>
      <c r="K4" s="1" t="s">
        <v>96</v>
      </c>
      <c r="L4" s="1" t="s">
        <v>96</v>
      </c>
      <c r="M4" s="1" t="s">
        <v>96</v>
      </c>
      <c r="N4" s="1" t="s">
        <v>96</v>
      </c>
      <c r="O4" s="1" t="s">
        <v>96</v>
      </c>
      <c r="P4" s="1" t="s">
        <v>96</v>
      </c>
      <c r="Q4" s="1" t="s">
        <v>96</v>
      </c>
      <c r="R4" s="1" t="s">
        <v>96</v>
      </c>
      <c r="S4" s="1" t="s">
        <v>96</v>
      </c>
      <c r="T4" t="s">
        <v>96</v>
      </c>
      <c r="U4" s="1" t="s">
        <v>96</v>
      </c>
      <c r="V4">
        <v>1.71</v>
      </c>
      <c r="W4">
        <v>1.1599999999999999</v>
      </c>
      <c r="X4">
        <v>6.18</v>
      </c>
      <c r="Y4" s="1" t="s">
        <v>96</v>
      </c>
      <c r="Z4" t="s">
        <v>96</v>
      </c>
      <c r="AA4">
        <v>35.57</v>
      </c>
      <c r="AB4">
        <v>67.069999999999993</v>
      </c>
      <c r="AC4" s="1" t="s">
        <v>96</v>
      </c>
      <c r="AD4" s="1" t="s">
        <v>96</v>
      </c>
      <c r="AE4" s="1" t="s">
        <v>96</v>
      </c>
      <c r="AF4" s="1" t="s">
        <v>96</v>
      </c>
      <c r="AG4" s="1" t="s">
        <v>96</v>
      </c>
      <c r="AH4" s="1" t="s">
        <v>96</v>
      </c>
      <c r="AI4">
        <v>28.63</v>
      </c>
      <c r="AJ4">
        <v>4.76</v>
      </c>
      <c r="AK4" s="1" t="s">
        <v>96</v>
      </c>
      <c r="AL4" s="1" t="s">
        <v>96</v>
      </c>
      <c r="AM4">
        <v>56.98</v>
      </c>
      <c r="AN4" t="s">
        <v>96</v>
      </c>
      <c r="AO4" s="1" t="s">
        <v>96</v>
      </c>
      <c r="AP4" s="1" t="s">
        <v>96</v>
      </c>
      <c r="AQ4" t="s">
        <v>96</v>
      </c>
      <c r="AR4" s="1" t="s">
        <v>96</v>
      </c>
      <c r="AS4">
        <v>1107.47</v>
      </c>
      <c r="AT4">
        <v>44.63</v>
      </c>
      <c r="AU4">
        <v>9.3000000000000007</v>
      </c>
      <c r="AV4" s="1" t="s">
        <v>96</v>
      </c>
      <c r="AW4">
        <v>812.37</v>
      </c>
      <c r="AX4" s="1" t="s">
        <v>96</v>
      </c>
      <c r="AY4" s="1" t="s">
        <v>96</v>
      </c>
      <c r="AZ4">
        <v>6.69</v>
      </c>
      <c r="BA4" s="1" t="s">
        <v>96</v>
      </c>
      <c r="BB4" s="1" t="s">
        <v>96</v>
      </c>
      <c r="BC4">
        <v>74.37</v>
      </c>
      <c r="BD4">
        <v>3.69</v>
      </c>
      <c r="BE4" s="1" t="s">
        <v>96</v>
      </c>
      <c r="BF4" s="1" t="s">
        <v>96</v>
      </c>
      <c r="BG4" t="s">
        <v>96</v>
      </c>
      <c r="BH4">
        <v>106.85</v>
      </c>
      <c r="BI4" t="s">
        <v>96</v>
      </c>
      <c r="BJ4" t="s">
        <v>96</v>
      </c>
      <c r="BK4" s="1" t="s">
        <v>96</v>
      </c>
      <c r="BL4" s="1" t="s">
        <v>96</v>
      </c>
      <c r="BM4" s="1" t="s">
        <v>96</v>
      </c>
      <c r="BN4" s="1" t="s">
        <v>96</v>
      </c>
      <c r="BO4" s="1" t="s">
        <v>96</v>
      </c>
      <c r="BP4">
        <v>109.93</v>
      </c>
      <c r="BQ4">
        <v>10.67</v>
      </c>
      <c r="BR4" s="1" t="s">
        <v>96</v>
      </c>
      <c r="BS4">
        <v>34.85</v>
      </c>
      <c r="BT4" t="s">
        <v>96</v>
      </c>
      <c r="BU4" s="1" t="s">
        <v>96</v>
      </c>
      <c r="BV4">
        <v>7.76</v>
      </c>
      <c r="BW4">
        <v>11.32</v>
      </c>
      <c r="BX4" s="1" t="s">
        <v>96</v>
      </c>
    </row>
    <row r="5" spans="1:76">
      <c r="A5">
        <v>12</v>
      </c>
      <c r="B5" t="s">
        <v>130</v>
      </c>
      <c r="D5" t="b">
        <v>1</v>
      </c>
      <c r="E5" t="s">
        <v>131</v>
      </c>
      <c r="G5" t="s">
        <v>132</v>
      </c>
      <c r="H5" s="1" t="s">
        <v>96</v>
      </c>
      <c r="I5" s="1" t="s">
        <v>96</v>
      </c>
      <c r="J5">
        <v>14.07</v>
      </c>
      <c r="K5" s="1" t="s">
        <v>96</v>
      </c>
      <c r="L5" s="1" t="s">
        <v>96</v>
      </c>
      <c r="M5" s="1" t="s">
        <v>96</v>
      </c>
      <c r="N5" s="1" t="s">
        <v>96</v>
      </c>
      <c r="O5" s="1" t="s">
        <v>96</v>
      </c>
      <c r="P5" s="1" t="s">
        <v>96</v>
      </c>
      <c r="Q5" s="1" t="s">
        <v>96</v>
      </c>
      <c r="R5" s="1" t="s">
        <v>96</v>
      </c>
      <c r="S5" s="1" t="s">
        <v>96</v>
      </c>
      <c r="T5" t="s">
        <v>96</v>
      </c>
      <c r="U5" s="1" t="s">
        <v>96</v>
      </c>
      <c r="V5">
        <v>1.45</v>
      </c>
      <c r="W5" t="s">
        <v>96</v>
      </c>
      <c r="X5" t="s">
        <v>96</v>
      </c>
      <c r="Y5" s="1" t="s">
        <v>96</v>
      </c>
      <c r="Z5" t="s">
        <v>96</v>
      </c>
      <c r="AA5" t="s">
        <v>96</v>
      </c>
      <c r="AB5">
        <v>102.54</v>
      </c>
      <c r="AC5" s="1" t="s">
        <v>96</v>
      </c>
      <c r="AD5" s="1" t="s">
        <v>96</v>
      </c>
      <c r="AE5" s="1" t="s">
        <v>96</v>
      </c>
      <c r="AF5" s="1" t="s">
        <v>96</v>
      </c>
      <c r="AG5" s="1" t="s">
        <v>96</v>
      </c>
      <c r="AH5" s="1" t="s">
        <v>96</v>
      </c>
      <c r="AI5" t="s">
        <v>96</v>
      </c>
      <c r="AJ5">
        <v>1.47</v>
      </c>
      <c r="AK5" s="1" t="s">
        <v>96</v>
      </c>
      <c r="AL5" s="1" t="s">
        <v>96</v>
      </c>
      <c r="AM5">
        <v>33.909999999999997</v>
      </c>
      <c r="AN5">
        <v>1.35</v>
      </c>
      <c r="AO5" s="1" t="s">
        <v>96</v>
      </c>
      <c r="AP5" s="1" t="s">
        <v>96</v>
      </c>
      <c r="AQ5" t="s">
        <v>96</v>
      </c>
      <c r="AR5" s="1" t="s">
        <v>96</v>
      </c>
      <c r="AS5" t="s">
        <v>133</v>
      </c>
      <c r="AT5">
        <v>8.44</v>
      </c>
      <c r="AU5">
        <v>13.26</v>
      </c>
      <c r="AV5" s="1" t="s">
        <v>96</v>
      </c>
      <c r="AW5" t="s">
        <v>133</v>
      </c>
      <c r="AX5" s="1" t="s">
        <v>96</v>
      </c>
      <c r="AY5" s="1" t="s">
        <v>96</v>
      </c>
      <c r="AZ5">
        <v>20.41</v>
      </c>
      <c r="BA5" s="1">
        <v>2.9</v>
      </c>
      <c r="BB5" s="1" t="s">
        <v>96</v>
      </c>
      <c r="BC5">
        <v>815.98</v>
      </c>
      <c r="BD5">
        <v>3.19</v>
      </c>
      <c r="BE5" s="1" t="s">
        <v>96</v>
      </c>
      <c r="BF5" s="1">
        <v>5.5</v>
      </c>
      <c r="BG5" t="s">
        <v>96</v>
      </c>
      <c r="BH5" t="s">
        <v>133</v>
      </c>
      <c r="BI5">
        <v>11.82</v>
      </c>
      <c r="BJ5" t="s">
        <v>96</v>
      </c>
      <c r="BK5" s="1" t="s">
        <v>96</v>
      </c>
      <c r="BL5" s="1" t="s">
        <v>96</v>
      </c>
      <c r="BM5" s="1" t="s">
        <v>96</v>
      </c>
      <c r="BN5" s="1" t="s">
        <v>96</v>
      </c>
      <c r="BO5" s="1" t="s">
        <v>96</v>
      </c>
      <c r="BP5">
        <v>185.43</v>
      </c>
      <c r="BQ5">
        <v>47.09</v>
      </c>
      <c r="BR5" s="1">
        <v>14.3</v>
      </c>
      <c r="BS5" t="s">
        <v>96</v>
      </c>
      <c r="BT5" t="s">
        <v>96</v>
      </c>
      <c r="BU5" s="1" t="s">
        <v>96</v>
      </c>
      <c r="BV5">
        <v>5.64</v>
      </c>
      <c r="BW5" t="s">
        <v>96</v>
      </c>
      <c r="BX5" s="1" t="s">
        <v>96</v>
      </c>
    </row>
    <row r="6" spans="1:76">
      <c r="A6">
        <v>27</v>
      </c>
      <c r="B6" t="s">
        <v>176</v>
      </c>
      <c r="D6" t="b">
        <v>1</v>
      </c>
      <c r="E6" t="s">
        <v>177</v>
      </c>
      <c r="G6" t="s">
        <v>178</v>
      </c>
      <c r="H6" s="1" t="s">
        <v>96</v>
      </c>
      <c r="I6" s="1" t="s">
        <v>96</v>
      </c>
      <c r="J6">
        <v>11.47</v>
      </c>
      <c r="K6" s="1" t="s">
        <v>96</v>
      </c>
      <c r="L6" s="1" t="s">
        <v>96</v>
      </c>
      <c r="M6" s="1">
        <v>5.0599999999999996</v>
      </c>
      <c r="N6" s="1" t="s">
        <v>96</v>
      </c>
      <c r="O6" s="1" t="s">
        <v>96</v>
      </c>
      <c r="P6" s="1" t="s">
        <v>96</v>
      </c>
      <c r="Q6" s="1" t="s">
        <v>96</v>
      </c>
      <c r="R6" s="1" t="s">
        <v>96</v>
      </c>
      <c r="S6" s="1" t="s">
        <v>96</v>
      </c>
      <c r="T6" t="s">
        <v>96</v>
      </c>
      <c r="U6" s="1" t="s">
        <v>96</v>
      </c>
      <c r="V6">
        <v>13.51</v>
      </c>
      <c r="W6">
        <v>18.170000000000002</v>
      </c>
      <c r="X6">
        <v>25.47</v>
      </c>
      <c r="Y6" s="1" t="s">
        <v>96</v>
      </c>
      <c r="Z6">
        <v>8.16</v>
      </c>
      <c r="AA6">
        <v>210.41</v>
      </c>
      <c r="AB6">
        <v>299.60000000000002</v>
      </c>
      <c r="AC6" s="1" t="s">
        <v>96</v>
      </c>
      <c r="AD6" s="1">
        <v>8.7200000000000006</v>
      </c>
      <c r="AE6" s="1" t="s">
        <v>96</v>
      </c>
      <c r="AF6" s="1" t="s">
        <v>96</v>
      </c>
      <c r="AG6" s="1" t="s">
        <v>96</v>
      </c>
      <c r="AH6" s="1">
        <v>1.5</v>
      </c>
      <c r="AI6">
        <v>999.43</v>
      </c>
      <c r="AJ6">
        <v>37.32</v>
      </c>
      <c r="AK6" s="1" t="s">
        <v>96</v>
      </c>
      <c r="AL6" s="1">
        <v>1.22</v>
      </c>
      <c r="AM6">
        <v>644.79</v>
      </c>
      <c r="AN6">
        <v>15.34</v>
      </c>
      <c r="AO6" s="1" t="s">
        <v>96</v>
      </c>
      <c r="AP6" s="1" t="s">
        <v>96</v>
      </c>
      <c r="AQ6">
        <v>26.83</v>
      </c>
      <c r="AR6" s="1" t="s">
        <v>96</v>
      </c>
      <c r="AS6">
        <v>1242.1400000000001</v>
      </c>
      <c r="AT6">
        <v>274.97000000000003</v>
      </c>
      <c r="AU6">
        <v>46.68</v>
      </c>
      <c r="AV6" s="1" t="s">
        <v>96</v>
      </c>
      <c r="AW6">
        <v>577.04</v>
      </c>
      <c r="AX6" s="1" t="s">
        <v>96</v>
      </c>
      <c r="AY6" s="1">
        <v>3.83</v>
      </c>
      <c r="AZ6">
        <v>21.34</v>
      </c>
      <c r="BA6" s="1" t="s">
        <v>96</v>
      </c>
      <c r="BB6" s="1" t="s">
        <v>96</v>
      </c>
      <c r="BC6">
        <v>119.96</v>
      </c>
      <c r="BD6">
        <v>31.02</v>
      </c>
      <c r="BE6" s="1" t="s">
        <v>96</v>
      </c>
      <c r="BF6" s="1" t="s">
        <v>96</v>
      </c>
      <c r="BG6">
        <v>4.3099999999999996</v>
      </c>
      <c r="BH6">
        <v>53.52</v>
      </c>
      <c r="BI6">
        <v>83.37</v>
      </c>
      <c r="BJ6">
        <v>9.98</v>
      </c>
      <c r="BK6" s="1" t="s">
        <v>96</v>
      </c>
      <c r="BL6" s="1" t="s">
        <v>96</v>
      </c>
      <c r="BM6" s="1" t="s">
        <v>96</v>
      </c>
      <c r="BN6" s="1">
        <v>2.78</v>
      </c>
      <c r="BO6" s="1" t="s">
        <v>96</v>
      </c>
      <c r="BP6">
        <v>98.73</v>
      </c>
      <c r="BQ6">
        <v>23.32</v>
      </c>
      <c r="BR6" s="1" t="s">
        <v>96</v>
      </c>
      <c r="BS6">
        <v>485.56</v>
      </c>
      <c r="BT6">
        <v>12.71</v>
      </c>
      <c r="BU6" s="1" t="s">
        <v>96</v>
      </c>
      <c r="BV6">
        <v>9.4</v>
      </c>
      <c r="BW6">
        <v>60.14</v>
      </c>
      <c r="BX6" s="1" t="s">
        <v>96</v>
      </c>
    </row>
    <row r="7" spans="1:76">
      <c r="A7">
        <v>217</v>
      </c>
      <c r="B7" t="s">
        <v>746</v>
      </c>
      <c r="D7" t="b">
        <v>1</v>
      </c>
      <c r="E7" t="s">
        <v>747</v>
      </c>
      <c r="G7" t="s">
        <v>748</v>
      </c>
      <c r="H7" s="1" t="s">
        <v>96</v>
      </c>
      <c r="I7" s="1" t="s">
        <v>96</v>
      </c>
      <c r="J7">
        <v>8.3699999999999992</v>
      </c>
      <c r="K7" s="1" t="s">
        <v>96</v>
      </c>
      <c r="L7" s="1" t="s">
        <v>96</v>
      </c>
      <c r="M7" s="1" t="s">
        <v>96</v>
      </c>
      <c r="N7" s="1" t="s">
        <v>96</v>
      </c>
      <c r="O7" s="1" t="s">
        <v>96</v>
      </c>
      <c r="P7" s="1" t="s">
        <v>96</v>
      </c>
      <c r="Q7" s="1" t="s">
        <v>96</v>
      </c>
      <c r="R7" s="1" t="s">
        <v>96</v>
      </c>
      <c r="S7" s="1" t="s">
        <v>96</v>
      </c>
      <c r="T7">
        <v>3.11</v>
      </c>
      <c r="U7" s="1" t="s">
        <v>96</v>
      </c>
      <c r="V7">
        <v>17.41</v>
      </c>
      <c r="W7" t="s">
        <v>96</v>
      </c>
      <c r="X7">
        <v>792.86</v>
      </c>
      <c r="Y7" s="1" t="s">
        <v>96</v>
      </c>
      <c r="Z7" t="s">
        <v>96</v>
      </c>
      <c r="AA7">
        <v>25.12</v>
      </c>
      <c r="AB7">
        <v>144.87</v>
      </c>
      <c r="AC7" s="1" t="s">
        <v>96</v>
      </c>
      <c r="AD7" s="1">
        <v>1.67</v>
      </c>
      <c r="AE7" s="1" t="s">
        <v>96</v>
      </c>
      <c r="AF7" s="1" t="s">
        <v>96</v>
      </c>
      <c r="AG7" s="1" t="s">
        <v>96</v>
      </c>
      <c r="AH7" s="1">
        <v>5.18</v>
      </c>
      <c r="AI7">
        <v>306.95999999999998</v>
      </c>
      <c r="AJ7">
        <v>148.02000000000001</v>
      </c>
      <c r="AK7" s="1">
        <v>11.64</v>
      </c>
      <c r="AL7" s="1" t="s">
        <v>96</v>
      </c>
      <c r="AM7">
        <v>74.53</v>
      </c>
      <c r="AN7">
        <v>5.15</v>
      </c>
      <c r="AO7" s="1" t="s">
        <v>96</v>
      </c>
      <c r="AP7" s="1" t="s">
        <v>96</v>
      </c>
      <c r="AQ7" t="s">
        <v>96</v>
      </c>
      <c r="AR7" s="1" t="s">
        <v>96</v>
      </c>
      <c r="AS7">
        <v>1088.44</v>
      </c>
      <c r="AT7">
        <v>13.88</v>
      </c>
      <c r="AU7">
        <v>322.76</v>
      </c>
      <c r="AV7" s="1" t="s">
        <v>96</v>
      </c>
      <c r="AW7">
        <v>321.13</v>
      </c>
      <c r="AX7" s="1" t="s">
        <v>96</v>
      </c>
      <c r="AY7" s="1" t="s">
        <v>96</v>
      </c>
      <c r="AZ7">
        <v>24.9</v>
      </c>
      <c r="BA7" s="1">
        <v>14.26</v>
      </c>
      <c r="BB7" s="1" t="s">
        <v>96</v>
      </c>
      <c r="BC7">
        <v>115.47</v>
      </c>
      <c r="BD7" t="s">
        <v>96</v>
      </c>
      <c r="BE7" s="1" t="s">
        <v>96</v>
      </c>
      <c r="BF7" s="1">
        <v>2.52</v>
      </c>
      <c r="BG7" t="s">
        <v>96</v>
      </c>
      <c r="BH7">
        <v>27.32</v>
      </c>
      <c r="BI7" t="s">
        <v>96</v>
      </c>
      <c r="BJ7" t="s">
        <v>96</v>
      </c>
      <c r="BK7" s="1" t="s">
        <v>96</v>
      </c>
      <c r="BL7" s="1" t="s">
        <v>96</v>
      </c>
      <c r="BM7" s="1" t="s">
        <v>96</v>
      </c>
      <c r="BN7" s="1" t="s">
        <v>96</v>
      </c>
      <c r="BO7" s="1" t="s">
        <v>96</v>
      </c>
      <c r="BP7">
        <v>131.88999999999999</v>
      </c>
      <c r="BQ7">
        <v>25.89</v>
      </c>
      <c r="BR7" s="1" t="s">
        <v>96</v>
      </c>
      <c r="BS7">
        <v>12.46</v>
      </c>
      <c r="BT7" t="s">
        <v>96</v>
      </c>
      <c r="BU7" s="1" t="s">
        <v>96</v>
      </c>
      <c r="BV7">
        <v>66.39</v>
      </c>
      <c r="BW7">
        <v>7.02</v>
      </c>
      <c r="BX7" s="1" t="s">
        <v>96</v>
      </c>
    </row>
    <row r="8" spans="1:76">
      <c r="A8">
        <v>207</v>
      </c>
      <c r="B8" t="s">
        <v>716</v>
      </c>
      <c r="D8" t="b">
        <v>1</v>
      </c>
      <c r="E8" t="s">
        <v>717</v>
      </c>
      <c r="G8" t="s">
        <v>718</v>
      </c>
      <c r="H8" s="1" t="s">
        <v>96</v>
      </c>
      <c r="I8" s="1" t="s">
        <v>96</v>
      </c>
      <c r="J8">
        <v>20.6</v>
      </c>
      <c r="K8" s="1" t="s">
        <v>96</v>
      </c>
      <c r="L8" s="1" t="s">
        <v>96</v>
      </c>
      <c r="M8" s="1">
        <v>5.69</v>
      </c>
      <c r="N8" s="1" t="s">
        <v>96</v>
      </c>
      <c r="O8" s="1" t="s">
        <v>96</v>
      </c>
      <c r="P8" s="1" t="s">
        <v>96</v>
      </c>
      <c r="Q8" s="1" t="s">
        <v>96</v>
      </c>
      <c r="R8" s="1" t="s">
        <v>96</v>
      </c>
      <c r="S8" s="1" t="s">
        <v>96</v>
      </c>
      <c r="T8" t="s">
        <v>96</v>
      </c>
      <c r="U8" s="1" t="s">
        <v>96</v>
      </c>
      <c r="V8">
        <v>2.37</v>
      </c>
      <c r="W8">
        <v>10.72</v>
      </c>
      <c r="X8">
        <v>36.450000000000003</v>
      </c>
      <c r="Y8" s="1" t="s">
        <v>96</v>
      </c>
      <c r="Z8">
        <v>14.27</v>
      </c>
      <c r="AA8">
        <v>227.29</v>
      </c>
      <c r="AB8">
        <v>56.71</v>
      </c>
      <c r="AC8" s="1">
        <v>4.12</v>
      </c>
      <c r="AD8" s="1">
        <v>2.13</v>
      </c>
      <c r="AE8" s="1" t="s">
        <v>96</v>
      </c>
      <c r="AF8" s="1" t="s">
        <v>96</v>
      </c>
      <c r="AG8" s="1" t="s">
        <v>96</v>
      </c>
      <c r="AH8" s="1" t="s">
        <v>96</v>
      </c>
      <c r="AI8" t="s">
        <v>96</v>
      </c>
      <c r="AJ8">
        <v>21.07</v>
      </c>
      <c r="AK8" s="1" t="s">
        <v>96</v>
      </c>
      <c r="AL8" s="1" t="s">
        <v>96</v>
      </c>
      <c r="AM8">
        <v>57.7</v>
      </c>
      <c r="AN8">
        <v>16.41</v>
      </c>
      <c r="AO8" s="1" t="s">
        <v>96</v>
      </c>
      <c r="AP8" s="1" t="s">
        <v>96</v>
      </c>
      <c r="AQ8">
        <v>24.95</v>
      </c>
      <c r="AR8" s="1" t="s">
        <v>96</v>
      </c>
      <c r="AS8">
        <v>1903.06</v>
      </c>
      <c r="AT8">
        <v>502.28</v>
      </c>
      <c r="AU8">
        <v>74.400000000000006</v>
      </c>
      <c r="AV8" s="1" t="s">
        <v>96</v>
      </c>
      <c r="AW8">
        <v>733.64</v>
      </c>
      <c r="AX8" s="1" t="s">
        <v>96</v>
      </c>
      <c r="AY8" s="1">
        <v>9.5399999999999991</v>
      </c>
      <c r="AZ8">
        <v>34.81</v>
      </c>
      <c r="BA8" s="1">
        <v>12.12</v>
      </c>
      <c r="BB8" s="1" t="s">
        <v>96</v>
      </c>
      <c r="BC8">
        <v>499.57</v>
      </c>
      <c r="BD8">
        <v>184.75</v>
      </c>
      <c r="BE8" s="1" t="s">
        <v>96</v>
      </c>
      <c r="BF8" s="1">
        <v>13.9</v>
      </c>
      <c r="BG8">
        <v>11.96</v>
      </c>
      <c r="BH8">
        <v>226.66</v>
      </c>
      <c r="BI8">
        <v>248.39</v>
      </c>
      <c r="BJ8">
        <v>3.02</v>
      </c>
      <c r="BK8" s="1" t="s">
        <v>96</v>
      </c>
      <c r="BL8" s="1" t="s">
        <v>96</v>
      </c>
      <c r="BM8" s="1" t="s">
        <v>96</v>
      </c>
      <c r="BN8" s="1" t="s">
        <v>96</v>
      </c>
      <c r="BO8" s="1">
        <v>16.28</v>
      </c>
      <c r="BP8">
        <v>161.51</v>
      </c>
      <c r="BQ8">
        <v>47.48</v>
      </c>
      <c r="BR8" s="1" t="s">
        <v>96</v>
      </c>
      <c r="BS8">
        <v>495.22</v>
      </c>
      <c r="BT8">
        <v>91.59</v>
      </c>
      <c r="BU8" s="1" t="s">
        <v>96</v>
      </c>
      <c r="BV8">
        <v>17.52</v>
      </c>
      <c r="BW8">
        <v>163.71</v>
      </c>
      <c r="BX8" s="1" t="s">
        <v>96</v>
      </c>
    </row>
    <row r="9" spans="1:76">
      <c r="A9">
        <v>105</v>
      </c>
      <c r="B9" t="s">
        <v>410</v>
      </c>
      <c r="D9" t="b">
        <v>1</v>
      </c>
      <c r="E9" t="s">
        <v>411</v>
      </c>
      <c r="G9" t="s">
        <v>412</v>
      </c>
      <c r="H9" s="1" t="s">
        <v>96</v>
      </c>
      <c r="I9" s="1" t="s">
        <v>96</v>
      </c>
      <c r="J9">
        <v>16.3</v>
      </c>
      <c r="K9" s="1" t="s">
        <v>96</v>
      </c>
      <c r="L9" s="1" t="s">
        <v>96</v>
      </c>
      <c r="M9" s="1">
        <v>5.62</v>
      </c>
      <c r="N9" s="1" t="s">
        <v>96</v>
      </c>
      <c r="O9" s="1">
        <v>14.92</v>
      </c>
      <c r="P9" s="1" t="s">
        <v>96</v>
      </c>
      <c r="Q9" s="1" t="s">
        <v>96</v>
      </c>
      <c r="R9" s="1" t="s">
        <v>96</v>
      </c>
      <c r="S9" s="1" t="s">
        <v>96</v>
      </c>
      <c r="T9" t="s">
        <v>96</v>
      </c>
      <c r="U9" s="1" t="s">
        <v>96</v>
      </c>
      <c r="V9">
        <v>10.71</v>
      </c>
      <c r="W9">
        <v>8.69</v>
      </c>
      <c r="X9">
        <v>19.11</v>
      </c>
      <c r="Y9" s="1" t="s">
        <v>96</v>
      </c>
      <c r="Z9">
        <v>7.99</v>
      </c>
      <c r="AA9">
        <v>170.41</v>
      </c>
      <c r="AB9">
        <v>264.32</v>
      </c>
      <c r="AC9" s="1">
        <v>9.66</v>
      </c>
      <c r="AD9" s="1">
        <v>2.0299999999999998</v>
      </c>
      <c r="AE9" s="1" t="s">
        <v>96</v>
      </c>
      <c r="AF9" s="1" t="s">
        <v>96</v>
      </c>
      <c r="AG9" s="1" t="s">
        <v>96</v>
      </c>
      <c r="AH9" s="1">
        <v>1.0900000000000001</v>
      </c>
      <c r="AI9">
        <v>2003.04</v>
      </c>
      <c r="AJ9">
        <v>32.380000000000003</v>
      </c>
      <c r="AK9" s="1" t="s">
        <v>96</v>
      </c>
      <c r="AL9" s="1">
        <v>9.0399999999999991</v>
      </c>
      <c r="AM9">
        <v>429.23</v>
      </c>
      <c r="AN9">
        <v>26.3</v>
      </c>
      <c r="AO9" s="1" t="s">
        <v>96</v>
      </c>
      <c r="AP9" s="1" t="s">
        <v>96</v>
      </c>
      <c r="AQ9">
        <v>5.64</v>
      </c>
      <c r="AR9" s="1" t="s">
        <v>96</v>
      </c>
      <c r="AS9">
        <v>1585.53</v>
      </c>
      <c r="AT9">
        <v>382.74</v>
      </c>
      <c r="AU9">
        <v>102.99</v>
      </c>
      <c r="AV9" s="1" t="s">
        <v>96</v>
      </c>
      <c r="AW9">
        <v>460.25</v>
      </c>
      <c r="AX9" s="1" t="s">
        <v>96</v>
      </c>
      <c r="AY9" s="1" t="s">
        <v>96</v>
      </c>
      <c r="AZ9">
        <v>22.66</v>
      </c>
      <c r="BA9" s="1">
        <v>3.04</v>
      </c>
      <c r="BB9" s="1" t="s">
        <v>96</v>
      </c>
      <c r="BC9">
        <v>90.31</v>
      </c>
      <c r="BD9">
        <v>21.05</v>
      </c>
      <c r="BE9" s="1" t="s">
        <v>96</v>
      </c>
      <c r="BF9" s="1">
        <v>2.79</v>
      </c>
      <c r="BG9">
        <v>4.74</v>
      </c>
      <c r="BH9">
        <v>26.08</v>
      </c>
      <c r="BI9">
        <v>93.56</v>
      </c>
      <c r="BJ9">
        <v>27.6</v>
      </c>
      <c r="BK9" s="1" t="s">
        <v>96</v>
      </c>
      <c r="BL9" s="1" t="s">
        <v>96</v>
      </c>
      <c r="BM9" s="1">
        <v>11.47</v>
      </c>
      <c r="BN9" s="1">
        <v>8.76</v>
      </c>
      <c r="BO9" s="1">
        <v>6.81</v>
      </c>
      <c r="BP9">
        <v>91.34</v>
      </c>
      <c r="BQ9">
        <v>30.85</v>
      </c>
      <c r="BR9" s="1" t="s">
        <v>96</v>
      </c>
      <c r="BS9">
        <v>276.68</v>
      </c>
      <c r="BT9">
        <v>9.58</v>
      </c>
      <c r="BU9" s="1" t="s">
        <v>96</v>
      </c>
      <c r="BV9">
        <v>12.57</v>
      </c>
      <c r="BW9">
        <v>46.93</v>
      </c>
      <c r="BX9" s="1" t="s">
        <v>96</v>
      </c>
    </row>
    <row r="10" spans="1:76">
      <c r="A10">
        <v>211</v>
      </c>
      <c r="B10" t="s">
        <v>728</v>
      </c>
      <c r="D10" t="b">
        <v>1</v>
      </c>
      <c r="E10" t="s">
        <v>729</v>
      </c>
      <c r="G10" t="s">
        <v>730</v>
      </c>
      <c r="H10" s="1" t="s">
        <v>96</v>
      </c>
      <c r="I10" s="1" t="s">
        <v>96</v>
      </c>
      <c r="J10">
        <v>30.54</v>
      </c>
      <c r="K10" s="1" t="s">
        <v>96</v>
      </c>
      <c r="L10" s="1" t="s">
        <v>96</v>
      </c>
      <c r="M10" s="1" t="s">
        <v>96</v>
      </c>
      <c r="N10" s="1" t="s">
        <v>96</v>
      </c>
      <c r="O10" s="1" t="s">
        <v>96</v>
      </c>
      <c r="P10" s="1" t="s">
        <v>96</v>
      </c>
      <c r="Q10" s="1" t="s">
        <v>96</v>
      </c>
      <c r="R10" s="1" t="s">
        <v>96</v>
      </c>
      <c r="S10" s="1" t="s">
        <v>96</v>
      </c>
      <c r="T10" t="s">
        <v>96</v>
      </c>
      <c r="U10" s="1" t="s">
        <v>96</v>
      </c>
      <c r="V10">
        <v>84.75</v>
      </c>
      <c r="W10" t="s">
        <v>96</v>
      </c>
      <c r="X10">
        <v>2.29</v>
      </c>
      <c r="Y10" s="1" t="s">
        <v>96</v>
      </c>
      <c r="Z10" t="s">
        <v>96</v>
      </c>
      <c r="AA10" t="s">
        <v>96</v>
      </c>
      <c r="AB10">
        <v>325.95999999999998</v>
      </c>
      <c r="AC10" s="1" t="s">
        <v>96</v>
      </c>
      <c r="AD10" s="1" t="s">
        <v>96</v>
      </c>
      <c r="AE10" s="1" t="s">
        <v>96</v>
      </c>
      <c r="AF10" s="1" t="s">
        <v>96</v>
      </c>
      <c r="AG10" s="1" t="s">
        <v>96</v>
      </c>
      <c r="AH10" s="1" t="s">
        <v>96</v>
      </c>
      <c r="AI10" t="s">
        <v>96</v>
      </c>
      <c r="AJ10">
        <v>6.94</v>
      </c>
      <c r="AK10" s="1" t="s">
        <v>96</v>
      </c>
      <c r="AL10" s="1" t="s">
        <v>96</v>
      </c>
      <c r="AM10">
        <v>14.78</v>
      </c>
      <c r="AN10">
        <v>4.03</v>
      </c>
      <c r="AO10" s="1" t="s">
        <v>96</v>
      </c>
      <c r="AP10" s="1" t="s">
        <v>96</v>
      </c>
      <c r="AQ10" t="s">
        <v>96</v>
      </c>
      <c r="AR10" s="1">
        <v>4.1100000000000003</v>
      </c>
      <c r="AS10" t="s">
        <v>133</v>
      </c>
      <c r="AT10">
        <v>8.6300000000000008</v>
      </c>
      <c r="AU10">
        <v>141.9</v>
      </c>
      <c r="AV10" s="1" t="s">
        <v>96</v>
      </c>
      <c r="AW10" t="s">
        <v>133</v>
      </c>
      <c r="AX10" s="1" t="s">
        <v>96</v>
      </c>
      <c r="AY10" s="1">
        <v>15.07</v>
      </c>
      <c r="AZ10">
        <v>278.91000000000003</v>
      </c>
      <c r="BA10" s="1">
        <v>191.2</v>
      </c>
      <c r="BB10" s="1">
        <v>6.88</v>
      </c>
      <c r="BC10" t="s">
        <v>133</v>
      </c>
      <c r="BD10">
        <v>14.58</v>
      </c>
      <c r="BE10" s="1" t="s">
        <v>96</v>
      </c>
      <c r="BF10" s="1">
        <v>895.31</v>
      </c>
      <c r="BG10">
        <v>16.72</v>
      </c>
      <c r="BH10" t="s">
        <v>133</v>
      </c>
      <c r="BI10">
        <v>80.41</v>
      </c>
      <c r="BJ10" t="s">
        <v>96</v>
      </c>
      <c r="BK10" s="1" t="s">
        <v>96</v>
      </c>
      <c r="BL10" s="1" t="s">
        <v>96</v>
      </c>
      <c r="BM10" s="1" t="s">
        <v>96</v>
      </c>
      <c r="BN10" s="1">
        <v>3.14</v>
      </c>
      <c r="BO10" s="1" t="s">
        <v>96</v>
      </c>
      <c r="BP10">
        <v>495.84</v>
      </c>
      <c r="BQ10" t="s">
        <v>133</v>
      </c>
      <c r="BR10" s="1" t="s">
        <v>96</v>
      </c>
      <c r="BS10">
        <v>26.96</v>
      </c>
      <c r="BT10" t="s">
        <v>96</v>
      </c>
      <c r="BU10" s="1">
        <v>13.85</v>
      </c>
      <c r="BV10">
        <v>12.73</v>
      </c>
      <c r="BW10" t="s">
        <v>96</v>
      </c>
      <c r="BX10" s="1" t="s">
        <v>96</v>
      </c>
    </row>
    <row r="11" spans="1:76">
      <c r="A11">
        <v>18</v>
      </c>
      <c r="B11" t="s">
        <v>149</v>
      </c>
      <c r="D11" t="b">
        <v>1</v>
      </c>
      <c r="E11" t="s">
        <v>150</v>
      </c>
      <c r="G11" t="s">
        <v>151</v>
      </c>
      <c r="H11" s="1" t="s">
        <v>96</v>
      </c>
      <c r="I11" s="1" t="s">
        <v>96</v>
      </c>
      <c r="J11">
        <v>14.17</v>
      </c>
      <c r="K11" s="1" t="s">
        <v>96</v>
      </c>
      <c r="L11" s="1" t="s">
        <v>96</v>
      </c>
      <c r="M11" s="1" t="s">
        <v>96</v>
      </c>
      <c r="N11" s="1" t="s">
        <v>96</v>
      </c>
      <c r="O11" s="1" t="s">
        <v>96</v>
      </c>
      <c r="P11" s="1" t="s">
        <v>96</v>
      </c>
      <c r="Q11" s="1" t="s">
        <v>96</v>
      </c>
      <c r="R11" s="1" t="s">
        <v>96</v>
      </c>
      <c r="S11" s="1" t="s">
        <v>96</v>
      </c>
      <c r="T11" t="s">
        <v>96</v>
      </c>
      <c r="U11" s="1" t="s">
        <v>96</v>
      </c>
      <c r="V11">
        <v>3.33</v>
      </c>
      <c r="W11">
        <v>5.75</v>
      </c>
      <c r="X11">
        <v>97.23</v>
      </c>
      <c r="Y11" s="1" t="s">
        <v>96</v>
      </c>
      <c r="Z11">
        <v>11.66</v>
      </c>
      <c r="AA11">
        <v>160.26</v>
      </c>
      <c r="AB11">
        <v>168.19</v>
      </c>
      <c r="AC11" s="1" t="s">
        <v>96</v>
      </c>
      <c r="AD11" s="1" t="s">
        <v>96</v>
      </c>
      <c r="AE11" s="1" t="s">
        <v>96</v>
      </c>
      <c r="AF11" s="1" t="s">
        <v>96</v>
      </c>
      <c r="AG11" s="1" t="s">
        <v>96</v>
      </c>
      <c r="AH11" s="1" t="s">
        <v>96</v>
      </c>
      <c r="AI11" t="s">
        <v>96</v>
      </c>
      <c r="AJ11">
        <v>35.409999999999997</v>
      </c>
      <c r="AK11" s="1" t="s">
        <v>96</v>
      </c>
      <c r="AL11" s="1" t="s">
        <v>96</v>
      </c>
      <c r="AM11">
        <v>73.510000000000005</v>
      </c>
      <c r="AN11">
        <v>4.7300000000000004</v>
      </c>
      <c r="AO11" s="1" t="s">
        <v>96</v>
      </c>
      <c r="AP11" s="1" t="s">
        <v>96</v>
      </c>
      <c r="AQ11" t="s">
        <v>96</v>
      </c>
      <c r="AR11" s="1" t="s">
        <v>96</v>
      </c>
      <c r="AS11">
        <v>1569.1</v>
      </c>
      <c r="AT11">
        <v>299.37</v>
      </c>
      <c r="AU11">
        <v>158.06</v>
      </c>
      <c r="AV11" s="1" t="s">
        <v>96</v>
      </c>
      <c r="AW11">
        <v>289.24</v>
      </c>
      <c r="AX11" s="1" t="s">
        <v>96</v>
      </c>
      <c r="AY11" s="1" t="s">
        <v>96</v>
      </c>
      <c r="AZ11">
        <v>16.899999999999999</v>
      </c>
      <c r="BA11" s="1">
        <v>5.71</v>
      </c>
      <c r="BB11" s="1" t="s">
        <v>96</v>
      </c>
      <c r="BC11">
        <v>111.85</v>
      </c>
      <c r="BD11">
        <v>27.94</v>
      </c>
      <c r="BE11" s="1" t="s">
        <v>96</v>
      </c>
      <c r="BF11" s="1" t="s">
        <v>96</v>
      </c>
      <c r="BG11">
        <v>5.66</v>
      </c>
      <c r="BH11">
        <v>25.11</v>
      </c>
      <c r="BI11">
        <v>15.81</v>
      </c>
      <c r="BJ11" t="s">
        <v>96</v>
      </c>
      <c r="BK11" s="1" t="s">
        <v>96</v>
      </c>
      <c r="BL11" s="1" t="s">
        <v>96</v>
      </c>
      <c r="BM11" s="1" t="s">
        <v>96</v>
      </c>
      <c r="BN11" s="1" t="s">
        <v>96</v>
      </c>
      <c r="BO11" s="1" t="s">
        <v>96</v>
      </c>
      <c r="BP11">
        <v>79.02</v>
      </c>
      <c r="BQ11">
        <v>16.13</v>
      </c>
      <c r="BR11" s="1" t="s">
        <v>96</v>
      </c>
      <c r="BS11">
        <v>74.89</v>
      </c>
      <c r="BT11">
        <v>18.14</v>
      </c>
      <c r="BU11" s="1" t="s">
        <v>96</v>
      </c>
      <c r="BV11">
        <v>35.65</v>
      </c>
      <c r="BW11">
        <v>92</v>
      </c>
      <c r="BX11" s="1" t="s">
        <v>96</v>
      </c>
    </row>
    <row r="12" spans="1:76">
      <c r="A12">
        <v>161</v>
      </c>
      <c r="B12" t="s">
        <v>578</v>
      </c>
      <c r="D12" t="b">
        <v>1</v>
      </c>
      <c r="E12" t="s">
        <v>579</v>
      </c>
      <c r="G12" t="s">
        <v>580</v>
      </c>
      <c r="H12" s="1" t="s">
        <v>96</v>
      </c>
      <c r="I12" s="1" t="s">
        <v>96</v>
      </c>
      <c r="J12">
        <v>18.52</v>
      </c>
      <c r="K12" s="1" t="s">
        <v>96</v>
      </c>
      <c r="L12" s="1" t="s">
        <v>96</v>
      </c>
      <c r="M12" s="1" t="s">
        <v>96</v>
      </c>
      <c r="N12" s="1" t="s">
        <v>96</v>
      </c>
      <c r="O12" s="1" t="s">
        <v>96</v>
      </c>
      <c r="P12" s="1" t="s">
        <v>96</v>
      </c>
      <c r="Q12" s="1" t="s">
        <v>96</v>
      </c>
      <c r="R12" s="1" t="s">
        <v>96</v>
      </c>
      <c r="S12" s="1" t="s">
        <v>96</v>
      </c>
      <c r="T12">
        <v>1.78</v>
      </c>
      <c r="U12" s="1" t="s">
        <v>96</v>
      </c>
      <c r="V12">
        <v>7.05</v>
      </c>
      <c r="W12">
        <v>4.88</v>
      </c>
      <c r="X12">
        <v>729.73</v>
      </c>
      <c r="Y12" s="1" t="s">
        <v>96</v>
      </c>
      <c r="Z12">
        <v>16.32</v>
      </c>
      <c r="AA12">
        <v>126.19</v>
      </c>
      <c r="AB12">
        <v>91.84</v>
      </c>
      <c r="AC12" s="1" t="s">
        <v>96</v>
      </c>
      <c r="AD12" s="1" t="s">
        <v>96</v>
      </c>
      <c r="AE12" s="1" t="s">
        <v>96</v>
      </c>
      <c r="AF12" s="1" t="s">
        <v>96</v>
      </c>
      <c r="AG12" s="1" t="s">
        <v>96</v>
      </c>
      <c r="AH12" s="1" t="s">
        <v>96</v>
      </c>
      <c r="AI12" t="s">
        <v>96</v>
      </c>
      <c r="AJ12">
        <v>81.709999999999994</v>
      </c>
      <c r="AK12" s="1">
        <v>3.61</v>
      </c>
      <c r="AL12" s="1" t="s">
        <v>96</v>
      </c>
      <c r="AM12">
        <v>38.47</v>
      </c>
      <c r="AN12">
        <v>3.46</v>
      </c>
      <c r="AO12" s="1" t="s">
        <v>96</v>
      </c>
      <c r="AP12" s="1" t="s">
        <v>96</v>
      </c>
      <c r="AQ12">
        <v>4.29</v>
      </c>
      <c r="AR12" s="1" t="s">
        <v>96</v>
      </c>
      <c r="AS12">
        <v>2188.0700000000002</v>
      </c>
      <c r="AT12">
        <v>356.97</v>
      </c>
      <c r="AU12">
        <v>467.69</v>
      </c>
      <c r="AV12" s="1" t="s">
        <v>96</v>
      </c>
      <c r="AW12">
        <v>918.56</v>
      </c>
      <c r="AX12" s="1" t="s">
        <v>96</v>
      </c>
      <c r="AY12" s="1">
        <v>6.7</v>
      </c>
      <c r="AZ12">
        <v>19.57</v>
      </c>
      <c r="BA12" s="1">
        <v>55.33</v>
      </c>
      <c r="BB12" s="1" t="s">
        <v>96</v>
      </c>
      <c r="BC12">
        <v>438.97</v>
      </c>
      <c r="BD12">
        <v>95.22</v>
      </c>
      <c r="BE12" s="1" t="s">
        <v>96</v>
      </c>
      <c r="BF12" s="1">
        <v>4.5599999999999996</v>
      </c>
      <c r="BG12" t="s">
        <v>96</v>
      </c>
      <c r="BH12">
        <v>238.41</v>
      </c>
      <c r="BI12">
        <v>28.78</v>
      </c>
      <c r="BJ12" t="s">
        <v>96</v>
      </c>
      <c r="BK12" s="1" t="s">
        <v>96</v>
      </c>
      <c r="BL12" s="1" t="s">
        <v>96</v>
      </c>
      <c r="BM12" s="1" t="s">
        <v>96</v>
      </c>
      <c r="BN12" s="1" t="s">
        <v>96</v>
      </c>
      <c r="BO12" s="1" t="s">
        <v>96</v>
      </c>
      <c r="BP12">
        <v>71.63</v>
      </c>
      <c r="BQ12">
        <v>13.96</v>
      </c>
      <c r="BR12" s="1" t="s">
        <v>96</v>
      </c>
      <c r="BS12">
        <v>145</v>
      </c>
      <c r="BT12">
        <v>11.46</v>
      </c>
      <c r="BU12" s="1">
        <v>15.76</v>
      </c>
      <c r="BV12">
        <v>108.98</v>
      </c>
      <c r="BW12">
        <v>35.81</v>
      </c>
      <c r="BX12" s="1" t="s">
        <v>96</v>
      </c>
    </row>
    <row r="13" spans="1:76">
      <c r="A13">
        <v>203</v>
      </c>
      <c r="B13" t="s">
        <v>704</v>
      </c>
      <c r="D13" t="b">
        <v>1</v>
      </c>
      <c r="E13" t="s">
        <v>705</v>
      </c>
      <c r="G13" t="s">
        <v>706</v>
      </c>
      <c r="H13" s="1" t="s">
        <v>96</v>
      </c>
      <c r="I13" s="1" t="s">
        <v>96</v>
      </c>
      <c r="J13">
        <v>12.7</v>
      </c>
      <c r="K13" s="1" t="s">
        <v>96</v>
      </c>
      <c r="L13" s="1" t="s">
        <v>96</v>
      </c>
      <c r="M13" s="1" t="s">
        <v>96</v>
      </c>
      <c r="N13" s="1" t="s">
        <v>96</v>
      </c>
      <c r="O13" s="1" t="s">
        <v>96</v>
      </c>
      <c r="P13" s="1" t="s">
        <v>96</v>
      </c>
      <c r="Q13" s="1" t="s">
        <v>96</v>
      </c>
      <c r="R13" s="1" t="s">
        <v>96</v>
      </c>
      <c r="S13" s="1" t="s">
        <v>96</v>
      </c>
      <c r="T13" t="s">
        <v>96</v>
      </c>
      <c r="U13" s="1" t="s">
        <v>96</v>
      </c>
      <c r="V13">
        <v>7.38</v>
      </c>
      <c r="W13">
        <v>3.67</v>
      </c>
      <c r="X13">
        <v>27.12</v>
      </c>
      <c r="Y13" s="1" t="s">
        <v>96</v>
      </c>
      <c r="Z13" t="s">
        <v>96</v>
      </c>
      <c r="AA13">
        <v>117.13</v>
      </c>
      <c r="AB13">
        <v>259.51</v>
      </c>
      <c r="AC13" s="1" t="s">
        <v>96</v>
      </c>
      <c r="AD13" s="1" t="s">
        <v>96</v>
      </c>
      <c r="AE13" s="1" t="s">
        <v>96</v>
      </c>
      <c r="AF13" s="1" t="s">
        <v>96</v>
      </c>
      <c r="AG13" s="1" t="s">
        <v>96</v>
      </c>
      <c r="AH13" s="1" t="s">
        <v>96</v>
      </c>
      <c r="AI13">
        <v>101.12</v>
      </c>
      <c r="AJ13">
        <v>49.75</v>
      </c>
      <c r="AK13" s="1" t="s">
        <v>96</v>
      </c>
      <c r="AL13" s="1" t="s">
        <v>96</v>
      </c>
      <c r="AM13">
        <v>248.56</v>
      </c>
      <c r="AN13">
        <v>12.19</v>
      </c>
      <c r="AO13" s="1" t="s">
        <v>96</v>
      </c>
      <c r="AP13" s="1" t="s">
        <v>96</v>
      </c>
      <c r="AQ13" t="s">
        <v>96</v>
      </c>
      <c r="AR13" s="1" t="s">
        <v>96</v>
      </c>
      <c r="AS13">
        <v>2497.25</v>
      </c>
      <c r="AT13">
        <v>405.52</v>
      </c>
      <c r="AU13">
        <v>270.97000000000003</v>
      </c>
      <c r="AV13" s="1" t="s">
        <v>96</v>
      </c>
      <c r="AW13" t="s">
        <v>133</v>
      </c>
      <c r="AX13" s="1" t="s">
        <v>96</v>
      </c>
      <c r="AY13" s="1">
        <v>4.2</v>
      </c>
      <c r="AZ13">
        <v>51.59</v>
      </c>
      <c r="BA13" s="1">
        <v>21.56</v>
      </c>
      <c r="BB13" s="1" t="s">
        <v>96</v>
      </c>
      <c r="BC13">
        <v>378.3</v>
      </c>
      <c r="BD13">
        <v>102.73</v>
      </c>
      <c r="BE13" s="1" t="s">
        <v>96</v>
      </c>
      <c r="BF13" s="1">
        <v>11.94</v>
      </c>
      <c r="BG13">
        <v>5.85</v>
      </c>
      <c r="BH13">
        <v>186.06</v>
      </c>
      <c r="BI13">
        <v>177.56</v>
      </c>
      <c r="BJ13" t="s">
        <v>96</v>
      </c>
      <c r="BK13" s="1" t="s">
        <v>96</v>
      </c>
      <c r="BL13" s="1" t="s">
        <v>96</v>
      </c>
      <c r="BM13" s="1" t="s">
        <v>96</v>
      </c>
      <c r="BN13" s="1" t="s">
        <v>96</v>
      </c>
      <c r="BO13" s="1" t="s">
        <v>96</v>
      </c>
      <c r="BP13">
        <v>154.82</v>
      </c>
      <c r="BQ13">
        <v>37.79</v>
      </c>
      <c r="BR13" s="1">
        <v>5.24</v>
      </c>
      <c r="BS13">
        <v>232.66</v>
      </c>
      <c r="BT13">
        <v>38.24</v>
      </c>
      <c r="BU13" s="1" t="s">
        <v>96</v>
      </c>
      <c r="BV13">
        <v>42.15</v>
      </c>
      <c r="BW13">
        <v>104.72</v>
      </c>
      <c r="BX13" s="1" t="s">
        <v>96</v>
      </c>
    </row>
    <row r="14" spans="1:76">
      <c r="A14">
        <v>21</v>
      </c>
      <c r="B14" t="s">
        <v>158</v>
      </c>
      <c r="D14" t="b">
        <v>1</v>
      </c>
      <c r="E14" t="s">
        <v>159</v>
      </c>
      <c r="G14" t="s">
        <v>160</v>
      </c>
      <c r="H14" s="1" t="s">
        <v>96</v>
      </c>
      <c r="I14" s="1" t="s">
        <v>96</v>
      </c>
      <c r="J14">
        <v>22</v>
      </c>
      <c r="K14" s="1" t="s">
        <v>96</v>
      </c>
      <c r="L14" s="1" t="s">
        <v>96</v>
      </c>
      <c r="M14" s="1">
        <v>6.86</v>
      </c>
      <c r="N14" s="1" t="s">
        <v>96</v>
      </c>
      <c r="O14" s="1" t="s">
        <v>96</v>
      </c>
      <c r="P14" s="1" t="s">
        <v>96</v>
      </c>
      <c r="Q14" s="1" t="s">
        <v>96</v>
      </c>
      <c r="R14" s="1" t="s">
        <v>96</v>
      </c>
      <c r="S14" s="1" t="s">
        <v>96</v>
      </c>
      <c r="T14" t="s">
        <v>96</v>
      </c>
      <c r="U14" s="1" t="s">
        <v>96</v>
      </c>
      <c r="V14" t="s">
        <v>96</v>
      </c>
      <c r="W14">
        <v>3.2</v>
      </c>
      <c r="X14">
        <v>114.02</v>
      </c>
      <c r="Y14" s="1" t="s">
        <v>96</v>
      </c>
      <c r="Z14" t="s">
        <v>96</v>
      </c>
      <c r="AA14">
        <v>23.35</v>
      </c>
      <c r="AB14">
        <v>8.4</v>
      </c>
      <c r="AC14" s="1">
        <v>9.6199999999999992</v>
      </c>
      <c r="AD14" s="1">
        <v>3.76</v>
      </c>
      <c r="AE14" s="1" t="s">
        <v>96</v>
      </c>
      <c r="AF14" s="1" t="s">
        <v>96</v>
      </c>
      <c r="AG14" s="1" t="s">
        <v>96</v>
      </c>
      <c r="AH14" s="1" t="s">
        <v>96</v>
      </c>
      <c r="AI14">
        <v>105.31</v>
      </c>
      <c r="AJ14">
        <v>12.8</v>
      </c>
      <c r="AK14" s="1" t="s">
        <v>96</v>
      </c>
      <c r="AL14" s="1">
        <v>1.89</v>
      </c>
      <c r="AM14">
        <v>3.09</v>
      </c>
      <c r="AN14" t="s">
        <v>96</v>
      </c>
      <c r="AO14" s="1" t="s">
        <v>96</v>
      </c>
      <c r="AP14" s="1" t="s">
        <v>96</v>
      </c>
      <c r="AQ14" t="s">
        <v>96</v>
      </c>
      <c r="AR14" s="1" t="s">
        <v>96</v>
      </c>
      <c r="AS14">
        <v>313.42</v>
      </c>
      <c r="AT14">
        <v>120.41</v>
      </c>
      <c r="AU14">
        <v>24.71</v>
      </c>
      <c r="AV14" s="1" t="s">
        <v>96</v>
      </c>
      <c r="AW14">
        <v>37.81</v>
      </c>
      <c r="AX14" s="1" t="s">
        <v>96</v>
      </c>
      <c r="AY14" s="1" t="s">
        <v>96</v>
      </c>
      <c r="AZ14">
        <v>4.96</v>
      </c>
      <c r="BA14" s="1">
        <v>2.82</v>
      </c>
      <c r="BB14" s="1" t="s">
        <v>96</v>
      </c>
      <c r="BC14">
        <v>119.15</v>
      </c>
      <c r="BD14">
        <v>30.28</v>
      </c>
      <c r="BE14" s="1" t="s">
        <v>96</v>
      </c>
      <c r="BF14" s="1" t="s">
        <v>96</v>
      </c>
      <c r="BG14" t="s">
        <v>96</v>
      </c>
      <c r="BH14">
        <v>11.2</v>
      </c>
      <c r="BI14">
        <v>123.62</v>
      </c>
      <c r="BJ14">
        <v>5.19</v>
      </c>
      <c r="BK14" s="1" t="s">
        <v>96</v>
      </c>
      <c r="BL14" s="1" t="s">
        <v>96</v>
      </c>
      <c r="BM14" s="1" t="s">
        <v>96</v>
      </c>
      <c r="BN14" s="1" t="s">
        <v>96</v>
      </c>
      <c r="BO14" s="1" t="s">
        <v>96</v>
      </c>
      <c r="BP14">
        <v>39.840000000000003</v>
      </c>
      <c r="BQ14">
        <v>13.51</v>
      </c>
      <c r="BR14" s="1" t="s">
        <v>96</v>
      </c>
      <c r="BS14">
        <v>752.29</v>
      </c>
      <c r="BT14">
        <v>19.12</v>
      </c>
      <c r="BU14" s="1" t="s">
        <v>96</v>
      </c>
      <c r="BV14">
        <v>11.74</v>
      </c>
      <c r="BW14">
        <v>56.52</v>
      </c>
      <c r="BX14" s="1" t="s">
        <v>96</v>
      </c>
    </row>
    <row r="15" spans="1:76">
      <c r="A15">
        <v>4</v>
      </c>
      <c r="B15" t="s">
        <v>106</v>
      </c>
      <c r="D15" t="b">
        <v>1</v>
      </c>
      <c r="E15" t="s">
        <v>107</v>
      </c>
      <c r="G15" t="s">
        <v>108</v>
      </c>
      <c r="H15" s="1" t="s">
        <v>96</v>
      </c>
      <c r="I15" s="1" t="s">
        <v>96</v>
      </c>
      <c r="J15">
        <v>22.68</v>
      </c>
      <c r="K15" s="1" t="s">
        <v>96</v>
      </c>
      <c r="L15" s="1" t="s">
        <v>96</v>
      </c>
      <c r="M15" s="1">
        <v>8.81</v>
      </c>
      <c r="N15" s="1" t="s">
        <v>96</v>
      </c>
      <c r="O15" s="1" t="s">
        <v>96</v>
      </c>
      <c r="P15" s="1" t="s">
        <v>96</v>
      </c>
      <c r="Q15" s="1" t="s">
        <v>96</v>
      </c>
      <c r="R15" s="1" t="s">
        <v>96</v>
      </c>
      <c r="S15" s="1" t="s">
        <v>96</v>
      </c>
      <c r="T15">
        <v>1.99</v>
      </c>
      <c r="U15" s="1" t="s">
        <v>96</v>
      </c>
      <c r="V15">
        <v>6.73</v>
      </c>
      <c r="W15">
        <v>9.39</v>
      </c>
      <c r="X15">
        <v>77.260000000000005</v>
      </c>
      <c r="Y15" s="1" t="s">
        <v>96</v>
      </c>
      <c r="Z15">
        <v>86.2</v>
      </c>
      <c r="AA15">
        <v>760.12</v>
      </c>
      <c r="AB15">
        <v>247.85</v>
      </c>
      <c r="AC15" s="1" t="s">
        <v>96</v>
      </c>
      <c r="AD15" s="1">
        <v>5.46</v>
      </c>
      <c r="AE15" s="1" t="s">
        <v>96</v>
      </c>
      <c r="AF15" s="1" t="s">
        <v>96</v>
      </c>
      <c r="AG15" s="1" t="s">
        <v>96</v>
      </c>
      <c r="AH15" s="1" t="s">
        <v>96</v>
      </c>
      <c r="AI15">
        <v>118.17</v>
      </c>
      <c r="AJ15">
        <v>87.52</v>
      </c>
      <c r="AK15" s="1" t="s">
        <v>96</v>
      </c>
      <c r="AL15" s="1">
        <v>1.1399999999999999</v>
      </c>
      <c r="AM15">
        <v>13.64</v>
      </c>
      <c r="AN15">
        <v>4.8</v>
      </c>
      <c r="AO15" s="1" t="s">
        <v>96</v>
      </c>
      <c r="AP15" s="1" t="s">
        <v>96</v>
      </c>
      <c r="AQ15">
        <v>9.58</v>
      </c>
      <c r="AR15" s="1" t="s">
        <v>96</v>
      </c>
      <c r="AS15">
        <v>644.85</v>
      </c>
      <c r="AT15">
        <v>583.61</v>
      </c>
      <c r="AU15">
        <v>62.81</v>
      </c>
      <c r="AV15" s="1" t="s">
        <v>96</v>
      </c>
      <c r="AW15">
        <v>141.22999999999999</v>
      </c>
      <c r="AX15" s="1" t="s">
        <v>96</v>
      </c>
      <c r="AY15" s="1">
        <v>3.16</v>
      </c>
      <c r="AZ15">
        <v>9.44</v>
      </c>
      <c r="BA15" s="1">
        <v>3.21</v>
      </c>
      <c r="BB15" s="1" t="s">
        <v>96</v>
      </c>
      <c r="BC15">
        <v>96.78</v>
      </c>
      <c r="BD15">
        <v>105.12</v>
      </c>
      <c r="BE15" s="1" t="s">
        <v>96</v>
      </c>
      <c r="BF15" s="1" t="s">
        <v>96</v>
      </c>
      <c r="BG15">
        <v>2.81</v>
      </c>
      <c r="BH15">
        <v>37.15</v>
      </c>
      <c r="BI15">
        <v>26.7</v>
      </c>
      <c r="BJ15">
        <v>3.03</v>
      </c>
      <c r="BK15" s="1" t="s">
        <v>96</v>
      </c>
      <c r="BL15" s="1" t="s">
        <v>96</v>
      </c>
      <c r="BM15" s="1" t="s">
        <v>96</v>
      </c>
      <c r="BN15" s="1" t="s">
        <v>96</v>
      </c>
      <c r="BO15" s="1">
        <v>9.69</v>
      </c>
      <c r="BP15">
        <v>24.12</v>
      </c>
      <c r="BQ15">
        <v>6.49</v>
      </c>
      <c r="BR15" s="1" t="s">
        <v>96</v>
      </c>
      <c r="BS15">
        <v>154.04</v>
      </c>
      <c r="BT15">
        <v>16.93</v>
      </c>
      <c r="BU15" s="1" t="s">
        <v>96</v>
      </c>
      <c r="BV15">
        <v>7.78</v>
      </c>
      <c r="BW15">
        <v>49.26</v>
      </c>
      <c r="BX15" s="1" t="s">
        <v>96</v>
      </c>
    </row>
    <row r="16" spans="1:76">
      <c r="A16">
        <v>223</v>
      </c>
      <c r="B16" t="s">
        <v>764</v>
      </c>
      <c r="D16" t="b">
        <v>1</v>
      </c>
      <c r="E16" t="s">
        <v>765</v>
      </c>
      <c r="G16" t="s">
        <v>766</v>
      </c>
      <c r="H16" s="1" t="s">
        <v>96</v>
      </c>
      <c r="I16" s="1" t="s">
        <v>96</v>
      </c>
      <c r="J16">
        <v>9.2100000000000009</v>
      </c>
      <c r="K16" s="1" t="s">
        <v>96</v>
      </c>
      <c r="L16" s="1" t="s">
        <v>96</v>
      </c>
      <c r="M16" s="1" t="s">
        <v>96</v>
      </c>
      <c r="N16" s="1" t="s">
        <v>96</v>
      </c>
      <c r="O16" s="1" t="s">
        <v>96</v>
      </c>
      <c r="P16" s="1" t="s">
        <v>96</v>
      </c>
      <c r="Q16" s="1" t="s">
        <v>96</v>
      </c>
      <c r="R16" s="1" t="s">
        <v>96</v>
      </c>
      <c r="S16" s="1" t="s">
        <v>96</v>
      </c>
      <c r="T16" t="s">
        <v>96</v>
      </c>
      <c r="U16" s="1" t="s">
        <v>96</v>
      </c>
      <c r="V16">
        <v>2.88</v>
      </c>
      <c r="W16">
        <v>3.81</v>
      </c>
      <c r="X16">
        <v>215.43</v>
      </c>
      <c r="Y16" s="1" t="s">
        <v>96</v>
      </c>
      <c r="Z16">
        <v>12.94</v>
      </c>
      <c r="AA16">
        <v>47.2</v>
      </c>
      <c r="AB16">
        <v>16.07</v>
      </c>
      <c r="AC16" s="1" t="s">
        <v>96</v>
      </c>
      <c r="AD16" s="1" t="s">
        <v>96</v>
      </c>
      <c r="AE16" s="1" t="s">
        <v>96</v>
      </c>
      <c r="AF16" s="1" t="s">
        <v>96</v>
      </c>
      <c r="AG16" s="1" t="s">
        <v>96</v>
      </c>
      <c r="AH16" s="1" t="s">
        <v>96</v>
      </c>
      <c r="AI16">
        <v>384.11</v>
      </c>
      <c r="AJ16">
        <v>22.05</v>
      </c>
      <c r="AK16" s="1">
        <v>1.43</v>
      </c>
      <c r="AL16" s="1" t="s">
        <v>96</v>
      </c>
      <c r="AM16">
        <v>14.93</v>
      </c>
      <c r="AN16">
        <v>2.76</v>
      </c>
      <c r="AO16" s="1" t="s">
        <v>96</v>
      </c>
      <c r="AP16" s="1" t="s">
        <v>96</v>
      </c>
      <c r="AQ16">
        <v>3.72</v>
      </c>
      <c r="AR16" s="1" t="s">
        <v>96</v>
      </c>
      <c r="AS16">
        <v>1403.28</v>
      </c>
      <c r="AT16">
        <v>198.22</v>
      </c>
      <c r="AU16">
        <v>128.41999999999999</v>
      </c>
      <c r="AV16" s="1" t="s">
        <v>96</v>
      </c>
      <c r="AW16">
        <v>489.32</v>
      </c>
      <c r="AX16" s="1" t="s">
        <v>96</v>
      </c>
      <c r="AY16" s="1" t="s">
        <v>96</v>
      </c>
      <c r="AZ16">
        <v>30.67</v>
      </c>
      <c r="BA16" s="1">
        <v>3.22</v>
      </c>
      <c r="BB16" s="1" t="s">
        <v>96</v>
      </c>
      <c r="BC16">
        <v>105.82</v>
      </c>
      <c r="BD16">
        <v>20.28</v>
      </c>
      <c r="BE16" s="1" t="s">
        <v>96</v>
      </c>
      <c r="BF16" s="1">
        <v>3.16</v>
      </c>
      <c r="BG16">
        <v>4.41</v>
      </c>
      <c r="BH16">
        <v>51.68</v>
      </c>
      <c r="BI16">
        <v>25.08</v>
      </c>
      <c r="BJ16" t="s">
        <v>96</v>
      </c>
      <c r="BK16" s="1" t="s">
        <v>96</v>
      </c>
      <c r="BL16" s="1" t="s">
        <v>96</v>
      </c>
      <c r="BM16" s="1" t="s">
        <v>96</v>
      </c>
      <c r="BN16" s="1" t="s">
        <v>96</v>
      </c>
      <c r="BO16" s="1" t="s">
        <v>96</v>
      </c>
      <c r="BP16">
        <v>141.5</v>
      </c>
      <c r="BQ16">
        <v>17.14</v>
      </c>
      <c r="BR16" s="1" t="s">
        <v>96</v>
      </c>
      <c r="BS16">
        <v>204.37</v>
      </c>
      <c r="BT16" t="s">
        <v>96</v>
      </c>
      <c r="BU16" s="1" t="s">
        <v>96</v>
      </c>
      <c r="BV16">
        <v>83.82</v>
      </c>
      <c r="BW16">
        <v>27.66</v>
      </c>
      <c r="BX16" s="1" t="s">
        <v>96</v>
      </c>
    </row>
    <row r="17" spans="1:76">
      <c r="A17">
        <v>75</v>
      </c>
      <c r="B17" t="s">
        <v>320</v>
      </c>
      <c r="D17" t="b">
        <v>1</v>
      </c>
      <c r="E17" t="s">
        <v>321</v>
      </c>
      <c r="G17" t="s">
        <v>322</v>
      </c>
      <c r="H17" s="1" t="s">
        <v>96</v>
      </c>
      <c r="I17" s="1" t="s">
        <v>96</v>
      </c>
      <c r="J17">
        <v>14.36</v>
      </c>
      <c r="K17" s="1" t="s">
        <v>96</v>
      </c>
      <c r="L17" s="1" t="s">
        <v>96</v>
      </c>
      <c r="M17" s="1">
        <v>12.66</v>
      </c>
      <c r="N17" s="1" t="s">
        <v>96</v>
      </c>
      <c r="O17" s="1" t="s">
        <v>96</v>
      </c>
      <c r="P17" s="1" t="s">
        <v>96</v>
      </c>
      <c r="Q17" s="1" t="s">
        <v>96</v>
      </c>
      <c r="R17" s="1" t="s">
        <v>96</v>
      </c>
      <c r="S17" s="1" t="s">
        <v>96</v>
      </c>
      <c r="T17">
        <v>1.81</v>
      </c>
      <c r="U17" s="1" t="s">
        <v>96</v>
      </c>
      <c r="V17">
        <v>9.01</v>
      </c>
      <c r="W17">
        <v>13.84</v>
      </c>
      <c r="X17">
        <v>34.17</v>
      </c>
      <c r="Y17" s="1" t="s">
        <v>96</v>
      </c>
      <c r="Z17">
        <v>40.520000000000003</v>
      </c>
      <c r="AA17" t="s">
        <v>133</v>
      </c>
      <c r="AB17" t="s">
        <v>133</v>
      </c>
      <c r="AC17" s="1" t="s">
        <v>96</v>
      </c>
      <c r="AD17" s="1" t="s">
        <v>96</v>
      </c>
      <c r="AE17" s="1" t="s">
        <v>96</v>
      </c>
      <c r="AF17" s="1" t="s">
        <v>96</v>
      </c>
      <c r="AG17" s="1" t="s">
        <v>96</v>
      </c>
      <c r="AH17" s="1">
        <v>1.54</v>
      </c>
      <c r="AI17">
        <v>245.45</v>
      </c>
      <c r="AJ17">
        <v>61.74</v>
      </c>
      <c r="AK17" s="1" t="s">
        <v>96</v>
      </c>
      <c r="AL17" s="1">
        <v>2.83</v>
      </c>
      <c r="AM17" t="s">
        <v>133</v>
      </c>
      <c r="AN17">
        <v>13.94</v>
      </c>
      <c r="AO17" s="1" t="s">
        <v>96</v>
      </c>
      <c r="AP17" s="1" t="s">
        <v>96</v>
      </c>
      <c r="AQ17">
        <v>3.04</v>
      </c>
      <c r="AR17" s="1" t="s">
        <v>96</v>
      </c>
      <c r="AS17">
        <v>403.28</v>
      </c>
      <c r="AT17">
        <v>161.78</v>
      </c>
      <c r="AU17">
        <v>19.64</v>
      </c>
      <c r="AV17" s="1" t="s">
        <v>96</v>
      </c>
      <c r="AW17">
        <v>127.02</v>
      </c>
      <c r="AX17" s="1" t="s">
        <v>96</v>
      </c>
      <c r="AY17" s="1" t="s">
        <v>96</v>
      </c>
      <c r="AZ17">
        <v>6.18</v>
      </c>
      <c r="BA17" s="1" t="s">
        <v>96</v>
      </c>
      <c r="BB17" s="1" t="s">
        <v>96</v>
      </c>
      <c r="BC17">
        <v>12.69</v>
      </c>
      <c r="BD17">
        <v>4.7300000000000004</v>
      </c>
      <c r="BE17" s="1" t="s">
        <v>96</v>
      </c>
      <c r="BF17" s="1" t="s">
        <v>96</v>
      </c>
      <c r="BG17" t="s">
        <v>96</v>
      </c>
      <c r="BH17">
        <v>2.5299999999999998</v>
      </c>
      <c r="BI17">
        <v>13.16</v>
      </c>
      <c r="BJ17">
        <v>9.7100000000000009</v>
      </c>
      <c r="BK17" s="1" t="s">
        <v>96</v>
      </c>
      <c r="BL17" s="1" t="s">
        <v>96</v>
      </c>
      <c r="BM17" s="1">
        <v>22.53</v>
      </c>
      <c r="BN17" s="1">
        <v>9.89</v>
      </c>
      <c r="BO17" s="1">
        <v>16.97</v>
      </c>
      <c r="BP17">
        <v>45.24</v>
      </c>
      <c r="BQ17" t="s">
        <v>96</v>
      </c>
      <c r="BR17" s="1" t="s">
        <v>96</v>
      </c>
      <c r="BS17">
        <v>365.87</v>
      </c>
      <c r="BT17" t="s">
        <v>96</v>
      </c>
      <c r="BU17" s="1" t="s">
        <v>96</v>
      </c>
      <c r="BV17">
        <v>7.28</v>
      </c>
      <c r="BW17">
        <v>51.77</v>
      </c>
      <c r="BX17" s="1" t="s">
        <v>96</v>
      </c>
    </row>
    <row r="18" spans="1:76">
      <c r="A18">
        <v>95</v>
      </c>
      <c r="B18" t="s">
        <v>380</v>
      </c>
      <c r="D18" t="b">
        <v>1</v>
      </c>
      <c r="E18" t="s">
        <v>381</v>
      </c>
      <c r="G18" t="s">
        <v>382</v>
      </c>
      <c r="H18" s="1" t="s">
        <v>96</v>
      </c>
      <c r="I18" s="1" t="s">
        <v>96</v>
      </c>
      <c r="J18">
        <v>16.66</v>
      </c>
      <c r="K18" s="1" t="s">
        <v>96</v>
      </c>
      <c r="L18" s="1" t="s">
        <v>96</v>
      </c>
      <c r="M18" s="1" t="s">
        <v>96</v>
      </c>
      <c r="N18" s="1" t="s">
        <v>96</v>
      </c>
      <c r="O18" s="1" t="s">
        <v>96</v>
      </c>
      <c r="P18" s="1" t="s">
        <v>96</v>
      </c>
      <c r="Q18" s="1" t="s">
        <v>96</v>
      </c>
      <c r="R18" s="1" t="s">
        <v>96</v>
      </c>
      <c r="S18" s="1" t="s">
        <v>96</v>
      </c>
      <c r="T18" t="s">
        <v>96</v>
      </c>
      <c r="U18" s="1" t="s">
        <v>96</v>
      </c>
      <c r="V18" t="s">
        <v>96</v>
      </c>
      <c r="W18" t="s">
        <v>96</v>
      </c>
      <c r="X18">
        <v>7.23</v>
      </c>
      <c r="Y18" s="1" t="s">
        <v>96</v>
      </c>
      <c r="Z18" t="s">
        <v>96</v>
      </c>
      <c r="AA18">
        <v>3.31</v>
      </c>
      <c r="AB18">
        <v>6.32</v>
      </c>
      <c r="AC18" s="1" t="s">
        <v>96</v>
      </c>
      <c r="AD18" s="1">
        <v>4.42</v>
      </c>
      <c r="AE18" s="1" t="s">
        <v>96</v>
      </c>
      <c r="AF18" s="1" t="s">
        <v>96</v>
      </c>
      <c r="AG18" s="1" t="s">
        <v>96</v>
      </c>
      <c r="AH18" s="1" t="s">
        <v>96</v>
      </c>
      <c r="AI18" t="s">
        <v>96</v>
      </c>
      <c r="AJ18">
        <v>2.2599999999999998</v>
      </c>
      <c r="AK18" s="1" t="s">
        <v>96</v>
      </c>
      <c r="AL18" s="1" t="s">
        <v>96</v>
      </c>
      <c r="AM18">
        <v>8.61</v>
      </c>
      <c r="AN18" t="s">
        <v>96</v>
      </c>
      <c r="AO18" s="1" t="s">
        <v>96</v>
      </c>
      <c r="AP18" s="1" t="s">
        <v>96</v>
      </c>
      <c r="AQ18" t="s">
        <v>96</v>
      </c>
      <c r="AR18" s="1" t="s">
        <v>96</v>
      </c>
      <c r="AS18">
        <v>257.68</v>
      </c>
      <c r="AT18">
        <v>31.96</v>
      </c>
      <c r="AU18">
        <v>9.2100000000000009</v>
      </c>
      <c r="AV18" s="1" t="s">
        <v>96</v>
      </c>
      <c r="AW18">
        <v>69.61</v>
      </c>
      <c r="AX18" s="1" t="s">
        <v>96</v>
      </c>
      <c r="AY18" s="1" t="s">
        <v>96</v>
      </c>
      <c r="AZ18">
        <v>5.7</v>
      </c>
      <c r="BA18" s="1" t="s">
        <v>96</v>
      </c>
      <c r="BB18" s="1" t="s">
        <v>96</v>
      </c>
      <c r="BC18">
        <v>42.01</v>
      </c>
      <c r="BD18">
        <v>7.11</v>
      </c>
      <c r="BE18" s="1" t="s">
        <v>96</v>
      </c>
      <c r="BF18" s="1" t="s">
        <v>96</v>
      </c>
      <c r="BG18" t="s">
        <v>96</v>
      </c>
      <c r="BH18">
        <v>8.02</v>
      </c>
      <c r="BI18">
        <v>30.5</v>
      </c>
      <c r="BJ18" t="s">
        <v>96</v>
      </c>
      <c r="BK18" s="1" t="s">
        <v>96</v>
      </c>
      <c r="BL18" s="1" t="s">
        <v>96</v>
      </c>
      <c r="BM18" s="1" t="s">
        <v>96</v>
      </c>
      <c r="BN18" s="1" t="s">
        <v>96</v>
      </c>
      <c r="BO18" s="1" t="s">
        <v>96</v>
      </c>
      <c r="BP18">
        <v>38.29</v>
      </c>
      <c r="BQ18">
        <v>9.17</v>
      </c>
      <c r="BR18" s="1" t="s">
        <v>96</v>
      </c>
      <c r="BS18">
        <v>63.82</v>
      </c>
      <c r="BT18">
        <v>9.2100000000000009</v>
      </c>
      <c r="BU18" s="1" t="s">
        <v>96</v>
      </c>
      <c r="BV18" t="s">
        <v>96</v>
      </c>
      <c r="BW18">
        <v>25.71</v>
      </c>
      <c r="BX18" s="1" t="s">
        <v>96</v>
      </c>
    </row>
    <row r="19" spans="1:76">
      <c r="A19">
        <v>23</v>
      </c>
      <c r="B19" t="s">
        <v>164</v>
      </c>
      <c r="D19" t="b">
        <v>1</v>
      </c>
      <c r="E19" t="s">
        <v>165</v>
      </c>
      <c r="G19" t="s">
        <v>166</v>
      </c>
      <c r="H19" s="1" t="s">
        <v>96</v>
      </c>
      <c r="I19" s="1" t="s">
        <v>96</v>
      </c>
      <c r="J19">
        <v>12.54</v>
      </c>
      <c r="K19" s="1" t="s">
        <v>96</v>
      </c>
      <c r="L19" s="1" t="s">
        <v>96</v>
      </c>
      <c r="M19" s="1" t="s">
        <v>96</v>
      </c>
      <c r="N19" s="1" t="s">
        <v>96</v>
      </c>
      <c r="O19" s="1" t="s">
        <v>96</v>
      </c>
      <c r="P19" s="1" t="s">
        <v>96</v>
      </c>
      <c r="Q19" s="1" t="s">
        <v>96</v>
      </c>
      <c r="R19" s="1" t="s">
        <v>96</v>
      </c>
      <c r="S19" s="1" t="s">
        <v>96</v>
      </c>
      <c r="T19" t="s">
        <v>96</v>
      </c>
      <c r="U19" s="1" t="s">
        <v>96</v>
      </c>
      <c r="V19" t="s">
        <v>96</v>
      </c>
      <c r="W19">
        <v>9.35</v>
      </c>
      <c r="X19">
        <v>34.909999999999997</v>
      </c>
      <c r="Y19" s="1" t="s">
        <v>96</v>
      </c>
      <c r="Z19">
        <v>10.9</v>
      </c>
      <c r="AA19">
        <v>69.02</v>
      </c>
      <c r="AB19">
        <v>21.42</v>
      </c>
      <c r="AC19" s="1">
        <v>3.03</v>
      </c>
      <c r="AD19" s="1">
        <v>2.73</v>
      </c>
      <c r="AE19" s="1" t="s">
        <v>96</v>
      </c>
      <c r="AF19" s="1" t="s">
        <v>96</v>
      </c>
      <c r="AG19" s="1" t="s">
        <v>96</v>
      </c>
      <c r="AH19" s="1" t="s">
        <v>96</v>
      </c>
      <c r="AI19">
        <v>54.72</v>
      </c>
      <c r="AJ19">
        <v>15.1</v>
      </c>
      <c r="AK19" s="1" t="s">
        <v>96</v>
      </c>
      <c r="AL19" s="1" t="s">
        <v>96</v>
      </c>
      <c r="AM19">
        <v>19.79</v>
      </c>
      <c r="AN19">
        <v>4.67</v>
      </c>
      <c r="AO19" s="1" t="s">
        <v>96</v>
      </c>
      <c r="AP19" s="1" t="s">
        <v>96</v>
      </c>
      <c r="AQ19">
        <v>6.35</v>
      </c>
      <c r="AR19" s="1" t="s">
        <v>96</v>
      </c>
      <c r="AS19">
        <v>1213.26</v>
      </c>
      <c r="AT19">
        <v>342.87</v>
      </c>
      <c r="AU19">
        <v>109.54</v>
      </c>
      <c r="AV19" s="1" t="s">
        <v>96</v>
      </c>
      <c r="AW19">
        <v>307.82</v>
      </c>
      <c r="AX19" s="1" t="s">
        <v>96</v>
      </c>
      <c r="AY19" s="1">
        <v>5.15</v>
      </c>
      <c r="AZ19">
        <v>24</v>
      </c>
      <c r="BA19" s="1">
        <v>8.9700000000000006</v>
      </c>
      <c r="BB19" s="1" t="s">
        <v>96</v>
      </c>
      <c r="BC19">
        <v>218.68</v>
      </c>
      <c r="BD19">
        <v>103.34</v>
      </c>
      <c r="BE19" s="1" t="s">
        <v>96</v>
      </c>
      <c r="BF19" s="1">
        <v>9.02</v>
      </c>
      <c r="BG19">
        <v>51.72</v>
      </c>
      <c r="BH19">
        <v>65.400000000000006</v>
      </c>
      <c r="BI19">
        <v>285.18</v>
      </c>
      <c r="BJ19">
        <v>4</v>
      </c>
      <c r="BK19" s="1" t="s">
        <v>96</v>
      </c>
      <c r="BL19" s="1" t="s">
        <v>96</v>
      </c>
      <c r="BM19" s="1" t="s">
        <v>96</v>
      </c>
      <c r="BN19" s="1" t="s">
        <v>96</v>
      </c>
      <c r="BO19" s="1" t="s">
        <v>96</v>
      </c>
      <c r="BP19">
        <v>153.69</v>
      </c>
      <c r="BQ19">
        <v>64.08</v>
      </c>
      <c r="BR19" s="1" t="s">
        <v>96</v>
      </c>
      <c r="BS19">
        <v>526.66999999999996</v>
      </c>
      <c r="BT19">
        <v>89.1</v>
      </c>
      <c r="BU19" s="1" t="s">
        <v>96</v>
      </c>
      <c r="BV19">
        <v>40.07</v>
      </c>
      <c r="BW19">
        <v>141.53</v>
      </c>
      <c r="BX19" s="1" t="s">
        <v>96</v>
      </c>
    </row>
    <row r="20" spans="1:76">
      <c r="A20">
        <v>118</v>
      </c>
      <c r="B20" t="s">
        <v>449</v>
      </c>
      <c r="D20" t="b">
        <v>1</v>
      </c>
      <c r="E20" t="s">
        <v>450</v>
      </c>
      <c r="G20" t="s">
        <v>451</v>
      </c>
      <c r="H20" s="1" t="s">
        <v>96</v>
      </c>
      <c r="I20" s="1" t="s">
        <v>96</v>
      </c>
      <c r="J20">
        <v>9.17</v>
      </c>
      <c r="K20" s="1" t="s">
        <v>96</v>
      </c>
      <c r="L20" s="1" t="s">
        <v>96</v>
      </c>
      <c r="M20" s="1" t="s">
        <v>96</v>
      </c>
      <c r="N20" s="1" t="s">
        <v>96</v>
      </c>
      <c r="O20" s="1" t="s">
        <v>96</v>
      </c>
      <c r="P20" s="1" t="s">
        <v>96</v>
      </c>
      <c r="Q20" s="1" t="s">
        <v>96</v>
      </c>
      <c r="R20" s="1" t="s">
        <v>96</v>
      </c>
      <c r="S20" s="1" t="s">
        <v>96</v>
      </c>
      <c r="T20" t="s">
        <v>96</v>
      </c>
      <c r="U20" s="1" t="s">
        <v>96</v>
      </c>
      <c r="V20">
        <v>2.35</v>
      </c>
      <c r="W20">
        <v>4.4400000000000004</v>
      </c>
      <c r="X20">
        <v>67.94</v>
      </c>
      <c r="Y20" s="1" t="s">
        <v>96</v>
      </c>
      <c r="Z20">
        <v>9.91</v>
      </c>
      <c r="AA20">
        <v>152.81</v>
      </c>
      <c r="AB20">
        <v>88.1</v>
      </c>
      <c r="AC20" s="1" t="s">
        <v>96</v>
      </c>
      <c r="AD20" s="1" t="s">
        <v>96</v>
      </c>
      <c r="AE20" s="1" t="s">
        <v>96</v>
      </c>
      <c r="AF20" s="1" t="s">
        <v>96</v>
      </c>
      <c r="AG20" s="1" t="s">
        <v>96</v>
      </c>
      <c r="AH20" s="1" t="s">
        <v>96</v>
      </c>
      <c r="AI20" t="s">
        <v>96</v>
      </c>
      <c r="AJ20">
        <v>18.649999999999999</v>
      </c>
      <c r="AK20" s="1" t="s">
        <v>96</v>
      </c>
      <c r="AL20" s="1" t="s">
        <v>96</v>
      </c>
      <c r="AM20">
        <v>18.010000000000002</v>
      </c>
      <c r="AN20">
        <v>1.31</v>
      </c>
      <c r="AO20" s="1" t="s">
        <v>96</v>
      </c>
      <c r="AP20" s="1" t="s">
        <v>96</v>
      </c>
      <c r="AQ20">
        <v>5.45</v>
      </c>
      <c r="AR20" s="1" t="s">
        <v>96</v>
      </c>
      <c r="AS20">
        <v>612.41</v>
      </c>
      <c r="AT20">
        <v>57.36</v>
      </c>
      <c r="AU20">
        <v>14.07</v>
      </c>
      <c r="AV20" s="1" t="s">
        <v>96</v>
      </c>
      <c r="AW20">
        <v>185.27</v>
      </c>
      <c r="AX20" s="1" t="s">
        <v>96</v>
      </c>
      <c r="AY20" s="1">
        <v>2.56</v>
      </c>
      <c r="AZ20">
        <v>9.92</v>
      </c>
      <c r="BA20" s="1" t="s">
        <v>96</v>
      </c>
      <c r="BB20" s="1" t="s">
        <v>96</v>
      </c>
      <c r="BC20">
        <v>115.39</v>
      </c>
      <c r="BD20">
        <v>13.25</v>
      </c>
      <c r="BE20" s="1" t="s">
        <v>96</v>
      </c>
      <c r="BF20" s="1" t="s">
        <v>96</v>
      </c>
      <c r="BG20" t="s">
        <v>96</v>
      </c>
      <c r="BH20">
        <v>40.57</v>
      </c>
      <c r="BI20">
        <v>77.930000000000007</v>
      </c>
      <c r="BJ20" t="s">
        <v>96</v>
      </c>
      <c r="BK20" s="1" t="s">
        <v>96</v>
      </c>
      <c r="BL20" s="1" t="s">
        <v>96</v>
      </c>
      <c r="BM20" s="1" t="s">
        <v>96</v>
      </c>
      <c r="BN20" s="1" t="s">
        <v>96</v>
      </c>
      <c r="BO20" s="1" t="s">
        <v>96</v>
      </c>
      <c r="BP20">
        <v>151.85</v>
      </c>
      <c r="BQ20">
        <v>47.77</v>
      </c>
      <c r="BR20" s="1" t="s">
        <v>96</v>
      </c>
      <c r="BS20">
        <v>256.69</v>
      </c>
      <c r="BT20">
        <v>12.21</v>
      </c>
      <c r="BU20" s="1" t="s">
        <v>96</v>
      </c>
      <c r="BV20">
        <v>7.77</v>
      </c>
      <c r="BW20">
        <v>32.89</v>
      </c>
      <c r="BX20" s="1" t="s">
        <v>96</v>
      </c>
    </row>
    <row r="21" spans="1:76">
      <c r="A21">
        <v>103</v>
      </c>
      <c r="B21" t="s">
        <v>404</v>
      </c>
      <c r="D21" t="b">
        <v>1</v>
      </c>
      <c r="E21" t="s">
        <v>405</v>
      </c>
      <c r="G21" t="s">
        <v>406</v>
      </c>
      <c r="H21" s="1" t="s">
        <v>96</v>
      </c>
      <c r="I21" s="1" t="s">
        <v>96</v>
      </c>
      <c r="J21">
        <v>17.07</v>
      </c>
      <c r="K21" s="1" t="s">
        <v>96</v>
      </c>
      <c r="L21" s="1" t="s">
        <v>96</v>
      </c>
      <c r="M21" s="1" t="s">
        <v>96</v>
      </c>
      <c r="N21" s="1" t="s">
        <v>96</v>
      </c>
      <c r="O21" s="1" t="s">
        <v>96</v>
      </c>
      <c r="P21" s="1" t="s">
        <v>96</v>
      </c>
      <c r="Q21" s="1" t="s">
        <v>96</v>
      </c>
      <c r="R21" s="1" t="s">
        <v>96</v>
      </c>
      <c r="S21" s="1" t="s">
        <v>96</v>
      </c>
      <c r="T21" t="s">
        <v>96</v>
      </c>
      <c r="U21" s="1" t="s">
        <v>96</v>
      </c>
      <c r="V21" t="s">
        <v>96</v>
      </c>
      <c r="W21">
        <v>4.8099999999999996</v>
      </c>
      <c r="X21">
        <v>45.22</v>
      </c>
      <c r="Y21" s="1" t="s">
        <v>96</v>
      </c>
      <c r="Z21">
        <v>8.99</v>
      </c>
      <c r="AA21">
        <v>90.83</v>
      </c>
      <c r="AB21">
        <v>21.4</v>
      </c>
      <c r="AC21" s="1" t="s">
        <v>96</v>
      </c>
      <c r="AD21" s="1" t="s">
        <v>96</v>
      </c>
      <c r="AE21" s="1" t="s">
        <v>96</v>
      </c>
      <c r="AF21" s="1" t="s">
        <v>96</v>
      </c>
      <c r="AG21" s="1" t="s">
        <v>96</v>
      </c>
      <c r="AH21" s="1" t="s">
        <v>96</v>
      </c>
      <c r="AI21" t="s">
        <v>96</v>
      </c>
      <c r="AJ21">
        <v>13.7</v>
      </c>
      <c r="AK21" s="1" t="s">
        <v>96</v>
      </c>
      <c r="AL21" s="1">
        <v>1.37</v>
      </c>
      <c r="AM21">
        <v>6.08</v>
      </c>
      <c r="AN21" t="s">
        <v>96</v>
      </c>
      <c r="AO21" s="1" t="s">
        <v>96</v>
      </c>
      <c r="AP21" s="1" t="s">
        <v>96</v>
      </c>
      <c r="AQ21">
        <v>19.64</v>
      </c>
      <c r="AR21" s="1" t="s">
        <v>96</v>
      </c>
      <c r="AS21">
        <v>1175.9000000000001</v>
      </c>
      <c r="AT21">
        <v>273.36</v>
      </c>
      <c r="AU21">
        <v>54.91</v>
      </c>
      <c r="AV21" s="1" t="s">
        <v>96</v>
      </c>
      <c r="AW21">
        <v>133.77000000000001</v>
      </c>
      <c r="AX21" s="1" t="s">
        <v>96</v>
      </c>
      <c r="AY21" s="1">
        <v>7.86</v>
      </c>
      <c r="AZ21">
        <v>7.55</v>
      </c>
      <c r="BA21" s="1" t="s">
        <v>96</v>
      </c>
      <c r="BB21" s="1" t="s">
        <v>96</v>
      </c>
      <c r="BC21">
        <v>106.77</v>
      </c>
      <c r="BD21">
        <v>36.39</v>
      </c>
      <c r="BE21" s="1" t="s">
        <v>96</v>
      </c>
      <c r="BF21" s="1" t="s">
        <v>96</v>
      </c>
      <c r="BG21" t="s">
        <v>96</v>
      </c>
      <c r="BH21">
        <v>15.29</v>
      </c>
      <c r="BI21">
        <v>54.74</v>
      </c>
      <c r="BJ21" t="s">
        <v>96</v>
      </c>
      <c r="BK21" s="1" t="s">
        <v>96</v>
      </c>
      <c r="BL21" s="1" t="s">
        <v>96</v>
      </c>
      <c r="BM21" s="1" t="s">
        <v>96</v>
      </c>
      <c r="BN21" s="1" t="s">
        <v>96</v>
      </c>
      <c r="BO21" s="1">
        <v>14.27</v>
      </c>
      <c r="BP21">
        <v>65.33</v>
      </c>
      <c r="BQ21">
        <v>9.2799999999999994</v>
      </c>
      <c r="BR21" s="1" t="s">
        <v>96</v>
      </c>
      <c r="BS21">
        <v>500.51</v>
      </c>
      <c r="BT21">
        <v>14.55</v>
      </c>
      <c r="BU21" s="1" t="s">
        <v>96</v>
      </c>
      <c r="BV21">
        <v>14.03</v>
      </c>
      <c r="BW21">
        <v>72.19</v>
      </c>
      <c r="BX21" s="1" t="s">
        <v>96</v>
      </c>
    </row>
    <row r="22" spans="1:76">
      <c r="A22">
        <v>30</v>
      </c>
      <c r="B22" t="s">
        <v>185</v>
      </c>
      <c r="D22" t="b">
        <v>1</v>
      </c>
      <c r="E22" t="s">
        <v>186</v>
      </c>
      <c r="G22" t="s">
        <v>187</v>
      </c>
      <c r="H22" s="1" t="s">
        <v>96</v>
      </c>
      <c r="I22" s="1" t="s">
        <v>96</v>
      </c>
      <c r="J22">
        <v>22.39</v>
      </c>
      <c r="K22" s="1" t="s">
        <v>96</v>
      </c>
      <c r="L22" s="1" t="s">
        <v>96</v>
      </c>
      <c r="M22" s="1" t="s">
        <v>96</v>
      </c>
      <c r="N22" s="1" t="s">
        <v>96</v>
      </c>
      <c r="O22" s="1" t="s">
        <v>96</v>
      </c>
      <c r="P22" s="1" t="s">
        <v>96</v>
      </c>
      <c r="Q22" s="1" t="s">
        <v>96</v>
      </c>
      <c r="R22" s="1" t="s">
        <v>96</v>
      </c>
      <c r="S22" s="1" t="s">
        <v>96</v>
      </c>
      <c r="T22">
        <v>1.41</v>
      </c>
      <c r="U22" s="1" t="s">
        <v>96</v>
      </c>
      <c r="V22">
        <v>3.07</v>
      </c>
      <c r="W22">
        <v>6.86</v>
      </c>
      <c r="X22">
        <v>95.17</v>
      </c>
      <c r="Y22" s="1" t="s">
        <v>96</v>
      </c>
      <c r="Z22">
        <v>9.31</v>
      </c>
      <c r="AA22">
        <v>201.6</v>
      </c>
      <c r="AB22">
        <v>209.22</v>
      </c>
      <c r="AC22" s="1" t="s">
        <v>96</v>
      </c>
      <c r="AD22" s="1">
        <v>1.24</v>
      </c>
      <c r="AE22" s="1" t="s">
        <v>96</v>
      </c>
      <c r="AF22" s="1" t="s">
        <v>96</v>
      </c>
      <c r="AG22" s="1" t="s">
        <v>96</v>
      </c>
      <c r="AH22" s="1">
        <v>1.07</v>
      </c>
      <c r="AI22">
        <v>45.3</v>
      </c>
      <c r="AJ22">
        <v>25.73</v>
      </c>
      <c r="AK22" s="1" t="s">
        <v>96</v>
      </c>
      <c r="AL22" s="1">
        <v>1.1299999999999999</v>
      </c>
      <c r="AM22">
        <v>204.96</v>
      </c>
      <c r="AN22">
        <v>4.05</v>
      </c>
      <c r="AO22" s="1" t="s">
        <v>96</v>
      </c>
      <c r="AP22" s="1" t="s">
        <v>96</v>
      </c>
      <c r="AQ22" t="s">
        <v>96</v>
      </c>
      <c r="AR22" s="1" t="s">
        <v>96</v>
      </c>
      <c r="AS22">
        <v>2271.79</v>
      </c>
      <c r="AT22">
        <v>555.29</v>
      </c>
      <c r="AU22">
        <v>165.61</v>
      </c>
      <c r="AV22" s="1" t="s">
        <v>96</v>
      </c>
      <c r="AW22">
        <v>447.88</v>
      </c>
      <c r="AX22" s="1" t="s">
        <v>96</v>
      </c>
      <c r="AY22" s="1" t="s">
        <v>96</v>
      </c>
      <c r="AZ22">
        <v>11.79</v>
      </c>
      <c r="BA22" s="1">
        <v>7.47</v>
      </c>
      <c r="BB22" s="1" t="s">
        <v>96</v>
      </c>
      <c r="BC22">
        <v>182.49</v>
      </c>
      <c r="BD22">
        <v>53.41</v>
      </c>
      <c r="BE22" s="1" t="s">
        <v>96</v>
      </c>
      <c r="BF22" s="1" t="s">
        <v>96</v>
      </c>
      <c r="BG22">
        <v>3.93</v>
      </c>
      <c r="BH22">
        <v>47.34</v>
      </c>
      <c r="BI22">
        <v>38.46</v>
      </c>
      <c r="BJ22">
        <v>3.54</v>
      </c>
      <c r="BK22" s="1" t="s">
        <v>96</v>
      </c>
      <c r="BL22" s="1" t="s">
        <v>96</v>
      </c>
      <c r="BM22" s="1">
        <v>6.11</v>
      </c>
      <c r="BN22" s="1" t="s">
        <v>96</v>
      </c>
      <c r="BO22" s="1" t="s">
        <v>96</v>
      </c>
      <c r="BP22">
        <v>102.58</v>
      </c>
      <c r="BQ22">
        <v>16.329999999999998</v>
      </c>
      <c r="BR22" s="1" t="s">
        <v>96</v>
      </c>
      <c r="BS22">
        <v>189.35</v>
      </c>
      <c r="BT22">
        <v>30.59</v>
      </c>
      <c r="BU22" s="1" t="s">
        <v>96</v>
      </c>
      <c r="BV22">
        <v>43.64</v>
      </c>
      <c r="BW22">
        <v>144.31</v>
      </c>
      <c r="BX22" s="1" t="s">
        <v>96</v>
      </c>
    </row>
    <row r="23" spans="1:76">
      <c r="A23">
        <v>134</v>
      </c>
      <c r="B23" t="s">
        <v>497</v>
      </c>
      <c r="D23" t="b">
        <v>1</v>
      </c>
      <c r="E23" t="s">
        <v>498</v>
      </c>
      <c r="G23" t="s">
        <v>499</v>
      </c>
      <c r="H23" s="1" t="s">
        <v>96</v>
      </c>
      <c r="I23" s="1" t="s">
        <v>96</v>
      </c>
      <c r="J23">
        <v>13.82</v>
      </c>
      <c r="K23" s="1" t="s">
        <v>96</v>
      </c>
      <c r="L23" s="1" t="s">
        <v>96</v>
      </c>
      <c r="M23" s="1" t="s">
        <v>96</v>
      </c>
      <c r="N23" s="1" t="s">
        <v>96</v>
      </c>
      <c r="O23" s="1" t="s">
        <v>96</v>
      </c>
      <c r="P23" s="1" t="s">
        <v>96</v>
      </c>
      <c r="Q23" s="1" t="s">
        <v>96</v>
      </c>
      <c r="R23" s="1" t="s">
        <v>96</v>
      </c>
      <c r="S23" s="1" t="s">
        <v>96</v>
      </c>
      <c r="T23" t="s">
        <v>96</v>
      </c>
      <c r="U23" s="1" t="s">
        <v>96</v>
      </c>
      <c r="V23" t="s">
        <v>96</v>
      </c>
      <c r="W23">
        <v>3.72</v>
      </c>
      <c r="X23">
        <v>3.64</v>
      </c>
      <c r="Y23" s="1" t="s">
        <v>96</v>
      </c>
      <c r="Z23" t="s">
        <v>96</v>
      </c>
      <c r="AA23">
        <v>254.71</v>
      </c>
      <c r="AB23" t="s">
        <v>133</v>
      </c>
      <c r="AC23" s="1" t="s">
        <v>96</v>
      </c>
      <c r="AD23" s="1">
        <v>8.31</v>
      </c>
      <c r="AE23" s="1" t="s">
        <v>96</v>
      </c>
      <c r="AF23" s="1" t="s">
        <v>96</v>
      </c>
      <c r="AG23" s="1" t="s">
        <v>96</v>
      </c>
      <c r="AH23" s="1">
        <v>1.29</v>
      </c>
      <c r="AI23" t="s">
        <v>96</v>
      </c>
      <c r="AJ23">
        <v>21.12</v>
      </c>
      <c r="AK23" s="1" t="s">
        <v>96</v>
      </c>
      <c r="AL23" s="1">
        <v>3.33</v>
      </c>
      <c r="AM23">
        <v>579.42999999999995</v>
      </c>
      <c r="AN23">
        <v>3.12</v>
      </c>
      <c r="AO23" s="1" t="s">
        <v>96</v>
      </c>
      <c r="AP23" s="1" t="s">
        <v>96</v>
      </c>
      <c r="AQ23">
        <v>3.46</v>
      </c>
      <c r="AR23" s="1">
        <v>2.5099999999999998</v>
      </c>
      <c r="AS23">
        <v>941.06</v>
      </c>
      <c r="AT23">
        <v>112.36</v>
      </c>
      <c r="AU23">
        <v>23.97</v>
      </c>
      <c r="AV23" s="1" t="s">
        <v>96</v>
      </c>
      <c r="AW23">
        <v>282.83999999999997</v>
      </c>
      <c r="AX23" s="1" t="s">
        <v>96</v>
      </c>
      <c r="AY23" s="1" t="s">
        <v>96</v>
      </c>
      <c r="AZ23">
        <v>21.39</v>
      </c>
      <c r="BA23" s="1" t="s">
        <v>96</v>
      </c>
      <c r="BB23" s="1" t="s">
        <v>96</v>
      </c>
      <c r="BC23">
        <v>79.69</v>
      </c>
      <c r="BD23">
        <v>16.72</v>
      </c>
      <c r="BE23" s="1" t="s">
        <v>96</v>
      </c>
      <c r="BF23" s="1" t="s">
        <v>96</v>
      </c>
      <c r="BG23" t="s">
        <v>96</v>
      </c>
      <c r="BH23">
        <v>36.549999999999997</v>
      </c>
      <c r="BI23">
        <v>228.29</v>
      </c>
      <c r="BJ23">
        <v>8.3000000000000007</v>
      </c>
      <c r="BK23" s="1" t="s">
        <v>96</v>
      </c>
      <c r="BL23" s="1" t="s">
        <v>96</v>
      </c>
      <c r="BM23" s="1">
        <v>17.739999999999998</v>
      </c>
      <c r="BN23" s="1">
        <v>18.37</v>
      </c>
      <c r="BO23" s="1">
        <v>12.17</v>
      </c>
      <c r="BP23">
        <v>414.59</v>
      </c>
      <c r="BQ23">
        <v>65.63</v>
      </c>
      <c r="BR23" s="1">
        <v>7.62</v>
      </c>
      <c r="BS23">
        <v>927.22</v>
      </c>
      <c r="BT23">
        <v>49.92</v>
      </c>
      <c r="BU23" s="1" t="s">
        <v>96</v>
      </c>
      <c r="BV23">
        <v>40.909999999999997</v>
      </c>
      <c r="BW23">
        <v>184.24</v>
      </c>
      <c r="BX23" s="1" t="s">
        <v>96</v>
      </c>
    </row>
    <row r="24" spans="1:76">
      <c r="A24">
        <v>201</v>
      </c>
      <c r="B24" t="s">
        <v>698</v>
      </c>
      <c r="D24" t="b">
        <v>1</v>
      </c>
      <c r="E24" t="s">
        <v>699</v>
      </c>
      <c r="G24" t="s">
        <v>700</v>
      </c>
      <c r="H24" s="1" t="s">
        <v>96</v>
      </c>
      <c r="I24" s="1" t="s">
        <v>96</v>
      </c>
      <c r="J24">
        <v>11.64</v>
      </c>
      <c r="K24" s="1" t="s">
        <v>96</v>
      </c>
      <c r="L24" s="1" t="s">
        <v>96</v>
      </c>
      <c r="M24" s="1" t="s">
        <v>96</v>
      </c>
      <c r="N24" s="1" t="s">
        <v>96</v>
      </c>
      <c r="O24" s="1" t="s">
        <v>96</v>
      </c>
      <c r="P24" s="1" t="s">
        <v>96</v>
      </c>
      <c r="Q24" s="1" t="s">
        <v>96</v>
      </c>
      <c r="R24" s="1" t="s">
        <v>96</v>
      </c>
      <c r="S24" s="1" t="s">
        <v>96</v>
      </c>
      <c r="T24">
        <v>1.06</v>
      </c>
      <c r="U24" s="1" t="s">
        <v>96</v>
      </c>
      <c r="V24">
        <v>4.29</v>
      </c>
      <c r="W24" t="s">
        <v>96</v>
      </c>
      <c r="X24">
        <v>291.36</v>
      </c>
      <c r="Y24" s="1" t="s">
        <v>96</v>
      </c>
      <c r="Z24" t="s">
        <v>96</v>
      </c>
      <c r="AA24" t="s">
        <v>96</v>
      </c>
      <c r="AB24">
        <v>48.82</v>
      </c>
      <c r="AC24" s="1" t="s">
        <v>96</v>
      </c>
      <c r="AD24" s="1" t="s">
        <v>96</v>
      </c>
      <c r="AE24" s="1" t="s">
        <v>96</v>
      </c>
      <c r="AF24" s="1" t="s">
        <v>96</v>
      </c>
      <c r="AG24" s="1" t="s">
        <v>96</v>
      </c>
      <c r="AH24" s="1">
        <v>1.8</v>
      </c>
      <c r="AI24" t="s">
        <v>96</v>
      </c>
      <c r="AJ24">
        <v>38.1</v>
      </c>
      <c r="AK24" s="1">
        <v>2.79</v>
      </c>
      <c r="AL24" s="1" t="s">
        <v>96</v>
      </c>
      <c r="AM24">
        <v>16.12</v>
      </c>
      <c r="AN24">
        <v>7.26</v>
      </c>
      <c r="AO24" s="1" t="s">
        <v>96</v>
      </c>
      <c r="AP24" s="1" t="s">
        <v>96</v>
      </c>
      <c r="AQ24" t="s">
        <v>96</v>
      </c>
      <c r="AR24" s="1" t="s">
        <v>96</v>
      </c>
      <c r="AS24">
        <v>763.93</v>
      </c>
      <c r="AT24" t="s">
        <v>96</v>
      </c>
      <c r="AU24">
        <v>307.79000000000002</v>
      </c>
      <c r="AV24" s="1" t="s">
        <v>96</v>
      </c>
      <c r="AW24">
        <v>191.65</v>
      </c>
      <c r="AX24" s="1" t="s">
        <v>96</v>
      </c>
      <c r="AY24" s="1" t="s">
        <v>96</v>
      </c>
      <c r="AZ24">
        <v>18.14</v>
      </c>
      <c r="BA24" s="1">
        <v>12.67</v>
      </c>
      <c r="BB24" s="1" t="s">
        <v>96</v>
      </c>
      <c r="BC24">
        <v>67.209999999999994</v>
      </c>
      <c r="BD24" t="s">
        <v>96</v>
      </c>
      <c r="BE24" s="1" t="s">
        <v>96</v>
      </c>
      <c r="BF24" s="1" t="s">
        <v>96</v>
      </c>
      <c r="BG24" t="s">
        <v>96</v>
      </c>
      <c r="BH24">
        <v>17.8</v>
      </c>
      <c r="BI24" t="s">
        <v>96</v>
      </c>
      <c r="BJ24" t="s">
        <v>96</v>
      </c>
      <c r="BK24" s="1" t="s">
        <v>96</v>
      </c>
      <c r="BL24" s="1" t="s">
        <v>96</v>
      </c>
      <c r="BM24" s="1" t="s">
        <v>96</v>
      </c>
      <c r="BN24" s="1" t="s">
        <v>96</v>
      </c>
      <c r="BO24" s="1" t="s">
        <v>96</v>
      </c>
      <c r="BP24">
        <v>145.05000000000001</v>
      </c>
      <c r="BQ24">
        <v>21.34</v>
      </c>
      <c r="BR24" s="1">
        <v>5.89</v>
      </c>
      <c r="BS24">
        <v>5.91</v>
      </c>
      <c r="BT24" t="s">
        <v>96</v>
      </c>
      <c r="BU24" s="1">
        <v>32.14</v>
      </c>
      <c r="BV24">
        <v>255.59</v>
      </c>
      <c r="BW24" t="s">
        <v>96</v>
      </c>
      <c r="BX24" s="1" t="s">
        <v>96</v>
      </c>
    </row>
    <row r="25" spans="1:76">
      <c r="A25">
        <v>108</v>
      </c>
      <c r="B25" t="s">
        <v>419</v>
      </c>
      <c r="D25" t="b">
        <v>1</v>
      </c>
      <c r="E25" t="s">
        <v>420</v>
      </c>
      <c r="G25" t="s">
        <v>421</v>
      </c>
      <c r="H25" s="1" t="s">
        <v>96</v>
      </c>
      <c r="I25" s="1" t="s">
        <v>96</v>
      </c>
      <c r="J25">
        <v>13.39</v>
      </c>
      <c r="K25" s="1" t="s">
        <v>96</v>
      </c>
      <c r="L25" s="1" t="s">
        <v>96</v>
      </c>
      <c r="M25" s="1" t="s">
        <v>96</v>
      </c>
      <c r="N25" s="1" t="s">
        <v>96</v>
      </c>
      <c r="O25" s="1" t="s">
        <v>96</v>
      </c>
      <c r="P25" s="1" t="s">
        <v>96</v>
      </c>
      <c r="Q25" s="1" t="s">
        <v>96</v>
      </c>
      <c r="R25" s="1" t="s">
        <v>96</v>
      </c>
      <c r="S25" s="1" t="s">
        <v>96</v>
      </c>
      <c r="T25" t="s">
        <v>96</v>
      </c>
      <c r="U25" s="1" t="s">
        <v>96</v>
      </c>
      <c r="V25" t="s">
        <v>96</v>
      </c>
      <c r="W25" t="s">
        <v>96</v>
      </c>
      <c r="X25">
        <v>24.29</v>
      </c>
      <c r="Y25" s="1" t="s">
        <v>96</v>
      </c>
      <c r="Z25" t="s">
        <v>96</v>
      </c>
      <c r="AA25">
        <v>18.63</v>
      </c>
      <c r="AB25">
        <v>49.42</v>
      </c>
      <c r="AC25" s="1" t="s">
        <v>96</v>
      </c>
      <c r="AD25" s="1" t="s">
        <v>96</v>
      </c>
      <c r="AE25" s="1" t="s">
        <v>96</v>
      </c>
      <c r="AF25" s="1" t="s">
        <v>96</v>
      </c>
      <c r="AG25" s="1" t="s">
        <v>96</v>
      </c>
      <c r="AH25" s="1" t="s">
        <v>96</v>
      </c>
      <c r="AI25" t="s">
        <v>96</v>
      </c>
      <c r="AJ25">
        <v>5.29</v>
      </c>
      <c r="AK25" s="1" t="s">
        <v>96</v>
      </c>
      <c r="AL25" s="1" t="s">
        <v>96</v>
      </c>
      <c r="AM25">
        <v>44.01</v>
      </c>
      <c r="AN25">
        <v>11.47</v>
      </c>
      <c r="AO25" s="1" t="s">
        <v>96</v>
      </c>
      <c r="AP25" s="1" t="s">
        <v>96</v>
      </c>
      <c r="AQ25" t="s">
        <v>96</v>
      </c>
      <c r="AR25" s="1" t="s">
        <v>96</v>
      </c>
      <c r="AS25">
        <v>504.98</v>
      </c>
      <c r="AT25">
        <v>25.56</v>
      </c>
      <c r="AU25">
        <v>32.58</v>
      </c>
      <c r="AV25" s="1" t="s">
        <v>96</v>
      </c>
      <c r="AW25">
        <v>266.51</v>
      </c>
      <c r="AX25" s="1" t="s">
        <v>96</v>
      </c>
      <c r="AY25" s="1" t="s">
        <v>96</v>
      </c>
      <c r="AZ25">
        <v>48.4</v>
      </c>
      <c r="BA25" s="1" t="s">
        <v>96</v>
      </c>
      <c r="BB25" s="1" t="s">
        <v>96</v>
      </c>
      <c r="BC25">
        <v>74.94</v>
      </c>
      <c r="BD25">
        <v>4.18</v>
      </c>
      <c r="BE25" s="1" t="s">
        <v>96</v>
      </c>
      <c r="BF25" s="1">
        <v>7.11</v>
      </c>
      <c r="BG25">
        <v>4.18</v>
      </c>
      <c r="BH25">
        <v>28.19</v>
      </c>
      <c r="BI25">
        <v>47.13</v>
      </c>
      <c r="BJ25" t="s">
        <v>96</v>
      </c>
      <c r="BK25" s="1" t="s">
        <v>96</v>
      </c>
      <c r="BL25" s="1" t="s">
        <v>96</v>
      </c>
      <c r="BM25" s="1" t="s">
        <v>96</v>
      </c>
      <c r="BN25" s="1" t="s">
        <v>96</v>
      </c>
      <c r="BO25" s="1" t="s">
        <v>96</v>
      </c>
      <c r="BP25">
        <v>173.91</v>
      </c>
      <c r="BQ25">
        <v>80.680000000000007</v>
      </c>
      <c r="BR25" s="1" t="s">
        <v>96</v>
      </c>
      <c r="BS25">
        <v>156.41999999999999</v>
      </c>
      <c r="BT25">
        <v>9.7200000000000006</v>
      </c>
      <c r="BU25" s="1" t="s">
        <v>96</v>
      </c>
      <c r="BV25">
        <v>17.920000000000002</v>
      </c>
      <c r="BW25">
        <v>27.81</v>
      </c>
      <c r="BX25" s="1" t="s">
        <v>96</v>
      </c>
    </row>
    <row r="26" spans="1:76">
      <c r="A26">
        <v>210</v>
      </c>
      <c r="B26" t="s">
        <v>725</v>
      </c>
      <c r="D26" t="b">
        <v>1</v>
      </c>
      <c r="E26" t="s">
        <v>726</v>
      </c>
      <c r="G26" t="s">
        <v>727</v>
      </c>
      <c r="H26" s="1" t="s">
        <v>96</v>
      </c>
      <c r="I26" s="1" t="s">
        <v>96</v>
      </c>
      <c r="J26">
        <v>18.95</v>
      </c>
      <c r="K26" s="1" t="s">
        <v>96</v>
      </c>
      <c r="L26" s="1" t="s">
        <v>96</v>
      </c>
      <c r="M26" s="1">
        <v>11.93</v>
      </c>
      <c r="N26" s="1" t="s">
        <v>96</v>
      </c>
      <c r="O26" s="1" t="s">
        <v>96</v>
      </c>
      <c r="P26" s="1" t="s">
        <v>96</v>
      </c>
      <c r="Q26" s="1" t="s">
        <v>96</v>
      </c>
      <c r="R26" s="1" t="s">
        <v>96</v>
      </c>
      <c r="S26" s="1" t="s">
        <v>96</v>
      </c>
      <c r="T26" t="s">
        <v>96</v>
      </c>
      <c r="U26" s="1" t="s">
        <v>96</v>
      </c>
      <c r="V26">
        <v>4.93</v>
      </c>
      <c r="W26">
        <v>10.07</v>
      </c>
      <c r="X26">
        <v>65.819999999999993</v>
      </c>
      <c r="Y26" s="1" t="s">
        <v>96</v>
      </c>
      <c r="Z26">
        <v>46.95</v>
      </c>
      <c r="AA26">
        <v>322.62</v>
      </c>
      <c r="AB26">
        <v>120.18</v>
      </c>
      <c r="AC26" s="1" t="s">
        <v>96</v>
      </c>
      <c r="AD26" s="1">
        <v>1.4</v>
      </c>
      <c r="AE26" s="1" t="s">
        <v>96</v>
      </c>
      <c r="AF26" s="1" t="s">
        <v>96</v>
      </c>
      <c r="AG26" s="1" t="s">
        <v>96</v>
      </c>
      <c r="AH26" s="1" t="s">
        <v>96</v>
      </c>
      <c r="AI26">
        <v>701.14</v>
      </c>
      <c r="AJ26">
        <v>22.05</v>
      </c>
      <c r="AK26" s="1" t="s">
        <v>96</v>
      </c>
      <c r="AL26" s="1" t="s">
        <v>96</v>
      </c>
      <c r="AM26">
        <v>88.58</v>
      </c>
      <c r="AN26" t="s">
        <v>96</v>
      </c>
      <c r="AO26" s="1" t="s">
        <v>96</v>
      </c>
      <c r="AP26" s="1" t="s">
        <v>96</v>
      </c>
      <c r="AQ26">
        <v>7.75</v>
      </c>
      <c r="AR26" s="1" t="s">
        <v>96</v>
      </c>
      <c r="AS26">
        <v>1010.65</v>
      </c>
      <c r="AT26">
        <v>526.23</v>
      </c>
      <c r="AU26">
        <v>28.17</v>
      </c>
      <c r="AV26" s="1" t="s">
        <v>96</v>
      </c>
      <c r="AW26">
        <v>308.47000000000003</v>
      </c>
      <c r="AX26" s="1" t="s">
        <v>96</v>
      </c>
      <c r="AY26" s="1">
        <v>3.62</v>
      </c>
      <c r="AZ26">
        <v>10.88</v>
      </c>
      <c r="BA26" s="1" t="s">
        <v>96</v>
      </c>
      <c r="BB26" s="1" t="s">
        <v>96</v>
      </c>
      <c r="BC26">
        <v>83.64</v>
      </c>
      <c r="BD26">
        <v>58.54</v>
      </c>
      <c r="BE26" s="1" t="s">
        <v>96</v>
      </c>
      <c r="BF26" s="1" t="s">
        <v>96</v>
      </c>
      <c r="BG26" t="s">
        <v>96</v>
      </c>
      <c r="BH26">
        <v>21.57</v>
      </c>
      <c r="BI26">
        <v>90.46</v>
      </c>
      <c r="BJ26">
        <v>4.24</v>
      </c>
      <c r="BK26" s="1" t="s">
        <v>96</v>
      </c>
      <c r="BL26" s="1" t="s">
        <v>96</v>
      </c>
      <c r="BM26" s="1" t="s">
        <v>96</v>
      </c>
      <c r="BN26" s="1" t="s">
        <v>96</v>
      </c>
      <c r="BO26" s="1">
        <v>14.27</v>
      </c>
      <c r="BP26">
        <v>61.23</v>
      </c>
      <c r="BQ26">
        <v>11.99</v>
      </c>
      <c r="BR26" s="1" t="s">
        <v>96</v>
      </c>
      <c r="BS26">
        <v>585.4</v>
      </c>
      <c r="BT26">
        <v>19.91</v>
      </c>
      <c r="BU26" s="1" t="s">
        <v>96</v>
      </c>
      <c r="BV26" t="s">
        <v>96</v>
      </c>
      <c r="BW26">
        <v>105.6</v>
      </c>
      <c r="BX26" s="1" t="s">
        <v>96</v>
      </c>
    </row>
    <row r="27" spans="1:76">
      <c r="A27">
        <v>0</v>
      </c>
      <c r="B27" t="s">
        <v>91</v>
      </c>
      <c r="D27" t="b">
        <v>1</v>
      </c>
      <c r="E27" t="s">
        <v>92</v>
      </c>
      <c r="G27" t="s">
        <v>93</v>
      </c>
      <c r="H27" s="1" t="s">
        <v>96</v>
      </c>
      <c r="I27" s="1" t="s">
        <v>96</v>
      </c>
      <c r="J27">
        <v>13.64</v>
      </c>
      <c r="K27" s="1" t="s">
        <v>96</v>
      </c>
      <c r="L27" s="1" t="s">
        <v>96</v>
      </c>
      <c r="M27" s="1" t="s">
        <v>96</v>
      </c>
      <c r="N27" s="1" t="s">
        <v>96</v>
      </c>
      <c r="O27" s="1" t="s">
        <v>96</v>
      </c>
      <c r="P27" s="1" t="s">
        <v>96</v>
      </c>
      <c r="Q27" s="1" t="s">
        <v>96</v>
      </c>
      <c r="R27" s="1" t="s">
        <v>96</v>
      </c>
      <c r="S27" s="1" t="s">
        <v>96</v>
      </c>
      <c r="T27" t="s">
        <v>96</v>
      </c>
      <c r="U27" s="1" t="s">
        <v>96</v>
      </c>
      <c r="V27" t="s">
        <v>96</v>
      </c>
      <c r="W27" t="s">
        <v>96</v>
      </c>
      <c r="X27">
        <v>11.88</v>
      </c>
      <c r="Y27" s="1" t="s">
        <v>96</v>
      </c>
      <c r="Z27" t="s">
        <v>96</v>
      </c>
      <c r="AA27">
        <v>27.43</v>
      </c>
      <c r="AB27">
        <v>32.840000000000003</v>
      </c>
      <c r="AC27" s="1" t="s">
        <v>96</v>
      </c>
      <c r="AD27" s="1" t="s">
        <v>96</v>
      </c>
      <c r="AE27" s="1" t="s">
        <v>96</v>
      </c>
      <c r="AF27" s="1" t="s">
        <v>96</v>
      </c>
      <c r="AG27" s="1" t="s">
        <v>96</v>
      </c>
      <c r="AH27" s="1" t="s">
        <v>96</v>
      </c>
      <c r="AI27" t="s">
        <v>96</v>
      </c>
      <c r="AJ27">
        <v>4.03</v>
      </c>
      <c r="AK27" s="1" t="s">
        <v>96</v>
      </c>
      <c r="AL27" s="1" t="s">
        <v>96</v>
      </c>
      <c r="AM27">
        <v>38.82</v>
      </c>
      <c r="AN27">
        <v>2.19</v>
      </c>
      <c r="AO27" s="1" t="s">
        <v>96</v>
      </c>
      <c r="AP27" s="1" t="s">
        <v>96</v>
      </c>
      <c r="AQ27" t="s">
        <v>96</v>
      </c>
      <c r="AR27" s="1" t="s">
        <v>96</v>
      </c>
      <c r="AS27">
        <v>84.36</v>
      </c>
      <c r="AT27">
        <v>24.96</v>
      </c>
      <c r="AU27">
        <v>8.01</v>
      </c>
      <c r="AV27" s="1" t="s">
        <v>96</v>
      </c>
      <c r="AW27">
        <v>14.68</v>
      </c>
      <c r="AX27" s="1" t="s">
        <v>96</v>
      </c>
      <c r="AY27" s="1" t="s">
        <v>96</v>
      </c>
      <c r="AZ27" t="s">
        <v>96</v>
      </c>
      <c r="BA27" s="1" t="s">
        <v>96</v>
      </c>
      <c r="BB27" s="1" t="s">
        <v>96</v>
      </c>
      <c r="BC27">
        <v>11.8</v>
      </c>
      <c r="BD27">
        <v>3.11</v>
      </c>
      <c r="BE27" s="1" t="s">
        <v>96</v>
      </c>
      <c r="BF27" s="1" t="s">
        <v>96</v>
      </c>
      <c r="BG27" t="s">
        <v>96</v>
      </c>
      <c r="BH27">
        <v>2.73</v>
      </c>
      <c r="BI27">
        <v>29.76</v>
      </c>
      <c r="BJ27" t="s">
        <v>96</v>
      </c>
      <c r="BK27" s="1" t="s">
        <v>96</v>
      </c>
      <c r="BL27" s="1" t="s">
        <v>96</v>
      </c>
      <c r="BM27" s="1" t="s">
        <v>96</v>
      </c>
      <c r="BN27" s="1" t="s">
        <v>96</v>
      </c>
      <c r="BO27" s="1" t="s">
        <v>96</v>
      </c>
      <c r="BP27">
        <v>46.71</v>
      </c>
      <c r="BQ27">
        <v>6.72</v>
      </c>
      <c r="BR27" s="1" t="s">
        <v>96</v>
      </c>
      <c r="BS27">
        <v>104.92</v>
      </c>
      <c r="BT27">
        <v>7.63</v>
      </c>
      <c r="BU27" s="1" t="s">
        <v>96</v>
      </c>
      <c r="BV27">
        <v>28.98</v>
      </c>
      <c r="BW27">
        <v>42.67</v>
      </c>
      <c r="BX27" s="1" t="s">
        <v>96</v>
      </c>
    </row>
    <row r="28" spans="1:76">
      <c r="A28">
        <v>188</v>
      </c>
      <c r="B28" t="s">
        <v>659</v>
      </c>
      <c r="D28" t="b">
        <v>1</v>
      </c>
      <c r="E28" t="s">
        <v>660</v>
      </c>
      <c r="G28" t="s">
        <v>661</v>
      </c>
      <c r="H28" s="1" t="s">
        <v>96</v>
      </c>
      <c r="I28" s="1" t="s">
        <v>96</v>
      </c>
      <c r="J28">
        <v>18.48</v>
      </c>
      <c r="K28" s="1" t="s">
        <v>96</v>
      </c>
      <c r="L28" s="1" t="s">
        <v>96</v>
      </c>
      <c r="M28" s="1" t="s">
        <v>96</v>
      </c>
      <c r="N28" s="1" t="s">
        <v>96</v>
      </c>
      <c r="O28" s="1" t="s">
        <v>96</v>
      </c>
      <c r="P28" s="1" t="s">
        <v>96</v>
      </c>
      <c r="Q28" s="1" t="s">
        <v>96</v>
      </c>
      <c r="R28" s="1" t="s">
        <v>96</v>
      </c>
      <c r="S28" s="1" t="s">
        <v>96</v>
      </c>
      <c r="T28" t="s">
        <v>96</v>
      </c>
      <c r="U28" s="1" t="s">
        <v>96</v>
      </c>
      <c r="V28">
        <v>4.3899999999999997</v>
      </c>
      <c r="W28">
        <v>44.13</v>
      </c>
      <c r="X28">
        <v>32.049999999999997</v>
      </c>
      <c r="Y28" s="1" t="s">
        <v>96</v>
      </c>
      <c r="Z28">
        <v>75.290000000000006</v>
      </c>
      <c r="AA28">
        <v>519.45000000000005</v>
      </c>
      <c r="AB28">
        <v>83.51</v>
      </c>
      <c r="AC28" s="1" t="s">
        <v>96</v>
      </c>
      <c r="AD28" s="1" t="s">
        <v>96</v>
      </c>
      <c r="AE28" s="1" t="s">
        <v>96</v>
      </c>
      <c r="AF28" s="1" t="s">
        <v>96</v>
      </c>
      <c r="AG28" s="1" t="s">
        <v>96</v>
      </c>
      <c r="AH28" s="1" t="s">
        <v>96</v>
      </c>
      <c r="AI28">
        <v>68.23</v>
      </c>
      <c r="AJ28">
        <v>43.81</v>
      </c>
      <c r="AK28" s="1" t="s">
        <v>96</v>
      </c>
      <c r="AL28" s="1">
        <v>1.72</v>
      </c>
      <c r="AM28">
        <v>146.16</v>
      </c>
      <c r="AN28">
        <v>12.72</v>
      </c>
      <c r="AO28" s="1" t="s">
        <v>96</v>
      </c>
      <c r="AP28" s="1" t="s">
        <v>96</v>
      </c>
      <c r="AQ28">
        <v>7.66</v>
      </c>
      <c r="AR28" s="1" t="s">
        <v>96</v>
      </c>
      <c r="AS28">
        <v>1278.8699999999999</v>
      </c>
      <c r="AT28">
        <v>873.39</v>
      </c>
      <c r="AU28">
        <v>46.52</v>
      </c>
      <c r="AV28" s="1" t="s">
        <v>96</v>
      </c>
      <c r="AW28">
        <v>621.29999999999995</v>
      </c>
      <c r="AX28" s="1" t="s">
        <v>96</v>
      </c>
      <c r="AY28" s="1">
        <v>3.18</v>
      </c>
      <c r="AZ28">
        <v>30.4</v>
      </c>
      <c r="BA28" s="1" t="s">
        <v>96</v>
      </c>
      <c r="BB28" s="1" t="s">
        <v>96</v>
      </c>
      <c r="BC28">
        <v>60.2</v>
      </c>
      <c r="BD28">
        <v>57.38</v>
      </c>
      <c r="BE28" s="1" t="s">
        <v>96</v>
      </c>
      <c r="BF28" s="1">
        <v>2.67</v>
      </c>
      <c r="BG28">
        <v>9.9</v>
      </c>
      <c r="BH28">
        <v>34.93</v>
      </c>
      <c r="BI28">
        <v>199.47</v>
      </c>
      <c r="BJ28">
        <v>16.559999999999999</v>
      </c>
      <c r="BK28" s="1" t="s">
        <v>96</v>
      </c>
      <c r="BL28" s="1" t="s">
        <v>96</v>
      </c>
      <c r="BM28" s="1">
        <v>19.23</v>
      </c>
      <c r="BN28" s="1">
        <v>2.84</v>
      </c>
      <c r="BO28" s="1">
        <v>26.2</v>
      </c>
      <c r="BP28">
        <v>215.29</v>
      </c>
      <c r="BQ28">
        <v>20.93</v>
      </c>
      <c r="BR28" s="1">
        <v>8.15</v>
      </c>
      <c r="BS28">
        <v>1199.54</v>
      </c>
      <c r="BT28">
        <v>57.55</v>
      </c>
      <c r="BU28" s="1" t="s">
        <v>96</v>
      </c>
      <c r="BV28">
        <v>26.93</v>
      </c>
      <c r="BW28">
        <v>534.14</v>
      </c>
      <c r="BX28" s="1" t="s">
        <v>96</v>
      </c>
    </row>
    <row r="29" spans="1:76">
      <c r="A29">
        <v>2</v>
      </c>
      <c r="B29" t="s">
        <v>100</v>
      </c>
      <c r="D29" t="b">
        <v>1</v>
      </c>
      <c r="E29" t="s">
        <v>101</v>
      </c>
      <c r="G29" t="s">
        <v>102</v>
      </c>
      <c r="H29" s="1" t="s">
        <v>96</v>
      </c>
      <c r="I29" s="1" t="s">
        <v>96</v>
      </c>
      <c r="J29">
        <v>23.9</v>
      </c>
      <c r="K29" s="1" t="s">
        <v>96</v>
      </c>
      <c r="L29" s="1" t="s">
        <v>96</v>
      </c>
      <c r="M29" s="1" t="s">
        <v>96</v>
      </c>
      <c r="N29" s="1" t="s">
        <v>96</v>
      </c>
      <c r="O29" s="1" t="s">
        <v>96</v>
      </c>
      <c r="P29" s="1" t="s">
        <v>96</v>
      </c>
      <c r="Q29" s="1" t="s">
        <v>96</v>
      </c>
      <c r="R29" s="1" t="s">
        <v>96</v>
      </c>
      <c r="S29" s="1" t="s">
        <v>96</v>
      </c>
      <c r="T29" t="s">
        <v>96</v>
      </c>
      <c r="U29" s="1" t="s">
        <v>96</v>
      </c>
      <c r="V29" t="s">
        <v>96</v>
      </c>
      <c r="W29">
        <v>1.1000000000000001</v>
      </c>
      <c r="X29">
        <v>104.14</v>
      </c>
      <c r="Y29" s="1" t="s">
        <v>96</v>
      </c>
      <c r="Z29">
        <v>5.15</v>
      </c>
      <c r="AA29">
        <v>57.06</v>
      </c>
      <c r="AB29">
        <v>7.53</v>
      </c>
      <c r="AC29" s="1" t="s">
        <v>96</v>
      </c>
      <c r="AD29" s="1">
        <v>1.35</v>
      </c>
      <c r="AE29" s="1" t="s">
        <v>96</v>
      </c>
      <c r="AF29" s="1" t="s">
        <v>96</v>
      </c>
      <c r="AG29" s="1" t="s">
        <v>96</v>
      </c>
      <c r="AH29" s="1" t="s">
        <v>96</v>
      </c>
      <c r="AI29">
        <v>196.46</v>
      </c>
      <c r="AJ29">
        <v>17.46</v>
      </c>
      <c r="AK29" s="1" t="s">
        <v>96</v>
      </c>
      <c r="AL29" s="1">
        <v>2.1</v>
      </c>
      <c r="AM29">
        <v>1.88</v>
      </c>
      <c r="AN29">
        <v>1.3</v>
      </c>
      <c r="AO29" s="1" t="s">
        <v>96</v>
      </c>
      <c r="AP29" s="1" t="s">
        <v>96</v>
      </c>
      <c r="AQ29" t="s">
        <v>96</v>
      </c>
      <c r="AR29" s="1" t="s">
        <v>96</v>
      </c>
      <c r="AS29">
        <v>86.15</v>
      </c>
      <c r="AT29">
        <v>65.19</v>
      </c>
      <c r="AU29">
        <v>22.91</v>
      </c>
      <c r="AV29" s="1" t="s">
        <v>96</v>
      </c>
      <c r="AW29">
        <v>23.14</v>
      </c>
      <c r="AX29" s="1" t="s">
        <v>96</v>
      </c>
      <c r="AY29" s="1" t="s">
        <v>96</v>
      </c>
      <c r="AZ29">
        <v>3.67</v>
      </c>
      <c r="BA29" s="1" t="s">
        <v>96</v>
      </c>
      <c r="BB29" s="1" t="s">
        <v>96</v>
      </c>
      <c r="BC29">
        <v>14.47</v>
      </c>
      <c r="BD29">
        <v>10.24</v>
      </c>
      <c r="BE29" s="1" t="s">
        <v>96</v>
      </c>
      <c r="BF29" s="1" t="s">
        <v>96</v>
      </c>
      <c r="BG29" t="s">
        <v>96</v>
      </c>
      <c r="BH29">
        <v>5.76</v>
      </c>
      <c r="BI29">
        <v>39.799999999999997</v>
      </c>
      <c r="BJ29" t="s">
        <v>96</v>
      </c>
      <c r="BK29" s="1" t="s">
        <v>96</v>
      </c>
      <c r="BL29" s="1" t="s">
        <v>96</v>
      </c>
      <c r="BM29" s="1" t="s">
        <v>96</v>
      </c>
      <c r="BN29" s="1" t="s">
        <v>96</v>
      </c>
      <c r="BO29" s="1" t="s">
        <v>96</v>
      </c>
      <c r="BP29">
        <v>17.63</v>
      </c>
      <c r="BQ29" t="s">
        <v>96</v>
      </c>
      <c r="BR29" s="1" t="s">
        <v>96</v>
      </c>
      <c r="BS29">
        <v>110.36</v>
      </c>
      <c r="BT29">
        <v>7.62</v>
      </c>
      <c r="BU29" s="1" t="s">
        <v>96</v>
      </c>
      <c r="BV29">
        <v>6.09</v>
      </c>
      <c r="BW29">
        <v>28.19</v>
      </c>
      <c r="BX29" s="1" t="s">
        <v>96</v>
      </c>
    </row>
    <row r="30" spans="1:76">
      <c r="A30">
        <v>216</v>
      </c>
      <c r="B30" t="s">
        <v>743</v>
      </c>
      <c r="D30" t="b">
        <v>1</v>
      </c>
      <c r="E30" t="s">
        <v>744</v>
      </c>
      <c r="G30" t="s">
        <v>745</v>
      </c>
      <c r="H30" s="1" t="s">
        <v>96</v>
      </c>
      <c r="I30" s="1" t="s">
        <v>96</v>
      </c>
      <c r="J30">
        <v>13.69</v>
      </c>
      <c r="K30" s="1" t="s">
        <v>96</v>
      </c>
      <c r="L30" s="1" t="s">
        <v>96</v>
      </c>
      <c r="M30" s="1" t="s">
        <v>96</v>
      </c>
      <c r="N30" s="1" t="s">
        <v>96</v>
      </c>
      <c r="O30" s="1" t="s">
        <v>96</v>
      </c>
      <c r="P30" s="1" t="s">
        <v>96</v>
      </c>
      <c r="Q30" s="1" t="s">
        <v>96</v>
      </c>
      <c r="R30" s="1" t="s">
        <v>96</v>
      </c>
      <c r="S30" s="1" t="s">
        <v>96</v>
      </c>
      <c r="T30">
        <v>3.94</v>
      </c>
      <c r="U30" s="1" t="s">
        <v>96</v>
      </c>
      <c r="V30">
        <v>10.01</v>
      </c>
      <c r="W30" t="s">
        <v>96</v>
      </c>
      <c r="X30">
        <v>329.75</v>
      </c>
      <c r="Y30" s="1" t="s">
        <v>96</v>
      </c>
      <c r="Z30" t="s">
        <v>96</v>
      </c>
      <c r="AA30">
        <v>16.18</v>
      </c>
      <c r="AB30">
        <v>688.61</v>
      </c>
      <c r="AC30" s="1" t="s">
        <v>96</v>
      </c>
      <c r="AD30" s="1" t="s">
        <v>96</v>
      </c>
      <c r="AE30" s="1" t="s">
        <v>96</v>
      </c>
      <c r="AF30" s="1" t="s">
        <v>96</v>
      </c>
      <c r="AG30" s="1" t="s">
        <v>96</v>
      </c>
      <c r="AH30" s="1">
        <v>2.73</v>
      </c>
      <c r="AI30">
        <v>52.78</v>
      </c>
      <c r="AJ30">
        <v>122.97</v>
      </c>
      <c r="AK30" s="1">
        <v>5.12</v>
      </c>
      <c r="AL30" s="1" t="s">
        <v>96</v>
      </c>
      <c r="AM30">
        <v>93.48</v>
      </c>
      <c r="AN30">
        <v>9.31</v>
      </c>
      <c r="AO30" s="1" t="s">
        <v>96</v>
      </c>
      <c r="AP30" s="1" t="s">
        <v>96</v>
      </c>
      <c r="AQ30" t="s">
        <v>96</v>
      </c>
      <c r="AR30" s="1" t="s">
        <v>96</v>
      </c>
      <c r="AS30">
        <v>1754.7</v>
      </c>
      <c r="AT30">
        <v>22.47</v>
      </c>
      <c r="AU30">
        <v>302.32</v>
      </c>
      <c r="AV30" s="1" t="s">
        <v>96</v>
      </c>
      <c r="AW30">
        <v>276.66000000000003</v>
      </c>
      <c r="AX30" s="1" t="s">
        <v>96</v>
      </c>
      <c r="AY30" s="1" t="s">
        <v>96</v>
      </c>
      <c r="AZ30">
        <v>31.67</v>
      </c>
      <c r="BA30" s="1">
        <v>12.98</v>
      </c>
      <c r="BB30" s="1" t="s">
        <v>96</v>
      </c>
      <c r="BC30">
        <v>165.39</v>
      </c>
      <c r="BD30">
        <v>4.3</v>
      </c>
      <c r="BE30" s="1" t="s">
        <v>96</v>
      </c>
      <c r="BF30" s="1">
        <v>4.05</v>
      </c>
      <c r="BG30" t="s">
        <v>96</v>
      </c>
      <c r="BH30">
        <v>40.14</v>
      </c>
      <c r="BI30" t="s">
        <v>96</v>
      </c>
      <c r="BJ30" t="s">
        <v>96</v>
      </c>
      <c r="BK30" s="1" t="s">
        <v>96</v>
      </c>
      <c r="BL30" s="1" t="s">
        <v>96</v>
      </c>
      <c r="BM30" s="1" t="s">
        <v>96</v>
      </c>
      <c r="BN30" s="1" t="s">
        <v>96</v>
      </c>
      <c r="BO30" s="1" t="s">
        <v>96</v>
      </c>
      <c r="BP30">
        <v>166.1</v>
      </c>
      <c r="BQ30">
        <v>35.21</v>
      </c>
      <c r="BR30" s="1" t="s">
        <v>96</v>
      </c>
      <c r="BS30">
        <v>5.89</v>
      </c>
      <c r="BT30" t="s">
        <v>96</v>
      </c>
      <c r="BU30" s="1" t="s">
        <v>96</v>
      </c>
      <c r="BV30">
        <v>65.510000000000005</v>
      </c>
      <c r="BW30">
        <v>9.16</v>
      </c>
      <c r="BX30" s="1" t="s">
        <v>96</v>
      </c>
    </row>
    <row r="31" spans="1:76">
      <c r="A31">
        <v>3</v>
      </c>
      <c r="B31" t="s">
        <v>103</v>
      </c>
      <c r="D31" t="b">
        <v>1</v>
      </c>
      <c r="E31" t="s">
        <v>104</v>
      </c>
      <c r="G31" t="s">
        <v>105</v>
      </c>
      <c r="H31" s="1" t="s">
        <v>96</v>
      </c>
      <c r="I31" s="1" t="s">
        <v>96</v>
      </c>
      <c r="J31">
        <v>23.03</v>
      </c>
      <c r="K31" s="1" t="s">
        <v>96</v>
      </c>
      <c r="L31" s="1" t="s">
        <v>96</v>
      </c>
      <c r="M31" s="1">
        <v>9.76</v>
      </c>
      <c r="N31" s="1" t="s">
        <v>96</v>
      </c>
      <c r="O31" s="1" t="s">
        <v>96</v>
      </c>
      <c r="P31" s="1" t="s">
        <v>96</v>
      </c>
      <c r="Q31" s="1" t="s">
        <v>96</v>
      </c>
      <c r="R31" s="1" t="s">
        <v>96</v>
      </c>
      <c r="S31" s="1" t="s">
        <v>96</v>
      </c>
      <c r="T31" t="s">
        <v>96</v>
      </c>
      <c r="U31" s="1" t="s">
        <v>96</v>
      </c>
      <c r="V31">
        <v>1.44</v>
      </c>
      <c r="W31">
        <v>12.14</v>
      </c>
      <c r="X31">
        <v>170.23</v>
      </c>
      <c r="Y31" s="1" t="s">
        <v>96</v>
      </c>
      <c r="Z31">
        <v>76.73</v>
      </c>
      <c r="AA31">
        <v>628.95000000000005</v>
      </c>
      <c r="AB31">
        <v>38.25</v>
      </c>
      <c r="AC31" s="1">
        <v>3.53</v>
      </c>
      <c r="AD31" s="1">
        <v>1.1399999999999999</v>
      </c>
      <c r="AE31" s="1" t="s">
        <v>96</v>
      </c>
      <c r="AF31" s="1" t="s">
        <v>96</v>
      </c>
      <c r="AG31" s="1" t="s">
        <v>96</v>
      </c>
      <c r="AH31" s="1" t="s">
        <v>96</v>
      </c>
      <c r="AI31">
        <v>238.8</v>
      </c>
      <c r="AJ31">
        <v>105.1</v>
      </c>
      <c r="AK31" s="1">
        <v>1.0900000000000001</v>
      </c>
      <c r="AL31" s="1">
        <v>4.3499999999999996</v>
      </c>
      <c r="AM31">
        <v>18.34</v>
      </c>
      <c r="AN31">
        <v>1.93</v>
      </c>
      <c r="AO31" s="1" t="s">
        <v>96</v>
      </c>
      <c r="AP31" s="1" t="s">
        <v>96</v>
      </c>
      <c r="AQ31">
        <v>32.92</v>
      </c>
      <c r="AR31" s="1" t="s">
        <v>96</v>
      </c>
      <c r="AS31">
        <v>471.26</v>
      </c>
      <c r="AT31">
        <v>528.6</v>
      </c>
      <c r="AU31">
        <v>79.19</v>
      </c>
      <c r="AV31" s="1" t="s">
        <v>96</v>
      </c>
      <c r="AW31">
        <v>63.94</v>
      </c>
      <c r="AX31" s="1" t="s">
        <v>96</v>
      </c>
      <c r="AY31" s="1">
        <v>10.77</v>
      </c>
      <c r="AZ31">
        <v>3.77</v>
      </c>
      <c r="BA31" s="1">
        <v>4.07</v>
      </c>
      <c r="BB31" s="1" t="s">
        <v>96</v>
      </c>
      <c r="BC31">
        <v>86.92</v>
      </c>
      <c r="BD31">
        <v>86.15</v>
      </c>
      <c r="BE31" s="1" t="s">
        <v>96</v>
      </c>
      <c r="BF31" s="1" t="s">
        <v>96</v>
      </c>
      <c r="BG31" t="s">
        <v>96</v>
      </c>
      <c r="BH31">
        <v>15.98</v>
      </c>
      <c r="BI31">
        <v>72.78</v>
      </c>
      <c r="BJ31">
        <v>4.71</v>
      </c>
      <c r="BK31" s="1" t="s">
        <v>96</v>
      </c>
      <c r="BL31" s="1" t="s">
        <v>96</v>
      </c>
      <c r="BM31" s="1" t="s">
        <v>96</v>
      </c>
      <c r="BN31" s="1" t="s">
        <v>96</v>
      </c>
      <c r="BO31" s="1">
        <v>18.89</v>
      </c>
      <c r="BP31">
        <v>19.920000000000002</v>
      </c>
      <c r="BQ31">
        <v>5.85</v>
      </c>
      <c r="BR31" s="1" t="s">
        <v>96</v>
      </c>
      <c r="BS31">
        <v>232.2</v>
      </c>
      <c r="BT31">
        <v>16.3</v>
      </c>
      <c r="BU31" s="1" t="s">
        <v>96</v>
      </c>
      <c r="BV31">
        <v>5.45</v>
      </c>
      <c r="BW31">
        <v>40.07</v>
      </c>
      <c r="BX31" s="1" t="s">
        <v>96</v>
      </c>
    </row>
    <row r="32" spans="1:76">
      <c r="A32">
        <v>1</v>
      </c>
      <c r="B32" t="s">
        <v>97</v>
      </c>
      <c r="D32" t="b">
        <v>1</v>
      </c>
      <c r="E32" t="s">
        <v>98</v>
      </c>
      <c r="G32" t="s">
        <v>99</v>
      </c>
      <c r="H32" s="1" t="s">
        <v>96</v>
      </c>
      <c r="I32" s="1" t="s">
        <v>96</v>
      </c>
      <c r="J32">
        <v>16.12</v>
      </c>
      <c r="K32" s="1" t="s">
        <v>96</v>
      </c>
      <c r="L32" s="1" t="s">
        <v>96</v>
      </c>
      <c r="M32" s="1" t="s">
        <v>96</v>
      </c>
      <c r="N32" s="1" t="s">
        <v>96</v>
      </c>
      <c r="O32" s="1" t="s">
        <v>96</v>
      </c>
      <c r="P32" s="1" t="s">
        <v>96</v>
      </c>
      <c r="Q32" s="1" t="s">
        <v>96</v>
      </c>
      <c r="R32" s="1" t="s">
        <v>96</v>
      </c>
      <c r="S32" s="1" t="s">
        <v>96</v>
      </c>
      <c r="T32" t="s">
        <v>96</v>
      </c>
      <c r="U32" s="1" t="s">
        <v>96</v>
      </c>
      <c r="V32">
        <v>1.64</v>
      </c>
      <c r="W32">
        <v>8.1999999999999993</v>
      </c>
      <c r="X32">
        <v>80.3</v>
      </c>
      <c r="Y32" s="1" t="s">
        <v>96</v>
      </c>
      <c r="Z32">
        <v>18.04</v>
      </c>
      <c r="AA32">
        <v>366.45</v>
      </c>
      <c r="AB32">
        <v>139.52000000000001</v>
      </c>
      <c r="AC32" s="1" t="s">
        <v>96</v>
      </c>
      <c r="AD32" s="1" t="s">
        <v>96</v>
      </c>
      <c r="AE32" s="1" t="s">
        <v>96</v>
      </c>
      <c r="AF32" s="1" t="s">
        <v>96</v>
      </c>
      <c r="AG32" s="1" t="s">
        <v>96</v>
      </c>
      <c r="AH32" s="1" t="s">
        <v>96</v>
      </c>
      <c r="AI32">
        <v>90.22</v>
      </c>
      <c r="AJ32">
        <v>24.24</v>
      </c>
      <c r="AK32" s="1" t="s">
        <v>96</v>
      </c>
      <c r="AL32" s="1" t="s">
        <v>96</v>
      </c>
      <c r="AM32">
        <v>12.02</v>
      </c>
      <c r="AN32">
        <v>2.4300000000000002</v>
      </c>
      <c r="AO32" s="1" t="s">
        <v>96</v>
      </c>
      <c r="AP32" s="1" t="s">
        <v>96</v>
      </c>
      <c r="AQ32">
        <v>4.33</v>
      </c>
      <c r="AR32" s="1" t="s">
        <v>96</v>
      </c>
      <c r="AS32">
        <v>1189.58</v>
      </c>
      <c r="AT32">
        <v>679.25</v>
      </c>
      <c r="AU32">
        <v>150.80000000000001</v>
      </c>
      <c r="AV32" s="1" t="s">
        <v>96</v>
      </c>
      <c r="AW32">
        <v>314.8</v>
      </c>
      <c r="AX32" s="1" t="s">
        <v>96</v>
      </c>
      <c r="AY32" s="1">
        <v>3.29</v>
      </c>
      <c r="AZ32">
        <v>20.56</v>
      </c>
      <c r="BA32" s="1">
        <v>5.67</v>
      </c>
      <c r="BB32" s="1" t="s">
        <v>96</v>
      </c>
      <c r="BC32">
        <v>124.14</v>
      </c>
      <c r="BD32">
        <v>83.18</v>
      </c>
      <c r="BE32" s="1" t="s">
        <v>96</v>
      </c>
      <c r="BF32" s="1" t="s">
        <v>96</v>
      </c>
      <c r="BG32">
        <v>4.3600000000000003</v>
      </c>
      <c r="BH32">
        <v>33.479999999999997</v>
      </c>
      <c r="BI32">
        <v>98.32</v>
      </c>
      <c r="BJ32">
        <v>2.69</v>
      </c>
      <c r="BK32" s="1" t="s">
        <v>96</v>
      </c>
      <c r="BL32" s="1" t="s">
        <v>96</v>
      </c>
      <c r="BM32" s="1" t="s">
        <v>96</v>
      </c>
      <c r="BN32" s="1" t="s">
        <v>96</v>
      </c>
      <c r="BO32" s="1">
        <v>7.51</v>
      </c>
      <c r="BP32">
        <v>160.22</v>
      </c>
      <c r="BQ32">
        <v>16.989999999999998</v>
      </c>
      <c r="BR32" s="1" t="s">
        <v>96</v>
      </c>
      <c r="BS32">
        <v>719.53</v>
      </c>
      <c r="BT32">
        <v>24.66</v>
      </c>
      <c r="BU32" s="1" t="s">
        <v>96</v>
      </c>
      <c r="BV32">
        <v>63.13</v>
      </c>
      <c r="BW32">
        <v>170.46</v>
      </c>
      <c r="BX32" s="1" t="s">
        <v>96</v>
      </c>
    </row>
    <row r="33" spans="1:76">
      <c r="A33">
        <v>139</v>
      </c>
      <c r="B33" t="s">
        <v>512</v>
      </c>
      <c r="D33" t="b">
        <v>1</v>
      </c>
      <c r="E33" t="s">
        <v>513</v>
      </c>
      <c r="G33" t="s">
        <v>514</v>
      </c>
      <c r="H33" s="1" t="s">
        <v>96</v>
      </c>
      <c r="I33" s="1" t="s">
        <v>96</v>
      </c>
      <c r="J33">
        <v>17.79</v>
      </c>
      <c r="K33" s="1" t="s">
        <v>96</v>
      </c>
      <c r="L33" s="1" t="s">
        <v>96</v>
      </c>
      <c r="M33" s="1" t="s">
        <v>96</v>
      </c>
      <c r="N33" s="1" t="s">
        <v>96</v>
      </c>
      <c r="O33" s="1" t="s">
        <v>96</v>
      </c>
      <c r="P33" s="1" t="s">
        <v>96</v>
      </c>
      <c r="Q33" s="1" t="s">
        <v>96</v>
      </c>
      <c r="R33" s="1" t="s">
        <v>96</v>
      </c>
      <c r="S33" s="1" t="s">
        <v>96</v>
      </c>
      <c r="T33" t="s">
        <v>96</v>
      </c>
      <c r="U33" s="1" t="s">
        <v>96</v>
      </c>
      <c r="V33" t="s">
        <v>96</v>
      </c>
      <c r="W33" t="s">
        <v>96</v>
      </c>
      <c r="X33">
        <v>9.8800000000000008</v>
      </c>
      <c r="Y33" s="1" t="s">
        <v>96</v>
      </c>
      <c r="Z33" t="s">
        <v>96</v>
      </c>
      <c r="AA33">
        <v>2.5099999999999998</v>
      </c>
      <c r="AB33">
        <v>15.68</v>
      </c>
      <c r="AC33" s="1" t="s">
        <v>96</v>
      </c>
      <c r="AD33" s="1" t="s">
        <v>96</v>
      </c>
      <c r="AE33" s="1" t="s">
        <v>96</v>
      </c>
      <c r="AF33" s="1" t="s">
        <v>96</v>
      </c>
      <c r="AG33" s="1" t="s">
        <v>96</v>
      </c>
      <c r="AH33" s="1" t="s">
        <v>96</v>
      </c>
      <c r="AI33" t="s">
        <v>96</v>
      </c>
      <c r="AJ33">
        <v>1.91</v>
      </c>
      <c r="AK33" s="1" t="s">
        <v>96</v>
      </c>
      <c r="AL33" s="1" t="s">
        <v>96</v>
      </c>
      <c r="AM33">
        <v>15.72</v>
      </c>
      <c r="AN33">
        <v>3.13</v>
      </c>
      <c r="AO33" s="1" t="s">
        <v>96</v>
      </c>
      <c r="AP33" s="1" t="s">
        <v>96</v>
      </c>
      <c r="AQ33" t="s">
        <v>96</v>
      </c>
      <c r="AR33" s="1" t="s">
        <v>96</v>
      </c>
      <c r="AS33">
        <v>91.03</v>
      </c>
      <c r="AT33" t="s">
        <v>96</v>
      </c>
      <c r="AU33" t="s">
        <v>96</v>
      </c>
      <c r="AV33" s="1" t="s">
        <v>96</v>
      </c>
      <c r="AW33">
        <v>22.31</v>
      </c>
      <c r="AX33" s="1" t="s">
        <v>96</v>
      </c>
      <c r="AY33" s="1" t="s">
        <v>96</v>
      </c>
      <c r="AZ33">
        <v>2.54</v>
      </c>
      <c r="BA33" s="1" t="s">
        <v>96</v>
      </c>
      <c r="BB33" s="1" t="s">
        <v>96</v>
      </c>
      <c r="BC33">
        <v>14.59</v>
      </c>
      <c r="BD33" t="s">
        <v>96</v>
      </c>
      <c r="BE33" s="1" t="s">
        <v>96</v>
      </c>
      <c r="BF33" s="1" t="s">
        <v>96</v>
      </c>
      <c r="BG33" t="s">
        <v>96</v>
      </c>
      <c r="BH33">
        <v>6.52</v>
      </c>
      <c r="BI33" t="s">
        <v>96</v>
      </c>
      <c r="BJ33" t="s">
        <v>96</v>
      </c>
      <c r="BK33" s="1" t="s">
        <v>96</v>
      </c>
      <c r="BL33" s="1" t="s">
        <v>96</v>
      </c>
      <c r="BM33" s="1" t="s">
        <v>96</v>
      </c>
      <c r="BN33" s="1" t="s">
        <v>96</v>
      </c>
      <c r="BO33" s="1" t="s">
        <v>96</v>
      </c>
      <c r="BP33">
        <v>72.55</v>
      </c>
      <c r="BQ33">
        <v>12.64</v>
      </c>
      <c r="BR33" s="1" t="s">
        <v>96</v>
      </c>
      <c r="BS33">
        <v>10.52</v>
      </c>
      <c r="BT33" t="s">
        <v>96</v>
      </c>
      <c r="BU33" s="1" t="s">
        <v>96</v>
      </c>
      <c r="BV33">
        <v>5.14</v>
      </c>
      <c r="BW33" t="s">
        <v>96</v>
      </c>
      <c r="BX33" s="1" t="s">
        <v>96</v>
      </c>
    </row>
    <row r="34" spans="1:76">
      <c r="A34">
        <v>133</v>
      </c>
      <c r="B34" t="s">
        <v>494</v>
      </c>
      <c r="D34" t="b">
        <v>1</v>
      </c>
      <c r="E34" t="s">
        <v>495</v>
      </c>
      <c r="G34" t="s">
        <v>496</v>
      </c>
      <c r="H34" s="1" t="s">
        <v>96</v>
      </c>
      <c r="I34" s="1" t="s">
        <v>96</v>
      </c>
      <c r="J34">
        <v>14.56</v>
      </c>
      <c r="K34" s="1" t="s">
        <v>96</v>
      </c>
      <c r="L34" s="1" t="s">
        <v>96</v>
      </c>
      <c r="M34" s="1" t="s">
        <v>96</v>
      </c>
      <c r="N34" s="1" t="s">
        <v>96</v>
      </c>
      <c r="O34" s="1" t="s">
        <v>96</v>
      </c>
      <c r="P34" s="1" t="s">
        <v>96</v>
      </c>
      <c r="Q34" s="1" t="s">
        <v>96</v>
      </c>
      <c r="R34" s="1" t="s">
        <v>96</v>
      </c>
      <c r="S34" s="1" t="s">
        <v>96</v>
      </c>
      <c r="T34" t="s">
        <v>96</v>
      </c>
      <c r="U34" s="1" t="s">
        <v>96</v>
      </c>
      <c r="V34" t="s">
        <v>96</v>
      </c>
      <c r="W34" t="s">
        <v>96</v>
      </c>
      <c r="X34">
        <v>42.94</v>
      </c>
      <c r="Y34" s="1" t="s">
        <v>96</v>
      </c>
      <c r="Z34" t="s">
        <v>96</v>
      </c>
      <c r="AA34">
        <v>9.8699999999999992</v>
      </c>
      <c r="AB34">
        <v>6.33</v>
      </c>
      <c r="AC34" s="1" t="s">
        <v>96</v>
      </c>
      <c r="AD34" s="1">
        <v>6.34</v>
      </c>
      <c r="AE34" s="1" t="s">
        <v>96</v>
      </c>
      <c r="AF34" s="1" t="s">
        <v>96</v>
      </c>
      <c r="AG34" s="1" t="s">
        <v>96</v>
      </c>
      <c r="AH34" s="1" t="s">
        <v>96</v>
      </c>
      <c r="AI34" t="s">
        <v>96</v>
      </c>
      <c r="AJ34">
        <v>2.41</v>
      </c>
      <c r="AK34" s="1" t="s">
        <v>96</v>
      </c>
      <c r="AL34" s="1" t="s">
        <v>96</v>
      </c>
      <c r="AM34">
        <v>2.2200000000000002</v>
      </c>
      <c r="AN34" t="s">
        <v>96</v>
      </c>
      <c r="AO34" s="1" t="s">
        <v>96</v>
      </c>
      <c r="AP34" s="1" t="s">
        <v>96</v>
      </c>
      <c r="AQ34" t="s">
        <v>96</v>
      </c>
      <c r="AR34" s="1" t="s">
        <v>96</v>
      </c>
      <c r="AS34">
        <v>135.69999999999999</v>
      </c>
      <c r="AT34">
        <v>20.25</v>
      </c>
      <c r="AU34">
        <v>11.71</v>
      </c>
      <c r="AV34" s="1" t="s">
        <v>96</v>
      </c>
      <c r="AW34">
        <v>6.04</v>
      </c>
      <c r="AX34" s="1" t="s">
        <v>96</v>
      </c>
      <c r="AY34" s="1" t="s">
        <v>96</v>
      </c>
      <c r="AZ34" t="s">
        <v>96</v>
      </c>
      <c r="BA34" s="1" t="s">
        <v>96</v>
      </c>
      <c r="BB34" s="1" t="s">
        <v>96</v>
      </c>
      <c r="BC34">
        <v>8.43</v>
      </c>
      <c r="BD34" t="s">
        <v>96</v>
      </c>
      <c r="BE34" s="1" t="s">
        <v>96</v>
      </c>
      <c r="BF34" s="1" t="s">
        <v>96</v>
      </c>
      <c r="BG34" t="s">
        <v>96</v>
      </c>
      <c r="BH34" t="s">
        <v>96</v>
      </c>
      <c r="BI34">
        <v>51.69</v>
      </c>
      <c r="BJ34">
        <v>4.1399999999999997</v>
      </c>
      <c r="BK34" s="1" t="s">
        <v>96</v>
      </c>
      <c r="BL34" s="1" t="s">
        <v>96</v>
      </c>
      <c r="BM34" s="1" t="s">
        <v>96</v>
      </c>
      <c r="BN34" s="1" t="s">
        <v>96</v>
      </c>
      <c r="BO34" s="1" t="s">
        <v>96</v>
      </c>
      <c r="BP34">
        <v>50.25</v>
      </c>
      <c r="BQ34">
        <v>9.19</v>
      </c>
      <c r="BR34" s="1" t="s">
        <v>96</v>
      </c>
      <c r="BS34">
        <v>536.29</v>
      </c>
      <c r="BT34" t="s">
        <v>96</v>
      </c>
      <c r="BU34" s="1" t="s">
        <v>96</v>
      </c>
      <c r="BV34">
        <v>34.75</v>
      </c>
      <c r="BW34">
        <v>43.84</v>
      </c>
      <c r="BX34" s="1" t="s">
        <v>96</v>
      </c>
    </row>
    <row r="35" spans="1:76">
      <c r="A35">
        <v>80</v>
      </c>
      <c r="B35" t="s">
        <v>335</v>
      </c>
      <c r="D35" t="b">
        <v>1</v>
      </c>
      <c r="E35" t="s">
        <v>336</v>
      </c>
      <c r="G35" t="s">
        <v>337</v>
      </c>
      <c r="H35" s="1" t="s">
        <v>96</v>
      </c>
      <c r="I35" s="1" t="s">
        <v>96</v>
      </c>
      <c r="J35">
        <v>21.11</v>
      </c>
      <c r="K35" s="1" t="s">
        <v>96</v>
      </c>
      <c r="L35" s="1" t="s">
        <v>96</v>
      </c>
      <c r="M35" s="1">
        <v>7.01</v>
      </c>
      <c r="N35" s="1" t="s">
        <v>96</v>
      </c>
      <c r="O35" s="1" t="s">
        <v>96</v>
      </c>
      <c r="P35" s="1" t="s">
        <v>96</v>
      </c>
      <c r="Q35" s="1" t="s">
        <v>96</v>
      </c>
      <c r="R35" s="1" t="s">
        <v>96</v>
      </c>
      <c r="S35" s="1" t="s">
        <v>96</v>
      </c>
      <c r="T35" t="s">
        <v>96</v>
      </c>
      <c r="U35" s="1" t="s">
        <v>96</v>
      </c>
      <c r="V35">
        <v>9.75</v>
      </c>
      <c r="W35">
        <v>6.46</v>
      </c>
      <c r="X35">
        <v>117.46</v>
      </c>
      <c r="Y35" s="1" t="s">
        <v>96</v>
      </c>
      <c r="Z35">
        <v>29.23</v>
      </c>
      <c r="AA35">
        <v>627.55999999999995</v>
      </c>
      <c r="AB35">
        <v>517.07000000000005</v>
      </c>
      <c r="AC35" s="1" t="s">
        <v>96</v>
      </c>
      <c r="AD35" s="1" t="s">
        <v>96</v>
      </c>
      <c r="AE35" s="1" t="s">
        <v>96</v>
      </c>
      <c r="AF35" s="1" t="s">
        <v>96</v>
      </c>
      <c r="AG35" s="1" t="s">
        <v>96</v>
      </c>
      <c r="AH35" s="1" t="s">
        <v>96</v>
      </c>
      <c r="AI35">
        <v>1891.33</v>
      </c>
      <c r="AJ35">
        <v>47.21</v>
      </c>
      <c r="AK35" s="1" t="s">
        <v>96</v>
      </c>
      <c r="AL35" s="1">
        <v>2.96</v>
      </c>
      <c r="AM35">
        <v>678.01</v>
      </c>
      <c r="AN35">
        <v>17.489999999999998</v>
      </c>
      <c r="AO35" s="1" t="s">
        <v>96</v>
      </c>
      <c r="AP35" s="1" t="s">
        <v>96</v>
      </c>
      <c r="AQ35">
        <v>11.47</v>
      </c>
      <c r="AR35" s="1" t="s">
        <v>96</v>
      </c>
      <c r="AS35">
        <v>1802.91</v>
      </c>
      <c r="AT35">
        <v>1211.8599999999999</v>
      </c>
      <c r="AU35">
        <v>109.86</v>
      </c>
      <c r="AV35" s="1" t="s">
        <v>96</v>
      </c>
      <c r="AW35">
        <v>462.77</v>
      </c>
      <c r="AX35" s="1" t="s">
        <v>96</v>
      </c>
      <c r="AY35" s="1">
        <v>5.85</v>
      </c>
      <c r="AZ35">
        <v>10.61</v>
      </c>
      <c r="BA35" s="1">
        <v>4.78</v>
      </c>
      <c r="BB35" s="1" t="s">
        <v>96</v>
      </c>
      <c r="BC35">
        <v>155.85</v>
      </c>
      <c r="BD35">
        <v>134.5</v>
      </c>
      <c r="BE35" s="1" t="s">
        <v>96</v>
      </c>
      <c r="BF35" s="1" t="s">
        <v>96</v>
      </c>
      <c r="BG35">
        <v>3.12</v>
      </c>
      <c r="BH35">
        <v>42.66</v>
      </c>
      <c r="BI35">
        <v>161.16</v>
      </c>
      <c r="BJ35">
        <v>80.650000000000006</v>
      </c>
      <c r="BK35" s="1" t="s">
        <v>96</v>
      </c>
      <c r="BL35" s="1" t="s">
        <v>96</v>
      </c>
      <c r="BM35" s="1">
        <v>29.39</v>
      </c>
      <c r="BN35" s="1">
        <v>10.57</v>
      </c>
      <c r="BO35" s="1">
        <v>13.11</v>
      </c>
      <c r="BP35">
        <v>67.849999999999994</v>
      </c>
      <c r="BQ35">
        <v>13.76</v>
      </c>
      <c r="BR35" s="1" t="s">
        <v>96</v>
      </c>
      <c r="BS35">
        <v>378.7</v>
      </c>
      <c r="BT35">
        <v>20.02</v>
      </c>
      <c r="BU35" s="1" t="s">
        <v>96</v>
      </c>
      <c r="BV35">
        <v>26.28</v>
      </c>
      <c r="BW35">
        <v>78.42</v>
      </c>
      <c r="BX35" s="1" t="s">
        <v>96</v>
      </c>
    </row>
    <row r="36" spans="1:76">
      <c r="A36">
        <v>22</v>
      </c>
      <c r="B36" t="s">
        <v>161</v>
      </c>
      <c r="D36" t="b">
        <v>1</v>
      </c>
      <c r="E36" t="s">
        <v>162</v>
      </c>
      <c r="G36" t="s">
        <v>163</v>
      </c>
      <c r="H36" s="1" t="s">
        <v>96</v>
      </c>
      <c r="I36" s="1" t="s">
        <v>96</v>
      </c>
      <c r="J36">
        <v>25.97</v>
      </c>
      <c r="K36" s="1" t="s">
        <v>96</v>
      </c>
      <c r="L36" s="1" t="s">
        <v>96</v>
      </c>
      <c r="M36" s="1" t="s">
        <v>96</v>
      </c>
      <c r="N36" s="1" t="s">
        <v>96</v>
      </c>
      <c r="O36" s="1" t="s">
        <v>96</v>
      </c>
      <c r="P36" s="1" t="s">
        <v>96</v>
      </c>
      <c r="Q36" s="1" t="s">
        <v>96</v>
      </c>
      <c r="R36" s="1" t="s">
        <v>96</v>
      </c>
      <c r="S36" s="1" t="s">
        <v>96</v>
      </c>
      <c r="T36" t="s">
        <v>96</v>
      </c>
      <c r="U36" s="1" t="s">
        <v>96</v>
      </c>
      <c r="V36">
        <v>1.37</v>
      </c>
      <c r="W36">
        <v>2.86</v>
      </c>
      <c r="X36">
        <v>92.49</v>
      </c>
      <c r="Y36" s="1" t="s">
        <v>96</v>
      </c>
      <c r="Z36">
        <v>6.15</v>
      </c>
      <c r="AA36">
        <v>78.28</v>
      </c>
      <c r="AB36">
        <v>26.49</v>
      </c>
      <c r="AC36" s="1" t="s">
        <v>96</v>
      </c>
      <c r="AD36" s="1" t="s">
        <v>96</v>
      </c>
      <c r="AE36" s="1" t="s">
        <v>96</v>
      </c>
      <c r="AF36" s="1" t="s">
        <v>96</v>
      </c>
      <c r="AG36" s="1" t="s">
        <v>96</v>
      </c>
      <c r="AH36" s="1" t="s">
        <v>96</v>
      </c>
      <c r="AI36">
        <v>47.23</v>
      </c>
      <c r="AJ36">
        <v>18.989999999999998</v>
      </c>
      <c r="AK36" s="1" t="s">
        <v>96</v>
      </c>
      <c r="AL36" s="1" t="s">
        <v>96</v>
      </c>
      <c r="AM36">
        <v>21.77</v>
      </c>
      <c r="AN36">
        <v>6.5</v>
      </c>
      <c r="AO36" s="1" t="s">
        <v>96</v>
      </c>
      <c r="AP36" s="1" t="s">
        <v>96</v>
      </c>
      <c r="AQ36" t="s">
        <v>96</v>
      </c>
      <c r="AR36" s="1" t="s">
        <v>96</v>
      </c>
      <c r="AS36">
        <v>33.770000000000003</v>
      </c>
      <c r="AT36">
        <v>10.25</v>
      </c>
      <c r="AU36">
        <v>5.73</v>
      </c>
      <c r="AV36" s="1" t="s">
        <v>96</v>
      </c>
      <c r="AW36">
        <v>10.8</v>
      </c>
      <c r="AX36" s="1" t="s">
        <v>96</v>
      </c>
      <c r="AY36" s="1" t="s">
        <v>96</v>
      </c>
      <c r="AZ36" t="s">
        <v>96</v>
      </c>
      <c r="BA36" s="1" t="s">
        <v>96</v>
      </c>
      <c r="BB36" s="1" t="s">
        <v>96</v>
      </c>
      <c r="BC36">
        <v>19.38</v>
      </c>
      <c r="BD36">
        <v>5.05</v>
      </c>
      <c r="BE36" s="1" t="s">
        <v>96</v>
      </c>
      <c r="BF36" s="1" t="s">
        <v>96</v>
      </c>
      <c r="BG36" t="s">
        <v>96</v>
      </c>
      <c r="BH36">
        <v>6.55</v>
      </c>
      <c r="BI36">
        <v>54.03</v>
      </c>
      <c r="BJ36" t="s">
        <v>96</v>
      </c>
      <c r="BK36" s="1" t="s">
        <v>96</v>
      </c>
      <c r="BL36" s="1" t="s">
        <v>96</v>
      </c>
      <c r="BM36" s="1" t="s">
        <v>96</v>
      </c>
      <c r="BN36" s="1" t="s">
        <v>96</v>
      </c>
      <c r="BO36" s="1" t="s">
        <v>96</v>
      </c>
      <c r="BP36">
        <v>14.85</v>
      </c>
      <c r="BQ36">
        <v>9.0500000000000007</v>
      </c>
      <c r="BR36" s="1" t="s">
        <v>96</v>
      </c>
      <c r="BS36">
        <v>89.68</v>
      </c>
      <c r="BT36">
        <v>14.28</v>
      </c>
      <c r="BU36" s="1" t="s">
        <v>96</v>
      </c>
      <c r="BV36">
        <v>7.67</v>
      </c>
      <c r="BW36">
        <v>14.45</v>
      </c>
      <c r="BX36" s="1" t="s">
        <v>96</v>
      </c>
    </row>
    <row r="37" spans="1:76">
      <c r="A37">
        <v>155</v>
      </c>
      <c r="B37" t="s">
        <v>560</v>
      </c>
      <c r="D37" t="b">
        <v>1</v>
      </c>
      <c r="E37" t="s">
        <v>561</v>
      </c>
      <c r="G37" t="s">
        <v>562</v>
      </c>
      <c r="H37" s="1" t="s">
        <v>96</v>
      </c>
      <c r="I37" s="1" t="s">
        <v>96</v>
      </c>
      <c r="J37">
        <v>17.72</v>
      </c>
      <c r="K37" s="1" t="s">
        <v>96</v>
      </c>
      <c r="L37" s="1" t="s">
        <v>96</v>
      </c>
      <c r="M37" s="1" t="s">
        <v>96</v>
      </c>
      <c r="N37" s="1" t="s">
        <v>96</v>
      </c>
      <c r="O37" s="1" t="s">
        <v>96</v>
      </c>
      <c r="P37" s="1" t="s">
        <v>96</v>
      </c>
      <c r="Q37" s="1" t="s">
        <v>96</v>
      </c>
      <c r="R37" s="1" t="s">
        <v>96</v>
      </c>
      <c r="S37" s="1" t="s">
        <v>96</v>
      </c>
      <c r="T37" t="s">
        <v>96</v>
      </c>
      <c r="U37" s="1" t="s">
        <v>96</v>
      </c>
      <c r="V37">
        <v>1.35</v>
      </c>
      <c r="W37" t="s">
        <v>96</v>
      </c>
      <c r="X37">
        <v>133.9</v>
      </c>
      <c r="Y37" s="1" t="s">
        <v>96</v>
      </c>
      <c r="Z37" t="s">
        <v>96</v>
      </c>
      <c r="AA37">
        <v>9.65</v>
      </c>
      <c r="AB37">
        <v>43.09</v>
      </c>
      <c r="AC37" s="1" t="s">
        <v>96</v>
      </c>
      <c r="AD37" s="1" t="s">
        <v>96</v>
      </c>
      <c r="AE37" s="1" t="s">
        <v>96</v>
      </c>
      <c r="AF37" s="1" t="s">
        <v>96</v>
      </c>
      <c r="AG37" s="1" t="s">
        <v>96</v>
      </c>
      <c r="AH37" s="1">
        <v>3.02</v>
      </c>
      <c r="AI37">
        <v>37.130000000000003</v>
      </c>
      <c r="AJ37">
        <v>26.54</v>
      </c>
      <c r="AK37" s="1" t="s">
        <v>96</v>
      </c>
      <c r="AL37" s="1" t="s">
        <v>96</v>
      </c>
      <c r="AM37">
        <v>38.25</v>
      </c>
      <c r="AN37">
        <v>14.8</v>
      </c>
      <c r="AO37" s="1" t="s">
        <v>96</v>
      </c>
      <c r="AP37" s="1" t="s">
        <v>96</v>
      </c>
      <c r="AQ37" t="s">
        <v>96</v>
      </c>
      <c r="AR37" s="1" t="s">
        <v>96</v>
      </c>
      <c r="AS37">
        <v>480.8</v>
      </c>
      <c r="AT37">
        <v>32.92</v>
      </c>
      <c r="AU37">
        <v>56.95</v>
      </c>
      <c r="AV37" s="1" t="s">
        <v>96</v>
      </c>
      <c r="AW37">
        <v>81.319999999999993</v>
      </c>
      <c r="AX37" s="1" t="s">
        <v>96</v>
      </c>
      <c r="AY37" s="1" t="s">
        <v>96</v>
      </c>
      <c r="AZ37">
        <v>18.46</v>
      </c>
      <c r="BA37" s="1">
        <v>2.67</v>
      </c>
      <c r="BB37" s="1" t="s">
        <v>96</v>
      </c>
      <c r="BC37">
        <v>61.84</v>
      </c>
      <c r="BD37">
        <v>5.0999999999999996</v>
      </c>
      <c r="BE37" s="1" t="s">
        <v>96</v>
      </c>
      <c r="BF37" s="1" t="s">
        <v>96</v>
      </c>
      <c r="BG37" t="s">
        <v>96</v>
      </c>
      <c r="BH37">
        <v>11.89</v>
      </c>
      <c r="BI37">
        <v>29.96</v>
      </c>
      <c r="BJ37" t="s">
        <v>96</v>
      </c>
      <c r="BK37" s="1" t="s">
        <v>96</v>
      </c>
      <c r="BL37" s="1" t="s">
        <v>96</v>
      </c>
      <c r="BM37" s="1" t="s">
        <v>96</v>
      </c>
      <c r="BN37" s="1" t="s">
        <v>96</v>
      </c>
      <c r="BO37" s="1" t="s">
        <v>96</v>
      </c>
      <c r="BP37">
        <v>114.58</v>
      </c>
      <c r="BQ37">
        <v>23.94</v>
      </c>
      <c r="BR37" s="1" t="s">
        <v>96</v>
      </c>
      <c r="BS37">
        <v>119.23</v>
      </c>
      <c r="BT37">
        <v>9.74</v>
      </c>
      <c r="BU37" s="1" t="s">
        <v>96</v>
      </c>
      <c r="BV37">
        <v>39.42</v>
      </c>
      <c r="BW37">
        <v>33.65</v>
      </c>
      <c r="BX37" s="1" t="s">
        <v>96</v>
      </c>
    </row>
    <row r="38" spans="1:76">
      <c r="A38">
        <v>236</v>
      </c>
      <c r="B38" t="s">
        <v>803</v>
      </c>
      <c r="D38" t="b">
        <v>1</v>
      </c>
      <c r="E38" t="s">
        <v>804</v>
      </c>
      <c r="G38" t="s">
        <v>805</v>
      </c>
      <c r="H38" s="1" t="s">
        <v>96</v>
      </c>
      <c r="I38" s="1" t="s">
        <v>96</v>
      </c>
      <c r="J38">
        <v>11.43</v>
      </c>
      <c r="K38" s="1" t="s">
        <v>96</v>
      </c>
      <c r="L38" s="1" t="s">
        <v>96</v>
      </c>
      <c r="M38" s="1">
        <v>10.67</v>
      </c>
      <c r="N38" s="1" t="s">
        <v>96</v>
      </c>
      <c r="O38" s="1" t="s">
        <v>96</v>
      </c>
      <c r="P38" s="1" t="s">
        <v>96</v>
      </c>
      <c r="Q38" s="1" t="s">
        <v>96</v>
      </c>
      <c r="R38" s="1" t="s">
        <v>96</v>
      </c>
      <c r="S38" s="1" t="s">
        <v>96</v>
      </c>
      <c r="T38" t="s">
        <v>96</v>
      </c>
      <c r="U38" s="1" t="s">
        <v>96</v>
      </c>
      <c r="V38">
        <v>1.38</v>
      </c>
      <c r="W38">
        <v>16.559999999999999</v>
      </c>
      <c r="X38">
        <v>54.24</v>
      </c>
      <c r="Y38" s="1" t="s">
        <v>96</v>
      </c>
      <c r="Z38">
        <v>59.31</v>
      </c>
      <c r="AA38">
        <v>567.02</v>
      </c>
      <c r="AB38">
        <v>90.92</v>
      </c>
      <c r="AC38" s="1">
        <v>3.43</v>
      </c>
      <c r="AD38" s="1">
        <v>2.0299999999999998</v>
      </c>
      <c r="AE38" s="1" t="s">
        <v>96</v>
      </c>
      <c r="AF38" s="1" t="s">
        <v>96</v>
      </c>
      <c r="AG38" s="1" t="s">
        <v>96</v>
      </c>
      <c r="AH38" s="1" t="s">
        <v>96</v>
      </c>
      <c r="AI38">
        <v>46.17</v>
      </c>
      <c r="AJ38">
        <v>30.51</v>
      </c>
      <c r="AK38" s="1" t="s">
        <v>96</v>
      </c>
      <c r="AL38" s="1">
        <v>1.29</v>
      </c>
      <c r="AM38">
        <v>23.46</v>
      </c>
      <c r="AN38">
        <v>4.22</v>
      </c>
      <c r="AO38" s="1" t="s">
        <v>96</v>
      </c>
      <c r="AP38" s="1" t="s">
        <v>96</v>
      </c>
      <c r="AQ38">
        <v>19.399999999999999</v>
      </c>
      <c r="AR38" s="1" t="s">
        <v>96</v>
      </c>
      <c r="AS38">
        <v>967.45</v>
      </c>
      <c r="AT38">
        <v>665.04</v>
      </c>
      <c r="AU38">
        <v>71.86</v>
      </c>
      <c r="AV38" s="1" t="s">
        <v>96</v>
      </c>
      <c r="AW38">
        <v>296.20999999999998</v>
      </c>
      <c r="AX38" s="1" t="s">
        <v>96</v>
      </c>
      <c r="AY38" s="1">
        <v>4.5599999999999996</v>
      </c>
      <c r="AZ38">
        <v>14.7</v>
      </c>
      <c r="BA38" s="1" t="s">
        <v>96</v>
      </c>
      <c r="BB38" s="1" t="s">
        <v>96</v>
      </c>
      <c r="BC38">
        <v>76.62</v>
      </c>
      <c r="BD38">
        <v>47.81</v>
      </c>
      <c r="BE38" s="1" t="s">
        <v>96</v>
      </c>
      <c r="BF38" s="1" t="s">
        <v>96</v>
      </c>
      <c r="BG38">
        <v>7.52</v>
      </c>
      <c r="BH38">
        <v>37.47</v>
      </c>
      <c r="BI38">
        <v>72.09</v>
      </c>
      <c r="BJ38">
        <v>18.059999999999999</v>
      </c>
      <c r="BK38" s="1" t="s">
        <v>96</v>
      </c>
      <c r="BL38" s="1" t="s">
        <v>96</v>
      </c>
      <c r="BM38" s="1">
        <v>5.21</v>
      </c>
      <c r="BN38" s="1" t="s">
        <v>96</v>
      </c>
      <c r="BO38" s="1">
        <v>16.04</v>
      </c>
      <c r="BP38">
        <v>80.7</v>
      </c>
      <c r="BQ38">
        <v>12.36</v>
      </c>
      <c r="BR38" s="1" t="s">
        <v>96</v>
      </c>
      <c r="BS38">
        <v>990.07</v>
      </c>
      <c r="BT38">
        <v>17.920000000000002</v>
      </c>
      <c r="BU38" s="1" t="s">
        <v>96</v>
      </c>
      <c r="BV38">
        <v>11.64</v>
      </c>
      <c r="BW38">
        <v>131.88</v>
      </c>
      <c r="BX38" s="1" t="s">
        <v>96</v>
      </c>
    </row>
    <row r="39" spans="1:76">
      <c r="A39">
        <v>74</v>
      </c>
      <c r="B39" t="s">
        <v>317</v>
      </c>
      <c r="D39" t="b">
        <v>1</v>
      </c>
      <c r="E39" t="s">
        <v>318</v>
      </c>
      <c r="G39" t="s">
        <v>319</v>
      </c>
      <c r="H39" s="1" t="s">
        <v>96</v>
      </c>
      <c r="I39" s="1" t="s">
        <v>96</v>
      </c>
      <c r="J39">
        <v>16.29</v>
      </c>
      <c r="K39" s="1" t="s">
        <v>96</v>
      </c>
      <c r="L39" s="1" t="s">
        <v>96</v>
      </c>
      <c r="M39" s="1">
        <v>5.56</v>
      </c>
      <c r="N39" s="1" t="s">
        <v>96</v>
      </c>
      <c r="O39" s="1" t="s">
        <v>96</v>
      </c>
      <c r="P39" s="1" t="s">
        <v>96</v>
      </c>
      <c r="Q39" s="1" t="s">
        <v>96</v>
      </c>
      <c r="R39" s="1" t="s">
        <v>96</v>
      </c>
      <c r="S39" s="1" t="s">
        <v>96</v>
      </c>
      <c r="T39" t="s">
        <v>96</v>
      </c>
      <c r="U39" s="1" t="s">
        <v>96</v>
      </c>
      <c r="V39">
        <v>3.35</v>
      </c>
      <c r="W39">
        <v>11.8</v>
      </c>
      <c r="X39">
        <v>98.7</v>
      </c>
      <c r="Y39" s="1" t="s">
        <v>96</v>
      </c>
      <c r="Z39">
        <v>28.87</v>
      </c>
      <c r="AA39">
        <v>466.72</v>
      </c>
      <c r="AB39">
        <v>31.1</v>
      </c>
      <c r="AC39" s="1">
        <v>4.78</v>
      </c>
      <c r="AD39" s="1" t="s">
        <v>96</v>
      </c>
      <c r="AE39" s="1" t="s">
        <v>96</v>
      </c>
      <c r="AF39" s="1" t="s">
        <v>96</v>
      </c>
      <c r="AG39" s="1" t="s">
        <v>96</v>
      </c>
      <c r="AH39" s="1" t="s">
        <v>96</v>
      </c>
      <c r="AI39">
        <v>759.33</v>
      </c>
      <c r="AJ39">
        <v>39.119999999999997</v>
      </c>
      <c r="AK39" s="1" t="s">
        <v>96</v>
      </c>
      <c r="AL39" s="1" t="s">
        <v>96</v>
      </c>
      <c r="AM39">
        <v>8.3000000000000007</v>
      </c>
      <c r="AN39" t="s">
        <v>96</v>
      </c>
      <c r="AO39" s="1" t="s">
        <v>96</v>
      </c>
      <c r="AP39" s="1" t="s">
        <v>96</v>
      </c>
      <c r="AQ39">
        <v>5.84</v>
      </c>
      <c r="AR39" s="1" t="s">
        <v>96</v>
      </c>
      <c r="AS39">
        <v>397.47</v>
      </c>
      <c r="AT39">
        <v>380.98</v>
      </c>
      <c r="AU39">
        <v>44.29</v>
      </c>
      <c r="AV39" s="1" t="s">
        <v>96</v>
      </c>
      <c r="AW39">
        <v>68.92</v>
      </c>
      <c r="AX39" s="1" t="s">
        <v>96</v>
      </c>
      <c r="AY39" s="1">
        <v>2.54</v>
      </c>
      <c r="AZ39">
        <v>4.32</v>
      </c>
      <c r="BA39" s="1" t="s">
        <v>96</v>
      </c>
      <c r="BB39" s="1" t="s">
        <v>96</v>
      </c>
      <c r="BC39">
        <v>33.25</v>
      </c>
      <c r="BD39">
        <v>42.42</v>
      </c>
      <c r="BE39" s="1" t="s">
        <v>96</v>
      </c>
      <c r="BF39" s="1" t="s">
        <v>96</v>
      </c>
      <c r="BG39" t="s">
        <v>96</v>
      </c>
      <c r="BH39">
        <v>7</v>
      </c>
      <c r="BI39">
        <v>62.93</v>
      </c>
      <c r="BJ39">
        <v>2.5499999999999998</v>
      </c>
      <c r="BK39" s="1" t="s">
        <v>96</v>
      </c>
      <c r="BL39" s="1" t="s">
        <v>96</v>
      </c>
      <c r="BM39" s="1" t="s">
        <v>96</v>
      </c>
      <c r="BN39" s="1" t="s">
        <v>96</v>
      </c>
      <c r="BO39" s="1" t="s">
        <v>96</v>
      </c>
      <c r="BP39">
        <v>28.8</v>
      </c>
      <c r="BQ39" t="s">
        <v>96</v>
      </c>
      <c r="BR39" s="1" t="s">
        <v>96</v>
      </c>
      <c r="BS39">
        <v>356.87</v>
      </c>
      <c r="BT39">
        <v>22.25</v>
      </c>
      <c r="BU39" s="1" t="s">
        <v>96</v>
      </c>
      <c r="BV39">
        <v>9.7899999999999991</v>
      </c>
      <c r="BW39">
        <v>78.319999999999993</v>
      </c>
      <c r="BX39" s="1" t="s">
        <v>96</v>
      </c>
    </row>
    <row r="40" spans="1:76">
      <c r="A40">
        <v>106</v>
      </c>
      <c r="B40" t="s">
        <v>413</v>
      </c>
      <c r="D40" t="b">
        <v>1</v>
      </c>
      <c r="E40" t="s">
        <v>414</v>
      </c>
      <c r="G40" t="s">
        <v>415</v>
      </c>
      <c r="H40" s="1" t="s">
        <v>96</v>
      </c>
      <c r="I40" s="1" t="s">
        <v>96</v>
      </c>
      <c r="J40">
        <v>12.4</v>
      </c>
      <c r="K40" s="1" t="s">
        <v>96</v>
      </c>
      <c r="L40" s="1" t="s">
        <v>96</v>
      </c>
      <c r="M40" s="1">
        <v>11.59</v>
      </c>
      <c r="N40" s="1" t="s">
        <v>96</v>
      </c>
      <c r="O40" s="1" t="s">
        <v>96</v>
      </c>
      <c r="P40" s="1" t="s">
        <v>96</v>
      </c>
      <c r="Q40" s="1" t="s">
        <v>96</v>
      </c>
      <c r="R40" s="1" t="s">
        <v>96</v>
      </c>
      <c r="S40" s="1" t="s">
        <v>96</v>
      </c>
      <c r="T40" t="s">
        <v>96</v>
      </c>
      <c r="U40" s="1" t="s">
        <v>96</v>
      </c>
      <c r="V40" t="s">
        <v>96</v>
      </c>
      <c r="W40">
        <v>10.85</v>
      </c>
      <c r="X40">
        <v>27.67</v>
      </c>
      <c r="Y40" s="1" t="s">
        <v>96</v>
      </c>
      <c r="Z40">
        <v>9.66</v>
      </c>
      <c r="AA40">
        <v>84.2</v>
      </c>
      <c r="AB40">
        <v>62.79</v>
      </c>
      <c r="AC40" s="1">
        <v>3.36</v>
      </c>
      <c r="AD40" s="1">
        <v>1.36</v>
      </c>
      <c r="AE40" s="1" t="s">
        <v>96</v>
      </c>
      <c r="AF40" s="1" t="s">
        <v>96</v>
      </c>
      <c r="AG40" s="1" t="s">
        <v>96</v>
      </c>
      <c r="AH40" s="1" t="s">
        <v>96</v>
      </c>
      <c r="AI40">
        <v>196.05</v>
      </c>
      <c r="AJ40">
        <v>23.58</v>
      </c>
      <c r="AK40" s="1" t="s">
        <v>96</v>
      </c>
      <c r="AL40" s="1">
        <v>5.42</v>
      </c>
      <c r="AM40">
        <v>59.4</v>
      </c>
      <c r="AN40">
        <v>6.11</v>
      </c>
      <c r="AO40" s="1" t="s">
        <v>96</v>
      </c>
      <c r="AP40" s="1" t="s">
        <v>96</v>
      </c>
      <c r="AQ40">
        <v>21.67</v>
      </c>
      <c r="AR40" s="1" t="s">
        <v>96</v>
      </c>
      <c r="AS40">
        <v>1752.26</v>
      </c>
      <c r="AT40">
        <v>403.42</v>
      </c>
      <c r="AU40">
        <v>187.67</v>
      </c>
      <c r="AV40" s="1" t="s">
        <v>96</v>
      </c>
      <c r="AW40">
        <v>363.82</v>
      </c>
      <c r="AX40" s="1" t="s">
        <v>96</v>
      </c>
      <c r="AY40" s="1">
        <v>4.29</v>
      </c>
      <c r="AZ40">
        <v>27.45</v>
      </c>
      <c r="BA40" s="1">
        <v>6</v>
      </c>
      <c r="BB40" s="1" t="s">
        <v>96</v>
      </c>
      <c r="BC40">
        <v>106.14</v>
      </c>
      <c r="BD40">
        <v>32.869999999999997</v>
      </c>
      <c r="BE40" s="1" t="s">
        <v>96</v>
      </c>
      <c r="BF40" s="1" t="s">
        <v>96</v>
      </c>
      <c r="BG40">
        <v>4.45</v>
      </c>
      <c r="BH40">
        <v>29.15</v>
      </c>
      <c r="BI40">
        <v>121.7</v>
      </c>
      <c r="BJ40">
        <v>5.08</v>
      </c>
      <c r="BK40" s="1" t="s">
        <v>96</v>
      </c>
      <c r="BL40" s="1" t="s">
        <v>96</v>
      </c>
      <c r="BM40" s="1" t="s">
        <v>96</v>
      </c>
      <c r="BN40" s="1" t="s">
        <v>96</v>
      </c>
      <c r="BO40" s="1">
        <v>7.6</v>
      </c>
      <c r="BP40">
        <v>153.91</v>
      </c>
      <c r="BQ40">
        <v>26.42</v>
      </c>
      <c r="BR40" s="1" t="s">
        <v>96</v>
      </c>
      <c r="BS40">
        <v>755.08</v>
      </c>
      <c r="BT40">
        <v>13.33</v>
      </c>
      <c r="BU40" s="1" t="s">
        <v>96</v>
      </c>
      <c r="BV40">
        <v>24.78</v>
      </c>
      <c r="BW40">
        <v>79.59</v>
      </c>
      <c r="BX40" s="1" t="s">
        <v>96</v>
      </c>
    </row>
    <row r="41" spans="1:76">
      <c r="A41">
        <v>76</v>
      </c>
      <c r="B41" t="s">
        <v>323</v>
      </c>
      <c r="D41" t="b">
        <v>1</v>
      </c>
      <c r="E41" t="s">
        <v>324</v>
      </c>
      <c r="G41" t="s">
        <v>325</v>
      </c>
      <c r="H41" s="1" t="s">
        <v>96</v>
      </c>
      <c r="I41" s="1" t="s">
        <v>96</v>
      </c>
      <c r="J41">
        <v>18.75</v>
      </c>
      <c r="K41" s="1" t="s">
        <v>96</v>
      </c>
      <c r="L41" s="1" t="s">
        <v>96</v>
      </c>
      <c r="M41" s="1">
        <v>5.37</v>
      </c>
      <c r="N41" s="1" t="s">
        <v>96</v>
      </c>
      <c r="O41" s="1" t="s">
        <v>96</v>
      </c>
      <c r="P41" s="1" t="s">
        <v>96</v>
      </c>
      <c r="Q41" s="1" t="s">
        <v>96</v>
      </c>
      <c r="R41" s="1" t="s">
        <v>96</v>
      </c>
      <c r="S41" s="1" t="s">
        <v>96</v>
      </c>
      <c r="T41" t="s">
        <v>96</v>
      </c>
      <c r="U41" s="1" t="s">
        <v>96</v>
      </c>
      <c r="V41" t="s">
        <v>96</v>
      </c>
      <c r="W41" t="s">
        <v>96</v>
      </c>
      <c r="X41">
        <v>22.39</v>
      </c>
      <c r="Y41" s="1" t="s">
        <v>96</v>
      </c>
      <c r="Z41" t="s">
        <v>96</v>
      </c>
      <c r="AA41">
        <v>37.08</v>
      </c>
      <c r="AB41">
        <v>14.64</v>
      </c>
      <c r="AC41" s="1" t="s">
        <v>96</v>
      </c>
      <c r="AD41" s="1" t="s">
        <v>96</v>
      </c>
      <c r="AE41" s="1" t="s">
        <v>96</v>
      </c>
      <c r="AF41" s="1" t="s">
        <v>96</v>
      </c>
      <c r="AG41" s="1" t="s">
        <v>96</v>
      </c>
      <c r="AH41" s="1" t="s">
        <v>96</v>
      </c>
      <c r="AI41">
        <v>1592.7</v>
      </c>
      <c r="AJ41">
        <v>3.09</v>
      </c>
      <c r="AK41" s="1" t="s">
        <v>96</v>
      </c>
      <c r="AL41" s="1">
        <v>1.05</v>
      </c>
      <c r="AM41">
        <v>23.14</v>
      </c>
      <c r="AN41" t="s">
        <v>96</v>
      </c>
      <c r="AO41" s="1" t="s">
        <v>96</v>
      </c>
      <c r="AP41" s="1" t="s">
        <v>96</v>
      </c>
      <c r="AQ41">
        <v>5.22</v>
      </c>
      <c r="AR41" s="1" t="s">
        <v>96</v>
      </c>
      <c r="AS41">
        <v>865.47</v>
      </c>
      <c r="AT41">
        <v>554.82000000000005</v>
      </c>
      <c r="AU41">
        <v>41.74</v>
      </c>
      <c r="AV41" s="1" t="s">
        <v>96</v>
      </c>
      <c r="AW41">
        <v>333.93</v>
      </c>
      <c r="AX41" s="1" t="s">
        <v>96</v>
      </c>
      <c r="AY41" s="1">
        <v>3.02</v>
      </c>
      <c r="AZ41">
        <v>8.2100000000000009</v>
      </c>
      <c r="BA41" s="1" t="s">
        <v>96</v>
      </c>
      <c r="BB41" s="1" t="s">
        <v>96</v>
      </c>
      <c r="BC41">
        <v>77.39</v>
      </c>
      <c r="BD41">
        <v>62.32</v>
      </c>
      <c r="BE41" s="1" t="s">
        <v>96</v>
      </c>
      <c r="BF41" s="1" t="s">
        <v>96</v>
      </c>
      <c r="BG41" t="s">
        <v>96</v>
      </c>
      <c r="BH41">
        <v>30.29</v>
      </c>
      <c r="BI41">
        <v>34.770000000000003</v>
      </c>
      <c r="BJ41">
        <v>9.7100000000000009</v>
      </c>
      <c r="BK41" s="1" t="s">
        <v>96</v>
      </c>
      <c r="BL41" s="1" t="s">
        <v>96</v>
      </c>
      <c r="BM41" s="1" t="s">
        <v>96</v>
      </c>
      <c r="BN41" s="1" t="s">
        <v>96</v>
      </c>
      <c r="BO41" s="1" t="s">
        <v>96</v>
      </c>
      <c r="BP41">
        <v>57.41</v>
      </c>
      <c r="BQ41">
        <v>6.57</v>
      </c>
      <c r="BR41" s="1" t="s">
        <v>96</v>
      </c>
      <c r="BS41">
        <v>314.79000000000002</v>
      </c>
      <c r="BT41">
        <v>8.44</v>
      </c>
      <c r="BU41" s="1" t="s">
        <v>96</v>
      </c>
      <c r="BV41">
        <v>18.510000000000002</v>
      </c>
      <c r="BW41">
        <v>54.64</v>
      </c>
      <c r="BX41" s="1" t="s">
        <v>96</v>
      </c>
    </row>
    <row r="42" spans="1:76">
      <c r="A42">
        <v>140</v>
      </c>
      <c r="B42" t="s">
        <v>515</v>
      </c>
      <c r="D42" t="b">
        <v>1</v>
      </c>
      <c r="E42" t="s">
        <v>516</v>
      </c>
      <c r="G42" t="s">
        <v>517</v>
      </c>
      <c r="H42" s="1" t="s">
        <v>96</v>
      </c>
      <c r="I42" s="1" t="s">
        <v>96</v>
      </c>
      <c r="J42">
        <v>28.03</v>
      </c>
      <c r="K42" s="1" t="s">
        <v>96</v>
      </c>
      <c r="L42" s="1" t="s">
        <v>96</v>
      </c>
      <c r="M42" s="1" t="s">
        <v>96</v>
      </c>
      <c r="N42" s="1" t="s">
        <v>96</v>
      </c>
      <c r="O42" s="1" t="s">
        <v>96</v>
      </c>
      <c r="P42" s="1" t="s">
        <v>96</v>
      </c>
      <c r="Q42" s="1" t="s">
        <v>96</v>
      </c>
      <c r="R42" s="1" t="s">
        <v>96</v>
      </c>
      <c r="S42" s="1" t="s">
        <v>96</v>
      </c>
      <c r="T42">
        <v>2.63</v>
      </c>
      <c r="U42" s="1" t="s">
        <v>96</v>
      </c>
      <c r="V42">
        <v>22.48</v>
      </c>
      <c r="W42">
        <v>1.05</v>
      </c>
      <c r="X42" t="s">
        <v>133</v>
      </c>
      <c r="Y42" s="1" t="s">
        <v>96</v>
      </c>
      <c r="Z42">
        <v>15.72</v>
      </c>
      <c r="AA42">
        <v>77.06</v>
      </c>
      <c r="AB42">
        <v>221.19</v>
      </c>
      <c r="AC42" s="1" t="s">
        <v>96</v>
      </c>
      <c r="AD42" s="1" t="s">
        <v>96</v>
      </c>
      <c r="AE42" s="1" t="s">
        <v>96</v>
      </c>
      <c r="AF42" s="1" t="s">
        <v>96</v>
      </c>
      <c r="AG42" s="1" t="s">
        <v>96</v>
      </c>
      <c r="AH42" s="1">
        <v>1.5</v>
      </c>
      <c r="AI42">
        <v>94.25</v>
      </c>
      <c r="AJ42">
        <v>187.62</v>
      </c>
      <c r="AK42" s="1">
        <v>5.93</v>
      </c>
      <c r="AL42" s="1" t="s">
        <v>96</v>
      </c>
      <c r="AM42">
        <v>33.799999999999997</v>
      </c>
      <c r="AN42">
        <v>16.98</v>
      </c>
      <c r="AO42" s="1" t="s">
        <v>96</v>
      </c>
      <c r="AP42" s="1" t="s">
        <v>96</v>
      </c>
      <c r="AQ42" t="s">
        <v>96</v>
      </c>
      <c r="AR42" s="1" t="s">
        <v>96</v>
      </c>
      <c r="AS42">
        <v>1159.04</v>
      </c>
      <c r="AT42">
        <v>99.83</v>
      </c>
      <c r="AU42">
        <v>550.71</v>
      </c>
      <c r="AV42" s="1" t="s">
        <v>96</v>
      </c>
      <c r="AW42">
        <v>192.97</v>
      </c>
      <c r="AX42" s="1" t="s">
        <v>96</v>
      </c>
      <c r="AY42" s="1" t="s">
        <v>96</v>
      </c>
      <c r="AZ42">
        <v>33.409999999999997</v>
      </c>
      <c r="BA42" s="1">
        <v>28.17</v>
      </c>
      <c r="BB42" s="1" t="s">
        <v>96</v>
      </c>
      <c r="BC42">
        <v>103.11</v>
      </c>
      <c r="BD42">
        <v>13.81</v>
      </c>
      <c r="BE42" s="1" t="s">
        <v>96</v>
      </c>
      <c r="BF42" s="1">
        <v>4.59</v>
      </c>
      <c r="BG42" t="s">
        <v>96</v>
      </c>
      <c r="BH42">
        <v>20.079999999999998</v>
      </c>
      <c r="BI42">
        <v>38.25</v>
      </c>
      <c r="BJ42" t="s">
        <v>96</v>
      </c>
      <c r="BK42" s="1" t="s">
        <v>96</v>
      </c>
      <c r="BL42" s="1" t="s">
        <v>96</v>
      </c>
      <c r="BM42" s="1" t="s">
        <v>96</v>
      </c>
      <c r="BN42" s="1" t="s">
        <v>96</v>
      </c>
      <c r="BO42" s="1">
        <v>7.79</v>
      </c>
      <c r="BP42">
        <v>140.31</v>
      </c>
      <c r="BQ42">
        <v>24.12</v>
      </c>
      <c r="BR42" s="1" t="s">
        <v>96</v>
      </c>
      <c r="BS42">
        <v>92.03</v>
      </c>
      <c r="BT42">
        <v>6.48</v>
      </c>
      <c r="BU42" s="1">
        <v>21.48</v>
      </c>
      <c r="BV42">
        <v>140.26</v>
      </c>
      <c r="BW42">
        <v>26.06</v>
      </c>
      <c r="BX42" s="1" t="s">
        <v>96</v>
      </c>
    </row>
    <row r="43" spans="1:76">
      <c r="A43">
        <v>41</v>
      </c>
      <c r="B43" t="s">
        <v>218</v>
      </c>
      <c r="D43" t="b">
        <v>1</v>
      </c>
      <c r="E43" t="s">
        <v>219</v>
      </c>
      <c r="G43" t="s">
        <v>220</v>
      </c>
      <c r="H43" s="1" t="s">
        <v>96</v>
      </c>
      <c r="I43" s="1" t="s">
        <v>96</v>
      </c>
      <c r="J43">
        <v>34.9</v>
      </c>
      <c r="K43" s="1" t="s">
        <v>96</v>
      </c>
      <c r="L43" s="1" t="s">
        <v>96</v>
      </c>
      <c r="M43" s="1">
        <v>9.51</v>
      </c>
      <c r="N43" s="1" t="s">
        <v>96</v>
      </c>
      <c r="O43" s="1" t="s">
        <v>96</v>
      </c>
      <c r="P43" s="1" t="s">
        <v>96</v>
      </c>
      <c r="Q43" s="1" t="s">
        <v>96</v>
      </c>
      <c r="R43" s="1" t="s">
        <v>96</v>
      </c>
      <c r="S43" s="1" t="s">
        <v>96</v>
      </c>
      <c r="T43">
        <v>3.17</v>
      </c>
      <c r="U43" s="1" t="s">
        <v>96</v>
      </c>
      <c r="V43">
        <v>38.26</v>
      </c>
      <c r="W43">
        <v>12.76</v>
      </c>
      <c r="X43" t="s">
        <v>133</v>
      </c>
      <c r="Y43" s="1" t="s">
        <v>96</v>
      </c>
      <c r="Z43">
        <v>144.18</v>
      </c>
      <c r="AA43">
        <v>890.75</v>
      </c>
      <c r="AB43">
        <v>254.09</v>
      </c>
      <c r="AC43" s="1" t="s">
        <v>96</v>
      </c>
      <c r="AD43" s="1" t="s">
        <v>96</v>
      </c>
      <c r="AE43" s="1" t="s">
        <v>96</v>
      </c>
      <c r="AF43" s="1" t="s">
        <v>96</v>
      </c>
      <c r="AG43" s="1" t="s">
        <v>96</v>
      </c>
      <c r="AH43" s="1">
        <v>3.54</v>
      </c>
      <c r="AI43">
        <v>1354.28</v>
      </c>
      <c r="AJ43">
        <v>323.36</v>
      </c>
      <c r="AK43" s="1">
        <v>4.1399999999999997</v>
      </c>
      <c r="AL43" s="1" t="s">
        <v>96</v>
      </c>
      <c r="AM43">
        <v>37.04</v>
      </c>
      <c r="AN43">
        <v>9.02</v>
      </c>
      <c r="AO43" s="1" t="s">
        <v>96</v>
      </c>
      <c r="AP43" s="1" t="s">
        <v>96</v>
      </c>
      <c r="AQ43">
        <v>7.37</v>
      </c>
      <c r="AR43" s="1" t="s">
        <v>96</v>
      </c>
      <c r="AS43">
        <v>192.26</v>
      </c>
      <c r="AT43">
        <v>156.07</v>
      </c>
      <c r="AU43">
        <v>99.71</v>
      </c>
      <c r="AV43" s="1" t="s">
        <v>96</v>
      </c>
      <c r="AW43">
        <v>59.49</v>
      </c>
      <c r="AX43" s="1" t="s">
        <v>96</v>
      </c>
      <c r="AY43" s="1" t="s">
        <v>96</v>
      </c>
      <c r="AZ43">
        <v>6.42</v>
      </c>
      <c r="BA43" s="1" t="s">
        <v>96</v>
      </c>
      <c r="BB43" s="1" t="s">
        <v>96</v>
      </c>
      <c r="BC43">
        <v>5.45</v>
      </c>
      <c r="BD43">
        <v>4.26</v>
      </c>
      <c r="BE43" s="1" t="s">
        <v>96</v>
      </c>
      <c r="BF43" s="1" t="s">
        <v>96</v>
      </c>
      <c r="BG43" t="s">
        <v>96</v>
      </c>
      <c r="BH43" t="s">
        <v>96</v>
      </c>
      <c r="BI43">
        <v>17.16</v>
      </c>
      <c r="BJ43">
        <v>33.020000000000003</v>
      </c>
      <c r="BK43" s="1" t="s">
        <v>96</v>
      </c>
      <c r="BL43" s="1" t="s">
        <v>96</v>
      </c>
      <c r="BM43" s="1">
        <v>9.58</v>
      </c>
      <c r="BN43" s="1" t="s">
        <v>96</v>
      </c>
      <c r="BO43" s="1">
        <v>31.72</v>
      </c>
      <c r="BP43">
        <v>48.78</v>
      </c>
      <c r="BQ43" t="s">
        <v>96</v>
      </c>
      <c r="BR43" s="1" t="s">
        <v>96</v>
      </c>
      <c r="BS43">
        <v>460.99</v>
      </c>
      <c r="BT43" t="s">
        <v>96</v>
      </c>
      <c r="BU43" s="1" t="s">
        <v>96</v>
      </c>
      <c r="BV43">
        <v>117.27</v>
      </c>
      <c r="BW43">
        <v>85.03</v>
      </c>
      <c r="BX43" s="1" t="s">
        <v>96</v>
      </c>
    </row>
    <row r="44" spans="1:76">
      <c r="A44">
        <v>154</v>
      </c>
      <c r="B44" t="s">
        <v>557</v>
      </c>
      <c r="D44" t="b">
        <v>1</v>
      </c>
      <c r="E44" t="s">
        <v>558</v>
      </c>
      <c r="G44" t="s">
        <v>559</v>
      </c>
      <c r="H44" s="1" t="s">
        <v>96</v>
      </c>
      <c r="I44" s="1" t="s">
        <v>96</v>
      </c>
      <c r="J44">
        <v>16.97</v>
      </c>
      <c r="K44" s="1" t="s">
        <v>96</v>
      </c>
      <c r="L44" s="1" t="s">
        <v>96</v>
      </c>
      <c r="M44" s="1" t="s">
        <v>96</v>
      </c>
      <c r="N44" s="1" t="s">
        <v>96</v>
      </c>
      <c r="O44" s="1" t="s">
        <v>96</v>
      </c>
      <c r="P44" s="1" t="s">
        <v>96</v>
      </c>
      <c r="Q44" s="1" t="s">
        <v>96</v>
      </c>
      <c r="R44" s="1" t="s">
        <v>96</v>
      </c>
      <c r="S44" s="1" t="s">
        <v>96</v>
      </c>
      <c r="T44">
        <v>1.62</v>
      </c>
      <c r="U44" s="1" t="s">
        <v>96</v>
      </c>
      <c r="V44">
        <v>2.2599999999999998</v>
      </c>
      <c r="W44">
        <v>1.19</v>
      </c>
      <c r="X44">
        <v>63.06</v>
      </c>
      <c r="Y44" s="1" t="s">
        <v>96</v>
      </c>
      <c r="Z44" t="s">
        <v>96</v>
      </c>
      <c r="AA44">
        <v>106.17</v>
      </c>
      <c r="AB44">
        <v>673.04</v>
      </c>
      <c r="AC44" s="1" t="s">
        <v>96</v>
      </c>
      <c r="AD44" s="1" t="s">
        <v>96</v>
      </c>
      <c r="AE44" s="1" t="s">
        <v>96</v>
      </c>
      <c r="AF44" s="1" t="s">
        <v>96</v>
      </c>
      <c r="AG44" s="1" t="s">
        <v>96</v>
      </c>
      <c r="AH44" s="1">
        <v>1.32</v>
      </c>
      <c r="AI44" t="s">
        <v>96</v>
      </c>
      <c r="AJ44">
        <v>54.69</v>
      </c>
      <c r="AK44" s="1" t="s">
        <v>96</v>
      </c>
      <c r="AL44" s="1" t="s">
        <v>96</v>
      </c>
      <c r="AM44">
        <v>107.24</v>
      </c>
      <c r="AN44">
        <v>16.95</v>
      </c>
      <c r="AO44" s="1" t="s">
        <v>96</v>
      </c>
      <c r="AP44" s="1" t="s">
        <v>96</v>
      </c>
      <c r="AQ44" t="s">
        <v>96</v>
      </c>
      <c r="AR44" s="1" t="s">
        <v>96</v>
      </c>
      <c r="AS44">
        <v>1998.61</v>
      </c>
      <c r="AT44">
        <v>122.68</v>
      </c>
      <c r="AU44">
        <v>199.39</v>
      </c>
      <c r="AV44" s="1" t="s">
        <v>96</v>
      </c>
      <c r="AW44">
        <v>668.39</v>
      </c>
      <c r="AX44" s="1" t="s">
        <v>96</v>
      </c>
      <c r="AY44" s="1" t="s">
        <v>96</v>
      </c>
      <c r="AZ44">
        <v>46.76</v>
      </c>
      <c r="BA44" s="1">
        <v>7.92</v>
      </c>
      <c r="BB44" s="1" t="s">
        <v>96</v>
      </c>
      <c r="BC44">
        <v>164.03</v>
      </c>
      <c r="BD44">
        <v>11.13</v>
      </c>
      <c r="BE44" s="1" t="s">
        <v>96</v>
      </c>
      <c r="BF44" s="1">
        <v>3.99</v>
      </c>
      <c r="BG44" t="s">
        <v>96</v>
      </c>
      <c r="BH44">
        <v>46.7</v>
      </c>
      <c r="BI44">
        <v>11.49</v>
      </c>
      <c r="BJ44" t="s">
        <v>96</v>
      </c>
      <c r="BK44" s="1" t="s">
        <v>96</v>
      </c>
      <c r="BL44" s="1" t="s">
        <v>96</v>
      </c>
      <c r="BM44" s="1" t="s">
        <v>96</v>
      </c>
      <c r="BN44" s="1" t="s">
        <v>96</v>
      </c>
      <c r="BO44" s="1" t="s">
        <v>96</v>
      </c>
      <c r="BP44">
        <v>215.59</v>
      </c>
      <c r="BQ44">
        <v>30.73</v>
      </c>
      <c r="BR44" s="1">
        <v>5.21</v>
      </c>
      <c r="BS44">
        <v>89.92</v>
      </c>
      <c r="BT44">
        <v>6.4</v>
      </c>
      <c r="BU44" s="1" t="s">
        <v>96</v>
      </c>
      <c r="BV44">
        <v>55.66</v>
      </c>
      <c r="BW44">
        <v>49.61</v>
      </c>
      <c r="BX44" s="1" t="s">
        <v>96</v>
      </c>
    </row>
    <row r="45" spans="1:76">
      <c r="A45">
        <v>78</v>
      </c>
      <c r="B45" t="s">
        <v>329</v>
      </c>
      <c r="D45" t="b">
        <v>1</v>
      </c>
      <c r="E45" t="s">
        <v>330</v>
      </c>
      <c r="G45" t="s">
        <v>331</v>
      </c>
      <c r="H45" s="1" t="s">
        <v>96</v>
      </c>
      <c r="I45" s="1" t="s">
        <v>96</v>
      </c>
      <c r="J45">
        <v>22.24</v>
      </c>
      <c r="K45" s="1" t="s">
        <v>96</v>
      </c>
      <c r="L45" s="1">
        <v>12.42</v>
      </c>
      <c r="M45" s="1">
        <v>18.170000000000002</v>
      </c>
      <c r="N45" s="1" t="s">
        <v>96</v>
      </c>
      <c r="O45" s="1" t="s">
        <v>96</v>
      </c>
      <c r="P45" s="1" t="s">
        <v>96</v>
      </c>
      <c r="Q45" s="1" t="s">
        <v>96</v>
      </c>
      <c r="R45" s="1" t="s">
        <v>96</v>
      </c>
      <c r="S45" s="1" t="s">
        <v>96</v>
      </c>
      <c r="T45">
        <v>1.29</v>
      </c>
      <c r="U45" s="1" t="s">
        <v>96</v>
      </c>
      <c r="V45">
        <v>6.99</v>
      </c>
      <c r="W45">
        <v>18.440000000000001</v>
      </c>
      <c r="X45">
        <v>173.62</v>
      </c>
      <c r="Y45" s="1" t="s">
        <v>96</v>
      </c>
      <c r="Z45">
        <v>74.41</v>
      </c>
      <c r="AA45">
        <v>733.66</v>
      </c>
      <c r="AB45">
        <v>211.58</v>
      </c>
      <c r="AC45" s="1">
        <v>2.72</v>
      </c>
      <c r="AD45" s="1">
        <v>1.75</v>
      </c>
      <c r="AE45" s="1" t="s">
        <v>96</v>
      </c>
      <c r="AF45" s="1" t="s">
        <v>96</v>
      </c>
      <c r="AG45" s="1" t="s">
        <v>96</v>
      </c>
      <c r="AH45" s="1" t="s">
        <v>96</v>
      </c>
      <c r="AI45">
        <v>581.62</v>
      </c>
      <c r="AJ45">
        <v>93.84</v>
      </c>
      <c r="AK45" s="1" t="s">
        <v>96</v>
      </c>
      <c r="AL45" s="1">
        <v>1.28</v>
      </c>
      <c r="AM45">
        <v>60.6</v>
      </c>
      <c r="AN45">
        <v>5.53</v>
      </c>
      <c r="AO45" s="1" t="s">
        <v>96</v>
      </c>
      <c r="AP45" s="1" t="s">
        <v>96</v>
      </c>
      <c r="AQ45">
        <v>60.42</v>
      </c>
      <c r="AR45" s="1">
        <v>6.82</v>
      </c>
      <c r="AS45" t="s">
        <v>133</v>
      </c>
      <c r="AT45">
        <v>2117.15</v>
      </c>
      <c r="AU45">
        <v>296.27</v>
      </c>
      <c r="AV45" s="1" t="s">
        <v>96</v>
      </c>
      <c r="AW45" t="s">
        <v>133</v>
      </c>
      <c r="AX45" s="1" t="s">
        <v>96</v>
      </c>
      <c r="AY45" s="1">
        <v>12.1</v>
      </c>
      <c r="AZ45">
        <v>28.98</v>
      </c>
      <c r="BA45" s="1">
        <v>13.13</v>
      </c>
      <c r="BB45" s="1" t="s">
        <v>96</v>
      </c>
      <c r="BC45">
        <v>328.08</v>
      </c>
      <c r="BD45">
        <v>244.49</v>
      </c>
      <c r="BE45" s="1" t="s">
        <v>96</v>
      </c>
      <c r="BF45" s="1" t="s">
        <v>96</v>
      </c>
      <c r="BG45">
        <v>4.09</v>
      </c>
      <c r="BH45">
        <v>146.99</v>
      </c>
      <c r="BI45">
        <v>93.43</v>
      </c>
      <c r="BJ45">
        <v>5.5</v>
      </c>
      <c r="BK45" s="1" t="s">
        <v>96</v>
      </c>
      <c r="BL45" s="1" t="s">
        <v>96</v>
      </c>
      <c r="BM45" s="1" t="s">
        <v>96</v>
      </c>
      <c r="BN45" s="1" t="s">
        <v>96</v>
      </c>
      <c r="BO45" s="1">
        <v>22.71</v>
      </c>
      <c r="BP45">
        <v>168.4</v>
      </c>
      <c r="BQ45">
        <v>18.41</v>
      </c>
      <c r="BR45" s="1" t="s">
        <v>96</v>
      </c>
      <c r="BS45">
        <v>668.42</v>
      </c>
      <c r="BT45">
        <v>25.3</v>
      </c>
      <c r="BU45" s="1" t="s">
        <v>96</v>
      </c>
      <c r="BV45">
        <v>57.13</v>
      </c>
      <c r="BW45">
        <v>166.18</v>
      </c>
      <c r="BX45" s="1" t="s">
        <v>96</v>
      </c>
    </row>
    <row r="46" spans="1:76">
      <c r="A46">
        <v>26</v>
      </c>
      <c r="B46" t="s">
        <v>173</v>
      </c>
      <c r="D46" t="b">
        <v>1</v>
      </c>
      <c r="E46" t="s">
        <v>174</v>
      </c>
      <c r="G46" t="s">
        <v>175</v>
      </c>
      <c r="H46" s="1" t="s">
        <v>96</v>
      </c>
      <c r="I46" s="1" t="s">
        <v>96</v>
      </c>
      <c r="J46">
        <v>9.8000000000000007</v>
      </c>
      <c r="K46" s="1" t="s">
        <v>96</v>
      </c>
      <c r="L46" s="1" t="s">
        <v>96</v>
      </c>
      <c r="M46" s="1">
        <v>6.94</v>
      </c>
      <c r="N46" s="1" t="s">
        <v>96</v>
      </c>
      <c r="O46" s="1" t="s">
        <v>96</v>
      </c>
      <c r="P46" s="1" t="s">
        <v>96</v>
      </c>
      <c r="Q46" s="1" t="s">
        <v>96</v>
      </c>
      <c r="R46" s="1" t="s">
        <v>96</v>
      </c>
      <c r="S46" s="1" t="s">
        <v>96</v>
      </c>
      <c r="T46" t="s">
        <v>96</v>
      </c>
      <c r="U46" s="1" t="s">
        <v>96</v>
      </c>
      <c r="V46">
        <v>9.34</v>
      </c>
      <c r="W46">
        <v>20.37</v>
      </c>
      <c r="X46">
        <v>71.58</v>
      </c>
      <c r="Y46" s="1" t="s">
        <v>96</v>
      </c>
      <c r="Z46">
        <v>14.9</v>
      </c>
      <c r="AA46">
        <v>461.98</v>
      </c>
      <c r="AB46">
        <v>752.98</v>
      </c>
      <c r="AC46" s="1" t="s">
        <v>96</v>
      </c>
      <c r="AD46" s="1">
        <v>6.79</v>
      </c>
      <c r="AE46" s="1" t="s">
        <v>96</v>
      </c>
      <c r="AF46" s="1" t="s">
        <v>96</v>
      </c>
      <c r="AG46" s="1" t="s">
        <v>96</v>
      </c>
      <c r="AH46" s="1">
        <v>1.1599999999999999</v>
      </c>
      <c r="AI46">
        <v>523.96</v>
      </c>
      <c r="AJ46">
        <v>53.03</v>
      </c>
      <c r="AK46" s="1" t="s">
        <v>96</v>
      </c>
      <c r="AL46" s="1" t="s">
        <v>96</v>
      </c>
      <c r="AM46">
        <v>798.14</v>
      </c>
      <c r="AN46">
        <v>7.99</v>
      </c>
      <c r="AO46" s="1" t="s">
        <v>96</v>
      </c>
      <c r="AP46" s="1" t="s">
        <v>96</v>
      </c>
      <c r="AQ46">
        <v>12.84</v>
      </c>
      <c r="AR46" s="1" t="s">
        <v>96</v>
      </c>
      <c r="AS46">
        <v>1011.07</v>
      </c>
      <c r="AT46">
        <v>387.73</v>
      </c>
      <c r="AU46">
        <v>95.79</v>
      </c>
      <c r="AV46" s="1" t="s">
        <v>96</v>
      </c>
      <c r="AW46">
        <v>323.20999999999998</v>
      </c>
      <c r="AX46" s="1" t="s">
        <v>96</v>
      </c>
      <c r="AY46" s="1" t="s">
        <v>96</v>
      </c>
      <c r="AZ46">
        <v>12.92</v>
      </c>
      <c r="BA46" s="1">
        <v>3.34</v>
      </c>
      <c r="BB46" s="1" t="s">
        <v>96</v>
      </c>
      <c r="BC46">
        <v>89.5</v>
      </c>
      <c r="BD46">
        <v>40.21</v>
      </c>
      <c r="BE46" s="1" t="s">
        <v>96</v>
      </c>
      <c r="BF46" s="1" t="s">
        <v>96</v>
      </c>
      <c r="BG46">
        <v>6.22</v>
      </c>
      <c r="BH46">
        <v>38.450000000000003</v>
      </c>
      <c r="BI46">
        <v>18.39</v>
      </c>
      <c r="BJ46" t="s">
        <v>96</v>
      </c>
      <c r="BK46" s="1" t="s">
        <v>96</v>
      </c>
      <c r="BL46" s="1" t="s">
        <v>96</v>
      </c>
      <c r="BM46" s="1">
        <v>6.58</v>
      </c>
      <c r="BN46" s="1" t="s">
        <v>96</v>
      </c>
      <c r="BO46" s="1">
        <v>6.93</v>
      </c>
      <c r="BP46">
        <v>59.43</v>
      </c>
      <c r="BQ46">
        <v>17.420000000000002</v>
      </c>
      <c r="BR46" s="1" t="s">
        <v>96</v>
      </c>
      <c r="BS46">
        <v>154.05000000000001</v>
      </c>
      <c r="BT46">
        <v>15.53</v>
      </c>
      <c r="BU46" s="1" t="s">
        <v>96</v>
      </c>
      <c r="BV46">
        <v>12.23</v>
      </c>
      <c r="BW46">
        <v>74.41</v>
      </c>
      <c r="BX46" s="1" t="s">
        <v>96</v>
      </c>
    </row>
    <row r="47" spans="1:76">
      <c r="A47">
        <v>206</v>
      </c>
      <c r="B47" t="s">
        <v>713</v>
      </c>
      <c r="D47" t="b">
        <v>1</v>
      </c>
      <c r="E47" t="s">
        <v>714</v>
      </c>
      <c r="G47" t="s">
        <v>715</v>
      </c>
      <c r="H47" s="1" t="s">
        <v>96</v>
      </c>
      <c r="I47" s="1" t="s">
        <v>96</v>
      </c>
      <c r="J47">
        <v>25.7</v>
      </c>
      <c r="K47" s="1" t="s">
        <v>96</v>
      </c>
      <c r="L47" s="1" t="s">
        <v>96</v>
      </c>
      <c r="M47" s="1" t="s">
        <v>96</v>
      </c>
      <c r="N47" s="1" t="s">
        <v>96</v>
      </c>
      <c r="O47" s="1" t="s">
        <v>96</v>
      </c>
      <c r="P47" s="1" t="s">
        <v>96</v>
      </c>
      <c r="Q47" s="1" t="s">
        <v>96</v>
      </c>
      <c r="R47" s="1" t="s">
        <v>96</v>
      </c>
      <c r="S47" s="1" t="s">
        <v>96</v>
      </c>
      <c r="T47">
        <v>1.87</v>
      </c>
      <c r="U47" s="1" t="s">
        <v>96</v>
      </c>
      <c r="V47">
        <v>19.809999999999999</v>
      </c>
      <c r="W47">
        <v>12.27</v>
      </c>
      <c r="X47">
        <v>51.37</v>
      </c>
      <c r="Y47" s="1" t="s">
        <v>96</v>
      </c>
      <c r="Z47">
        <v>12.04</v>
      </c>
      <c r="AA47">
        <v>646.54</v>
      </c>
      <c r="AB47" t="s">
        <v>133</v>
      </c>
      <c r="AC47" s="1" t="s">
        <v>96</v>
      </c>
      <c r="AD47" s="1">
        <v>1.67</v>
      </c>
      <c r="AE47" s="1" t="s">
        <v>96</v>
      </c>
      <c r="AF47" s="1" t="s">
        <v>96</v>
      </c>
      <c r="AG47" s="1" t="s">
        <v>96</v>
      </c>
      <c r="AH47" s="1">
        <v>2.12</v>
      </c>
      <c r="AI47">
        <v>68.959999999999994</v>
      </c>
      <c r="AJ47">
        <v>99.51</v>
      </c>
      <c r="AK47" s="1" t="s">
        <v>96</v>
      </c>
      <c r="AL47" s="1">
        <v>1.5</v>
      </c>
      <c r="AM47" t="s">
        <v>133</v>
      </c>
      <c r="AN47">
        <v>28.2</v>
      </c>
      <c r="AO47" s="1" t="s">
        <v>96</v>
      </c>
      <c r="AP47" s="1" t="s">
        <v>96</v>
      </c>
      <c r="AQ47">
        <v>4.82</v>
      </c>
      <c r="AR47" s="1" t="s">
        <v>96</v>
      </c>
      <c r="AS47" t="s">
        <v>133</v>
      </c>
      <c r="AT47">
        <v>777.45</v>
      </c>
      <c r="AU47">
        <v>239.17</v>
      </c>
      <c r="AV47" s="1" t="s">
        <v>96</v>
      </c>
      <c r="AW47">
        <v>749.72</v>
      </c>
      <c r="AX47" s="1" t="s">
        <v>96</v>
      </c>
      <c r="AY47" s="1">
        <v>3.17</v>
      </c>
      <c r="AZ47">
        <v>24.45</v>
      </c>
      <c r="BA47" s="1">
        <v>10.09</v>
      </c>
      <c r="BB47" s="1" t="s">
        <v>96</v>
      </c>
      <c r="BC47">
        <v>234.94</v>
      </c>
      <c r="BD47">
        <v>70.62</v>
      </c>
      <c r="BE47" s="1" t="s">
        <v>96</v>
      </c>
      <c r="BF47" s="1">
        <v>2.58</v>
      </c>
      <c r="BG47">
        <v>4.88</v>
      </c>
      <c r="BH47">
        <v>63.93</v>
      </c>
      <c r="BI47">
        <v>115.4</v>
      </c>
      <c r="BJ47">
        <v>7.46</v>
      </c>
      <c r="BK47" s="1" t="s">
        <v>96</v>
      </c>
      <c r="BL47" s="1" t="s">
        <v>96</v>
      </c>
      <c r="BM47" s="1">
        <v>12.51</v>
      </c>
      <c r="BN47" s="1">
        <v>4.67</v>
      </c>
      <c r="BO47" s="1" t="s">
        <v>96</v>
      </c>
      <c r="BP47">
        <v>213.6</v>
      </c>
      <c r="BQ47">
        <v>27.06</v>
      </c>
      <c r="BR47" s="1" t="s">
        <v>96</v>
      </c>
      <c r="BS47">
        <v>670.05</v>
      </c>
      <c r="BT47">
        <v>34</v>
      </c>
      <c r="BU47" s="1" t="s">
        <v>96</v>
      </c>
      <c r="BV47">
        <v>57.85</v>
      </c>
      <c r="BW47">
        <v>224.09</v>
      </c>
      <c r="BX47" s="1" t="s">
        <v>96</v>
      </c>
    </row>
    <row r="48" spans="1:76">
      <c r="A48">
        <v>135</v>
      </c>
      <c r="B48" t="s">
        <v>500</v>
      </c>
      <c r="D48" t="b">
        <v>1</v>
      </c>
      <c r="E48" t="s">
        <v>501</v>
      </c>
      <c r="G48" t="s">
        <v>502</v>
      </c>
      <c r="H48" s="1" t="s">
        <v>96</v>
      </c>
      <c r="I48" s="1" t="s">
        <v>96</v>
      </c>
      <c r="J48">
        <v>15.24</v>
      </c>
      <c r="K48" s="1" t="s">
        <v>96</v>
      </c>
      <c r="L48" s="1" t="s">
        <v>96</v>
      </c>
      <c r="M48" s="1" t="s">
        <v>96</v>
      </c>
      <c r="N48" s="1" t="s">
        <v>96</v>
      </c>
      <c r="O48" s="1" t="s">
        <v>96</v>
      </c>
      <c r="P48" s="1" t="s">
        <v>96</v>
      </c>
      <c r="Q48" s="1" t="s">
        <v>96</v>
      </c>
      <c r="R48" s="1" t="s">
        <v>96</v>
      </c>
      <c r="S48" s="1" t="s">
        <v>96</v>
      </c>
      <c r="T48" t="s">
        <v>96</v>
      </c>
      <c r="U48" s="1" t="s">
        <v>96</v>
      </c>
      <c r="V48">
        <v>3.12</v>
      </c>
      <c r="W48">
        <v>1.86</v>
      </c>
      <c r="X48">
        <v>91.44</v>
      </c>
      <c r="Y48" s="1" t="s">
        <v>96</v>
      </c>
      <c r="Z48" t="s">
        <v>96</v>
      </c>
      <c r="AA48">
        <v>35.24</v>
      </c>
      <c r="AB48">
        <v>128.93</v>
      </c>
      <c r="AC48" s="1" t="s">
        <v>96</v>
      </c>
      <c r="AD48" s="1">
        <v>10.17</v>
      </c>
      <c r="AE48" s="1" t="s">
        <v>96</v>
      </c>
      <c r="AF48" s="1" t="s">
        <v>96</v>
      </c>
      <c r="AG48" s="1" t="s">
        <v>96</v>
      </c>
      <c r="AH48" s="1" t="s">
        <v>96</v>
      </c>
      <c r="AI48" t="s">
        <v>96</v>
      </c>
      <c r="AJ48">
        <v>20.05</v>
      </c>
      <c r="AK48" s="1" t="s">
        <v>96</v>
      </c>
      <c r="AL48" s="1" t="s">
        <v>96</v>
      </c>
      <c r="AM48">
        <v>54.04</v>
      </c>
      <c r="AN48">
        <v>2.65</v>
      </c>
      <c r="AO48" s="1" t="s">
        <v>96</v>
      </c>
      <c r="AP48" s="1" t="s">
        <v>96</v>
      </c>
      <c r="AQ48">
        <v>6.18</v>
      </c>
      <c r="AR48" s="1">
        <v>4.42</v>
      </c>
      <c r="AS48" t="s">
        <v>133</v>
      </c>
      <c r="AT48">
        <v>339.08</v>
      </c>
      <c r="AU48">
        <v>239.29</v>
      </c>
      <c r="AV48" s="1" t="s">
        <v>96</v>
      </c>
      <c r="AW48" t="s">
        <v>133</v>
      </c>
      <c r="AX48" s="1" t="s">
        <v>96</v>
      </c>
      <c r="AY48" s="1">
        <v>6.34</v>
      </c>
      <c r="AZ48">
        <v>41.06</v>
      </c>
      <c r="BA48" s="1">
        <v>19.16</v>
      </c>
      <c r="BB48" s="1" t="s">
        <v>96</v>
      </c>
      <c r="BC48">
        <v>514.44000000000005</v>
      </c>
      <c r="BD48">
        <v>60.77</v>
      </c>
      <c r="BE48" s="1" t="s">
        <v>96</v>
      </c>
      <c r="BF48" s="1">
        <v>8.81</v>
      </c>
      <c r="BG48" t="s">
        <v>96</v>
      </c>
      <c r="BH48">
        <v>178.26</v>
      </c>
      <c r="BI48">
        <v>189.3</v>
      </c>
      <c r="BJ48" t="s">
        <v>96</v>
      </c>
      <c r="BK48" s="1" t="s">
        <v>96</v>
      </c>
      <c r="BL48" s="1" t="s">
        <v>96</v>
      </c>
      <c r="BM48" s="1" t="s">
        <v>96</v>
      </c>
      <c r="BN48" s="1" t="s">
        <v>96</v>
      </c>
      <c r="BO48" s="1">
        <v>10.210000000000001</v>
      </c>
      <c r="BP48">
        <v>475.97</v>
      </c>
      <c r="BQ48">
        <v>101.64</v>
      </c>
      <c r="BR48" s="1">
        <v>7.51</v>
      </c>
      <c r="BS48">
        <v>607.29999999999995</v>
      </c>
      <c r="BT48">
        <v>40.69</v>
      </c>
      <c r="BU48" s="1">
        <v>17.68</v>
      </c>
      <c r="BV48">
        <v>95.4</v>
      </c>
      <c r="BW48">
        <v>120.67</v>
      </c>
      <c r="BX48" s="1" t="s">
        <v>96</v>
      </c>
    </row>
    <row r="49" spans="1:76">
      <c r="A49">
        <v>24</v>
      </c>
      <c r="B49" t="s">
        <v>167</v>
      </c>
      <c r="D49" t="b">
        <v>1</v>
      </c>
      <c r="E49" t="s">
        <v>168</v>
      </c>
      <c r="G49" t="s">
        <v>169</v>
      </c>
      <c r="H49" s="1" t="s">
        <v>96</v>
      </c>
      <c r="I49" s="1" t="s">
        <v>96</v>
      </c>
      <c r="J49">
        <v>14.06</v>
      </c>
      <c r="K49" s="1" t="s">
        <v>96</v>
      </c>
      <c r="L49" s="1" t="s">
        <v>96</v>
      </c>
      <c r="M49" s="1" t="s">
        <v>96</v>
      </c>
      <c r="N49" s="1" t="s">
        <v>96</v>
      </c>
      <c r="O49" s="1" t="s">
        <v>96</v>
      </c>
      <c r="P49" s="1" t="s">
        <v>96</v>
      </c>
      <c r="Q49" s="1" t="s">
        <v>96</v>
      </c>
      <c r="R49" s="1" t="s">
        <v>96</v>
      </c>
      <c r="S49" s="1" t="s">
        <v>96</v>
      </c>
      <c r="T49">
        <v>4.5999999999999996</v>
      </c>
      <c r="U49" s="1" t="s">
        <v>96</v>
      </c>
      <c r="V49">
        <v>27.56</v>
      </c>
      <c r="W49">
        <v>2.15</v>
      </c>
      <c r="X49" t="s">
        <v>133</v>
      </c>
      <c r="Y49" s="1" t="s">
        <v>96</v>
      </c>
      <c r="Z49" t="s">
        <v>96</v>
      </c>
      <c r="AA49">
        <v>25.35</v>
      </c>
      <c r="AB49">
        <v>400.04</v>
      </c>
      <c r="AC49" s="1" t="s">
        <v>96</v>
      </c>
      <c r="AD49" s="1" t="s">
        <v>96</v>
      </c>
      <c r="AE49" s="1" t="s">
        <v>96</v>
      </c>
      <c r="AF49" s="1" t="s">
        <v>96</v>
      </c>
      <c r="AG49" s="1" t="s">
        <v>96</v>
      </c>
      <c r="AH49" s="1">
        <v>4.9400000000000004</v>
      </c>
      <c r="AI49">
        <v>249.61</v>
      </c>
      <c r="AJ49">
        <v>348.41</v>
      </c>
      <c r="AK49" s="1">
        <v>19.940000000000001</v>
      </c>
      <c r="AL49" s="1" t="s">
        <v>96</v>
      </c>
      <c r="AM49">
        <v>84.83</v>
      </c>
      <c r="AN49">
        <v>11.44</v>
      </c>
      <c r="AO49" s="1" t="s">
        <v>96</v>
      </c>
      <c r="AP49" s="1" t="s">
        <v>96</v>
      </c>
      <c r="AQ49" t="s">
        <v>96</v>
      </c>
      <c r="AR49" s="1" t="s">
        <v>96</v>
      </c>
      <c r="AS49">
        <v>1143.5999999999999</v>
      </c>
      <c r="AT49">
        <v>34.67</v>
      </c>
      <c r="AU49">
        <v>490.77</v>
      </c>
      <c r="AV49" s="1" t="s">
        <v>96</v>
      </c>
      <c r="AW49">
        <v>103.56</v>
      </c>
      <c r="AX49" s="1" t="s">
        <v>96</v>
      </c>
      <c r="AY49" s="1" t="s">
        <v>96</v>
      </c>
      <c r="AZ49">
        <v>8.1300000000000008</v>
      </c>
      <c r="BA49" s="1">
        <v>5.84</v>
      </c>
      <c r="BB49" s="1" t="s">
        <v>96</v>
      </c>
      <c r="BC49">
        <v>37.51</v>
      </c>
      <c r="BD49" t="s">
        <v>96</v>
      </c>
      <c r="BE49" s="1" t="s">
        <v>96</v>
      </c>
      <c r="BF49" s="1" t="s">
        <v>96</v>
      </c>
      <c r="BG49" t="s">
        <v>96</v>
      </c>
      <c r="BH49">
        <v>7.56</v>
      </c>
      <c r="BI49" t="s">
        <v>96</v>
      </c>
      <c r="BJ49" t="s">
        <v>96</v>
      </c>
      <c r="BK49" s="1" t="s">
        <v>96</v>
      </c>
      <c r="BL49" s="1" t="s">
        <v>96</v>
      </c>
      <c r="BM49" s="1" t="s">
        <v>96</v>
      </c>
      <c r="BN49" s="1" t="s">
        <v>96</v>
      </c>
      <c r="BO49" s="1" t="s">
        <v>96</v>
      </c>
      <c r="BP49">
        <v>63.17</v>
      </c>
      <c r="BQ49">
        <v>6.06</v>
      </c>
      <c r="BR49" s="1" t="s">
        <v>96</v>
      </c>
      <c r="BS49">
        <v>68.7</v>
      </c>
      <c r="BT49" t="s">
        <v>96</v>
      </c>
      <c r="BU49" s="1">
        <v>16.04</v>
      </c>
      <c r="BV49">
        <v>205.54</v>
      </c>
      <c r="BW49">
        <v>9.25</v>
      </c>
      <c r="BX49" s="1" t="s">
        <v>96</v>
      </c>
    </row>
    <row r="50" spans="1:76">
      <c r="A50">
        <v>122</v>
      </c>
      <c r="B50" t="s">
        <v>461</v>
      </c>
      <c r="D50" t="b">
        <v>1</v>
      </c>
      <c r="E50" t="s">
        <v>462</v>
      </c>
      <c r="G50" t="s">
        <v>463</v>
      </c>
      <c r="H50" s="1" t="s">
        <v>96</v>
      </c>
      <c r="I50" s="1" t="s">
        <v>96</v>
      </c>
      <c r="J50">
        <v>28.42</v>
      </c>
      <c r="K50" s="1">
        <v>21.06</v>
      </c>
      <c r="L50" s="1">
        <v>35.020000000000003</v>
      </c>
      <c r="M50" s="1">
        <v>25.41</v>
      </c>
      <c r="N50" s="1" t="s">
        <v>96</v>
      </c>
      <c r="O50" s="1" t="s">
        <v>96</v>
      </c>
      <c r="P50" s="1" t="s">
        <v>96</v>
      </c>
      <c r="Q50" s="1" t="s">
        <v>96</v>
      </c>
      <c r="R50" s="1">
        <v>3.26</v>
      </c>
      <c r="S50" s="1" t="s">
        <v>96</v>
      </c>
      <c r="T50" t="s">
        <v>96</v>
      </c>
      <c r="U50" s="1" t="s">
        <v>96</v>
      </c>
      <c r="V50">
        <v>7.07</v>
      </c>
      <c r="W50">
        <v>41.39</v>
      </c>
      <c r="X50">
        <v>198.35</v>
      </c>
      <c r="Y50" s="1" t="s">
        <v>96</v>
      </c>
      <c r="Z50">
        <v>31.95</v>
      </c>
      <c r="AA50">
        <v>368.39</v>
      </c>
      <c r="AB50">
        <v>31.77</v>
      </c>
      <c r="AC50" s="1">
        <v>10.65</v>
      </c>
      <c r="AD50" s="1" t="s">
        <v>96</v>
      </c>
      <c r="AE50" s="1" t="s">
        <v>96</v>
      </c>
      <c r="AF50" s="1" t="s">
        <v>96</v>
      </c>
      <c r="AG50" s="1" t="s">
        <v>96</v>
      </c>
      <c r="AH50" s="1" t="s">
        <v>96</v>
      </c>
      <c r="AI50">
        <v>207.55</v>
      </c>
      <c r="AJ50" t="s">
        <v>133</v>
      </c>
      <c r="AK50" s="1">
        <v>6.58</v>
      </c>
      <c r="AL50" s="1">
        <v>4.18</v>
      </c>
      <c r="AM50">
        <v>38.630000000000003</v>
      </c>
      <c r="AN50">
        <v>10.42</v>
      </c>
      <c r="AO50" s="1" t="s">
        <v>96</v>
      </c>
      <c r="AP50" s="1" t="s">
        <v>96</v>
      </c>
      <c r="AQ50">
        <v>115.17</v>
      </c>
      <c r="AR50" s="1">
        <v>3.6</v>
      </c>
      <c r="AS50" t="s">
        <v>133</v>
      </c>
      <c r="AT50" t="s">
        <v>133</v>
      </c>
      <c r="AU50" t="s">
        <v>133</v>
      </c>
      <c r="AV50" s="1" t="s">
        <v>96</v>
      </c>
      <c r="AW50" t="s">
        <v>133</v>
      </c>
      <c r="AX50" s="1" t="s">
        <v>96</v>
      </c>
      <c r="AY50" s="1">
        <v>69.19</v>
      </c>
      <c r="AZ50">
        <v>62.33</v>
      </c>
      <c r="BA50" s="1">
        <v>815.19</v>
      </c>
      <c r="BB50" s="1" t="s">
        <v>96</v>
      </c>
      <c r="BC50">
        <v>409.52</v>
      </c>
      <c r="BD50">
        <v>351.56</v>
      </c>
      <c r="BE50" s="1" t="s">
        <v>96</v>
      </c>
      <c r="BF50" s="1">
        <v>9.11</v>
      </c>
      <c r="BG50">
        <v>16.690000000000001</v>
      </c>
      <c r="BH50">
        <v>882.39</v>
      </c>
      <c r="BI50">
        <v>688.59</v>
      </c>
      <c r="BJ50">
        <v>29.5</v>
      </c>
      <c r="BK50" s="1" t="s">
        <v>96</v>
      </c>
      <c r="BL50" s="1" t="s">
        <v>96</v>
      </c>
      <c r="BM50" s="1">
        <v>9.0399999999999991</v>
      </c>
      <c r="BN50" s="1">
        <v>2.5099999999999998</v>
      </c>
      <c r="BO50" s="1">
        <v>365.62</v>
      </c>
      <c r="BP50">
        <v>494.33</v>
      </c>
      <c r="BQ50">
        <v>52</v>
      </c>
      <c r="BR50" s="1">
        <v>82.55</v>
      </c>
      <c r="BS50" t="s">
        <v>133</v>
      </c>
      <c r="BT50">
        <v>144.04</v>
      </c>
      <c r="BU50" s="1" t="s">
        <v>133</v>
      </c>
      <c r="BV50" t="s">
        <v>133</v>
      </c>
      <c r="BW50">
        <v>1100.58</v>
      </c>
      <c r="BX50" s="1">
        <v>7.13</v>
      </c>
    </row>
    <row r="51" spans="1:76">
      <c r="A51">
        <v>116</v>
      </c>
      <c r="B51" t="s">
        <v>443</v>
      </c>
      <c r="D51" t="b">
        <v>1</v>
      </c>
      <c r="E51" t="s">
        <v>444</v>
      </c>
      <c r="G51" t="s">
        <v>445</v>
      </c>
      <c r="H51" s="1" t="s">
        <v>96</v>
      </c>
      <c r="I51" s="1" t="s">
        <v>96</v>
      </c>
      <c r="J51">
        <v>9.68</v>
      </c>
      <c r="K51" s="1" t="s">
        <v>96</v>
      </c>
      <c r="L51" s="1" t="s">
        <v>96</v>
      </c>
      <c r="M51" s="1" t="s">
        <v>96</v>
      </c>
      <c r="N51" s="1" t="s">
        <v>96</v>
      </c>
      <c r="O51" s="1" t="s">
        <v>96</v>
      </c>
      <c r="P51" s="1" t="s">
        <v>96</v>
      </c>
      <c r="Q51" s="1" t="s">
        <v>96</v>
      </c>
      <c r="R51" s="1" t="s">
        <v>96</v>
      </c>
      <c r="S51" s="1" t="s">
        <v>96</v>
      </c>
      <c r="T51" t="s">
        <v>96</v>
      </c>
      <c r="U51" s="1" t="s">
        <v>96</v>
      </c>
      <c r="V51">
        <v>9.76</v>
      </c>
      <c r="W51">
        <v>3.93</v>
      </c>
      <c r="X51">
        <v>71.89</v>
      </c>
      <c r="Y51" s="1" t="s">
        <v>96</v>
      </c>
      <c r="Z51">
        <v>10.41</v>
      </c>
      <c r="AA51">
        <v>201.11</v>
      </c>
      <c r="AB51">
        <v>206.19</v>
      </c>
      <c r="AC51" s="1" t="s">
        <v>96</v>
      </c>
      <c r="AD51" s="1" t="s">
        <v>96</v>
      </c>
      <c r="AE51" s="1" t="s">
        <v>96</v>
      </c>
      <c r="AF51" s="1" t="s">
        <v>96</v>
      </c>
      <c r="AG51" s="1" t="s">
        <v>96</v>
      </c>
      <c r="AH51" s="1" t="s">
        <v>96</v>
      </c>
      <c r="AI51">
        <v>25.52</v>
      </c>
      <c r="AJ51">
        <v>28.94</v>
      </c>
      <c r="AK51" s="1" t="s">
        <v>96</v>
      </c>
      <c r="AL51" s="1" t="s">
        <v>96</v>
      </c>
      <c r="AM51">
        <v>47.21</v>
      </c>
      <c r="AN51">
        <v>2.38</v>
      </c>
      <c r="AO51" s="1" t="s">
        <v>96</v>
      </c>
      <c r="AP51" s="1" t="s">
        <v>96</v>
      </c>
      <c r="AQ51">
        <v>5.73</v>
      </c>
      <c r="AR51" s="1" t="s">
        <v>96</v>
      </c>
      <c r="AS51">
        <v>788.79</v>
      </c>
      <c r="AT51">
        <v>169.67</v>
      </c>
      <c r="AU51">
        <v>25.02</v>
      </c>
      <c r="AV51" s="1" t="s">
        <v>96</v>
      </c>
      <c r="AW51">
        <v>296.18</v>
      </c>
      <c r="AX51" s="1" t="s">
        <v>96</v>
      </c>
      <c r="AY51" s="1">
        <v>3.16</v>
      </c>
      <c r="AZ51">
        <v>10.18</v>
      </c>
      <c r="BA51" s="1" t="s">
        <v>96</v>
      </c>
      <c r="BB51" s="1" t="s">
        <v>96</v>
      </c>
      <c r="BC51">
        <v>193.8</v>
      </c>
      <c r="BD51">
        <v>59.58</v>
      </c>
      <c r="BE51" s="1" t="s">
        <v>96</v>
      </c>
      <c r="BF51" s="1">
        <v>2.86</v>
      </c>
      <c r="BG51">
        <v>2.98</v>
      </c>
      <c r="BH51">
        <v>83.91</v>
      </c>
      <c r="BI51">
        <v>93.62</v>
      </c>
      <c r="BJ51" t="s">
        <v>96</v>
      </c>
      <c r="BK51" s="1" t="s">
        <v>96</v>
      </c>
      <c r="BL51" s="1" t="s">
        <v>96</v>
      </c>
      <c r="BM51" s="1" t="s">
        <v>96</v>
      </c>
      <c r="BN51" s="1" t="s">
        <v>96</v>
      </c>
      <c r="BO51" s="1" t="s">
        <v>96</v>
      </c>
      <c r="BP51">
        <v>61.04</v>
      </c>
      <c r="BQ51">
        <v>23</v>
      </c>
      <c r="BR51" s="1" t="s">
        <v>96</v>
      </c>
      <c r="BS51">
        <v>202.19</v>
      </c>
      <c r="BT51">
        <v>23.56</v>
      </c>
      <c r="BU51" s="1" t="s">
        <v>96</v>
      </c>
      <c r="BV51">
        <v>6.46</v>
      </c>
      <c r="BW51">
        <v>44.42</v>
      </c>
      <c r="BX51" s="1" t="s">
        <v>96</v>
      </c>
    </row>
    <row r="52" spans="1:76">
      <c r="A52">
        <v>42</v>
      </c>
      <c r="B52" t="s">
        <v>221</v>
      </c>
      <c r="D52" t="b">
        <v>1</v>
      </c>
      <c r="E52" t="s">
        <v>222</v>
      </c>
      <c r="G52" t="s">
        <v>223</v>
      </c>
      <c r="H52" s="1" t="s">
        <v>96</v>
      </c>
      <c r="I52" s="1" t="s">
        <v>96</v>
      </c>
      <c r="J52">
        <v>14.85</v>
      </c>
      <c r="K52" s="1" t="s">
        <v>96</v>
      </c>
      <c r="L52" s="1" t="s">
        <v>96</v>
      </c>
      <c r="M52" s="1" t="s">
        <v>96</v>
      </c>
      <c r="N52" s="1" t="s">
        <v>96</v>
      </c>
      <c r="O52" s="1" t="s">
        <v>96</v>
      </c>
      <c r="P52" s="1" t="s">
        <v>96</v>
      </c>
      <c r="Q52" s="1" t="s">
        <v>96</v>
      </c>
      <c r="R52" s="1" t="s">
        <v>96</v>
      </c>
      <c r="S52" s="1" t="s">
        <v>96</v>
      </c>
      <c r="T52" t="s">
        <v>96</v>
      </c>
      <c r="U52" s="1" t="s">
        <v>96</v>
      </c>
      <c r="V52">
        <v>1.42</v>
      </c>
      <c r="W52">
        <v>2.09</v>
      </c>
      <c r="X52">
        <v>303.08</v>
      </c>
      <c r="Y52" s="1" t="s">
        <v>96</v>
      </c>
      <c r="Z52">
        <v>11.5</v>
      </c>
      <c r="AA52">
        <v>146.27000000000001</v>
      </c>
      <c r="AB52">
        <v>12.44</v>
      </c>
      <c r="AC52" s="1" t="s">
        <v>96</v>
      </c>
      <c r="AD52" s="1" t="s">
        <v>96</v>
      </c>
      <c r="AE52" s="1" t="s">
        <v>96</v>
      </c>
      <c r="AF52" s="1" t="s">
        <v>96</v>
      </c>
      <c r="AG52" s="1" t="s">
        <v>96</v>
      </c>
      <c r="AH52" s="1" t="s">
        <v>96</v>
      </c>
      <c r="AI52">
        <v>304.81</v>
      </c>
      <c r="AJ52">
        <v>26.8</v>
      </c>
      <c r="AK52" s="1">
        <v>1.04</v>
      </c>
      <c r="AL52" s="1" t="s">
        <v>96</v>
      </c>
      <c r="AM52">
        <v>4.66</v>
      </c>
      <c r="AN52" t="s">
        <v>96</v>
      </c>
      <c r="AO52" s="1" t="s">
        <v>96</v>
      </c>
      <c r="AP52" s="1" t="s">
        <v>96</v>
      </c>
      <c r="AQ52">
        <v>4.3899999999999997</v>
      </c>
      <c r="AR52" s="1" t="s">
        <v>96</v>
      </c>
      <c r="AS52">
        <v>487.34</v>
      </c>
      <c r="AT52">
        <v>228.9</v>
      </c>
      <c r="AU52">
        <v>116.03</v>
      </c>
      <c r="AV52" s="1" t="s">
        <v>96</v>
      </c>
      <c r="AW52">
        <v>98.22</v>
      </c>
      <c r="AX52" s="1" t="s">
        <v>96</v>
      </c>
      <c r="AY52" s="1" t="s">
        <v>96</v>
      </c>
      <c r="AZ52">
        <v>4.54</v>
      </c>
      <c r="BA52" s="1" t="s">
        <v>96</v>
      </c>
      <c r="BB52" s="1" t="s">
        <v>96</v>
      </c>
      <c r="BC52">
        <v>9.39</v>
      </c>
      <c r="BD52">
        <v>4.47</v>
      </c>
      <c r="BE52" s="1" t="s">
        <v>96</v>
      </c>
      <c r="BF52" s="1" t="s">
        <v>96</v>
      </c>
      <c r="BG52" t="s">
        <v>96</v>
      </c>
      <c r="BH52">
        <v>2.72</v>
      </c>
      <c r="BI52">
        <v>15.75</v>
      </c>
      <c r="BJ52">
        <v>15.35</v>
      </c>
      <c r="BK52" s="1" t="s">
        <v>96</v>
      </c>
      <c r="BL52" s="1" t="s">
        <v>96</v>
      </c>
      <c r="BM52" s="1" t="s">
        <v>96</v>
      </c>
      <c r="BN52" s="1" t="s">
        <v>96</v>
      </c>
      <c r="BO52" s="1" t="s">
        <v>96</v>
      </c>
      <c r="BP52">
        <v>38.119999999999997</v>
      </c>
      <c r="BQ52" t="s">
        <v>96</v>
      </c>
      <c r="BR52" s="1" t="s">
        <v>96</v>
      </c>
      <c r="BS52">
        <v>894.02</v>
      </c>
      <c r="BT52" t="s">
        <v>96</v>
      </c>
      <c r="BU52" s="1" t="s">
        <v>96</v>
      </c>
      <c r="BV52">
        <v>28.68</v>
      </c>
      <c r="BW52">
        <v>69.08</v>
      </c>
      <c r="BX52" s="1" t="s">
        <v>96</v>
      </c>
    </row>
    <row r="53" spans="1:76">
      <c r="A53">
        <v>222</v>
      </c>
      <c r="B53" t="s">
        <v>761</v>
      </c>
      <c r="D53" t="b">
        <v>1</v>
      </c>
      <c r="E53" t="s">
        <v>762</v>
      </c>
      <c r="G53" t="s">
        <v>763</v>
      </c>
      <c r="H53" s="1" t="s">
        <v>96</v>
      </c>
      <c r="I53" s="1" t="s">
        <v>96</v>
      </c>
      <c r="J53">
        <v>8.59</v>
      </c>
      <c r="K53" s="1" t="s">
        <v>96</v>
      </c>
      <c r="L53" s="1" t="s">
        <v>96</v>
      </c>
      <c r="M53" s="1" t="s">
        <v>96</v>
      </c>
      <c r="N53" s="1" t="s">
        <v>96</v>
      </c>
      <c r="O53" s="1" t="s">
        <v>96</v>
      </c>
      <c r="P53" s="1" t="s">
        <v>96</v>
      </c>
      <c r="Q53" s="1" t="s">
        <v>96</v>
      </c>
      <c r="R53" s="1" t="s">
        <v>96</v>
      </c>
      <c r="S53" s="1" t="s">
        <v>96</v>
      </c>
      <c r="T53" t="s">
        <v>96</v>
      </c>
      <c r="U53" s="1" t="s">
        <v>96</v>
      </c>
      <c r="V53" t="s">
        <v>96</v>
      </c>
      <c r="W53" t="s">
        <v>96</v>
      </c>
      <c r="X53">
        <v>2.06</v>
      </c>
      <c r="Y53" s="1" t="s">
        <v>96</v>
      </c>
      <c r="Z53" t="s">
        <v>96</v>
      </c>
      <c r="AA53">
        <v>3.12</v>
      </c>
      <c r="AB53">
        <v>2.3199999999999998</v>
      </c>
      <c r="AC53" s="1" t="s">
        <v>96</v>
      </c>
      <c r="AD53" s="1" t="s">
        <v>96</v>
      </c>
      <c r="AE53" s="1" t="s">
        <v>96</v>
      </c>
      <c r="AF53" s="1" t="s">
        <v>96</v>
      </c>
      <c r="AG53" s="1" t="s">
        <v>96</v>
      </c>
      <c r="AH53" s="1" t="s">
        <v>96</v>
      </c>
      <c r="AI53" t="s">
        <v>96</v>
      </c>
      <c r="AJ53">
        <v>1.87</v>
      </c>
      <c r="AK53" s="1" t="s">
        <v>96</v>
      </c>
      <c r="AL53" s="1" t="s">
        <v>96</v>
      </c>
      <c r="AM53">
        <v>5.32</v>
      </c>
      <c r="AN53">
        <v>2.0299999999999998</v>
      </c>
      <c r="AO53" s="1" t="s">
        <v>96</v>
      </c>
      <c r="AP53" s="1" t="s">
        <v>96</v>
      </c>
      <c r="AQ53" t="s">
        <v>96</v>
      </c>
      <c r="AR53" s="1" t="s">
        <v>96</v>
      </c>
      <c r="AS53">
        <v>28.82</v>
      </c>
      <c r="AT53">
        <v>2.56</v>
      </c>
      <c r="AU53" t="s">
        <v>96</v>
      </c>
      <c r="AV53" s="1" t="s">
        <v>96</v>
      </c>
      <c r="AW53">
        <v>15.73</v>
      </c>
      <c r="AX53" s="1" t="s">
        <v>96</v>
      </c>
      <c r="AY53" s="1" t="s">
        <v>96</v>
      </c>
      <c r="AZ53">
        <v>5.05</v>
      </c>
      <c r="BA53" s="1" t="s">
        <v>96</v>
      </c>
      <c r="BB53" s="1" t="s">
        <v>96</v>
      </c>
      <c r="BC53">
        <v>17.100000000000001</v>
      </c>
      <c r="BD53" t="s">
        <v>96</v>
      </c>
      <c r="BE53" s="1" t="s">
        <v>96</v>
      </c>
      <c r="BF53" s="1" t="s">
        <v>96</v>
      </c>
      <c r="BG53" t="s">
        <v>96</v>
      </c>
      <c r="BH53">
        <v>6.07</v>
      </c>
      <c r="BI53">
        <v>50.42</v>
      </c>
      <c r="BJ53" t="s">
        <v>96</v>
      </c>
      <c r="BK53" s="1" t="s">
        <v>96</v>
      </c>
      <c r="BL53" s="1" t="s">
        <v>96</v>
      </c>
      <c r="BM53" s="1" t="s">
        <v>96</v>
      </c>
      <c r="BN53" s="1" t="s">
        <v>96</v>
      </c>
      <c r="BO53" s="1" t="s">
        <v>96</v>
      </c>
      <c r="BP53">
        <v>13.6</v>
      </c>
      <c r="BQ53">
        <v>11.53</v>
      </c>
      <c r="BR53" s="1" t="s">
        <v>96</v>
      </c>
      <c r="BS53">
        <v>49.15</v>
      </c>
      <c r="BT53" t="s">
        <v>96</v>
      </c>
      <c r="BU53" s="1" t="s">
        <v>96</v>
      </c>
      <c r="BV53" t="s">
        <v>96</v>
      </c>
      <c r="BW53" t="s">
        <v>96</v>
      </c>
      <c r="BX53" s="1" t="s">
        <v>96</v>
      </c>
    </row>
    <row r="54" spans="1:76">
      <c r="A54">
        <v>109</v>
      </c>
      <c r="B54" t="s">
        <v>422</v>
      </c>
      <c r="D54" t="b">
        <v>1</v>
      </c>
      <c r="E54" t="s">
        <v>423</v>
      </c>
      <c r="G54" t="s">
        <v>424</v>
      </c>
      <c r="H54" s="1" t="s">
        <v>96</v>
      </c>
      <c r="I54" s="1" t="s">
        <v>96</v>
      </c>
      <c r="J54">
        <v>15.07</v>
      </c>
      <c r="K54" s="1" t="s">
        <v>96</v>
      </c>
      <c r="L54" s="1" t="s">
        <v>96</v>
      </c>
      <c r="M54" s="1" t="s">
        <v>96</v>
      </c>
      <c r="N54" s="1" t="s">
        <v>96</v>
      </c>
      <c r="O54" s="1" t="s">
        <v>96</v>
      </c>
      <c r="P54" s="1" t="s">
        <v>96</v>
      </c>
      <c r="Q54" s="1" t="s">
        <v>96</v>
      </c>
      <c r="R54" s="1" t="s">
        <v>96</v>
      </c>
      <c r="S54" s="1" t="s">
        <v>96</v>
      </c>
      <c r="T54" t="s">
        <v>96</v>
      </c>
      <c r="U54" s="1" t="s">
        <v>96</v>
      </c>
      <c r="V54">
        <v>1.39</v>
      </c>
      <c r="W54">
        <v>1.5</v>
      </c>
      <c r="X54">
        <v>8.2899999999999991</v>
      </c>
      <c r="Y54" s="1" t="s">
        <v>96</v>
      </c>
      <c r="Z54" t="s">
        <v>96</v>
      </c>
      <c r="AA54">
        <v>25.18</v>
      </c>
      <c r="AB54">
        <v>32.049999999999997</v>
      </c>
      <c r="AC54" s="1" t="s">
        <v>96</v>
      </c>
      <c r="AD54" s="1" t="s">
        <v>96</v>
      </c>
      <c r="AE54" s="1" t="s">
        <v>96</v>
      </c>
      <c r="AF54" s="1" t="s">
        <v>96</v>
      </c>
      <c r="AG54" s="1" t="s">
        <v>96</v>
      </c>
      <c r="AH54" s="1" t="s">
        <v>96</v>
      </c>
      <c r="AI54" t="s">
        <v>96</v>
      </c>
      <c r="AJ54">
        <v>3.75</v>
      </c>
      <c r="AK54" s="1" t="s">
        <v>96</v>
      </c>
      <c r="AL54" s="1" t="s">
        <v>96</v>
      </c>
      <c r="AM54">
        <v>16.940000000000001</v>
      </c>
      <c r="AN54">
        <v>6.93</v>
      </c>
      <c r="AO54" s="1" t="s">
        <v>96</v>
      </c>
      <c r="AP54" s="1" t="s">
        <v>96</v>
      </c>
      <c r="AQ54">
        <v>5.46</v>
      </c>
      <c r="AR54" s="1" t="s">
        <v>96</v>
      </c>
      <c r="AS54">
        <v>1531.17</v>
      </c>
      <c r="AT54">
        <v>123.63</v>
      </c>
      <c r="AU54">
        <v>43.12</v>
      </c>
      <c r="AV54" s="1" t="s">
        <v>96</v>
      </c>
      <c r="AW54">
        <v>470.41</v>
      </c>
      <c r="AX54" s="1" t="s">
        <v>96</v>
      </c>
      <c r="AY54" s="1">
        <v>3.09</v>
      </c>
      <c r="AZ54">
        <v>43.75</v>
      </c>
      <c r="BA54" s="1">
        <v>6.2</v>
      </c>
      <c r="BB54" s="1" t="s">
        <v>96</v>
      </c>
      <c r="BC54">
        <v>398.98</v>
      </c>
      <c r="BD54">
        <v>48.39</v>
      </c>
      <c r="BE54" s="1" t="s">
        <v>96</v>
      </c>
      <c r="BF54" s="1">
        <v>20.09</v>
      </c>
      <c r="BG54">
        <v>7.78</v>
      </c>
      <c r="BH54">
        <v>154.86000000000001</v>
      </c>
      <c r="BI54">
        <v>67.8</v>
      </c>
      <c r="BJ54" t="s">
        <v>96</v>
      </c>
      <c r="BK54" s="1" t="s">
        <v>96</v>
      </c>
      <c r="BL54" s="1" t="s">
        <v>96</v>
      </c>
      <c r="BM54" s="1" t="s">
        <v>96</v>
      </c>
      <c r="BN54" s="1" t="s">
        <v>96</v>
      </c>
      <c r="BO54" s="1" t="s">
        <v>96</v>
      </c>
      <c r="BP54">
        <v>125.01</v>
      </c>
      <c r="BQ54">
        <v>48.01</v>
      </c>
      <c r="BR54" s="1" t="s">
        <v>96</v>
      </c>
      <c r="BS54">
        <v>162.85</v>
      </c>
      <c r="BT54">
        <v>21.48</v>
      </c>
      <c r="BU54" s="1" t="s">
        <v>96</v>
      </c>
      <c r="BV54">
        <v>8.01</v>
      </c>
      <c r="BW54">
        <v>34.22</v>
      </c>
      <c r="BX54" s="1" t="s">
        <v>96</v>
      </c>
    </row>
    <row r="55" spans="1:76">
      <c r="A55">
        <v>209</v>
      </c>
      <c r="B55" t="s">
        <v>722</v>
      </c>
      <c r="D55" t="b">
        <v>1</v>
      </c>
      <c r="E55" t="s">
        <v>723</v>
      </c>
      <c r="G55" t="s">
        <v>724</v>
      </c>
      <c r="H55" s="1" t="s">
        <v>96</v>
      </c>
      <c r="I55" s="1" t="s">
        <v>96</v>
      </c>
      <c r="J55">
        <v>8.65</v>
      </c>
      <c r="K55" s="1" t="s">
        <v>96</v>
      </c>
      <c r="L55" s="1" t="s">
        <v>96</v>
      </c>
      <c r="M55" s="1">
        <v>6.16</v>
      </c>
      <c r="N55" s="1" t="s">
        <v>96</v>
      </c>
      <c r="O55" s="1" t="s">
        <v>96</v>
      </c>
      <c r="P55" s="1" t="s">
        <v>96</v>
      </c>
      <c r="Q55" s="1" t="s">
        <v>96</v>
      </c>
      <c r="R55" s="1" t="s">
        <v>96</v>
      </c>
      <c r="S55" s="1" t="s">
        <v>96</v>
      </c>
      <c r="T55" t="s">
        <v>96</v>
      </c>
      <c r="U55" s="1" t="s">
        <v>96</v>
      </c>
      <c r="V55">
        <v>1.82</v>
      </c>
      <c r="W55">
        <v>15.82</v>
      </c>
      <c r="X55">
        <v>66.069999999999993</v>
      </c>
      <c r="Y55" s="1" t="s">
        <v>96</v>
      </c>
      <c r="Z55">
        <v>34.909999999999997</v>
      </c>
      <c r="AA55">
        <v>318.42</v>
      </c>
      <c r="AB55">
        <v>32.75</v>
      </c>
      <c r="AC55" s="1" t="s">
        <v>96</v>
      </c>
      <c r="AD55" s="1">
        <v>1.02</v>
      </c>
      <c r="AE55" s="1" t="s">
        <v>96</v>
      </c>
      <c r="AF55" s="1" t="s">
        <v>96</v>
      </c>
      <c r="AG55" s="1" t="s">
        <v>96</v>
      </c>
      <c r="AH55" s="1" t="s">
        <v>96</v>
      </c>
      <c r="AI55">
        <v>547.65</v>
      </c>
      <c r="AJ55">
        <v>18.59</v>
      </c>
      <c r="AK55" s="1" t="s">
        <v>96</v>
      </c>
      <c r="AL55" s="1" t="s">
        <v>96</v>
      </c>
      <c r="AM55">
        <v>23.5</v>
      </c>
      <c r="AN55" t="s">
        <v>96</v>
      </c>
      <c r="AO55" s="1" t="s">
        <v>96</v>
      </c>
      <c r="AP55" s="1" t="s">
        <v>96</v>
      </c>
      <c r="AQ55">
        <v>42.54</v>
      </c>
      <c r="AR55" s="1" t="s">
        <v>96</v>
      </c>
      <c r="AS55" t="s">
        <v>133</v>
      </c>
      <c r="AT55">
        <v>1520.29</v>
      </c>
      <c r="AU55">
        <v>48.95</v>
      </c>
      <c r="AV55" s="1" t="s">
        <v>96</v>
      </c>
      <c r="AW55">
        <v>820.35</v>
      </c>
      <c r="AX55" s="1" t="s">
        <v>96</v>
      </c>
      <c r="AY55" s="1">
        <v>14.07</v>
      </c>
      <c r="AZ55">
        <v>15.2</v>
      </c>
      <c r="BA55" s="1">
        <v>2.91</v>
      </c>
      <c r="BB55" s="1" t="s">
        <v>96</v>
      </c>
      <c r="BC55">
        <v>294.19</v>
      </c>
      <c r="BD55">
        <v>254.43</v>
      </c>
      <c r="BE55" s="1" t="s">
        <v>96</v>
      </c>
      <c r="BF55" s="1" t="s">
        <v>96</v>
      </c>
      <c r="BG55">
        <v>4.58</v>
      </c>
      <c r="BH55">
        <v>114.21</v>
      </c>
      <c r="BI55">
        <v>112.65</v>
      </c>
      <c r="BJ55" t="s">
        <v>96</v>
      </c>
      <c r="BK55" s="1" t="s">
        <v>96</v>
      </c>
      <c r="BL55" s="1" t="s">
        <v>96</v>
      </c>
      <c r="BM55" s="1" t="s">
        <v>96</v>
      </c>
      <c r="BN55" s="1" t="s">
        <v>96</v>
      </c>
      <c r="BO55" s="1">
        <v>11.55</v>
      </c>
      <c r="BP55">
        <v>56.07</v>
      </c>
      <c r="BQ55">
        <v>9.81</v>
      </c>
      <c r="BR55" s="1" t="s">
        <v>96</v>
      </c>
      <c r="BS55">
        <v>537.83000000000004</v>
      </c>
      <c r="BT55">
        <v>28.44</v>
      </c>
      <c r="BU55" s="1" t="s">
        <v>96</v>
      </c>
      <c r="BV55" t="s">
        <v>96</v>
      </c>
      <c r="BW55">
        <v>97.18</v>
      </c>
      <c r="BX55" s="1" t="s">
        <v>96</v>
      </c>
    </row>
    <row r="56" spans="1:76">
      <c r="A56">
        <v>119</v>
      </c>
      <c r="B56" t="s">
        <v>452</v>
      </c>
      <c r="D56" t="b">
        <v>1</v>
      </c>
      <c r="E56" t="s">
        <v>453</v>
      </c>
      <c r="G56" t="s">
        <v>454</v>
      </c>
      <c r="H56" s="1" t="s">
        <v>96</v>
      </c>
      <c r="I56" s="1" t="s">
        <v>96</v>
      </c>
      <c r="J56">
        <v>15.23</v>
      </c>
      <c r="K56" s="1" t="s">
        <v>96</v>
      </c>
      <c r="L56" s="1" t="s">
        <v>96</v>
      </c>
      <c r="M56" s="1">
        <v>5.96</v>
      </c>
      <c r="N56" s="1" t="s">
        <v>96</v>
      </c>
      <c r="O56" s="1" t="s">
        <v>96</v>
      </c>
      <c r="P56" s="1" t="s">
        <v>96</v>
      </c>
      <c r="Q56" s="1" t="s">
        <v>96</v>
      </c>
      <c r="R56" s="1" t="s">
        <v>96</v>
      </c>
      <c r="S56" s="1" t="s">
        <v>96</v>
      </c>
      <c r="T56" t="s">
        <v>96</v>
      </c>
      <c r="U56" s="1" t="s">
        <v>96</v>
      </c>
      <c r="V56" t="s">
        <v>96</v>
      </c>
      <c r="W56">
        <v>3.03</v>
      </c>
      <c r="X56">
        <v>47.74</v>
      </c>
      <c r="Y56" s="1" t="s">
        <v>96</v>
      </c>
      <c r="Z56">
        <v>11.73</v>
      </c>
      <c r="AA56">
        <v>200.69</v>
      </c>
      <c r="AB56">
        <v>25.15</v>
      </c>
      <c r="AC56" s="1">
        <v>3.2</v>
      </c>
      <c r="AD56" s="1" t="s">
        <v>96</v>
      </c>
      <c r="AE56" s="1" t="s">
        <v>96</v>
      </c>
      <c r="AF56" s="1" t="s">
        <v>96</v>
      </c>
      <c r="AG56" s="1" t="s">
        <v>96</v>
      </c>
      <c r="AH56" s="1" t="s">
        <v>96</v>
      </c>
      <c r="AI56">
        <v>55.87</v>
      </c>
      <c r="AJ56">
        <v>6.75</v>
      </c>
      <c r="AK56" s="1" t="s">
        <v>96</v>
      </c>
      <c r="AL56" s="1" t="s">
        <v>96</v>
      </c>
      <c r="AM56">
        <v>17.3</v>
      </c>
      <c r="AN56">
        <v>2.14</v>
      </c>
      <c r="AO56" s="1" t="s">
        <v>96</v>
      </c>
      <c r="AP56" s="1" t="s">
        <v>96</v>
      </c>
      <c r="AQ56">
        <v>37.9</v>
      </c>
      <c r="AR56" s="1" t="s">
        <v>96</v>
      </c>
      <c r="AS56">
        <v>856.75</v>
      </c>
      <c r="AT56">
        <v>523.41</v>
      </c>
      <c r="AU56">
        <v>57.42</v>
      </c>
      <c r="AV56" s="1" t="s">
        <v>96</v>
      </c>
      <c r="AW56">
        <v>176.29</v>
      </c>
      <c r="AX56" s="1" t="s">
        <v>96</v>
      </c>
      <c r="AY56" s="1">
        <v>5.74</v>
      </c>
      <c r="AZ56">
        <v>6.55</v>
      </c>
      <c r="BA56" s="1">
        <v>3.33</v>
      </c>
      <c r="BB56" s="1" t="s">
        <v>96</v>
      </c>
      <c r="BC56">
        <v>80.69</v>
      </c>
      <c r="BD56">
        <v>52.02</v>
      </c>
      <c r="BE56" s="1" t="s">
        <v>96</v>
      </c>
      <c r="BF56" s="1" t="s">
        <v>96</v>
      </c>
      <c r="BG56" t="s">
        <v>96</v>
      </c>
      <c r="BH56">
        <v>20.55</v>
      </c>
      <c r="BI56">
        <v>76.77</v>
      </c>
      <c r="BJ56">
        <v>7.35</v>
      </c>
      <c r="BK56" s="1" t="s">
        <v>96</v>
      </c>
      <c r="BL56" s="1" t="s">
        <v>96</v>
      </c>
      <c r="BM56" s="1" t="s">
        <v>96</v>
      </c>
      <c r="BN56" s="1" t="s">
        <v>96</v>
      </c>
      <c r="BO56" s="1">
        <v>8.32</v>
      </c>
      <c r="BP56">
        <v>73.13</v>
      </c>
      <c r="BQ56">
        <v>11.76</v>
      </c>
      <c r="BR56" s="1" t="s">
        <v>96</v>
      </c>
      <c r="BS56">
        <v>656.51</v>
      </c>
      <c r="BT56">
        <v>25.17</v>
      </c>
      <c r="BU56" s="1" t="s">
        <v>96</v>
      </c>
      <c r="BV56">
        <v>34.39</v>
      </c>
      <c r="BW56">
        <v>139.34</v>
      </c>
      <c r="BX56" s="1" t="s">
        <v>96</v>
      </c>
    </row>
    <row r="57" spans="1:76">
      <c r="A57">
        <v>189</v>
      </c>
      <c r="B57" t="s">
        <v>662</v>
      </c>
      <c r="D57" t="b">
        <v>1</v>
      </c>
      <c r="E57" t="s">
        <v>663</v>
      </c>
      <c r="G57" t="s">
        <v>664</v>
      </c>
      <c r="H57" s="1" t="s">
        <v>96</v>
      </c>
      <c r="I57" s="1" t="s">
        <v>96</v>
      </c>
      <c r="J57">
        <v>21.02</v>
      </c>
      <c r="K57" s="1" t="s">
        <v>96</v>
      </c>
      <c r="L57" s="1" t="s">
        <v>96</v>
      </c>
      <c r="M57" s="1" t="s">
        <v>96</v>
      </c>
      <c r="N57" s="1" t="s">
        <v>96</v>
      </c>
      <c r="O57" s="1" t="s">
        <v>96</v>
      </c>
      <c r="P57" s="1" t="s">
        <v>96</v>
      </c>
      <c r="Q57" s="1" t="s">
        <v>96</v>
      </c>
      <c r="R57" s="1" t="s">
        <v>96</v>
      </c>
      <c r="S57" s="1" t="s">
        <v>96</v>
      </c>
      <c r="T57" t="s">
        <v>96</v>
      </c>
      <c r="U57" s="1" t="s">
        <v>96</v>
      </c>
      <c r="V57">
        <v>4.7699999999999996</v>
      </c>
      <c r="W57">
        <v>23.52</v>
      </c>
      <c r="X57">
        <v>170.89</v>
      </c>
      <c r="Y57" s="1" t="s">
        <v>96</v>
      </c>
      <c r="Z57">
        <v>83.35</v>
      </c>
      <c r="AA57">
        <v>625.89</v>
      </c>
      <c r="AB57">
        <v>143.69</v>
      </c>
      <c r="AC57" s="1" t="s">
        <v>96</v>
      </c>
      <c r="AD57" s="1" t="s">
        <v>96</v>
      </c>
      <c r="AE57" s="1" t="s">
        <v>96</v>
      </c>
      <c r="AF57" s="1" t="s">
        <v>96</v>
      </c>
      <c r="AG57" s="1" t="s">
        <v>96</v>
      </c>
      <c r="AH57" s="1">
        <v>1.25</v>
      </c>
      <c r="AI57">
        <v>51.04</v>
      </c>
      <c r="AJ57">
        <v>43.22</v>
      </c>
      <c r="AK57" s="1" t="s">
        <v>96</v>
      </c>
      <c r="AL57" s="1">
        <v>1.87</v>
      </c>
      <c r="AM57">
        <v>130.29</v>
      </c>
      <c r="AN57">
        <v>12.15</v>
      </c>
      <c r="AO57" s="1" t="s">
        <v>96</v>
      </c>
      <c r="AP57" s="1" t="s">
        <v>96</v>
      </c>
      <c r="AQ57">
        <v>8.02</v>
      </c>
      <c r="AR57" s="1" t="s">
        <v>96</v>
      </c>
      <c r="AS57">
        <v>973.31</v>
      </c>
      <c r="AT57">
        <v>705.21</v>
      </c>
      <c r="AU57">
        <v>49.5</v>
      </c>
      <c r="AV57" s="1" t="s">
        <v>96</v>
      </c>
      <c r="AW57">
        <v>382.74</v>
      </c>
      <c r="AX57" s="1" t="s">
        <v>96</v>
      </c>
      <c r="AY57" s="1">
        <v>2.88</v>
      </c>
      <c r="AZ57">
        <v>21.67</v>
      </c>
      <c r="BA57" s="1" t="s">
        <v>96</v>
      </c>
      <c r="BB57" s="1" t="s">
        <v>96</v>
      </c>
      <c r="BC57">
        <v>39.49</v>
      </c>
      <c r="BD57">
        <v>38.46</v>
      </c>
      <c r="BE57" s="1" t="s">
        <v>96</v>
      </c>
      <c r="BF57" s="1" t="s">
        <v>96</v>
      </c>
      <c r="BG57">
        <v>8.1</v>
      </c>
      <c r="BH57">
        <v>34.96</v>
      </c>
      <c r="BI57">
        <v>133.35</v>
      </c>
      <c r="BJ57">
        <v>11.55</v>
      </c>
      <c r="BK57" s="1" t="s">
        <v>96</v>
      </c>
      <c r="BL57" s="1" t="s">
        <v>96</v>
      </c>
      <c r="BM57" s="1">
        <v>13.76</v>
      </c>
      <c r="BN57" s="1" t="s">
        <v>96</v>
      </c>
      <c r="BO57" s="1">
        <v>22.83</v>
      </c>
      <c r="BP57">
        <v>144.86000000000001</v>
      </c>
      <c r="BQ57">
        <v>9.0500000000000007</v>
      </c>
      <c r="BR57" s="1" t="s">
        <v>96</v>
      </c>
      <c r="BS57">
        <v>1210.9000000000001</v>
      </c>
      <c r="BT57">
        <v>43.77</v>
      </c>
      <c r="BU57" s="1" t="s">
        <v>96</v>
      </c>
      <c r="BV57">
        <v>24.56</v>
      </c>
      <c r="BW57">
        <v>428.91</v>
      </c>
      <c r="BX57" s="1" t="s">
        <v>96</v>
      </c>
    </row>
    <row r="58" spans="1:76">
      <c r="A58">
        <v>173</v>
      </c>
      <c r="B58" t="s">
        <v>614</v>
      </c>
      <c r="D58" t="b">
        <v>1</v>
      </c>
      <c r="E58" t="s">
        <v>615</v>
      </c>
      <c r="G58" t="s">
        <v>616</v>
      </c>
      <c r="H58" s="1" t="s">
        <v>96</v>
      </c>
      <c r="I58" s="1" t="s">
        <v>96</v>
      </c>
      <c r="J58">
        <v>6.6</v>
      </c>
      <c r="K58" s="1" t="s">
        <v>96</v>
      </c>
      <c r="L58" s="1" t="s">
        <v>96</v>
      </c>
      <c r="M58" s="1" t="s">
        <v>96</v>
      </c>
      <c r="N58" s="1" t="s">
        <v>96</v>
      </c>
      <c r="O58" s="1" t="s">
        <v>96</v>
      </c>
      <c r="P58" s="1" t="s">
        <v>96</v>
      </c>
      <c r="Q58" s="1" t="s">
        <v>96</v>
      </c>
      <c r="R58" s="1" t="s">
        <v>96</v>
      </c>
      <c r="S58" s="1" t="s">
        <v>96</v>
      </c>
      <c r="T58" t="s">
        <v>96</v>
      </c>
      <c r="U58" s="1" t="s">
        <v>96</v>
      </c>
      <c r="V58" t="s">
        <v>96</v>
      </c>
      <c r="W58">
        <v>4.47</v>
      </c>
      <c r="X58">
        <v>27</v>
      </c>
      <c r="Y58" s="1" t="s">
        <v>96</v>
      </c>
      <c r="Z58" t="s">
        <v>96</v>
      </c>
      <c r="AA58">
        <v>30.39</v>
      </c>
      <c r="AB58">
        <v>4.84</v>
      </c>
      <c r="AC58" s="1" t="s">
        <v>96</v>
      </c>
      <c r="AD58" s="1" t="s">
        <v>96</v>
      </c>
      <c r="AE58" s="1" t="s">
        <v>96</v>
      </c>
      <c r="AF58" s="1" t="s">
        <v>96</v>
      </c>
      <c r="AG58" s="1" t="s">
        <v>96</v>
      </c>
      <c r="AH58" s="1" t="s">
        <v>96</v>
      </c>
      <c r="AI58" t="s">
        <v>96</v>
      </c>
      <c r="AJ58">
        <v>2.74</v>
      </c>
      <c r="AK58" s="1" t="s">
        <v>96</v>
      </c>
      <c r="AL58" s="1" t="s">
        <v>96</v>
      </c>
      <c r="AM58">
        <v>6.52</v>
      </c>
      <c r="AN58" t="s">
        <v>96</v>
      </c>
      <c r="AO58" s="1" t="s">
        <v>96</v>
      </c>
      <c r="AP58" s="1" t="s">
        <v>96</v>
      </c>
      <c r="AQ58" t="s">
        <v>96</v>
      </c>
      <c r="AR58" s="1" t="s">
        <v>96</v>
      </c>
      <c r="AS58">
        <v>382.65</v>
      </c>
      <c r="AT58">
        <v>51.9</v>
      </c>
      <c r="AU58">
        <v>34.6</v>
      </c>
      <c r="AV58" s="1" t="s">
        <v>96</v>
      </c>
      <c r="AW58">
        <v>312.16000000000003</v>
      </c>
      <c r="AX58" s="1" t="s">
        <v>96</v>
      </c>
      <c r="AY58" s="1" t="s">
        <v>96</v>
      </c>
      <c r="AZ58">
        <v>3.72</v>
      </c>
      <c r="BA58" s="1" t="s">
        <v>96</v>
      </c>
      <c r="BB58" s="1" t="s">
        <v>96</v>
      </c>
      <c r="BC58">
        <v>24.09</v>
      </c>
      <c r="BD58" t="s">
        <v>96</v>
      </c>
      <c r="BE58" s="1" t="s">
        <v>96</v>
      </c>
      <c r="BF58" s="1" t="s">
        <v>96</v>
      </c>
      <c r="BG58" t="s">
        <v>96</v>
      </c>
      <c r="BH58">
        <v>28.38</v>
      </c>
      <c r="BI58" t="s">
        <v>96</v>
      </c>
      <c r="BJ58" t="s">
        <v>96</v>
      </c>
      <c r="BK58" s="1" t="s">
        <v>96</v>
      </c>
      <c r="BL58" s="1" t="s">
        <v>96</v>
      </c>
      <c r="BM58" s="1" t="s">
        <v>96</v>
      </c>
      <c r="BN58" s="1" t="s">
        <v>96</v>
      </c>
      <c r="BO58" s="1" t="s">
        <v>96</v>
      </c>
      <c r="BP58">
        <v>102.01</v>
      </c>
      <c r="BQ58">
        <v>9.65</v>
      </c>
      <c r="BR58" s="1">
        <v>7.2</v>
      </c>
      <c r="BS58">
        <v>69.19</v>
      </c>
      <c r="BT58" t="s">
        <v>96</v>
      </c>
      <c r="BU58" s="1" t="s">
        <v>96</v>
      </c>
      <c r="BV58">
        <v>40.65</v>
      </c>
      <c r="BW58">
        <v>43.1</v>
      </c>
      <c r="BX58" s="1" t="s">
        <v>96</v>
      </c>
    </row>
    <row r="59" spans="1:76">
      <c r="A59">
        <v>166</v>
      </c>
      <c r="B59" t="s">
        <v>593</v>
      </c>
      <c r="D59" t="b">
        <v>1</v>
      </c>
      <c r="E59" t="s">
        <v>594</v>
      </c>
      <c r="G59" t="s">
        <v>595</v>
      </c>
      <c r="H59" s="1" t="s">
        <v>96</v>
      </c>
      <c r="I59" s="1" t="s">
        <v>96</v>
      </c>
      <c r="J59">
        <v>22.25</v>
      </c>
      <c r="K59" s="1" t="s">
        <v>96</v>
      </c>
      <c r="L59" s="1" t="s">
        <v>96</v>
      </c>
      <c r="M59" s="1" t="s">
        <v>96</v>
      </c>
      <c r="N59" s="1" t="s">
        <v>96</v>
      </c>
      <c r="O59" s="1" t="s">
        <v>96</v>
      </c>
      <c r="P59" s="1" t="s">
        <v>96</v>
      </c>
      <c r="Q59" s="1" t="s">
        <v>96</v>
      </c>
      <c r="R59" s="1" t="s">
        <v>96</v>
      </c>
      <c r="S59" s="1" t="s">
        <v>96</v>
      </c>
      <c r="T59" t="s">
        <v>96</v>
      </c>
      <c r="U59" s="1" t="s">
        <v>96</v>
      </c>
      <c r="V59">
        <v>2.93</v>
      </c>
      <c r="W59" t="s">
        <v>96</v>
      </c>
      <c r="X59">
        <v>114.43</v>
      </c>
      <c r="Y59" s="1" t="s">
        <v>96</v>
      </c>
      <c r="Z59" t="s">
        <v>96</v>
      </c>
      <c r="AA59">
        <v>66.150000000000006</v>
      </c>
      <c r="AB59">
        <v>313.52999999999997</v>
      </c>
      <c r="AC59" s="1" t="s">
        <v>96</v>
      </c>
      <c r="AD59" s="1" t="s">
        <v>96</v>
      </c>
      <c r="AE59" s="1" t="s">
        <v>96</v>
      </c>
      <c r="AF59" s="1" t="s">
        <v>96</v>
      </c>
      <c r="AG59" s="1" t="s">
        <v>96</v>
      </c>
      <c r="AH59" s="1" t="s">
        <v>96</v>
      </c>
      <c r="AI59" t="s">
        <v>96</v>
      </c>
      <c r="AJ59">
        <v>24.36</v>
      </c>
      <c r="AK59" s="1" t="s">
        <v>96</v>
      </c>
      <c r="AL59" s="1" t="s">
        <v>96</v>
      </c>
      <c r="AM59">
        <v>121.18</v>
      </c>
      <c r="AN59">
        <v>11.49</v>
      </c>
      <c r="AO59" s="1" t="s">
        <v>96</v>
      </c>
      <c r="AP59" s="1" t="s">
        <v>96</v>
      </c>
      <c r="AQ59" t="s">
        <v>96</v>
      </c>
      <c r="AR59" s="1" t="s">
        <v>96</v>
      </c>
      <c r="AS59" t="s">
        <v>133</v>
      </c>
      <c r="AT59">
        <v>449.24</v>
      </c>
      <c r="AU59">
        <v>235.58</v>
      </c>
      <c r="AV59" s="1" t="s">
        <v>96</v>
      </c>
      <c r="AW59" t="s">
        <v>133</v>
      </c>
      <c r="AX59" s="1" t="s">
        <v>96</v>
      </c>
      <c r="AY59" s="1" t="s">
        <v>96</v>
      </c>
      <c r="AZ59">
        <v>95.13</v>
      </c>
      <c r="BA59" s="1">
        <v>10</v>
      </c>
      <c r="BB59" s="1" t="s">
        <v>96</v>
      </c>
      <c r="BC59">
        <v>566.62</v>
      </c>
      <c r="BD59">
        <v>48.35</v>
      </c>
      <c r="BE59" s="1" t="s">
        <v>96</v>
      </c>
      <c r="BF59" s="1">
        <v>16.079999999999998</v>
      </c>
      <c r="BG59">
        <v>4.63</v>
      </c>
      <c r="BH59">
        <v>183.48</v>
      </c>
      <c r="BI59">
        <v>26.41</v>
      </c>
      <c r="BJ59" t="s">
        <v>96</v>
      </c>
      <c r="BK59" s="1" t="s">
        <v>96</v>
      </c>
      <c r="BL59" s="1" t="s">
        <v>96</v>
      </c>
      <c r="BM59" s="1" t="s">
        <v>96</v>
      </c>
      <c r="BN59" s="1" t="s">
        <v>96</v>
      </c>
      <c r="BO59" s="1" t="s">
        <v>96</v>
      </c>
      <c r="BP59">
        <v>457.35</v>
      </c>
      <c r="BQ59">
        <v>81.78</v>
      </c>
      <c r="BR59" s="1">
        <v>8.7200000000000006</v>
      </c>
      <c r="BS59">
        <v>124.59</v>
      </c>
      <c r="BT59">
        <v>17.579999999999998</v>
      </c>
      <c r="BU59" s="1" t="s">
        <v>96</v>
      </c>
      <c r="BV59">
        <v>49.48</v>
      </c>
      <c r="BW59">
        <v>98.8</v>
      </c>
      <c r="BX59" s="1" t="s">
        <v>96</v>
      </c>
    </row>
    <row r="60" spans="1:76">
      <c r="A60">
        <v>199</v>
      </c>
      <c r="B60" t="s">
        <v>692</v>
      </c>
      <c r="D60" t="b">
        <v>1</v>
      </c>
      <c r="E60" t="s">
        <v>693</v>
      </c>
      <c r="G60" t="s">
        <v>694</v>
      </c>
      <c r="H60" s="1" t="s">
        <v>96</v>
      </c>
      <c r="I60" s="1" t="s">
        <v>96</v>
      </c>
      <c r="J60">
        <v>17.22</v>
      </c>
      <c r="K60" s="1" t="s">
        <v>96</v>
      </c>
      <c r="L60" s="1" t="s">
        <v>96</v>
      </c>
      <c r="M60" s="1" t="s">
        <v>96</v>
      </c>
      <c r="N60" s="1" t="s">
        <v>96</v>
      </c>
      <c r="O60" s="1" t="s">
        <v>96</v>
      </c>
      <c r="P60" s="1" t="s">
        <v>96</v>
      </c>
      <c r="Q60" s="1" t="s">
        <v>96</v>
      </c>
      <c r="R60" s="1" t="s">
        <v>96</v>
      </c>
      <c r="S60" s="1" t="s">
        <v>96</v>
      </c>
      <c r="T60" t="s">
        <v>96</v>
      </c>
      <c r="U60" s="1" t="s">
        <v>96</v>
      </c>
      <c r="V60">
        <v>2.94</v>
      </c>
      <c r="W60" t="s">
        <v>96</v>
      </c>
      <c r="X60">
        <v>71.069999999999993</v>
      </c>
      <c r="Y60" s="1" t="s">
        <v>96</v>
      </c>
      <c r="Z60" t="s">
        <v>96</v>
      </c>
      <c r="AA60" t="s">
        <v>96</v>
      </c>
      <c r="AB60">
        <v>576.70000000000005</v>
      </c>
      <c r="AC60" s="1" t="s">
        <v>96</v>
      </c>
      <c r="AD60" s="1" t="s">
        <v>96</v>
      </c>
      <c r="AE60" s="1" t="s">
        <v>96</v>
      </c>
      <c r="AF60" s="1" t="s">
        <v>96</v>
      </c>
      <c r="AG60" s="1" t="s">
        <v>96</v>
      </c>
      <c r="AH60" s="1" t="s">
        <v>96</v>
      </c>
      <c r="AI60" t="s">
        <v>96</v>
      </c>
      <c r="AJ60">
        <v>29.23</v>
      </c>
      <c r="AK60" s="1" t="s">
        <v>96</v>
      </c>
      <c r="AL60" s="1" t="s">
        <v>96</v>
      </c>
      <c r="AM60">
        <v>12.02</v>
      </c>
      <c r="AN60">
        <v>8.65</v>
      </c>
      <c r="AO60" s="1" t="s">
        <v>96</v>
      </c>
      <c r="AP60" s="1" t="s">
        <v>96</v>
      </c>
      <c r="AQ60" t="s">
        <v>96</v>
      </c>
      <c r="AR60" s="1" t="s">
        <v>96</v>
      </c>
      <c r="AS60">
        <v>494.2</v>
      </c>
      <c r="AT60" t="s">
        <v>96</v>
      </c>
      <c r="AU60">
        <v>42.03</v>
      </c>
      <c r="AV60" s="1" t="s">
        <v>96</v>
      </c>
      <c r="AW60">
        <v>35.83</v>
      </c>
      <c r="AX60" s="1" t="s">
        <v>96</v>
      </c>
      <c r="AY60" s="1" t="s">
        <v>96</v>
      </c>
      <c r="AZ60">
        <v>26.73</v>
      </c>
      <c r="BA60" s="1" t="s">
        <v>96</v>
      </c>
      <c r="BB60" s="1" t="s">
        <v>96</v>
      </c>
      <c r="BC60">
        <v>81.239999999999995</v>
      </c>
      <c r="BD60" t="s">
        <v>96</v>
      </c>
      <c r="BE60" s="1" t="s">
        <v>96</v>
      </c>
      <c r="BF60" s="1">
        <v>3.59</v>
      </c>
      <c r="BG60" t="s">
        <v>96</v>
      </c>
      <c r="BH60">
        <v>7.13</v>
      </c>
      <c r="BI60" t="s">
        <v>96</v>
      </c>
      <c r="BJ60" t="s">
        <v>96</v>
      </c>
      <c r="BK60" s="1" t="s">
        <v>96</v>
      </c>
      <c r="BL60" s="1" t="s">
        <v>96</v>
      </c>
      <c r="BM60" s="1" t="s">
        <v>96</v>
      </c>
      <c r="BN60" s="1" t="s">
        <v>96</v>
      </c>
      <c r="BO60" s="1" t="s">
        <v>96</v>
      </c>
      <c r="BP60">
        <v>75.44</v>
      </c>
      <c r="BQ60">
        <v>16.309999999999999</v>
      </c>
      <c r="BR60" s="1" t="s">
        <v>96</v>
      </c>
      <c r="BS60" t="s">
        <v>96</v>
      </c>
      <c r="BT60" t="s">
        <v>96</v>
      </c>
      <c r="BU60" s="1" t="s">
        <v>96</v>
      </c>
      <c r="BV60">
        <v>31.45</v>
      </c>
      <c r="BW60" t="s">
        <v>96</v>
      </c>
      <c r="BX60" s="1" t="s">
        <v>96</v>
      </c>
    </row>
    <row r="61" spans="1:76">
      <c r="A61">
        <v>235</v>
      </c>
      <c r="B61" t="s">
        <v>800</v>
      </c>
      <c r="D61" t="b">
        <v>1</v>
      </c>
      <c r="E61" t="s">
        <v>801</v>
      </c>
      <c r="G61" t="s">
        <v>802</v>
      </c>
      <c r="H61" s="1" t="s">
        <v>96</v>
      </c>
      <c r="I61" s="1" t="s">
        <v>96</v>
      </c>
      <c r="J61">
        <v>13.89</v>
      </c>
      <c r="K61" s="1" t="s">
        <v>96</v>
      </c>
      <c r="L61" s="1" t="s">
        <v>96</v>
      </c>
      <c r="M61" s="1" t="s">
        <v>96</v>
      </c>
      <c r="N61" s="1" t="s">
        <v>96</v>
      </c>
      <c r="O61" s="1" t="s">
        <v>96</v>
      </c>
      <c r="P61" s="1" t="s">
        <v>96</v>
      </c>
      <c r="Q61" s="1" t="s">
        <v>96</v>
      </c>
      <c r="R61" s="1" t="s">
        <v>96</v>
      </c>
      <c r="S61" s="1" t="s">
        <v>96</v>
      </c>
      <c r="T61">
        <v>1.45</v>
      </c>
      <c r="U61" s="1" t="s">
        <v>96</v>
      </c>
      <c r="V61">
        <v>4.62</v>
      </c>
      <c r="W61">
        <v>8.01</v>
      </c>
      <c r="X61">
        <v>89.95</v>
      </c>
      <c r="Y61" s="1" t="s">
        <v>96</v>
      </c>
      <c r="Z61">
        <v>9.1300000000000008</v>
      </c>
      <c r="AA61">
        <v>502.86</v>
      </c>
      <c r="AB61">
        <v>356.94</v>
      </c>
      <c r="AC61" s="1" t="s">
        <v>96</v>
      </c>
      <c r="AD61" s="1">
        <v>1.57</v>
      </c>
      <c r="AE61" s="1" t="s">
        <v>96</v>
      </c>
      <c r="AF61" s="1" t="s">
        <v>96</v>
      </c>
      <c r="AG61" s="1" t="s">
        <v>96</v>
      </c>
      <c r="AH61" s="1" t="s">
        <v>96</v>
      </c>
      <c r="AI61">
        <v>74.44</v>
      </c>
      <c r="AJ61">
        <v>51.2</v>
      </c>
      <c r="AK61" s="1" t="s">
        <v>96</v>
      </c>
      <c r="AL61" s="1">
        <v>1.04</v>
      </c>
      <c r="AM61">
        <v>168.03</v>
      </c>
      <c r="AN61">
        <v>5.97</v>
      </c>
      <c r="AO61" s="1" t="s">
        <v>96</v>
      </c>
      <c r="AP61" s="1" t="s">
        <v>96</v>
      </c>
      <c r="AQ61">
        <v>11.76</v>
      </c>
      <c r="AR61" s="1" t="s">
        <v>96</v>
      </c>
      <c r="AS61" t="s">
        <v>133</v>
      </c>
      <c r="AT61">
        <v>1127.58</v>
      </c>
      <c r="AU61">
        <v>216.59</v>
      </c>
      <c r="AV61" s="1" t="s">
        <v>96</v>
      </c>
      <c r="AW61">
        <v>809.52</v>
      </c>
      <c r="AX61" s="1" t="s">
        <v>96</v>
      </c>
      <c r="AY61" s="1">
        <v>3.64</v>
      </c>
      <c r="AZ61">
        <v>14.06</v>
      </c>
      <c r="BA61" s="1">
        <v>6.09</v>
      </c>
      <c r="BB61" s="1" t="s">
        <v>96</v>
      </c>
      <c r="BC61">
        <v>163.19</v>
      </c>
      <c r="BD61">
        <v>67.38</v>
      </c>
      <c r="BE61" s="1" t="s">
        <v>96</v>
      </c>
      <c r="BF61" s="1" t="s">
        <v>96</v>
      </c>
      <c r="BG61">
        <v>4.3099999999999996</v>
      </c>
      <c r="BH61">
        <v>60.75</v>
      </c>
      <c r="BI61">
        <v>84.14</v>
      </c>
      <c r="BJ61">
        <v>12.16</v>
      </c>
      <c r="BK61" s="1" t="s">
        <v>96</v>
      </c>
      <c r="BL61" s="1" t="s">
        <v>96</v>
      </c>
      <c r="BM61" s="1">
        <v>9.11</v>
      </c>
      <c r="BN61" s="1">
        <v>3.33</v>
      </c>
      <c r="BO61" s="1" t="s">
        <v>96</v>
      </c>
      <c r="BP61">
        <v>123.29</v>
      </c>
      <c r="BQ61">
        <v>16.97</v>
      </c>
      <c r="BR61" s="1" t="s">
        <v>96</v>
      </c>
      <c r="BS61">
        <v>589.39</v>
      </c>
      <c r="BT61">
        <v>16.760000000000002</v>
      </c>
      <c r="BU61" s="1" t="s">
        <v>96</v>
      </c>
      <c r="BV61">
        <v>28.62</v>
      </c>
      <c r="BW61">
        <v>130.08000000000001</v>
      </c>
      <c r="BX61" s="1" t="s">
        <v>96</v>
      </c>
    </row>
    <row r="62" spans="1:76">
      <c r="A62">
        <v>73</v>
      </c>
      <c r="B62" t="s">
        <v>314</v>
      </c>
      <c r="D62" t="b">
        <v>1</v>
      </c>
      <c r="E62" t="s">
        <v>315</v>
      </c>
      <c r="G62" t="s">
        <v>316</v>
      </c>
      <c r="H62" s="1" t="s">
        <v>96</v>
      </c>
      <c r="I62" s="1" t="s">
        <v>96</v>
      </c>
      <c r="J62">
        <v>15.65</v>
      </c>
      <c r="K62" s="1" t="s">
        <v>96</v>
      </c>
      <c r="L62" s="1" t="s">
        <v>96</v>
      </c>
      <c r="M62" s="1">
        <v>7.84</v>
      </c>
      <c r="N62" s="1" t="s">
        <v>96</v>
      </c>
      <c r="O62" s="1" t="s">
        <v>96</v>
      </c>
      <c r="P62" s="1" t="s">
        <v>96</v>
      </c>
      <c r="Q62" s="1" t="s">
        <v>96</v>
      </c>
      <c r="R62" s="1" t="s">
        <v>96</v>
      </c>
      <c r="S62" s="1" t="s">
        <v>96</v>
      </c>
      <c r="T62" t="s">
        <v>96</v>
      </c>
      <c r="U62" s="1" t="s">
        <v>96</v>
      </c>
      <c r="V62">
        <v>1.82</v>
      </c>
      <c r="W62">
        <v>6.61</v>
      </c>
      <c r="X62">
        <v>113.73</v>
      </c>
      <c r="Y62" s="1" t="s">
        <v>96</v>
      </c>
      <c r="Z62">
        <v>14.62</v>
      </c>
      <c r="AA62">
        <v>408.53</v>
      </c>
      <c r="AB62">
        <v>53.66</v>
      </c>
      <c r="AC62" s="1">
        <v>5.15</v>
      </c>
      <c r="AD62" s="1">
        <v>1.69</v>
      </c>
      <c r="AE62" s="1" t="s">
        <v>96</v>
      </c>
      <c r="AF62" s="1" t="s">
        <v>96</v>
      </c>
      <c r="AG62" s="1" t="s">
        <v>96</v>
      </c>
      <c r="AH62" s="1" t="s">
        <v>96</v>
      </c>
      <c r="AI62">
        <v>575.44000000000005</v>
      </c>
      <c r="AJ62">
        <v>47.21</v>
      </c>
      <c r="AK62" s="1" t="s">
        <v>96</v>
      </c>
      <c r="AL62" s="1" t="s">
        <v>96</v>
      </c>
      <c r="AM62">
        <v>15.13</v>
      </c>
      <c r="AN62">
        <v>1.24</v>
      </c>
      <c r="AO62" s="1" t="s">
        <v>96</v>
      </c>
      <c r="AP62" s="1" t="s">
        <v>96</v>
      </c>
      <c r="AQ62">
        <v>3.64</v>
      </c>
      <c r="AR62" s="1" t="s">
        <v>96</v>
      </c>
      <c r="AS62">
        <v>585.79</v>
      </c>
      <c r="AT62">
        <v>423.45</v>
      </c>
      <c r="AU62">
        <v>113.56</v>
      </c>
      <c r="AV62" s="1" t="s">
        <v>96</v>
      </c>
      <c r="AW62">
        <v>89.27</v>
      </c>
      <c r="AX62" s="1" t="s">
        <v>96</v>
      </c>
      <c r="AY62" s="1">
        <v>6.44</v>
      </c>
      <c r="AZ62">
        <v>7.51</v>
      </c>
      <c r="BA62" s="1">
        <v>6.81</v>
      </c>
      <c r="BB62" s="1" t="s">
        <v>96</v>
      </c>
      <c r="BC62">
        <v>88.17</v>
      </c>
      <c r="BD62">
        <v>74.72</v>
      </c>
      <c r="BE62" s="1" t="s">
        <v>96</v>
      </c>
      <c r="BF62" s="1" t="s">
        <v>96</v>
      </c>
      <c r="BG62" t="s">
        <v>96</v>
      </c>
      <c r="BH62">
        <v>12.48</v>
      </c>
      <c r="BI62">
        <v>167.68</v>
      </c>
      <c r="BJ62">
        <v>8.1199999999999992</v>
      </c>
      <c r="BK62" s="1" t="s">
        <v>96</v>
      </c>
      <c r="BL62" s="1" t="s">
        <v>96</v>
      </c>
      <c r="BM62" s="1" t="s">
        <v>96</v>
      </c>
      <c r="BN62" s="1" t="s">
        <v>96</v>
      </c>
      <c r="BO62" s="1" t="s">
        <v>96</v>
      </c>
      <c r="BP62">
        <v>28.44</v>
      </c>
      <c r="BQ62">
        <v>6.41</v>
      </c>
      <c r="BR62" s="1" t="s">
        <v>96</v>
      </c>
      <c r="BS62">
        <v>407.17</v>
      </c>
      <c r="BT62">
        <v>19.2</v>
      </c>
      <c r="BU62" s="1" t="s">
        <v>96</v>
      </c>
      <c r="BV62">
        <v>13.36</v>
      </c>
      <c r="BW62">
        <v>58.54</v>
      </c>
      <c r="BX62" s="1" t="s">
        <v>96</v>
      </c>
    </row>
    <row r="63" spans="1:76">
      <c r="A63">
        <v>47</v>
      </c>
      <c r="B63" t="s">
        <v>236</v>
      </c>
      <c r="D63" t="b">
        <v>1</v>
      </c>
      <c r="E63" t="s">
        <v>237</v>
      </c>
      <c r="G63" t="s">
        <v>238</v>
      </c>
      <c r="H63" s="1" t="s">
        <v>96</v>
      </c>
      <c r="I63" s="1" t="s">
        <v>96</v>
      </c>
      <c r="J63">
        <v>17.010000000000002</v>
      </c>
      <c r="K63" s="1" t="s">
        <v>96</v>
      </c>
      <c r="L63" s="1" t="s">
        <v>96</v>
      </c>
      <c r="M63" s="1" t="s">
        <v>96</v>
      </c>
      <c r="N63" s="1" t="s">
        <v>96</v>
      </c>
      <c r="O63" s="1" t="s">
        <v>96</v>
      </c>
      <c r="P63" s="1" t="s">
        <v>96</v>
      </c>
      <c r="Q63" s="1" t="s">
        <v>96</v>
      </c>
      <c r="R63" s="1" t="s">
        <v>96</v>
      </c>
      <c r="S63" s="1" t="s">
        <v>96</v>
      </c>
      <c r="T63" t="s">
        <v>96</v>
      </c>
      <c r="U63" s="1" t="s">
        <v>96</v>
      </c>
      <c r="V63" t="s">
        <v>96</v>
      </c>
      <c r="W63" t="s">
        <v>96</v>
      </c>
      <c r="X63">
        <v>11.74</v>
      </c>
      <c r="Y63" s="1" t="s">
        <v>96</v>
      </c>
      <c r="Z63" t="s">
        <v>96</v>
      </c>
      <c r="AA63">
        <v>13.69</v>
      </c>
      <c r="AB63">
        <v>5.74</v>
      </c>
      <c r="AC63" s="1" t="s">
        <v>96</v>
      </c>
      <c r="AD63" s="1">
        <v>1.27</v>
      </c>
      <c r="AE63" s="1" t="s">
        <v>96</v>
      </c>
      <c r="AF63" s="1" t="s">
        <v>96</v>
      </c>
      <c r="AG63" s="1" t="s">
        <v>96</v>
      </c>
      <c r="AH63" s="1" t="s">
        <v>96</v>
      </c>
      <c r="AI63" t="s">
        <v>96</v>
      </c>
      <c r="AJ63">
        <v>2.08</v>
      </c>
      <c r="AK63" s="1" t="s">
        <v>96</v>
      </c>
      <c r="AL63" s="1" t="s">
        <v>96</v>
      </c>
      <c r="AM63">
        <v>16</v>
      </c>
      <c r="AN63" t="s">
        <v>96</v>
      </c>
      <c r="AO63" s="1" t="s">
        <v>96</v>
      </c>
      <c r="AP63" s="1" t="s">
        <v>96</v>
      </c>
      <c r="AQ63" t="s">
        <v>96</v>
      </c>
      <c r="AR63" s="1" t="s">
        <v>96</v>
      </c>
      <c r="AS63">
        <v>641.42999999999995</v>
      </c>
      <c r="AT63">
        <v>145.87</v>
      </c>
      <c r="AU63">
        <v>21.84</v>
      </c>
      <c r="AV63" s="1" t="s">
        <v>96</v>
      </c>
      <c r="AW63">
        <v>260.49</v>
      </c>
      <c r="AX63" s="1" t="s">
        <v>96</v>
      </c>
      <c r="AY63" s="1" t="s">
        <v>96</v>
      </c>
      <c r="AZ63">
        <v>25.78</v>
      </c>
      <c r="BA63" s="1" t="s">
        <v>96</v>
      </c>
      <c r="BB63" s="1" t="s">
        <v>96</v>
      </c>
      <c r="BC63">
        <v>8.82</v>
      </c>
      <c r="BD63">
        <v>2.58</v>
      </c>
      <c r="BE63" s="1" t="s">
        <v>96</v>
      </c>
      <c r="BF63" s="1" t="s">
        <v>96</v>
      </c>
      <c r="BG63" t="s">
        <v>96</v>
      </c>
      <c r="BH63">
        <v>6.89</v>
      </c>
      <c r="BI63" t="s">
        <v>96</v>
      </c>
      <c r="BJ63">
        <v>3.39</v>
      </c>
      <c r="BK63" s="1" t="s">
        <v>96</v>
      </c>
      <c r="BL63" s="1" t="s">
        <v>96</v>
      </c>
      <c r="BM63" s="1" t="s">
        <v>96</v>
      </c>
      <c r="BN63" s="1" t="s">
        <v>96</v>
      </c>
      <c r="BO63" s="1" t="s">
        <v>96</v>
      </c>
      <c r="BP63">
        <v>80.709999999999994</v>
      </c>
      <c r="BQ63" t="s">
        <v>96</v>
      </c>
      <c r="BR63" s="1" t="s">
        <v>96</v>
      </c>
      <c r="BS63">
        <v>133.72999999999999</v>
      </c>
      <c r="BT63" t="s">
        <v>96</v>
      </c>
      <c r="BU63" s="1" t="s">
        <v>96</v>
      </c>
      <c r="BV63">
        <v>11.29</v>
      </c>
      <c r="BW63">
        <v>66.7</v>
      </c>
      <c r="BX63" s="1" t="s">
        <v>96</v>
      </c>
    </row>
    <row r="64" spans="1:76">
      <c r="A64">
        <v>200</v>
      </c>
      <c r="B64" t="s">
        <v>695</v>
      </c>
      <c r="D64" t="b">
        <v>1</v>
      </c>
      <c r="E64" t="s">
        <v>696</v>
      </c>
      <c r="G64" t="s">
        <v>697</v>
      </c>
      <c r="H64" s="1" t="s">
        <v>96</v>
      </c>
      <c r="I64" s="1" t="s">
        <v>96</v>
      </c>
      <c r="J64">
        <v>16.84</v>
      </c>
      <c r="K64" s="1" t="s">
        <v>96</v>
      </c>
      <c r="L64" s="1" t="s">
        <v>96</v>
      </c>
      <c r="M64" s="1" t="s">
        <v>96</v>
      </c>
      <c r="N64" s="1" t="s">
        <v>96</v>
      </c>
      <c r="O64" s="1" t="s">
        <v>96</v>
      </c>
      <c r="P64" s="1" t="s">
        <v>96</v>
      </c>
      <c r="Q64" s="1" t="s">
        <v>96</v>
      </c>
      <c r="R64" s="1" t="s">
        <v>96</v>
      </c>
      <c r="S64" s="1" t="s">
        <v>96</v>
      </c>
      <c r="T64">
        <v>1.18</v>
      </c>
      <c r="U64" s="1" t="s">
        <v>96</v>
      </c>
      <c r="V64">
        <v>9.31</v>
      </c>
      <c r="W64" t="s">
        <v>96</v>
      </c>
      <c r="X64">
        <v>280.85000000000002</v>
      </c>
      <c r="Y64" s="1" t="s">
        <v>96</v>
      </c>
      <c r="Z64" t="s">
        <v>96</v>
      </c>
      <c r="AA64">
        <v>36.950000000000003</v>
      </c>
      <c r="AB64">
        <v>153.62</v>
      </c>
      <c r="AC64" s="1" t="s">
        <v>96</v>
      </c>
      <c r="AD64" s="1">
        <v>1.04</v>
      </c>
      <c r="AE64" s="1" t="s">
        <v>96</v>
      </c>
      <c r="AF64" s="1" t="s">
        <v>96</v>
      </c>
      <c r="AG64" s="1" t="s">
        <v>96</v>
      </c>
      <c r="AH64" s="1">
        <v>1.7</v>
      </c>
      <c r="AI64">
        <v>214.86</v>
      </c>
      <c r="AJ64">
        <v>127.44</v>
      </c>
      <c r="AK64" s="1">
        <v>1.27</v>
      </c>
      <c r="AL64" s="1" t="s">
        <v>96</v>
      </c>
      <c r="AM64">
        <v>37.39</v>
      </c>
      <c r="AN64">
        <v>13.79</v>
      </c>
      <c r="AO64" s="1" t="s">
        <v>96</v>
      </c>
      <c r="AP64" s="1" t="s">
        <v>96</v>
      </c>
      <c r="AQ64">
        <v>4.04</v>
      </c>
      <c r="AR64" s="1" t="s">
        <v>96</v>
      </c>
      <c r="AS64">
        <v>1260.82</v>
      </c>
      <c r="AT64">
        <v>127.61</v>
      </c>
      <c r="AU64">
        <v>315.57</v>
      </c>
      <c r="AV64" s="1" t="s">
        <v>96</v>
      </c>
      <c r="AW64">
        <v>310.05</v>
      </c>
      <c r="AX64" s="1" t="s">
        <v>96</v>
      </c>
      <c r="AY64" s="1" t="s">
        <v>96</v>
      </c>
      <c r="AZ64">
        <v>27.22</v>
      </c>
      <c r="BA64" s="1">
        <v>11.28</v>
      </c>
      <c r="BB64" s="1" t="s">
        <v>96</v>
      </c>
      <c r="BC64">
        <v>92.94</v>
      </c>
      <c r="BD64">
        <v>14.31</v>
      </c>
      <c r="BE64" s="1" t="s">
        <v>96</v>
      </c>
      <c r="BF64" s="1" t="s">
        <v>96</v>
      </c>
      <c r="BG64" t="s">
        <v>96</v>
      </c>
      <c r="BH64">
        <v>24.03</v>
      </c>
      <c r="BI64" t="s">
        <v>96</v>
      </c>
      <c r="BJ64" t="s">
        <v>96</v>
      </c>
      <c r="BK64" s="1" t="s">
        <v>96</v>
      </c>
      <c r="BL64" s="1" t="s">
        <v>96</v>
      </c>
      <c r="BM64" s="1" t="s">
        <v>96</v>
      </c>
      <c r="BN64" s="1" t="s">
        <v>96</v>
      </c>
      <c r="BO64" s="1" t="s">
        <v>96</v>
      </c>
      <c r="BP64">
        <v>134.24</v>
      </c>
      <c r="BQ64">
        <v>14.63</v>
      </c>
      <c r="BR64" s="1" t="s">
        <v>96</v>
      </c>
      <c r="BS64">
        <v>97.31</v>
      </c>
      <c r="BT64">
        <v>8.14</v>
      </c>
      <c r="BU64" s="1">
        <v>10.39</v>
      </c>
      <c r="BV64">
        <v>99.31</v>
      </c>
      <c r="BW64">
        <v>61.92</v>
      </c>
      <c r="BX64" s="1" t="s">
        <v>96</v>
      </c>
    </row>
    <row r="65" spans="1:76">
      <c r="A65">
        <v>215</v>
      </c>
      <c r="B65" t="s">
        <v>740</v>
      </c>
      <c r="D65" t="b">
        <v>1</v>
      </c>
      <c r="E65" t="s">
        <v>741</v>
      </c>
      <c r="G65" t="s">
        <v>742</v>
      </c>
      <c r="H65" s="1" t="s">
        <v>96</v>
      </c>
      <c r="I65" s="1" t="s">
        <v>96</v>
      </c>
      <c r="J65">
        <v>10.61</v>
      </c>
      <c r="K65" s="1" t="s">
        <v>96</v>
      </c>
      <c r="L65" s="1" t="s">
        <v>96</v>
      </c>
      <c r="M65" s="1" t="s">
        <v>96</v>
      </c>
      <c r="N65" s="1" t="s">
        <v>96</v>
      </c>
      <c r="O65" s="1" t="s">
        <v>96</v>
      </c>
      <c r="P65" s="1" t="s">
        <v>96</v>
      </c>
      <c r="Q65" s="1" t="s">
        <v>96</v>
      </c>
      <c r="R65" s="1" t="s">
        <v>96</v>
      </c>
      <c r="S65" s="1" t="s">
        <v>96</v>
      </c>
      <c r="T65" t="s">
        <v>96</v>
      </c>
      <c r="U65" s="1" t="s">
        <v>96</v>
      </c>
      <c r="V65">
        <v>1.33</v>
      </c>
      <c r="W65" t="s">
        <v>96</v>
      </c>
      <c r="X65">
        <v>47.51</v>
      </c>
      <c r="Y65" s="1" t="s">
        <v>96</v>
      </c>
      <c r="Z65" t="s">
        <v>96</v>
      </c>
      <c r="AA65">
        <v>2.33</v>
      </c>
      <c r="AB65">
        <v>84.96</v>
      </c>
      <c r="AC65" s="1" t="s">
        <v>96</v>
      </c>
      <c r="AD65" s="1" t="s">
        <v>96</v>
      </c>
      <c r="AE65" s="1" t="s">
        <v>96</v>
      </c>
      <c r="AF65" s="1" t="s">
        <v>96</v>
      </c>
      <c r="AG65" s="1" t="s">
        <v>96</v>
      </c>
      <c r="AH65" s="1">
        <v>1.4</v>
      </c>
      <c r="AI65" t="s">
        <v>96</v>
      </c>
      <c r="AJ65">
        <v>6.69</v>
      </c>
      <c r="AK65" s="1" t="s">
        <v>96</v>
      </c>
      <c r="AL65" s="1" t="s">
        <v>96</v>
      </c>
      <c r="AM65">
        <v>56.48</v>
      </c>
      <c r="AN65">
        <v>2.66</v>
      </c>
      <c r="AO65" s="1" t="s">
        <v>96</v>
      </c>
      <c r="AP65" s="1" t="s">
        <v>96</v>
      </c>
      <c r="AQ65" t="s">
        <v>96</v>
      </c>
      <c r="AR65" s="1" t="s">
        <v>96</v>
      </c>
      <c r="AS65">
        <v>2322.2600000000002</v>
      </c>
      <c r="AT65">
        <v>6.29</v>
      </c>
      <c r="AU65">
        <v>64.540000000000006</v>
      </c>
      <c r="AV65" s="1" t="s">
        <v>96</v>
      </c>
      <c r="AW65" t="s">
        <v>133</v>
      </c>
      <c r="AX65" s="1" t="s">
        <v>96</v>
      </c>
      <c r="AY65" s="1" t="s">
        <v>96</v>
      </c>
      <c r="AZ65">
        <v>51.13</v>
      </c>
      <c r="BA65" s="1" t="s">
        <v>96</v>
      </c>
      <c r="BB65" s="1" t="s">
        <v>96</v>
      </c>
      <c r="BC65">
        <v>126.23</v>
      </c>
      <c r="BD65" t="s">
        <v>96</v>
      </c>
      <c r="BE65" s="1" t="s">
        <v>96</v>
      </c>
      <c r="BF65" s="1" t="s">
        <v>96</v>
      </c>
      <c r="BG65" t="s">
        <v>96</v>
      </c>
      <c r="BH65">
        <v>142.25</v>
      </c>
      <c r="BI65" t="s">
        <v>96</v>
      </c>
      <c r="BJ65" t="s">
        <v>96</v>
      </c>
      <c r="BK65" s="1" t="s">
        <v>96</v>
      </c>
      <c r="BL65" s="1" t="s">
        <v>96</v>
      </c>
      <c r="BM65" s="1" t="s">
        <v>96</v>
      </c>
      <c r="BN65" s="1" t="s">
        <v>96</v>
      </c>
      <c r="BO65" s="1" t="s">
        <v>96</v>
      </c>
      <c r="BP65">
        <v>89.45</v>
      </c>
      <c r="BQ65">
        <v>5.65</v>
      </c>
      <c r="BR65" s="1">
        <v>5.3</v>
      </c>
      <c r="BS65" t="s">
        <v>96</v>
      </c>
      <c r="BT65" t="s">
        <v>96</v>
      </c>
      <c r="BU65" s="1" t="s">
        <v>96</v>
      </c>
      <c r="BV65">
        <v>12.61</v>
      </c>
      <c r="BW65" t="s">
        <v>96</v>
      </c>
      <c r="BX65" s="1" t="s">
        <v>96</v>
      </c>
    </row>
    <row r="66" spans="1:76">
      <c r="A66">
        <v>48</v>
      </c>
      <c r="B66" t="s">
        <v>239</v>
      </c>
      <c r="D66" t="b">
        <v>1</v>
      </c>
      <c r="E66" t="s">
        <v>240</v>
      </c>
      <c r="G66" t="s">
        <v>241</v>
      </c>
      <c r="H66" s="1" t="s">
        <v>96</v>
      </c>
      <c r="I66" s="1" t="s">
        <v>96</v>
      </c>
      <c r="J66">
        <v>19.61</v>
      </c>
      <c r="K66" s="1" t="s">
        <v>96</v>
      </c>
      <c r="L66" s="1" t="s">
        <v>96</v>
      </c>
      <c r="M66" s="1" t="s">
        <v>96</v>
      </c>
      <c r="N66" s="1" t="s">
        <v>96</v>
      </c>
      <c r="O66" s="1" t="s">
        <v>96</v>
      </c>
      <c r="P66" s="1" t="s">
        <v>96</v>
      </c>
      <c r="Q66" s="1" t="s">
        <v>96</v>
      </c>
      <c r="R66" s="1" t="s">
        <v>96</v>
      </c>
      <c r="S66" s="1" t="s">
        <v>96</v>
      </c>
      <c r="T66" t="s">
        <v>96</v>
      </c>
      <c r="U66" s="1" t="s">
        <v>96</v>
      </c>
      <c r="V66">
        <v>7.01</v>
      </c>
      <c r="W66">
        <v>5.35</v>
      </c>
      <c r="X66">
        <v>30.62</v>
      </c>
      <c r="Y66" s="1" t="s">
        <v>96</v>
      </c>
      <c r="Z66">
        <v>7.01</v>
      </c>
      <c r="AA66">
        <v>190</v>
      </c>
      <c r="AB66">
        <v>270.08999999999997</v>
      </c>
      <c r="AC66" s="1" t="s">
        <v>96</v>
      </c>
      <c r="AD66" s="1" t="s">
        <v>96</v>
      </c>
      <c r="AE66" s="1" t="s">
        <v>96</v>
      </c>
      <c r="AF66" s="1" t="s">
        <v>96</v>
      </c>
      <c r="AG66" s="1" t="s">
        <v>96</v>
      </c>
      <c r="AH66" s="1" t="s">
        <v>96</v>
      </c>
      <c r="AI66">
        <v>30.89</v>
      </c>
      <c r="AJ66">
        <v>16.2</v>
      </c>
      <c r="AK66" s="1" t="s">
        <v>96</v>
      </c>
      <c r="AL66" s="1" t="s">
        <v>96</v>
      </c>
      <c r="AM66">
        <v>75.040000000000006</v>
      </c>
      <c r="AN66">
        <v>3.97</v>
      </c>
      <c r="AO66" s="1" t="s">
        <v>96</v>
      </c>
      <c r="AP66" s="1" t="s">
        <v>96</v>
      </c>
      <c r="AQ66">
        <v>3.91</v>
      </c>
      <c r="AR66" s="1" t="s">
        <v>96</v>
      </c>
      <c r="AS66" t="s">
        <v>133</v>
      </c>
      <c r="AT66">
        <v>958.99</v>
      </c>
      <c r="AU66">
        <v>134.27000000000001</v>
      </c>
      <c r="AV66" s="1" t="s">
        <v>96</v>
      </c>
      <c r="AW66" t="s">
        <v>133</v>
      </c>
      <c r="AX66" s="1" t="s">
        <v>96</v>
      </c>
      <c r="AY66" s="1" t="s">
        <v>96</v>
      </c>
      <c r="AZ66">
        <v>89.15</v>
      </c>
      <c r="BA66" s="1" t="s">
        <v>96</v>
      </c>
      <c r="BB66" s="1" t="s">
        <v>96</v>
      </c>
      <c r="BC66">
        <v>136.9</v>
      </c>
      <c r="BD66">
        <v>46.74</v>
      </c>
      <c r="BE66" s="1" t="s">
        <v>96</v>
      </c>
      <c r="BF66" s="1">
        <v>3.25</v>
      </c>
      <c r="BG66">
        <v>5.2</v>
      </c>
      <c r="BH66">
        <v>93.19</v>
      </c>
      <c r="BI66">
        <v>23.86</v>
      </c>
      <c r="BJ66" t="s">
        <v>96</v>
      </c>
      <c r="BK66" s="1" t="s">
        <v>96</v>
      </c>
      <c r="BL66" s="1" t="s">
        <v>96</v>
      </c>
      <c r="BM66" s="1" t="s">
        <v>96</v>
      </c>
      <c r="BN66" s="1" t="s">
        <v>96</v>
      </c>
      <c r="BO66" s="1" t="s">
        <v>96</v>
      </c>
      <c r="BP66">
        <v>205.26</v>
      </c>
      <c r="BQ66">
        <v>5.59</v>
      </c>
      <c r="BR66" s="1">
        <v>8.1300000000000008</v>
      </c>
      <c r="BS66">
        <v>313.52999999999997</v>
      </c>
      <c r="BT66">
        <v>10.76</v>
      </c>
      <c r="BU66" s="1" t="s">
        <v>96</v>
      </c>
      <c r="BV66">
        <v>28.14</v>
      </c>
      <c r="BW66">
        <v>219.92</v>
      </c>
      <c r="BX66" s="1" t="s">
        <v>96</v>
      </c>
    </row>
    <row r="67" spans="1:76">
      <c r="A67">
        <v>17</v>
      </c>
      <c r="B67" t="s">
        <v>146</v>
      </c>
      <c r="D67" t="b">
        <v>1</v>
      </c>
      <c r="E67" t="s">
        <v>147</v>
      </c>
      <c r="G67" t="s">
        <v>148</v>
      </c>
      <c r="H67" s="1" t="s">
        <v>96</v>
      </c>
      <c r="I67" s="1" t="s">
        <v>96</v>
      </c>
      <c r="J67">
        <v>16.2</v>
      </c>
      <c r="K67" s="1" t="s">
        <v>96</v>
      </c>
      <c r="L67" s="1" t="s">
        <v>96</v>
      </c>
      <c r="M67" s="1">
        <v>6.6</v>
      </c>
      <c r="N67" s="1" t="s">
        <v>96</v>
      </c>
      <c r="O67" s="1" t="s">
        <v>96</v>
      </c>
      <c r="P67" s="1" t="s">
        <v>96</v>
      </c>
      <c r="Q67" s="1" t="s">
        <v>96</v>
      </c>
      <c r="R67" s="1" t="s">
        <v>96</v>
      </c>
      <c r="S67" s="1" t="s">
        <v>96</v>
      </c>
      <c r="T67" t="s">
        <v>96</v>
      </c>
      <c r="U67" s="1" t="s">
        <v>96</v>
      </c>
      <c r="V67" t="s">
        <v>96</v>
      </c>
      <c r="W67">
        <v>1.08</v>
      </c>
      <c r="X67">
        <v>107.84</v>
      </c>
      <c r="Y67" s="1" t="s">
        <v>96</v>
      </c>
      <c r="Z67" t="s">
        <v>96</v>
      </c>
      <c r="AA67">
        <v>19.940000000000001</v>
      </c>
      <c r="AB67">
        <v>7.1</v>
      </c>
      <c r="AC67" s="1" t="s">
        <v>96</v>
      </c>
      <c r="AD67" s="1">
        <v>3.1</v>
      </c>
      <c r="AE67" s="1" t="s">
        <v>96</v>
      </c>
      <c r="AF67" s="1" t="s">
        <v>96</v>
      </c>
      <c r="AG67" s="1" t="s">
        <v>96</v>
      </c>
      <c r="AH67" s="1" t="s">
        <v>96</v>
      </c>
      <c r="AI67">
        <v>101.64</v>
      </c>
      <c r="AJ67">
        <v>14.16</v>
      </c>
      <c r="AK67" s="1" t="s">
        <v>96</v>
      </c>
      <c r="AL67" s="1">
        <v>10.94</v>
      </c>
      <c r="AM67">
        <v>8.5500000000000007</v>
      </c>
      <c r="AN67" t="s">
        <v>96</v>
      </c>
      <c r="AO67" s="1" t="s">
        <v>96</v>
      </c>
      <c r="AP67" s="1" t="s">
        <v>96</v>
      </c>
      <c r="AQ67">
        <v>3.34</v>
      </c>
      <c r="AR67" s="1" t="s">
        <v>96</v>
      </c>
      <c r="AS67">
        <v>101.66</v>
      </c>
      <c r="AT67">
        <v>40.380000000000003</v>
      </c>
      <c r="AU67">
        <v>17.82</v>
      </c>
      <c r="AV67" s="1" t="s">
        <v>96</v>
      </c>
      <c r="AW67">
        <v>25.05</v>
      </c>
      <c r="AX67" s="1" t="s">
        <v>96</v>
      </c>
      <c r="AY67" s="1" t="s">
        <v>96</v>
      </c>
      <c r="AZ67">
        <v>2.99</v>
      </c>
      <c r="BA67" s="1" t="s">
        <v>96</v>
      </c>
      <c r="BB67" s="1" t="s">
        <v>96</v>
      </c>
      <c r="BC67">
        <v>11.91</v>
      </c>
      <c r="BD67">
        <v>4.6500000000000004</v>
      </c>
      <c r="BE67" s="1" t="s">
        <v>96</v>
      </c>
      <c r="BF67" s="1" t="s">
        <v>96</v>
      </c>
      <c r="BG67" t="s">
        <v>96</v>
      </c>
      <c r="BH67">
        <v>5.55</v>
      </c>
      <c r="BI67">
        <v>53.2</v>
      </c>
      <c r="BJ67">
        <v>10.59</v>
      </c>
      <c r="BK67" s="1" t="s">
        <v>96</v>
      </c>
      <c r="BL67" s="1" t="s">
        <v>96</v>
      </c>
      <c r="BM67" s="1" t="s">
        <v>96</v>
      </c>
      <c r="BN67" s="1" t="s">
        <v>96</v>
      </c>
      <c r="BO67" s="1">
        <v>6.19</v>
      </c>
      <c r="BP67">
        <v>23.13</v>
      </c>
      <c r="BQ67" t="s">
        <v>96</v>
      </c>
      <c r="BR67" s="1" t="s">
        <v>96</v>
      </c>
      <c r="BS67">
        <v>570.59</v>
      </c>
      <c r="BT67" t="s">
        <v>96</v>
      </c>
      <c r="BU67" s="1" t="s">
        <v>96</v>
      </c>
      <c r="BV67">
        <v>16.77</v>
      </c>
      <c r="BW67">
        <v>20.49</v>
      </c>
      <c r="BX67" s="1" t="s">
        <v>96</v>
      </c>
    </row>
    <row r="68" spans="1:76">
      <c r="A68">
        <v>104</v>
      </c>
      <c r="B68" t="s">
        <v>407</v>
      </c>
      <c r="D68" t="b">
        <v>1</v>
      </c>
      <c r="E68" t="s">
        <v>408</v>
      </c>
      <c r="G68" t="s">
        <v>409</v>
      </c>
      <c r="H68" s="1" t="s">
        <v>96</v>
      </c>
      <c r="I68" s="1" t="s">
        <v>96</v>
      </c>
      <c r="J68">
        <v>10.88</v>
      </c>
      <c r="K68" s="1" t="s">
        <v>96</v>
      </c>
      <c r="L68" s="1" t="s">
        <v>96</v>
      </c>
      <c r="M68" s="1" t="s">
        <v>96</v>
      </c>
      <c r="N68" s="1" t="s">
        <v>96</v>
      </c>
      <c r="O68" s="1" t="s">
        <v>96</v>
      </c>
      <c r="P68" s="1" t="s">
        <v>96</v>
      </c>
      <c r="Q68" s="1" t="s">
        <v>96</v>
      </c>
      <c r="R68" s="1" t="s">
        <v>96</v>
      </c>
      <c r="S68" s="1" t="s">
        <v>96</v>
      </c>
      <c r="T68">
        <v>1.47</v>
      </c>
      <c r="U68" s="1" t="s">
        <v>96</v>
      </c>
      <c r="V68">
        <v>18.27</v>
      </c>
      <c r="W68">
        <v>12.24</v>
      </c>
      <c r="X68">
        <v>126.6</v>
      </c>
      <c r="Y68" s="1" t="s">
        <v>96</v>
      </c>
      <c r="Z68">
        <v>8.1</v>
      </c>
      <c r="AA68">
        <v>252.52</v>
      </c>
      <c r="AB68">
        <v>546.88</v>
      </c>
      <c r="AC68" s="1">
        <v>4.55</v>
      </c>
      <c r="AD68" s="1" t="s">
        <v>96</v>
      </c>
      <c r="AE68" s="1" t="s">
        <v>96</v>
      </c>
      <c r="AF68" s="1" t="s">
        <v>96</v>
      </c>
      <c r="AG68" s="1" t="s">
        <v>96</v>
      </c>
      <c r="AH68" s="1">
        <v>1.83</v>
      </c>
      <c r="AI68">
        <v>196.3</v>
      </c>
      <c r="AJ68">
        <v>43.06</v>
      </c>
      <c r="AK68" s="1" t="s">
        <v>96</v>
      </c>
      <c r="AL68" s="1">
        <v>4.76</v>
      </c>
      <c r="AM68">
        <v>667.86</v>
      </c>
      <c r="AN68">
        <v>28.1</v>
      </c>
      <c r="AO68" s="1" t="s">
        <v>96</v>
      </c>
      <c r="AP68" s="1" t="s">
        <v>96</v>
      </c>
      <c r="AQ68">
        <v>16.25</v>
      </c>
      <c r="AR68" s="1">
        <v>3.33</v>
      </c>
      <c r="AS68" t="s">
        <v>133</v>
      </c>
      <c r="AT68">
        <v>655.73</v>
      </c>
      <c r="AU68">
        <v>199.55</v>
      </c>
      <c r="AV68" s="1" t="s">
        <v>96</v>
      </c>
      <c r="AW68">
        <v>992.39</v>
      </c>
      <c r="AX68" s="1" t="s">
        <v>96</v>
      </c>
      <c r="AY68" s="1">
        <v>7.09</v>
      </c>
      <c r="AZ68">
        <v>36.479999999999997</v>
      </c>
      <c r="BA68" s="1">
        <v>15.01</v>
      </c>
      <c r="BB68" s="1" t="s">
        <v>96</v>
      </c>
      <c r="BC68">
        <v>503.31</v>
      </c>
      <c r="BD68">
        <v>113.83</v>
      </c>
      <c r="BE68" s="1" t="s">
        <v>96</v>
      </c>
      <c r="BF68" s="1">
        <v>8.5500000000000007</v>
      </c>
      <c r="BG68">
        <v>7.39</v>
      </c>
      <c r="BH68">
        <v>176.79</v>
      </c>
      <c r="BI68">
        <v>80.41</v>
      </c>
      <c r="BJ68">
        <v>7.18</v>
      </c>
      <c r="BK68" s="1" t="s">
        <v>96</v>
      </c>
      <c r="BL68" s="1" t="s">
        <v>96</v>
      </c>
      <c r="BM68" s="1" t="s">
        <v>96</v>
      </c>
      <c r="BN68" s="1" t="s">
        <v>96</v>
      </c>
      <c r="BO68" s="1" t="s">
        <v>96</v>
      </c>
      <c r="BP68">
        <v>117.16</v>
      </c>
      <c r="BQ68">
        <v>31.2</v>
      </c>
      <c r="BR68" s="1" t="s">
        <v>96</v>
      </c>
      <c r="BS68">
        <v>467.52</v>
      </c>
      <c r="BT68">
        <v>11.28</v>
      </c>
      <c r="BU68" s="1" t="s">
        <v>96</v>
      </c>
      <c r="BV68">
        <v>13.3</v>
      </c>
      <c r="BW68">
        <v>44.4</v>
      </c>
      <c r="BX68" s="1" t="s">
        <v>96</v>
      </c>
    </row>
    <row r="69" spans="1:76">
      <c r="A69">
        <v>84</v>
      </c>
      <c r="B69" t="s">
        <v>347</v>
      </c>
      <c r="D69" t="b">
        <v>1</v>
      </c>
      <c r="E69" t="s">
        <v>348</v>
      </c>
      <c r="G69" t="s">
        <v>349</v>
      </c>
      <c r="H69" s="1" t="s">
        <v>96</v>
      </c>
      <c r="I69" s="1" t="s">
        <v>96</v>
      </c>
      <c r="J69">
        <v>21.37</v>
      </c>
      <c r="K69" s="1" t="s">
        <v>96</v>
      </c>
      <c r="L69" s="1" t="s">
        <v>96</v>
      </c>
      <c r="M69" s="1" t="s">
        <v>96</v>
      </c>
      <c r="N69" s="1" t="s">
        <v>96</v>
      </c>
      <c r="O69" s="1" t="s">
        <v>96</v>
      </c>
      <c r="P69" s="1" t="s">
        <v>96</v>
      </c>
      <c r="Q69" s="1" t="s">
        <v>96</v>
      </c>
      <c r="R69" s="1" t="s">
        <v>96</v>
      </c>
      <c r="S69" s="1" t="s">
        <v>96</v>
      </c>
      <c r="T69" t="s">
        <v>96</v>
      </c>
      <c r="U69" s="1" t="s">
        <v>96</v>
      </c>
      <c r="V69">
        <v>3.82</v>
      </c>
      <c r="W69" t="s">
        <v>96</v>
      </c>
      <c r="X69">
        <v>80.3</v>
      </c>
      <c r="Y69" s="1" t="s">
        <v>96</v>
      </c>
      <c r="Z69" t="s">
        <v>96</v>
      </c>
      <c r="AA69">
        <v>104.3</v>
      </c>
      <c r="AB69">
        <v>234.88</v>
      </c>
      <c r="AC69" s="1" t="s">
        <v>96</v>
      </c>
      <c r="AD69" s="1" t="s">
        <v>96</v>
      </c>
      <c r="AE69" s="1" t="s">
        <v>96</v>
      </c>
      <c r="AF69" s="1" t="s">
        <v>96</v>
      </c>
      <c r="AG69" s="1" t="s">
        <v>96</v>
      </c>
      <c r="AH69" s="1" t="s">
        <v>96</v>
      </c>
      <c r="AI69">
        <v>44.64</v>
      </c>
      <c r="AJ69">
        <v>59.5</v>
      </c>
      <c r="AK69" s="1" t="s">
        <v>96</v>
      </c>
      <c r="AL69" s="1" t="s">
        <v>96</v>
      </c>
      <c r="AM69">
        <v>92.3</v>
      </c>
      <c r="AN69">
        <v>14.28</v>
      </c>
      <c r="AO69" s="1" t="s">
        <v>96</v>
      </c>
      <c r="AP69" s="1" t="s">
        <v>96</v>
      </c>
      <c r="AQ69" t="s">
        <v>96</v>
      </c>
      <c r="AR69" s="1" t="s">
        <v>96</v>
      </c>
      <c r="AS69">
        <v>1328.7</v>
      </c>
      <c r="AT69">
        <v>196.36</v>
      </c>
      <c r="AU69">
        <v>168.85</v>
      </c>
      <c r="AV69" s="1" t="s">
        <v>96</v>
      </c>
      <c r="AW69">
        <v>319.77</v>
      </c>
      <c r="AX69" s="1" t="s">
        <v>96</v>
      </c>
      <c r="AY69" s="1" t="s">
        <v>96</v>
      </c>
      <c r="AZ69">
        <v>29.64</v>
      </c>
      <c r="BA69" s="1">
        <v>6.45</v>
      </c>
      <c r="BB69" s="1" t="s">
        <v>96</v>
      </c>
      <c r="BC69">
        <v>127.12</v>
      </c>
      <c r="BD69">
        <v>25.84</v>
      </c>
      <c r="BE69" s="1" t="s">
        <v>96</v>
      </c>
      <c r="BF69" s="1">
        <v>2.83</v>
      </c>
      <c r="BG69">
        <v>2.56</v>
      </c>
      <c r="BH69">
        <v>36.33</v>
      </c>
      <c r="BI69">
        <v>84.8</v>
      </c>
      <c r="BJ69">
        <v>4.51</v>
      </c>
      <c r="BK69" s="1" t="s">
        <v>96</v>
      </c>
      <c r="BL69" s="1" t="s">
        <v>96</v>
      </c>
      <c r="BM69" s="1" t="s">
        <v>96</v>
      </c>
      <c r="BN69" s="1">
        <v>3.01</v>
      </c>
      <c r="BO69" s="1" t="s">
        <v>96</v>
      </c>
      <c r="BP69">
        <v>142.54</v>
      </c>
      <c r="BQ69">
        <v>25.78</v>
      </c>
      <c r="BR69" s="1" t="s">
        <v>96</v>
      </c>
      <c r="BS69">
        <v>283.81</v>
      </c>
      <c r="BT69">
        <v>24.43</v>
      </c>
      <c r="BU69" s="1" t="s">
        <v>96</v>
      </c>
      <c r="BV69">
        <v>33.200000000000003</v>
      </c>
      <c r="BW69">
        <v>64.010000000000005</v>
      </c>
      <c r="BX69" s="1" t="s">
        <v>96</v>
      </c>
    </row>
    <row r="70" spans="1:76">
      <c r="A70">
        <v>123</v>
      </c>
      <c r="B70" t="s">
        <v>464</v>
      </c>
      <c r="D70" t="b">
        <v>1</v>
      </c>
      <c r="E70" t="s">
        <v>465</v>
      </c>
      <c r="G70" t="s">
        <v>466</v>
      </c>
      <c r="H70" s="1" t="s">
        <v>96</v>
      </c>
      <c r="I70" s="1" t="s">
        <v>96</v>
      </c>
      <c r="J70">
        <v>30.35</v>
      </c>
      <c r="K70" s="1" t="s">
        <v>96</v>
      </c>
      <c r="L70" s="1">
        <v>21.28</v>
      </c>
      <c r="M70" s="1">
        <v>6.3</v>
      </c>
      <c r="N70" s="1" t="s">
        <v>96</v>
      </c>
      <c r="O70" s="1" t="s">
        <v>96</v>
      </c>
      <c r="P70" s="1" t="s">
        <v>96</v>
      </c>
      <c r="Q70" s="1" t="s">
        <v>96</v>
      </c>
      <c r="R70" s="1" t="s">
        <v>96</v>
      </c>
      <c r="S70" s="1" t="s">
        <v>96</v>
      </c>
      <c r="T70" t="s">
        <v>96</v>
      </c>
      <c r="U70" s="1" t="s">
        <v>96</v>
      </c>
      <c r="V70">
        <v>11.57</v>
      </c>
      <c r="W70">
        <v>23.19</v>
      </c>
      <c r="X70">
        <v>84.25</v>
      </c>
      <c r="Y70" s="1" t="s">
        <v>96</v>
      </c>
      <c r="Z70">
        <v>12.66</v>
      </c>
      <c r="AA70">
        <v>663.78</v>
      </c>
      <c r="AB70">
        <v>216.63</v>
      </c>
      <c r="AC70" s="1">
        <v>8</v>
      </c>
      <c r="AD70" s="1" t="s">
        <v>96</v>
      </c>
      <c r="AE70" s="1" t="s">
        <v>96</v>
      </c>
      <c r="AF70" s="1" t="s">
        <v>96</v>
      </c>
      <c r="AG70" s="1" t="s">
        <v>96</v>
      </c>
      <c r="AH70" s="1">
        <v>1.1000000000000001</v>
      </c>
      <c r="AI70">
        <v>241.95</v>
      </c>
      <c r="AJ70" t="s">
        <v>133</v>
      </c>
      <c r="AK70" s="1">
        <v>2.38</v>
      </c>
      <c r="AL70" s="1">
        <v>3.86</v>
      </c>
      <c r="AM70">
        <v>581.29999999999995</v>
      </c>
      <c r="AN70">
        <v>17.41</v>
      </c>
      <c r="AO70" s="1" t="s">
        <v>96</v>
      </c>
      <c r="AP70" s="1" t="s">
        <v>96</v>
      </c>
      <c r="AQ70">
        <v>58.62</v>
      </c>
      <c r="AR70" s="1" t="s">
        <v>96</v>
      </c>
      <c r="AS70" t="s">
        <v>133</v>
      </c>
      <c r="AT70" t="s">
        <v>133</v>
      </c>
      <c r="AU70" t="s">
        <v>133</v>
      </c>
      <c r="AV70" s="1" t="s">
        <v>96</v>
      </c>
      <c r="AW70" t="s">
        <v>133</v>
      </c>
      <c r="AX70" s="1" t="s">
        <v>96</v>
      </c>
      <c r="AY70" s="1">
        <v>30.56</v>
      </c>
      <c r="AZ70">
        <v>159.79</v>
      </c>
      <c r="BA70" s="1" t="s">
        <v>133</v>
      </c>
      <c r="BB70" s="1" t="s">
        <v>96</v>
      </c>
      <c r="BC70">
        <v>911.64</v>
      </c>
      <c r="BD70">
        <v>798.6</v>
      </c>
      <c r="BE70" s="1" t="s">
        <v>96</v>
      </c>
      <c r="BF70" s="1">
        <v>21.47</v>
      </c>
      <c r="BG70">
        <v>42.18</v>
      </c>
      <c r="BH70" t="s">
        <v>133</v>
      </c>
      <c r="BI70">
        <v>522.46</v>
      </c>
      <c r="BJ70">
        <v>26.67</v>
      </c>
      <c r="BK70" s="1" t="s">
        <v>96</v>
      </c>
      <c r="BL70" s="1" t="s">
        <v>96</v>
      </c>
      <c r="BM70" s="1">
        <v>15.07</v>
      </c>
      <c r="BN70" s="1">
        <v>2.9</v>
      </c>
      <c r="BO70" s="1">
        <v>449.64</v>
      </c>
      <c r="BP70">
        <v>913.3</v>
      </c>
      <c r="BQ70">
        <v>99.13</v>
      </c>
      <c r="BR70" s="1">
        <v>124.93</v>
      </c>
      <c r="BS70" t="s">
        <v>133</v>
      </c>
      <c r="BT70">
        <v>256.83</v>
      </c>
      <c r="BU70" s="1">
        <v>853.44</v>
      </c>
      <c r="BV70" t="s">
        <v>133</v>
      </c>
      <c r="BW70">
        <v>2361.91</v>
      </c>
      <c r="BX70" s="1">
        <v>9.8000000000000007</v>
      </c>
    </row>
    <row r="71" spans="1:76">
      <c r="A71">
        <v>221</v>
      </c>
      <c r="B71" t="s">
        <v>758</v>
      </c>
      <c r="D71" t="b">
        <v>1</v>
      </c>
      <c r="E71" t="s">
        <v>759</v>
      </c>
      <c r="G71" t="s">
        <v>760</v>
      </c>
      <c r="H71" s="1" t="s">
        <v>96</v>
      </c>
      <c r="I71" s="1" t="s">
        <v>96</v>
      </c>
      <c r="J71">
        <v>12.76</v>
      </c>
      <c r="K71" s="1" t="s">
        <v>96</v>
      </c>
      <c r="L71" s="1" t="s">
        <v>96</v>
      </c>
      <c r="M71" s="1">
        <v>6.61</v>
      </c>
      <c r="N71" s="1" t="s">
        <v>96</v>
      </c>
      <c r="O71" s="1" t="s">
        <v>96</v>
      </c>
      <c r="P71" s="1" t="s">
        <v>96</v>
      </c>
      <c r="Q71" s="1" t="s">
        <v>96</v>
      </c>
      <c r="R71" s="1" t="s">
        <v>96</v>
      </c>
      <c r="S71" s="1" t="s">
        <v>96</v>
      </c>
      <c r="T71" t="s">
        <v>96</v>
      </c>
      <c r="U71" s="1" t="s">
        <v>96</v>
      </c>
      <c r="V71">
        <v>1.53</v>
      </c>
      <c r="W71">
        <v>7.85</v>
      </c>
      <c r="X71">
        <v>60.12</v>
      </c>
      <c r="Y71" s="1" t="s">
        <v>96</v>
      </c>
      <c r="Z71">
        <v>12.94</v>
      </c>
      <c r="AA71">
        <v>118.63</v>
      </c>
      <c r="AB71">
        <v>53.67</v>
      </c>
      <c r="AC71" s="1">
        <v>4.71</v>
      </c>
      <c r="AD71" s="1" t="s">
        <v>96</v>
      </c>
      <c r="AE71" s="1" t="s">
        <v>96</v>
      </c>
      <c r="AF71" s="1" t="s">
        <v>96</v>
      </c>
      <c r="AG71" s="1" t="s">
        <v>96</v>
      </c>
      <c r="AH71" s="1" t="s">
        <v>96</v>
      </c>
      <c r="AI71">
        <v>115.19</v>
      </c>
      <c r="AJ71">
        <v>9.43</v>
      </c>
      <c r="AK71" s="1" t="s">
        <v>96</v>
      </c>
      <c r="AL71" s="1">
        <v>1.05</v>
      </c>
      <c r="AM71">
        <v>14.79</v>
      </c>
      <c r="AN71">
        <v>2.4700000000000002</v>
      </c>
      <c r="AO71" s="1" t="s">
        <v>96</v>
      </c>
      <c r="AP71" s="1" t="s">
        <v>96</v>
      </c>
      <c r="AQ71">
        <v>9.74</v>
      </c>
      <c r="AR71" s="1" t="s">
        <v>96</v>
      </c>
      <c r="AS71">
        <v>2126.12</v>
      </c>
      <c r="AT71">
        <v>1057.4100000000001</v>
      </c>
      <c r="AU71">
        <v>123.88</v>
      </c>
      <c r="AV71" s="1" t="s">
        <v>96</v>
      </c>
      <c r="AW71">
        <v>462.58</v>
      </c>
      <c r="AX71" s="1" t="s">
        <v>96</v>
      </c>
      <c r="AY71" s="1">
        <v>18.190000000000001</v>
      </c>
      <c r="AZ71">
        <v>70.900000000000006</v>
      </c>
      <c r="BA71" s="1">
        <v>16.32</v>
      </c>
      <c r="BB71" s="1" t="s">
        <v>96</v>
      </c>
      <c r="BC71">
        <v>635.29</v>
      </c>
      <c r="BD71">
        <v>406.48</v>
      </c>
      <c r="BE71" s="1" t="s">
        <v>96</v>
      </c>
      <c r="BF71" s="1">
        <v>23.93</v>
      </c>
      <c r="BG71">
        <v>49.53</v>
      </c>
      <c r="BH71">
        <v>188.49</v>
      </c>
      <c r="BI71">
        <v>545.91</v>
      </c>
      <c r="BJ71" t="s">
        <v>96</v>
      </c>
      <c r="BK71" s="1" t="s">
        <v>96</v>
      </c>
      <c r="BL71" s="1" t="s">
        <v>96</v>
      </c>
      <c r="BM71" s="1" t="s">
        <v>96</v>
      </c>
      <c r="BN71" s="1" t="s">
        <v>96</v>
      </c>
      <c r="BO71" s="1">
        <v>12.39</v>
      </c>
      <c r="BP71">
        <v>245.88</v>
      </c>
      <c r="BQ71">
        <v>88.02</v>
      </c>
      <c r="BR71" s="1" t="s">
        <v>96</v>
      </c>
      <c r="BS71">
        <v>1003.52</v>
      </c>
      <c r="BT71">
        <v>186.27</v>
      </c>
      <c r="BU71" s="1">
        <v>12.08</v>
      </c>
      <c r="BV71">
        <v>48.85</v>
      </c>
      <c r="BW71">
        <v>304.36</v>
      </c>
      <c r="BX71" s="1" t="s">
        <v>96</v>
      </c>
    </row>
    <row r="72" spans="1:76">
      <c r="A72">
        <v>40</v>
      </c>
      <c r="B72" t="s">
        <v>215</v>
      </c>
      <c r="D72" t="b">
        <v>1</v>
      </c>
      <c r="E72" t="s">
        <v>216</v>
      </c>
      <c r="G72" t="s">
        <v>217</v>
      </c>
      <c r="H72" s="1" t="s">
        <v>96</v>
      </c>
      <c r="I72" s="1" t="s">
        <v>96</v>
      </c>
      <c r="J72">
        <v>15.84</v>
      </c>
      <c r="K72" s="1" t="s">
        <v>96</v>
      </c>
      <c r="L72" s="1" t="s">
        <v>96</v>
      </c>
      <c r="M72" s="1" t="s">
        <v>96</v>
      </c>
      <c r="N72" s="1" t="s">
        <v>96</v>
      </c>
      <c r="O72" s="1" t="s">
        <v>96</v>
      </c>
      <c r="P72" s="1" t="s">
        <v>96</v>
      </c>
      <c r="Q72" s="1" t="s">
        <v>96</v>
      </c>
      <c r="R72" s="1" t="s">
        <v>96</v>
      </c>
      <c r="S72" s="1" t="s">
        <v>96</v>
      </c>
      <c r="T72">
        <v>2.76</v>
      </c>
      <c r="U72" s="1" t="s">
        <v>96</v>
      </c>
      <c r="V72">
        <v>14.01</v>
      </c>
      <c r="W72">
        <v>2.59</v>
      </c>
      <c r="X72">
        <v>784.48</v>
      </c>
      <c r="Y72" s="1" t="s">
        <v>96</v>
      </c>
      <c r="Z72">
        <v>19.98</v>
      </c>
      <c r="AA72">
        <v>437.54</v>
      </c>
      <c r="AB72">
        <v>924.63</v>
      </c>
      <c r="AC72" s="1" t="s">
        <v>96</v>
      </c>
      <c r="AD72" s="1" t="s">
        <v>96</v>
      </c>
      <c r="AE72" s="1" t="s">
        <v>96</v>
      </c>
      <c r="AF72" s="1" t="s">
        <v>96</v>
      </c>
      <c r="AG72" s="1" t="s">
        <v>96</v>
      </c>
      <c r="AH72" s="1">
        <v>1.29</v>
      </c>
      <c r="AI72">
        <v>89.26</v>
      </c>
      <c r="AJ72">
        <v>275.74</v>
      </c>
      <c r="AK72" s="1">
        <v>2.71</v>
      </c>
      <c r="AL72" s="1" t="s">
        <v>96</v>
      </c>
      <c r="AM72">
        <v>253.84</v>
      </c>
      <c r="AN72">
        <v>9.7200000000000006</v>
      </c>
      <c r="AO72" s="1" t="s">
        <v>96</v>
      </c>
      <c r="AP72" s="1" t="s">
        <v>96</v>
      </c>
      <c r="AQ72">
        <v>2.62</v>
      </c>
      <c r="AR72" s="1">
        <v>5.22</v>
      </c>
      <c r="AS72" t="s">
        <v>133</v>
      </c>
      <c r="AT72">
        <v>878.97</v>
      </c>
      <c r="AU72">
        <v>779.13</v>
      </c>
      <c r="AV72" s="1" t="s">
        <v>96</v>
      </c>
      <c r="AW72">
        <v>893.74</v>
      </c>
      <c r="AX72" s="1" t="s">
        <v>96</v>
      </c>
      <c r="AY72" s="1" t="s">
        <v>96</v>
      </c>
      <c r="AZ72">
        <v>30.91</v>
      </c>
      <c r="BA72" s="1">
        <v>15.18</v>
      </c>
      <c r="BB72" s="1" t="s">
        <v>96</v>
      </c>
      <c r="BC72">
        <v>145.16</v>
      </c>
      <c r="BD72">
        <v>39.840000000000003</v>
      </c>
      <c r="BE72" s="1" t="s">
        <v>96</v>
      </c>
      <c r="BF72" s="1" t="s">
        <v>96</v>
      </c>
      <c r="BG72" t="s">
        <v>96</v>
      </c>
      <c r="BH72">
        <v>40.82</v>
      </c>
      <c r="BI72" t="s">
        <v>96</v>
      </c>
      <c r="BJ72" t="s">
        <v>96</v>
      </c>
      <c r="BK72" s="1" t="s">
        <v>96</v>
      </c>
      <c r="BL72" s="1" t="s">
        <v>96</v>
      </c>
      <c r="BM72" s="1" t="s">
        <v>96</v>
      </c>
      <c r="BN72" s="1" t="s">
        <v>96</v>
      </c>
      <c r="BO72" s="1" t="s">
        <v>96</v>
      </c>
      <c r="BP72">
        <v>194</v>
      </c>
      <c r="BQ72">
        <v>9.7100000000000009</v>
      </c>
      <c r="BR72" s="1" t="s">
        <v>96</v>
      </c>
      <c r="BS72">
        <v>97.87</v>
      </c>
      <c r="BT72">
        <v>9.48</v>
      </c>
      <c r="BU72" s="1">
        <v>10.44</v>
      </c>
      <c r="BV72">
        <v>235.39</v>
      </c>
      <c r="BW72">
        <v>159.38999999999999</v>
      </c>
      <c r="BX72" s="1" t="s">
        <v>96</v>
      </c>
    </row>
    <row r="73" spans="1:76">
      <c r="A73">
        <v>7</v>
      </c>
      <c r="B73" t="s">
        <v>115</v>
      </c>
      <c r="D73" t="b">
        <v>1</v>
      </c>
      <c r="E73" t="s">
        <v>116</v>
      </c>
      <c r="G73" t="s">
        <v>117</v>
      </c>
      <c r="H73" s="1" t="s">
        <v>96</v>
      </c>
      <c r="I73" s="1" t="s">
        <v>96</v>
      </c>
      <c r="J73">
        <v>10.69</v>
      </c>
      <c r="K73" s="1" t="s">
        <v>96</v>
      </c>
      <c r="L73" s="1" t="s">
        <v>96</v>
      </c>
      <c r="M73" s="1" t="s">
        <v>96</v>
      </c>
      <c r="N73" s="1" t="s">
        <v>96</v>
      </c>
      <c r="O73" s="1" t="s">
        <v>96</v>
      </c>
      <c r="P73" s="1" t="s">
        <v>96</v>
      </c>
      <c r="Q73" s="1" t="s">
        <v>96</v>
      </c>
      <c r="R73" s="1" t="s">
        <v>96</v>
      </c>
      <c r="S73" s="1" t="s">
        <v>96</v>
      </c>
      <c r="T73">
        <v>1.18</v>
      </c>
      <c r="U73" s="1" t="s">
        <v>96</v>
      </c>
      <c r="V73">
        <v>3.82</v>
      </c>
      <c r="W73">
        <v>2.63</v>
      </c>
      <c r="X73">
        <v>93.12</v>
      </c>
      <c r="Y73" s="1" t="s">
        <v>96</v>
      </c>
      <c r="Z73">
        <v>7.23</v>
      </c>
      <c r="AA73">
        <v>65.69</v>
      </c>
      <c r="AB73">
        <v>136.81</v>
      </c>
      <c r="AC73" s="1" t="s">
        <v>96</v>
      </c>
      <c r="AD73" s="1" t="s">
        <v>96</v>
      </c>
      <c r="AE73" s="1" t="s">
        <v>96</v>
      </c>
      <c r="AF73" s="1" t="s">
        <v>96</v>
      </c>
      <c r="AG73" s="1" t="s">
        <v>96</v>
      </c>
      <c r="AH73" s="1" t="s">
        <v>96</v>
      </c>
      <c r="AI73">
        <v>29.7</v>
      </c>
      <c r="AJ73">
        <v>33.869999999999997</v>
      </c>
      <c r="AK73" s="1" t="s">
        <v>96</v>
      </c>
      <c r="AL73" s="1" t="s">
        <v>96</v>
      </c>
      <c r="AM73">
        <v>37.53</v>
      </c>
      <c r="AN73">
        <v>6.55</v>
      </c>
      <c r="AO73" s="1" t="s">
        <v>96</v>
      </c>
      <c r="AP73" s="1" t="s">
        <v>96</v>
      </c>
      <c r="AQ73" t="s">
        <v>96</v>
      </c>
      <c r="AR73" s="1" t="s">
        <v>96</v>
      </c>
      <c r="AS73">
        <v>475.41</v>
      </c>
      <c r="AT73">
        <v>40.01</v>
      </c>
      <c r="AU73">
        <v>35.020000000000003</v>
      </c>
      <c r="AV73" s="1" t="s">
        <v>96</v>
      </c>
      <c r="AW73">
        <v>201.93</v>
      </c>
      <c r="AX73" s="1" t="s">
        <v>96</v>
      </c>
      <c r="AY73" s="1" t="s">
        <v>96</v>
      </c>
      <c r="AZ73">
        <v>13.81</v>
      </c>
      <c r="BA73" s="1">
        <v>2.85</v>
      </c>
      <c r="BB73" s="1" t="s">
        <v>96</v>
      </c>
      <c r="BC73">
        <v>106.77</v>
      </c>
      <c r="BD73">
        <v>14.88</v>
      </c>
      <c r="BE73" s="1" t="s">
        <v>96</v>
      </c>
      <c r="BF73" s="1">
        <v>4.68</v>
      </c>
      <c r="BG73" t="s">
        <v>96</v>
      </c>
      <c r="BH73">
        <v>44.62</v>
      </c>
      <c r="BI73">
        <v>29.25</v>
      </c>
      <c r="BJ73" t="s">
        <v>96</v>
      </c>
      <c r="BK73" s="1" t="s">
        <v>96</v>
      </c>
      <c r="BL73" s="1" t="s">
        <v>96</v>
      </c>
      <c r="BM73" s="1" t="s">
        <v>96</v>
      </c>
      <c r="BN73" s="1" t="s">
        <v>96</v>
      </c>
      <c r="BO73" s="1">
        <v>6.22</v>
      </c>
      <c r="BP73">
        <v>163.04</v>
      </c>
      <c r="BQ73">
        <v>52.42</v>
      </c>
      <c r="BR73" s="1" t="s">
        <v>96</v>
      </c>
      <c r="BS73">
        <v>77.459999999999994</v>
      </c>
      <c r="BT73">
        <v>22.74</v>
      </c>
      <c r="BU73" s="1" t="s">
        <v>96</v>
      </c>
      <c r="BV73">
        <v>42.43</v>
      </c>
      <c r="BW73">
        <v>38.659999999999997</v>
      </c>
      <c r="BX73" s="1" t="s">
        <v>96</v>
      </c>
    </row>
    <row r="74" spans="1:76">
      <c r="A74">
        <v>77</v>
      </c>
      <c r="B74" t="s">
        <v>326</v>
      </c>
      <c r="D74" t="b">
        <v>1</v>
      </c>
      <c r="E74" t="s">
        <v>327</v>
      </c>
      <c r="G74" t="s">
        <v>328</v>
      </c>
      <c r="H74" s="1" t="s">
        <v>96</v>
      </c>
      <c r="I74" s="1" t="s">
        <v>96</v>
      </c>
      <c r="J74">
        <v>23.99</v>
      </c>
      <c r="K74" s="1" t="s">
        <v>96</v>
      </c>
      <c r="L74" s="1" t="s">
        <v>96</v>
      </c>
      <c r="M74" s="1" t="s">
        <v>96</v>
      </c>
      <c r="N74" s="1" t="s">
        <v>96</v>
      </c>
      <c r="O74" s="1" t="s">
        <v>96</v>
      </c>
      <c r="P74" s="1" t="s">
        <v>96</v>
      </c>
      <c r="Q74" s="1" t="s">
        <v>96</v>
      </c>
      <c r="R74" s="1" t="s">
        <v>96</v>
      </c>
      <c r="S74" s="1" t="s">
        <v>96</v>
      </c>
      <c r="T74">
        <v>1.89</v>
      </c>
      <c r="U74" s="1" t="s">
        <v>96</v>
      </c>
      <c r="V74">
        <v>3.6</v>
      </c>
      <c r="W74">
        <v>6.09</v>
      </c>
      <c r="X74">
        <v>160.52000000000001</v>
      </c>
      <c r="Y74" s="1" t="s">
        <v>96</v>
      </c>
      <c r="Z74">
        <v>29.51</v>
      </c>
      <c r="AA74">
        <v>546.88</v>
      </c>
      <c r="AB74">
        <v>415.03</v>
      </c>
      <c r="AC74" s="1" t="s">
        <v>96</v>
      </c>
      <c r="AD74" s="1">
        <v>1.64</v>
      </c>
      <c r="AE74" s="1" t="s">
        <v>96</v>
      </c>
      <c r="AF74" s="1" t="s">
        <v>96</v>
      </c>
      <c r="AG74" s="1" t="s">
        <v>96</v>
      </c>
      <c r="AH74" s="1">
        <v>3.46</v>
      </c>
      <c r="AI74">
        <v>189.06</v>
      </c>
      <c r="AJ74">
        <v>80.67</v>
      </c>
      <c r="AK74" s="1" t="s">
        <v>96</v>
      </c>
      <c r="AL74" s="1" t="s">
        <v>96</v>
      </c>
      <c r="AM74">
        <v>111.84</v>
      </c>
      <c r="AN74">
        <v>12.51</v>
      </c>
      <c r="AO74" s="1" t="s">
        <v>96</v>
      </c>
      <c r="AP74" s="1" t="s">
        <v>96</v>
      </c>
      <c r="AQ74">
        <v>11.53</v>
      </c>
      <c r="AR74" s="1">
        <v>4.28</v>
      </c>
      <c r="AS74" t="s">
        <v>133</v>
      </c>
      <c r="AT74">
        <v>1127.8599999999999</v>
      </c>
      <c r="AU74">
        <v>304.43</v>
      </c>
      <c r="AV74" s="1" t="s">
        <v>96</v>
      </c>
      <c r="AW74">
        <v>788.93</v>
      </c>
      <c r="AX74" s="1" t="s">
        <v>96</v>
      </c>
      <c r="AY74" s="1">
        <v>8.14</v>
      </c>
      <c r="AZ74">
        <v>23.46</v>
      </c>
      <c r="BA74" s="1">
        <v>22.09</v>
      </c>
      <c r="BB74" s="1" t="s">
        <v>96</v>
      </c>
      <c r="BC74">
        <v>369.65</v>
      </c>
      <c r="BD74">
        <v>190.28</v>
      </c>
      <c r="BE74" s="1" t="s">
        <v>96</v>
      </c>
      <c r="BF74" s="1" t="s">
        <v>96</v>
      </c>
      <c r="BG74">
        <v>3.2</v>
      </c>
      <c r="BH74">
        <v>133.43</v>
      </c>
      <c r="BI74">
        <v>158.97999999999999</v>
      </c>
      <c r="BJ74">
        <v>8.07</v>
      </c>
      <c r="BK74" s="1" t="s">
        <v>96</v>
      </c>
      <c r="BL74" s="1" t="s">
        <v>96</v>
      </c>
      <c r="BM74" s="1" t="s">
        <v>96</v>
      </c>
      <c r="BN74" s="1" t="s">
        <v>96</v>
      </c>
      <c r="BO74" s="1">
        <v>17.43</v>
      </c>
      <c r="BP74">
        <v>292.45999999999998</v>
      </c>
      <c r="BQ74">
        <v>41.47</v>
      </c>
      <c r="BR74" s="1" t="s">
        <v>96</v>
      </c>
      <c r="BS74">
        <v>602.01</v>
      </c>
      <c r="BT74">
        <v>42.32</v>
      </c>
      <c r="BU74" s="1">
        <v>16.37</v>
      </c>
      <c r="BV74">
        <v>117.37</v>
      </c>
      <c r="BW74">
        <v>203.36</v>
      </c>
      <c r="BX74" s="1" t="s">
        <v>96</v>
      </c>
    </row>
    <row r="75" spans="1:76">
      <c r="A75">
        <v>25</v>
      </c>
      <c r="B75" t="s">
        <v>170</v>
      </c>
      <c r="D75" t="b">
        <v>1</v>
      </c>
      <c r="E75" t="s">
        <v>171</v>
      </c>
      <c r="G75" t="s">
        <v>172</v>
      </c>
      <c r="H75" s="1" t="s">
        <v>96</v>
      </c>
      <c r="I75" s="1" t="s">
        <v>96</v>
      </c>
      <c r="J75">
        <v>10.95</v>
      </c>
      <c r="K75" s="1" t="s">
        <v>96</v>
      </c>
      <c r="L75" s="1" t="s">
        <v>96</v>
      </c>
      <c r="M75" s="1">
        <v>6.51</v>
      </c>
      <c r="N75" s="1" t="s">
        <v>96</v>
      </c>
      <c r="O75" s="1" t="s">
        <v>96</v>
      </c>
      <c r="P75" s="1" t="s">
        <v>96</v>
      </c>
      <c r="Q75" s="1" t="s">
        <v>96</v>
      </c>
      <c r="R75" s="1" t="s">
        <v>96</v>
      </c>
      <c r="S75" s="1" t="s">
        <v>96</v>
      </c>
      <c r="T75" t="s">
        <v>96</v>
      </c>
      <c r="U75" s="1" t="s">
        <v>96</v>
      </c>
      <c r="V75">
        <v>7.18</v>
      </c>
      <c r="W75">
        <v>34.229999999999997</v>
      </c>
      <c r="X75">
        <v>26.32</v>
      </c>
      <c r="Y75" s="1" t="s">
        <v>96</v>
      </c>
      <c r="Z75">
        <v>14.23</v>
      </c>
      <c r="AA75">
        <v>198.32</v>
      </c>
      <c r="AB75">
        <v>107.53</v>
      </c>
      <c r="AC75" s="1" t="s">
        <v>96</v>
      </c>
      <c r="AD75" s="1">
        <v>9.51</v>
      </c>
      <c r="AE75" s="1" t="s">
        <v>96</v>
      </c>
      <c r="AF75" s="1" t="s">
        <v>96</v>
      </c>
      <c r="AG75" s="1" t="s">
        <v>96</v>
      </c>
      <c r="AH75" s="1" t="s">
        <v>96</v>
      </c>
      <c r="AI75">
        <v>562.15</v>
      </c>
      <c r="AJ75">
        <v>52.6</v>
      </c>
      <c r="AK75" s="1" t="s">
        <v>96</v>
      </c>
      <c r="AL75" s="1">
        <v>3.62</v>
      </c>
      <c r="AM75">
        <v>164.06</v>
      </c>
      <c r="AN75">
        <v>10.49</v>
      </c>
      <c r="AO75" s="1" t="s">
        <v>96</v>
      </c>
      <c r="AP75" s="1" t="s">
        <v>96</v>
      </c>
      <c r="AQ75">
        <v>22.45</v>
      </c>
      <c r="AR75" s="1" t="s">
        <v>96</v>
      </c>
      <c r="AS75">
        <v>1269.01</v>
      </c>
      <c r="AT75">
        <v>650.87</v>
      </c>
      <c r="AU75">
        <v>101.85</v>
      </c>
      <c r="AV75" s="1" t="s">
        <v>96</v>
      </c>
      <c r="AW75">
        <v>428.93</v>
      </c>
      <c r="AX75" s="1" t="s">
        <v>96</v>
      </c>
      <c r="AY75" s="1">
        <v>7.05</v>
      </c>
      <c r="AZ75">
        <v>18.52</v>
      </c>
      <c r="BA75" s="1">
        <v>4.84</v>
      </c>
      <c r="BB75" s="1" t="s">
        <v>96</v>
      </c>
      <c r="BC75">
        <v>132.52000000000001</v>
      </c>
      <c r="BD75">
        <v>79.06</v>
      </c>
      <c r="BE75" s="1" t="s">
        <v>96</v>
      </c>
      <c r="BF75" s="1" t="s">
        <v>96</v>
      </c>
      <c r="BG75">
        <v>6.74</v>
      </c>
      <c r="BH75">
        <v>60.93</v>
      </c>
      <c r="BI75">
        <v>133.81</v>
      </c>
      <c r="BJ75">
        <v>25.55</v>
      </c>
      <c r="BK75" s="1" t="s">
        <v>96</v>
      </c>
      <c r="BL75" s="1" t="s">
        <v>96</v>
      </c>
      <c r="BM75" s="1">
        <v>15.33</v>
      </c>
      <c r="BN75" s="1">
        <v>3.53</v>
      </c>
      <c r="BO75" s="1">
        <v>12.15</v>
      </c>
      <c r="BP75">
        <v>86.71</v>
      </c>
      <c r="BQ75">
        <v>21.98</v>
      </c>
      <c r="BR75" s="1" t="s">
        <v>96</v>
      </c>
      <c r="BS75">
        <v>699.92</v>
      </c>
      <c r="BT75">
        <v>32.68</v>
      </c>
      <c r="BU75" s="1" t="s">
        <v>96</v>
      </c>
      <c r="BV75">
        <v>21.11</v>
      </c>
      <c r="BW75">
        <v>132.71</v>
      </c>
      <c r="BX75" s="1" t="s">
        <v>96</v>
      </c>
    </row>
    <row r="76" spans="1:76">
      <c r="A76">
        <v>157</v>
      </c>
      <c r="B76" t="s">
        <v>566</v>
      </c>
      <c r="D76" t="b">
        <v>1</v>
      </c>
      <c r="E76" t="s">
        <v>567</v>
      </c>
      <c r="G76" t="s">
        <v>568</v>
      </c>
      <c r="H76" s="1" t="s">
        <v>96</v>
      </c>
      <c r="I76" s="1" t="s">
        <v>96</v>
      </c>
      <c r="J76">
        <v>25.01</v>
      </c>
      <c r="K76" s="1" t="s">
        <v>96</v>
      </c>
      <c r="L76" s="1" t="s">
        <v>96</v>
      </c>
      <c r="M76" s="1" t="s">
        <v>96</v>
      </c>
      <c r="N76" s="1" t="s">
        <v>96</v>
      </c>
      <c r="O76" s="1" t="s">
        <v>96</v>
      </c>
      <c r="P76" s="1" t="s">
        <v>96</v>
      </c>
      <c r="Q76" s="1" t="s">
        <v>96</v>
      </c>
      <c r="R76" s="1" t="s">
        <v>96</v>
      </c>
      <c r="S76" s="1" t="s">
        <v>96</v>
      </c>
      <c r="T76" t="s">
        <v>96</v>
      </c>
      <c r="U76" s="1" t="s">
        <v>96</v>
      </c>
      <c r="V76" t="s">
        <v>96</v>
      </c>
      <c r="W76" t="s">
        <v>96</v>
      </c>
      <c r="X76">
        <v>57.15</v>
      </c>
      <c r="Y76" s="1" t="s">
        <v>96</v>
      </c>
      <c r="Z76" t="s">
        <v>96</v>
      </c>
      <c r="AA76">
        <v>61.68</v>
      </c>
      <c r="AB76">
        <v>106.49</v>
      </c>
      <c r="AC76" s="1" t="s">
        <v>96</v>
      </c>
      <c r="AD76" s="1" t="s">
        <v>96</v>
      </c>
      <c r="AE76" s="1" t="s">
        <v>96</v>
      </c>
      <c r="AF76" s="1" t="s">
        <v>96</v>
      </c>
      <c r="AG76" s="1" t="s">
        <v>96</v>
      </c>
      <c r="AH76" s="1" t="s">
        <v>96</v>
      </c>
      <c r="AI76" t="s">
        <v>96</v>
      </c>
      <c r="AJ76">
        <v>19.399999999999999</v>
      </c>
      <c r="AK76" s="1" t="s">
        <v>96</v>
      </c>
      <c r="AL76" s="1" t="s">
        <v>96</v>
      </c>
      <c r="AM76">
        <v>33.590000000000003</v>
      </c>
      <c r="AN76">
        <v>9.94</v>
      </c>
      <c r="AO76" s="1" t="s">
        <v>96</v>
      </c>
      <c r="AP76" s="1" t="s">
        <v>96</v>
      </c>
      <c r="AQ76" t="s">
        <v>96</v>
      </c>
      <c r="AR76" s="1" t="s">
        <v>96</v>
      </c>
      <c r="AS76">
        <v>395.08</v>
      </c>
      <c r="AT76">
        <v>27.14</v>
      </c>
      <c r="AU76">
        <v>38.39</v>
      </c>
      <c r="AV76" s="1" t="s">
        <v>96</v>
      </c>
      <c r="AW76">
        <v>105.17</v>
      </c>
      <c r="AX76" s="1" t="s">
        <v>96</v>
      </c>
      <c r="AY76" s="1" t="s">
        <v>96</v>
      </c>
      <c r="AZ76">
        <v>21.87</v>
      </c>
      <c r="BA76" s="1" t="s">
        <v>96</v>
      </c>
      <c r="BB76" s="1" t="s">
        <v>96</v>
      </c>
      <c r="BC76">
        <v>33.28</v>
      </c>
      <c r="BD76">
        <v>3.16</v>
      </c>
      <c r="BE76" s="1" t="s">
        <v>96</v>
      </c>
      <c r="BF76" s="1" t="s">
        <v>96</v>
      </c>
      <c r="BG76" t="s">
        <v>96</v>
      </c>
      <c r="BH76">
        <v>9.81</v>
      </c>
      <c r="BI76" t="s">
        <v>96</v>
      </c>
      <c r="BJ76" t="s">
        <v>96</v>
      </c>
      <c r="BK76" s="1" t="s">
        <v>96</v>
      </c>
      <c r="BL76" s="1" t="s">
        <v>96</v>
      </c>
      <c r="BM76" s="1" t="s">
        <v>96</v>
      </c>
      <c r="BN76" s="1" t="s">
        <v>96</v>
      </c>
      <c r="BO76" s="1" t="s">
        <v>96</v>
      </c>
      <c r="BP76">
        <v>75.06</v>
      </c>
      <c r="BQ76">
        <v>13.17</v>
      </c>
      <c r="BR76" s="1" t="s">
        <v>96</v>
      </c>
      <c r="BS76">
        <v>37.1</v>
      </c>
      <c r="BT76" t="s">
        <v>96</v>
      </c>
      <c r="BU76" s="1" t="s">
        <v>96</v>
      </c>
      <c r="BV76">
        <v>15.01</v>
      </c>
      <c r="BW76">
        <v>15.75</v>
      </c>
      <c r="BX76" s="1" t="s">
        <v>96</v>
      </c>
    </row>
    <row r="77" spans="1:76">
      <c r="A77">
        <v>52</v>
      </c>
      <c r="B77" t="s">
        <v>251</v>
      </c>
      <c r="D77" t="b">
        <v>1</v>
      </c>
      <c r="E77" t="s">
        <v>252</v>
      </c>
      <c r="G77" t="s">
        <v>253</v>
      </c>
      <c r="H77" s="1" t="s">
        <v>96</v>
      </c>
      <c r="I77" s="1" t="s">
        <v>96</v>
      </c>
      <c r="J77">
        <v>14.93</v>
      </c>
      <c r="K77" s="1" t="s">
        <v>96</v>
      </c>
      <c r="L77" s="1" t="s">
        <v>96</v>
      </c>
      <c r="M77" s="1" t="s">
        <v>96</v>
      </c>
      <c r="N77" s="1" t="s">
        <v>96</v>
      </c>
      <c r="O77" s="1" t="s">
        <v>96</v>
      </c>
      <c r="P77" s="1" t="s">
        <v>96</v>
      </c>
      <c r="Q77" s="1" t="s">
        <v>96</v>
      </c>
      <c r="R77" s="1" t="s">
        <v>96</v>
      </c>
      <c r="S77" s="1" t="s">
        <v>96</v>
      </c>
      <c r="T77" t="s">
        <v>96</v>
      </c>
      <c r="U77" s="1" t="s">
        <v>96</v>
      </c>
      <c r="V77">
        <v>1.39</v>
      </c>
      <c r="W77">
        <v>1.95</v>
      </c>
      <c r="X77">
        <v>6.41</v>
      </c>
      <c r="Y77" s="1" t="s">
        <v>96</v>
      </c>
      <c r="Z77" t="s">
        <v>96</v>
      </c>
      <c r="AA77">
        <v>78.28</v>
      </c>
      <c r="AB77">
        <v>25.71</v>
      </c>
      <c r="AC77" s="1" t="s">
        <v>96</v>
      </c>
      <c r="AD77" s="1" t="s">
        <v>96</v>
      </c>
      <c r="AE77" s="1" t="s">
        <v>96</v>
      </c>
      <c r="AF77" s="1" t="s">
        <v>96</v>
      </c>
      <c r="AG77" s="1" t="s">
        <v>96</v>
      </c>
      <c r="AH77" s="1" t="s">
        <v>96</v>
      </c>
      <c r="AI77" t="s">
        <v>96</v>
      </c>
      <c r="AJ77">
        <v>2.31</v>
      </c>
      <c r="AK77" s="1" t="s">
        <v>96</v>
      </c>
      <c r="AL77" s="1" t="s">
        <v>96</v>
      </c>
      <c r="AM77">
        <v>77.03</v>
      </c>
      <c r="AN77">
        <v>3.36</v>
      </c>
      <c r="AO77" s="1" t="s">
        <v>96</v>
      </c>
      <c r="AP77" s="1" t="s">
        <v>96</v>
      </c>
      <c r="AQ77" t="s">
        <v>96</v>
      </c>
      <c r="AR77" s="1" t="s">
        <v>96</v>
      </c>
      <c r="AS77">
        <v>2246.52</v>
      </c>
      <c r="AT77">
        <v>284.49</v>
      </c>
      <c r="AU77">
        <v>32.18</v>
      </c>
      <c r="AV77" s="1" t="s">
        <v>96</v>
      </c>
      <c r="AW77" t="s">
        <v>133</v>
      </c>
      <c r="AX77" s="1" t="s">
        <v>96</v>
      </c>
      <c r="AY77" s="1" t="s">
        <v>96</v>
      </c>
      <c r="AZ77">
        <v>74.22</v>
      </c>
      <c r="BA77" s="1" t="s">
        <v>96</v>
      </c>
      <c r="BB77" s="1" t="s">
        <v>96</v>
      </c>
      <c r="BC77">
        <v>40.619999999999997</v>
      </c>
      <c r="BD77">
        <v>5.62</v>
      </c>
      <c r="BE77" s="1" t="s">
        <v>96</v>
      </c>
      <c r="BF77" s="1">
        <v>2.72</v>
      </c>
      <c r="BG77" t="s">
        <v>96</v>
      </c>
      <c r="BH77">
        <v>46.64</v>
      </c>
      <c r="BI77" t="s">
        <v>96</v>
      </c>
      <c r="BJ77" t="s">
        <v>96</v>
      </c>
      <c r="BK77" s="1" t="s">
        <v>96</v>
      </c>
      <c r="BL77" s="1" t="s">
        <v>96</v>
      </c>
      <c r="BM77" s="1" t="s">
        <v>96</v>
      </c>
      <c r="BN77" s="1" t="s">
        <v>96</v>
      </c>
      <c r="BO77" s="1" t="s">
        <v>96</v>
      </c>
      <c r="BP77">
        <v>220.68</v>
      </c>
      <c r="BQ77" t="s">
        <v>96</v>
      </c>
      <c r="BR77" s="1">
        <v>8.57</v>
      </c>
      <c r="BS77">
        <v>140.76</v>
      </c>
      <c r="BT77" t="s">
        <v>96</v>
      </c>
      <c r="BU77" s="1" t="s">
        <v>96</v>
      </c>
      <c r="BV77">
        <v>11.21</v>
      </c>
      <c r="BW77">
        <v>111.52</v>
      </c>
      <c r="BX77" s="1" t="s">
        <v>96</v>
      </c>
    </row>
    <row r="78" spans="1:76">
      <c r="A78">
        <v>208</v>
      </c>
      <c r="B78" t="s">
        <v>719</v>
      </c>
      <c r="D78" t="b">
        <v>1</v>
      </c>
      <c r="E78" t="s">
        <v>720</v>
      </c>
      <c r="G78" t="s">
        <v>721</v>
      </c>
      <c r="H78" s="1" t="s">
        <v>96</v>
      </c>
      <c r="I78" s="1" t="s">
        <v>96</v>
      </c>
      <c r="J78">
        <v>21.74</v>
      </c>
      <c r="K78" s="1" t="s">
        <v>96</v>
      </c>
      <c r="L78" s="1" t="s">
        <v>96</v>
      </c>
      <c r="M78" s="1" t="s">
        <v>96</v>
      </c>
      <c r="N78" s="1" t="s">
        <v>96</v>
      </c>
      <c r="O78" s="1" t="s">
        <v>96</v>
      </c>
      <c r="P78" s="1" t="s">
        <v>96</v>
      </c>
      <c r="Q78" s="1" t="s">
        <v>96</v>
      </c>
      <c r="R78" s="1" t="s">
        <v>96</v>
      </c>
      <c r="S78" s="1" t="s">
        <v>96</v>
      </c>
      <c r="T78" t="s">
        <v>96</v>
      </c>
      <c r="U78" s="1" t="s">
        <v>96</v>
      </c>
      <c r="V78">
        <v>1.48</v>
      </c>
      <c r="W78" t="s">
        <v>96</v>
      </c>
      <c r="X78">
        <v>12.04</v>
      </c>
      <c r="Y78" s="1" t="s">
        <v>96</v>
      </c>
      <c r="Z78" t="s">
        <v>96</v>
      </c>
      <c r="AA78">
        <v>18.86</v>
      </c>
      <c r="AB78">
        <v>61.98</v>
      </c>
      <c r="AC78" s="1" t="s">
        <v>96</v>
      </c>
      <c r="AD78" s="1">
        <v>2.2400000000000002</v>
      </c>
      <c r="AE78" s="1" t="s">
        <v>96</v>
      </c>
      <c r="AF78" s="1" t="s">
        <v>96</v>
      </c>
      <c r="AG78" s="1" t="s">
        <v>96</v>
      </c>
      <c r="AH78" s="1" t="s">
        <v>96</v>
      </c>
      <c r="AI78" t="s">
        <v>96</v>
      </c>
      <c r="AJ78">
        <v>7.64</v>
      </c>
      <c r="AK78" s="1" t="s">
        <v>96</v>
      </c>
      <c r="AL78" s="1" t="s">
        <v>96</v>
      </c>
      <c r="AM78">
        <v>11.7</v>
      </c>
      <c r="AN78">
        <v>2.1</v>
      </c>
      <c r="AO78" s="1" t="s">
        <v>96</v>
      </c>
      <c r="AP78" s="1" t="s">
        <v>96</v>
      </c>
      <c r="AQ78" t="s">
        <v>96</v>
      </c>
      <c r="AR78" s="1" t="s">
        <v>96</v>
      </c>
      <c r="AS78">
        <v>377.23</v>
      </c>
      <c r="AT78">
        <v>52.14</v>
      </c>
      <c r="AU78">
        <v>68.38</v>
      </c>
      <c r="AV78" s="1" t="s">
        <v>96</v>
      </c>
      <c r="AW78">
        <v>69.540000000000006</v>
      </c>
      <c r="AX78" s="1" t="s">
        <v>96</v>
      </c>
      <c r="AY78" s="1" t="s">
        <v>96</v>
      </c>
      <c r="AZ78">
        <v>38.17</v>
      </c>
      <c r="BA78" s="1" t="s">
        <v>96</v>
      </c>
      <c r="BB78" s="1" t="s">
        <v>96</v>
      </c>
      <c r="BC78">
        <v>27.48</v>
      </c>
      <c r="BD78">
        <v>5.9</v>
      </c>
      <c r="BE78" s="1" t="s">
        <v>96</v>
      </c>
      <c r="BF78" s="1">
        <v>2.68</v>
      </c>
      <c r="BG78">
        <v>2.81</v>
      </c>
      <c r="BH78">
        <v>5.64</v>
      </c>
      <c r="BI78">
        <v>71.790000000000006</v>
      </c>
      <c r="BJ78" t="s">
        <v>96</v>
      </c>
      <c r="BK78" s="1" t="s">
        <v>96</v>
      </c>
      <c r="BL78" s="1" t="s">
        <v>96</v>
      </c>
      <c r="BM78" s="1" t="s">
        <v>96</v>
      </c>
      <c r="BN78" s="1" t="s">
        <v>96</v>
      </c>
      <c r="BO78" s="1" t="s">
        <v>96</v>
      </c>
      <c r="BP78">
        <v>260.14</v>
      </c>
      <c r="BQ78">
        <v>29.01</v>
      </c>
      <c r="BR78" s="1" t="s">
        <v>96</v>
      </c>
      <c r="BS78">
        <v>108.45</v>
      </c>
      <c r="BT78">
        <v>58.5</v>
      </c>
      <c r="BU78" s="1" t="s">
        <v>96</v>
      </c>
      <c r="BV78">
        <v>82.32</v>
      </c>
      <c r="BW78">
        <v>260.24</v>
      </c>
      <c r="BX78" s="1" t="s">
        <v>96</v>
      </c>
    </row>
    <row r="79" spans="1:76">
      <c r="A79">
        <v>5</v>
      </c>
      <c r="B79" t="s">
        <v>109</v>
      </c>
      <c r="D79" t="b">
        <v>1</v>
      </c>
      <c r="E79" t="s">
        <v>110</v>
      </c>
      <c r="G79" t="s">
        <v>111</v>
      </c>
      <c r="H79" s="1" t="s">
        <v>96</v>
      </c>
      <c r="I79" s="1" t="s">
        <v>96</v>
      </c>
      <c r="J79">
        <v>10.53</v>
      </c>
      <c r="K79" s="1" t="s">
        <v>96</v>
      </c>
      <c r="L79" s="1" t="s">
        <v>96</v>
      </c>
      <c r="M79" s="1" t="s">
        <v>96</v>
      </c>
      <c r="N79" s="1" t="s">
        <v>96</v>
      </c>
      <c r="O79" s="1" t="s">
        <v>96</v>
      </c>
      <c r="P79" s="1" t="s">
        <v>96</v>
      </c>
      <c r="Q79" s="1" t="s">
        <v>96</v>
      </c>
      <c r="R79" s="1" t="s">
        <v>96</v>
      </c>
      <c r="S79" s="1" t="s">
        <v>96</v>
      </c>
      <c r="T79" t="s">
        <v>96</v>
      </c>
      <c r="U79" s="1" t="s">
        <v>96</v>
      </c>
      <c r="V79" t="s">
        <v>96</v>
      </c>
      <c r="W79">
        <v>1.85</v>
      </c>
      <c r="X79">
        <v>61.91</v>
      </c>
      <c r="Y79" s="1" t="s">
        <v>96</v>
      </c>
      <c r="Z79" t="s">
        <v>96</v>
      </c>
      <c r="AA79">
        <v>45.85</v>
      </c>
      <c r="AB79">
        <v>23.42</v>
      </c>
      <c r="AC79" s="1" t="s">
        <v>96</v>
      </c>
      <c r="AD79" s="1" t="s">
        <v>96</v>
      </c>
      <c r="AE79" s="1" t="s">
        <v>96</v>
      </c>
      <c r="AF79" s="1" t="s">
        <v>96</v>
      </c>
      <c r="AG79" s="1" t="s">
        <v>96</v>
      </c>
      <c r="AH79" s="1" t="s">
        <v>96</v>
      </c>
      <c r="AI79">
        <v>26.92</v>
      </c>
      <c r="AJ79">
        <v>9.91</v>
      </c>
      <c r="AK79" s="1" t="s">
        <v>96</v>
      </c>
      <c r="AL79" s="1" t="s">
        <v>96</v>
      </c>
      <c r="AM79">
        <v>24.42</v>
      </c>
      <c r="AN79">
        <v>1.8</v>
      </c>
      <c r="AO79" s="1" t="s">
        <v>96</v>
      </c>
      <c r="AP79" s="1" t="s">
        <v>96</v>
      </c>
      <c r="AQ79" t="s">
        <v>96</v>
      </c>
      <c r="AR79" s="1" t="s">
        <v>96</v>
      </c>
      <c r="AS79">
        <v>173.33</v>
      </c>
      <c r="AT79">
        <v>30.93</v>
      </c>
      <c r="AU79">
        <v>21.97</v>
      </c>
      <c r="AV79" s="1" t="s">
        <v>96</v>
      </c>
      <c r="AW79">
        <v>88</v>
      </c>
      <c r="AX79" s="1" t="s">
        <v>96</v>
      </c>
      <c r="AY79" s="1" t="s">
        <v>96</v>
      </c>
      <c r="AZ79">
        <v>8</v>
      </c>
      <c r="BA79" s="1" t="s">
        <v>96</v>
      </c>
      <c r="BB79" s="1" t="s">
        <v>96</v>
      </c>
      <c r="BC79">
        <v>40.33</v>
      </c>
      <c r="BD79">
        <v>8.4700000000000006</v>
      </c>
      <c r="BE79" s="1" t="s">
        <v>96</v>
      </c>
      <c r="BF79" s="1" t="s">
        <v>96</v>
      </c>
      <c r="BG79" t="s">
        <v>96</v>
      </c>
      <c r="BH79">
        <v>18.37</v>
      </c>
      <c r="BI79">
        <v>55.36</v>
      </c>
      <c r="BJ79" t="s">
        <v>96</v>
      </c>
      <c r="BK79" s="1" t="s">
        <v>96</v>
      </c>
      <c r="BL79" s="1" t="s">
        <v>96</v>
      </c>
      <c r="BM79" s="1" t="s">
        <v>96</v>
      </c>
      <c r="BN79" s="1" t="s">
        <v>96</v>
      </c>
      <c r="BO79" s="1">
        <v>5.0999999999999996</v>
      </c>
      <c r="BP79">
        <v>99.52</v>
      </c>
      <c r="BQ79">
        <v>27.81</v>
      </c>
      <c r="BR79" s="1" t="s">
        <v>96</v>
      </c>
      <c r="BS79">
        <v>152.35</v>
      </c>
      <c r="BT79">
        <v>16.760000000000002</v>
      </c>
      <c r="BU79" s="1" t="s">
        <v>96</v>
      </c>
      <c r="BV79">
        <v>31.26</v>
      </c>
      <c r="BW79">
        <v>43.37</v>
      </c>
      <c r="BX79" s="1" t="s">
        <v>96</v>
      </c>
    </row>
    <row r="80" spans="1:76">
      <c r="A80">
        <v>165</v>
      </c>
      <c r="B80" t="s">
        <v>590</v>
      </c>
      <c r="D80" t="b">
        <v>1</v>
      </c>
      <c r="E80" t="s">
        <v>591</v>
      </c>
      <c r="G80" t="s">
        <v>592</v>
      </c>
      <c r="H80" s="1" t="s">
        <v>96</v>
      </c>
      <c r="I80" s="1" t="s">
        <v>96</v>
      </c>
      <c r="J80">
        <v>17.98</v>
      </c>
      <c r="K80" s="1" t="s">
        <v>96</v>
      </c>
      <c r="L80" s="1" t="s">
        <v>96</v>
      </c>
      <c r="M80" s="1" t="s">
        <v>96</v>
      </c>
      <c r="N80" s="1" t="s">
        <v>96</v>
      </c>
      <c r="O80" s="1" t="s">
        <v>96</v>
      </c>
      <c r="P80" s="1" t="s">
        <v>96</v>
      </c>
      <c r="Q80" s="1" t="s">
        <v>96</v>
      </c>
      <c r="R80" s="1" t="s">
        <v>96</v>
      </c>
      <c r="S80" s="1" t="s">
        <v>96</v>
      </c>
      <c r="T80" t="s">
        <v>96</v>
      </c>
      <c r="U80" s="1" t="s">
        <v>96</v>
      </c>
      <c r="V80">
        <v>3.72</v>
      </c>
      <c r="W80" t="s">
        <v>96</v>
      </c>
      <c r="X80">
        <v>46.35</v>
      </c>
      <c r="Y80" s="1" t="s">
        <v>96</v>
      </c>
      <c r="Z80" t="s">
        <v>96</v>
      </c>
      <c r="AA80">
        <v>85.96</v>
      </c>
      <c r="AB80">
        <v>176.19</v>
      </c>
      <c r="AC80" s="1" t="s">
        <v>96</v>
      </c>
      <c r="AD80" s="1" t="s">
        <v>96</v>
      </c>
      <c r="AE80" s="1" t="s">
        <v>96</v>
      </c>
      <c r="AF80" s="1" t="s">
        <v>96</v>
      </c>
      <c r="AG80" s="1" t="s">
        <v>96</v>
      </c>
      <c r="AH80" s="1" t="s">
        <v>96</v>
      </c>
      <c r="AI80" t="s">
        <v>96</v>
      </c>
      <c r="AJ80">
        <v>52.73</v>
      </c>
      <c r="AK80" s="1" t="s">
        <v>96</v>
      </c>
      <c r="AL80" s="1" t="s">
        <v>96</v>
      </c>
      <c r="AM80">
        <v>159.97</v>
      </c>
      <c r="AN80">
        <v>13.78</v>
      </c>
      <c r="AO80" s="1" t="s">
        <v>96</v>
      </c>
      <c r="AP80" s="1" t="s">
        <v>96</v>
      </c>
      <c r="AQ80" t="s">
        <v>96</v>
      </c>
      <c r="AR80" s="1" t="s">
        <v>96</v>
      </c>
      <c r="AS80" t="s">
        <v>133</v>
      </c>
      <c r="AT80">
        <v>152.26</v>
      </c>
      <c r="AU80">
        <v>189.42</v>
      </c>
      <c r="AV80" s="1" t="s">
        <v>96</v>
      </c>
      <c r="AW80" t="s">
        <v>133</v>
      </c>
      <c r="AX80" s="1" t="s">
        <v>96</v>
      </c>
      <c r="AY80" s="1" t="s">
        <v>96</v>
      </c>
      <c r="AZ80">
        <v>39.96</v>
      </c>
      <c r="BA80" s="1">
        <v>2.88</v>
      </c>
      <c r="BB80" s="1" t="s">
        <v>96</v>
      </c>
      <c r="BC80">
        <v>157.15</v>
      </c>
      <c r="BD80">
        <v>8.85</v>
      </c>
      <c r="BE80" s="1" t="s">
        <v>96</v>
      </c>
      <c r="BF80" s="1">
        <v>2.7</v>
      </c>
      <c r="BG80" t="s">
        <v>96</v>
      </c>
      <c r="BH80">
        <v>46.53</v>
      </c>
      <c r="BI80" t="s">
        <v>96</v>
      </c>
      <c r="BJ80" t="s">
        <v>96</v>
      </c>
      <c r="BK80" s="1" t="s">
        <v>96</v>
      </c>
      <c r="BL80" s="1" t="s">
        <v>96</v>
      </c>
      <c r="BM80" s="1" t="s">
        <v>96</v>
      </c>
      <c r="BN80" s="1">
        <v>8.06</v>
      </c>
      <c r="BO80" s="1" t="s">
        <v>96</v>
      </c>
      <c r="BP80">
        <v>336.54</v>
      </c>
      <c r="BQ80">
        <v>35.71</v>
      </c>
      <c r="BR80" s="1">
        <v>10.37</v>
      </c>
      <c r="BS80">
        <v>60.79</v>
      </c>
      <c r="BT80">
        <v>8.56</v>
      </c>
      <c r="BU80" s="1" t="s">
        <v>96</v>
      </c>
      <c r="BV80">
        <v>34.92</v>
      </c>
      <c r="BW80">
        <v>43.24</v>
      </c>
      <c r="BX80" s="1" t="s">
        <v>96</v>
      </c>
    </row>
    <row r="81" spans="1:76">
      <c r="A81">
        <v>198</v>
      </c>
      <c r="B81" t="s">
        <v>689</v>
      </c>
      <c r="D81" t="b">
        <v>1</v>
      </c>
      <c r="E81" t="s">
        <v>690</v>
      </c>
      <c r="G81" t="s">
        <v>691</v>
      </c>
      <c r="H81" s="1" t="s">
        <v>96</v>
      </c>
      <c r="I81" s="1" t="s">
        <v>96</v>
      </c>
      <c r="J81">
        <v>16.899999999999999</v>
      </c>
      <c r="K81" s="1" t="s">
        <v>96</v>
      </c>
      <c r="L81" s="1" t="s">
        <v>96</v>
      </c>
      <c r="M81" s="1" t="s">
        <v>96</v>
      </c>
      <c r="N81" s="1" t="s">
        <v>96</v>
      </c>
      <c r="O81" s="1" t="s">
        <v>96</v>
      </c>
      <c r="P81" s="1" t="s">
        <v>96</v>
      </c>
      <c r="Q81" s="1" t="s">
        <v>96</v>
      </c>
      <c r="R81" s="1" t="s">
        <v>96</v>
      </c>
      <c r="S81" s="1" t="s">
        <v>96</v>
      </c>
      <c r="T81">
        <v>1.28</v>
      </c>
      <c r="U81" s="1" t="s">
        <v>96</v>
      </c>
      <c r="V81">
        <v>3.74</v>
      </c>
      <c r="W81" t="s">
        <v>96</v>
      </c>
      <c r="X81">
        <v>44.51</v>
      </c>
      <c r="Y81" s="1" t="s">
        <v>96</v>
      </c>
      <c r="Z81" t="s">
        <v>96</v>
      </c>
      <c r="AA81" t="s">
        <v>96</v>
      </c>
      <c r="AB81">
        <v>264.85000000000002</v>
      </c>
      <c r="AC81" s="1" t="s">
        <v>96</v>
      </c>
      <c r="AD81" s="1" t="s">
        <v>96</v>
      </c>
      <c r="AE81" s="1" t="s">
        <v>96</v>
      </c>
      <c r="AF81" s="1" t="s">
        <v>96</v>
      </c>
      <c r="AG81" s="1" t="s">
        <v>96</v>
      </c>
      <c r="AH81" s="1" t="s">
        <v>96</v>
      </c>
      <c r="AI81" t="s">
        <v>96</v>
      </c>
      <c r="AJ81">
        <v>24.29</v>
      </c>
      <c r="AK81" s="1" t="s">
        <v>96</v>
      </c>
      <c r="AL81" s="1" t="s">
        <v>96</v>
      </c>
      <c r="AM81">
        <v>26.92</v>
      </c>
      <c r="AN81">
        <v>10.64</v>
      </c>
      <c r="AO81" s="1" t="s">
        <v>96</v>
      </c>
      <c r="AP81" s="1" t="s">
        <v>96</v>
      </c>
      <c r="AQ81" t="s">
        <v>96</v>
      </c>
      <c r="AR81" s="1" t="s">
        <v>96</v>
      </c>
      <c r="AS81">
        <v>564.41999999999996</v>
      </c>
      <c r="AT81" t="s">
        <v>96</v>
      </c>
      <c r="AU81">
        <v>48.51</v>
      </c>
      <c r="AV81" s="1" t="s">
        <v>96</v>
      </c>
      <c r="AW81">
        <v>51.16</v>
      </c>
      <c r="AX81" s="1" t="s">
        <v>96</v>
      </c>
      <c r="AY81" s="1" t="s">
        <v>96</v>
      </c>
      <c r="AZ81">
        <v>26.49</v>
      </c>
      <c r="BA81" s="1" t="s">
        <v>96</v>
      </c>
      <c r="BB81" s="1" t="s">
        <v>96</v>
      </c>
      <c r="BC81">
        <v>61.17</v>
      </c>
      <c r="BD81" t="s">
        <v>96</v>
      </c>
      <c r="BE81" s="1" t="s">
        <v>96</v>
      </c>
      <c r="BF81" s="1">
        <v>3.37</v>
      </c>
      <c r="BG81" t="s">
        <v>96</v>
      </c>
      <c r="BH81">
        <v>6.16</v>
      </c>
      <c r="BI81" t="s">
        <v>96</v>
      </c>
      <c r="BJ81" t="s">
        <v>96</v>
      </c>
      <c r="BK81" s="1" t="s">
        <v>96</v>
      </c>
      <c r="BL81" s="1" t="s">
        <v>96</v>
      </c>
      <c r="BM81" s="1" t="s">
        <v>96</v>
      </c>
      <c r="BN81" s="1" t="s">
        <v>96</v>
      </c>
      <c r="BO81" s="1" t="s">
        <v>96</v>
      </c>
      <c r="BP81">
        <v>110.42</v>
      </c>
      <c r="BQ81">
        <v>26.2</v>
      </c>
      <c r="BR81" s="1" t="s">
        <v>96</v>
      </c>
      <c r="BS81" t="s">
        <v>96</v>
      </c>
      <c r="BT81" t="s">
        <v>96</v>
      </c>
      <c r="BU81" s="1" t="s">
        <v>96</v>
      </c>
      <c r="BV81">
        <v>26.52</v>
      </c>
      <c r="BW81" t="s">
        <v>96</v>
      </c>
      <c r="BX81" s="1" t="s">
        <v>96</v>
      </c>
    </row>
    <row r="82" spans="1:76">
      <c r="A82">
        <v>107</v>
      </c>
      <c r="B82" t="s">
        <v>416</v>
      </c>
      <c r="D82" t="b">
        <v>1</v>
      </c>
      <c r="E82" t="s">
        <v>417</v>
      </c>
      <c r="G82" t="s">
        <v>418</v>
      </c>
      <c r="H82" s="1" t="s">
        <v>96</v>
      </c>
      <c r="I82" s="1" t="s">
        <v>96</v>
      </c>
      <c r="J82">
        <v>10.69</v>
      </c>
      <c r="K82" s="1" t="s">
        <v>96</v>
      </c>
      <c r="L82" s="1" t="s">
        <v>96</v>
      </c>
      <c r="M82" s="1" t="s">
        <v>96</v>
      </c>
      <c r="N82" s="1" t="s">
        <v>96</v>
      </c>
      <c r="O82" s="1" t="s">
        <v>96</v>
      </c>
      <c r="P82" s="1" t="s">
        <v>96</v>
      </c>
      <c r="Q82" s="1" t="s">
        <v>96</v>
      </c>
      <c r="R82" s="1" t="s">
        <v>96</v>
      </c>
      <c r="S82" s="1" t="s">
        <v>96</v>
      </c>
      <c r="T82" t="s">
        <v>96</v>
      </c>
      <c r="U82" s="1" t="s">
        <v>96</v>
      </c>
      <c r="V82" t="s">
        <v>96</v>
      </c>
      <c r="W82" t="s">
        <v>96</v>
      </c>
      <c r="X82">
        <v>8.3699999999999992</v>
      </c>
      <c r="Y82" s="1" t="s">
        <v>96</v>
      </c>
      <c r="Z82" t="s">
        <v>96</v>
      </c>
      <c r="AA82">
        <v>32.46</v>
      </c>
      <c r="AB82">
        <v>28.7</v>
      </c>
      <c r="AC82" s="1" t="s">
        <v>96</v>
      </c>
      <c r="AD82" s="1" t="s">
        <v>96</v>
      </c>
      <c r="AE82" s="1" t="s">
        <v>96</v>
      </c>
      <c r="AF82" s="1" t="s">
        <v>96</v>
      </c>
      <c r="AG82" s="1" t="s">
        <v>96</v>
      </c>
      <c r="AH82" s="1" t="s">
        <v>96</v>
      </c>
      <c r="AI82" t="s">
        <v>96</v>
      </c>
      <c r="AJ82">
        <v>4.6900000000000004</v>
      </c>
      <c r="AK82" s="1" t="s">
        <v>96</v>
      </c>
      <c r="AL82" s="1" t="s">
        <v>96</v>
      </c>
      <c r="AM82">
        <v>44.12</v>
      </c>
      <c r="AN82">
        <v>2.33</v>
      </c>
      <c r="AO82" s="1" t="s">
        <v>96</v>
      </c>
      <c r="AP82" s="1" t="s">
        <v>96</v>
      </c>
      <c r="AQ82" t="s">
        <v>96</v>
      </c>
      <c r="AR82" s="1" t="s">
        <v>96</v>
      </c>
      <c r="AS82">
        <v>1202.24</v>
      </c>
      <c r="AT82">
        <v>94.31</v>
      </c>
      <c r="AU82">
        <v>36.630000000000003</v>
      </c>
      <c r="AV82" s="1" t="s">
        <v>96</v>
      </c>
      <c r="AW82">
        <v>711.74</v>
      </c>
      <c r="AX82" s="1" t="s">
        <v>96</v>
      </c>
      <c r="AY82" s="1" t="s">
        <v>96</v>
      </c>
      <c r="AZ82">
        <v>46.62</v>
      </c>
      <c r="BA82" s="1" t="s">
        <v>96</v>
      </c>
      <c r="BB82" s="1" t="s">
        <v>96</v>
      </c>
      <c r="BC82">
        <v>105.42</v>
      </c>
      <c r="BD82">
        <v>13.92</v>
      </c>
      <c r="BE82" s="1" t="s">
        <v>96</v>
      </c>
      <c r="BF82" s="1">
        <v>8.42</v>
      </c>
      <c r="BG82">
        <v>2.7</v>
      </c>
      <c r="BH82">
        <v>65.040000000000006</v>
      </c>
      <c r="BI82">
        <v>47.11</v>
      </c>
      <c r="BJ82" t="s">
        <v>96</v>
      </c>
      <c r="BK82" s="1" t="s">
        <v>96</v>
      </c>
      <c r="BL82" s="1" t="s">
        <v>96</v>
      </c>
      <c r="BM82" s="1" t="s">
        <v>96</v>
      </c>
      <c r="BN82" s="1" t="s">
        <v>96</v>
      </c>
      <c r="BO82" s="1" t="s">
        <v>96</v>
      </c>
      <c r="BP82">
        <v>298.27</v>
      </c>
      <c r="BQ82">
        <v>48.58</v>
      </c>
      <c r="BR82" s="1">
        <v>5.29</v>
      </c>
      <c r="BS82">
        <v>151.91</v>
      </c>
      <c r="BT82">
        <v>18.47</v>
      </c>
      <c r="BU82" s="1" t="s">
        <v>96</v>
      </c>
      <c r="BV82">
        <v>16.87</v>
      </c>
      <c r="BW82">
        <v>58.73</v>
      </c>
      <c r="BX82" s="1" t="s">
        <v>96</v>
      </c>
    </row>
    <row r="83" spans="1:76">
      <c r="A83">
        <v>87</v>
      </c>
      <c r="B83" t="s">
        <v>356</v>
      </c>
      <c r="D83" t="b">
        <v>1</v>
      </c>
      <c r="E83" t="s">
        <v>357</v>
      </c>
      <c r="G83" t="s">
        <v>358</v>
      </c>
      <c r="H83" s="1" t="s">
        <v>96</v>
      </c>
      <c r="I83" s="1" t="s">
        <v>96</v>
      </c>
      <c r="J83">
        <v>16.690000000000001</v>
      </c>
      <c r="K83" s="1" t="s">
        <v>96</v>
      </c>
      <c r="L83" s="1" t="s">
        <v>96</v>
      </c>
      <c r="M83" s="1" t="s">
        <v>96</v>
      </c>
      <c r="N83" s="1" t="s">
        <v>96</v>
      </c>
      <c r="O83" s="1" t="s">
        <v>96</v>
      </c>
      <c r="P83" s="1" t="s">
        <v>96</v>
      </c>
      <c r="Q83" s="1" t="s">
        <v>96</v>
      </c>
      <c r="R83" s="1" t="s">
        <v>96</v>
      </c>
      <c r="S83" s="1" t="s">
        <v>96</v>
      </c>
      <c r="T83" t="s">
        <v>96</v>
      </c>
      <c r="U83" s="1" t="s">
        <v>96</v>
      </c>
      <c r="V83" t="s">
        <v>96</v>
      </c>
      <c r="W83">
        <v>1.52</v>
      </c>
      <c r="X83">
        <v>45.79</v>
      </c>
      <c r="Y83" s="1" t="s">
        <v>96</v>
      </c>
      <c r="Z83" t="s">
        <v>96</v>
      </c>
      <c r="AA83">
        <v>47.42</v>
      </c>
      <c r="AB83">
        <v>18.309999999999999</v>
      </c>
      <c r="AC83" s="1" t="s">
        <v>96</v>
      </c>
      <c r="AD83" s="1" t="s">
        <v>96</v>
      </c>
      <c r="AE83" s="1" t="s">
        <v>96</v>
      </c>
      <c r="AF83" s="1" t="s">
        <v>96</v>
      </c>
      <c r="AG83" s="1" t="s">
        <v>96</v>
      </c>
      <c r="AH83" s="1" t="s">
        <v>96</v>
      </c>
      <c r="AI83" t="s">
        <v>96</v>
      </c>
      <c r="AJ83">
        <v>8.33</v>
      </c>
      <c r="AK83" s="1" t="s">
        <v>96</v>
      </c>
      <c r="AL83" s="1" t="s">
        <v>96</v>
      </c>
      <c r="AM83">
        <v>8.7100000000000009</v>
      </c>
      <c r="AN83">
        <v>1.45</v>
      </c>
      <c r="AO83" s="1" t="s">
        <v>96</v>
      </c>
      <c r="AP83" s="1" t="s">
        <v>96</v>
      </c>
      <c r="AQ83" t="s">
        <v>96</v>
      </c>
      <c r="AR83" s="1" t="s">
        <v>96</v>
      </c>
      <c r="AS83">
        <v>732.91</v>
      </c>
      <c r="AT83">
        <v>159.65</v>
      </c>
      <c r="AU83">
        <v>108.52</v>
      </c>
      <c r="AV83" s="1" t="s">
        <v>96</v>
      </c>
      <c r="AW83">
        <v>155.52000000000001</v>
      </c>
      <c r="AX83" s="1" t="s">
        <v>96</v>
      </c>
      <c r="AY83" s="1" t="s">
        <v>96</v>
      </c>
      <c r="AZ83">
        <v>16.059999999999999</v>
      </c>
      <c r="BA83" s="1">
        <v>5.0599999999999996</v>
      </c>
      <c r="BB83" s="1" t="s">
        <v>96</v>
      </c>
      <c r="BC83">
        <v>96.5</v>
      </c>
      <c r="BD83">
        <v>22.39</v>
      </c>
      <c r="BE83" s="1" t="s">
        <v>96</v>
      </c>
      <c r="BF83" s="1" t="s">
        <v>96</v>
      </c>
      <c r="BG83" t="s">
        <v>96</v>
      </c>
      <c r="BH83">
        <v>17.21</v>
      </c>
      <c r="BI83">
        <v>35.979999999999997</v>
      </c>
      <c r="BJ83" t="s">
        <v>96</v>
      </c>
      <c r="BK83" s="1" t="s">
        <v>96</v>
      </c>
      <c r="BL83" s="1" t="s">
        <v>96</v>
      </c>
      <c r="BM83" s="1" t="s">
        <v>96</v>
      </c>
      <c r="BN83" s="1" t="s">
        <v>96</v>
      </c>
      <c r="BO83" s="1" t="s">
        <v>96</v>
      </c>
      <c r="BP83">
        <v>91.49</v>
      </c>
      <c r="BQ83">
        <v>21.13</v>
      </c>
      <c r="BR83" s="1" t="s">
        <v>96</v>
      </c>
      <c r="BS83">
        <v>247.48</v>
      </c>
      <c r="BT83">
        <v>23.48</v>
      </c>
      <c r="BU83" s="1" t="s">
        <v>96</v>
      </c>
      <c r="BV83">
        <v>46.33</v>
      </c>
      <c r="BW83">
        <v>87.24</v>
      </c>
      <c r="BX83" s="1" t="s">
        <v>96</v>
      </c>
    </row>
    <row r="84" spans="1:76">
      <c r="A84">
        <v>174</v>
      </c>
      <c r="B84" t="s">
        <v>617</v>
      </c>
      <c r="D84" t="b">
        <v>1</v>
      </c>
      <c r="E84" t="s">
        <v>618</v>
      </c>
      <c r="G84" t="s">
        <v>619</v>
      </c>
      <c r="H84" s="1" t="s">
        <v>96</v>
      </c>
      <c r="I84" s="1" t="s">
        <v>96</v>
      </c>
      <c r="J84">
        <v>12.87</v>
      </c>
      <c r="K84" s="1" t="s">
        <v>96</v>
      </c>
      <c r="L84" s="1" t="s">
        <v>96</v>
      </c>
      <c r="M84" s="1" t="s">
        <v>96</v>
      </c>
      <c r="N84" s="1" t="s">
        <v>96</v>
      </c>
      <c r="O84" s="1" t="s">
        <v>96</v>
      </c>
      <c r="P84" s="1" t="s">
        <v>96</v>
      </c>
      <c r="Q84" s="1" t="s">
        <v>96</v>
      </c>
      <c r="R84" s="1" t="s">
        <v>96</v>
      </c>
      <c r="S84" s="1" t="s">
        <v>96</v>
      </c>
      <c r="T84" t="s">
        <v>96</v>
      </c>
      <c r="U84" s="1" t="s">
        <v>96</v>
      </c>
      <c r="V84">
        <v>1.24</v>
      </c>
      <c r="W84">
        <v>3.09</v>
      </c>
      <c r="X84">
        <v>71.790000000000006</v>
      </c>
      <c r="Y84" s="1" t="s">
        <v>96</v>
      </c>
      <c r="Z84">
        <v>7.22</v>
      </c>
      <c r="AA84">
        <v>94.97</v>
      </c>
      <c r="AB84">
        <v>21.43</v>
      </c>
      <c r="AC84" s="1" t="s">
        <v>96</v>
      </c>
      <c r="AD84" s="1" t="s">
        <v>96</v>
      </c>
      <c r="AE84" s="1" t="s">
        <v>96</v>
      </c>
      <c r="AF84" s="1" t="s">
        <v>96</v>
      </c>
      <c r="AG84" s="1" t="s">
        <v>96</v>
      </c>
      <c r="AH84" s="1" t="s">
        <v>96</v>
      </c>
      <c r="AI84" t="s">
        <v>96</v>
      </c>
      <c r="AJ84">
        <v>19.52</v>
      </c>
      <c r="AK84" s="1" t="s">
        <v>96</v>
      </c>
      <c r="AL84" s="1" t="s">
        <v>96</v>
      </c>
      <c r="AM84">
        <v>4.74</v>
      </c>
      <c r="AN84">
        <v>1.28</v>
      </c>
      <c r="AO84" s="1" t="s">
        <v>96</v>
      </c>
      <c r="AP84" s="1" t="s">
        <v>96</v>
      </c>
      <c r="AQ84" t="s">
        <v>96</v>
      </c>
      <c r="AR84" s="1" t="s">
        <v>96</v>
      </c>
      <c r="AS84">
        <v>645.21</v>
      </c>
      <c r="AT84">
        <v>76.36</v>
      </c>
      <c r="AU84">
        <v>39.54</v>
      </c>
      <c r="AV84" s="1" t="s">
        <v>96</v>
      </c>
      <c r="AW84">
        <v>182.32</v>
      </c>
      <c r="AX84" s="1" t="s">
        <v>96</v>
      </c>
      <c r="AY84" s="1" t="s">
        <v>96</v>
      </c>
      <c r="AZ84">
        <v>7.67</v>
      </c>
      <c r="BA84" s="1" t="s">
        <v>96</v>
      </c>
      <c r="BB84" s="1" t="s">
        <v>96</v>
      </c>
      <c r="BC84">
        <v>42.36</v>
      </c>
      <c r="BD84">
        <v>8.77</v>
      </c>
      <c r="BE84" s="1" t="s">
        <v>96</v>
      </c>
      <c r="BF84" s="1" t="s">
        <v>96</v>
      </c>
      <c r="BG84" t="s">
        <v>96</v>
      </c>
      <c r="BH84">
        <v>21.95</v>
      </c>
      <c r="BI84" t="s">
        <v>96</v>
      </c>
      <c r="BJ84">
        <v>6.44</v>
      </c>
      <c r="BK84" s="1" t="s">
        <v>96</v>
      </c>
      <c r="BL84" s="1" t="s">
        <v>96</v>
      </c>
      <c r="BM84" s="1" t="s">
        <v>96</v>
      </c>
      <c r="BN84" s="1" t="s">
        <v>96</v>
      </c>
      <c r="BO84" s="1" t="s">
        <v>96</v>
      </c>
      <c r="BP84">
        <v>63.86</v>
      </c>
      <c r="BQ84">
        <v>10.45</v>
      </c>
      <c r="BR84" s="1" t="s">
        <v>96</v>
      </c>
      <c r="BS84">
        <v>83.1</v>
      </c>
      <c r="BT84">
        <v>10.87</v>
      </c>
      <c r="BU84" s="1" t="s">
        <v>96</v>
      </c>
      <c r="BV84">
        <v>15.59</v>
      </c>
      <c r="BW84">
        <v>41.82</v>
      </c>
      <c r="BX84" s="1" t="s">
        <v>96</v>
      </c>
    </row>
    <row r="85" spans="1:76">
      <c r="A85">
        <v>72</v>
      </c>
      <c r="B85" t="s">
        <v>311</v>
      </c>
      <c r="D85" t="b">
        <v>1</v>
      </c>
      <c r="E85" t="s">
        <v>312</v>
      </c>
      <c r="G85" t="s">
        <v>313</v>
      </c>
      <c r="H85" s="1" t="s">
        <v>96</v>
      </c>
      <c r="I85" s="1" t="s">
        <v>96</v>
      </c>
      <c r="J85">
        <v>20.329999999999998</v>
      </c>
      <c r="K85" s="1" t="s">
        <v>96</v>
      </c>
      <c r="L85" s="1" t="s">
        <v>96</v>
      </c>
      <c r="M85" s="1">
        <v>5.01</v>
      </c>
      <c r="N85" s="1" t="s">
        <v>96</v>
      </c>
      <c r="O85" s="1" t="s">
        <v>96</v>
      </c>
      <c r="P85" s="1" t="s">
        <v>96</v>
      </c>
      <c r="Q85" s="1" t="s">
        <v>96</v>
      </c>
      <c r="R85" s="1" t="s">
        <v>96</v>
      </c>
      <c r="S85" s="1" t="s">
        <v>96</v>
      </c>
      <c r="T85" t="s">
        <v>96</v>
      </c>
      <c r="U85" s="1" t="s">
        <v>96</v>
      </c>
      <c r="V85">
        <v>2.33</v>
      </c>
      <c r="W85">
        <v>4.07</v>
      </c>
      <c r="X85">
        <v>147.13999999999999</v>
      </c>
      <c r="Y85" s="1" t="s">
        <v>96</v>
      </c>
      <c r="Z85">
        <v>9.98</v>
      </c>
      <c r="AA85">
        <v>281.39999999999998</v>
      </c>
      <c r="AB85">
        <v>53.27</v>
      </c>
      <c r="AC85" s="1" t="s">
        <v>96</v>
      </c>
      <c r="AD85" s="1">
        <v>2.74</v>
      </c>
      <c r="AE85" s="1" t="s">
        <v>96</v>
      </c>
      <c r="AF85" s="1" t="s">
        <v>96</v>
      </c>
      <c r="AG85" s="1" t="s">
        <v>96</v>
      </c>
      <c r="AH85" s="1" t="s">
        <v>96</v>
      </c>
      <c r="AI85">
        <v>448.71</v>
      </c>
      <c r="AJ85">
        <v>44.12</v>
      </c>
      <c r="AK85" s="1" t="s">
        <v>96</v>
      </c>
      <c r="AL85" s="1" t="s">
        <v>96</v>
      </c>
      <c r="AM85">
        <v>10.65</v>
      </c>
      <c r="AN85">
        <v>1.0900000000000001</v>
      </c>
      <c r="AO85" s="1" t="s">
        <v>96</v>
      </c>
      <c r="AP85" s="1" t="s">
        <v>96</v>
      </c>
      <c r="AQ85">
        <v>24.03</v>
      </c>
      <c r="AR85" s="1" t="s">
        <v>96</v>
      </c>
      <c r="AS85">
        <v>1002.69</v>
      </c>
      <c r="AT85">
        <v>506.96</v>
      </c>
      <c r="AU85">
        <v>147.69999999999999</v>
      </c>
      <c r="AV85" s="1" t="s">
        <v>96</v>
      </c>
      <c r="AW85">
        <v>158.91</v>
      </c>
      <c r="AX85" s="1" t="s">
        <v>96</v>
      </c>
      <c r="AY85" s="1">
        <v>11.76</v>
      </c>
      <c r="AZ85">
        <v>7.91</v>
      </c>
      <c r="BA85" s="1">
        <v>7.36</v>
      </c>
      <c r="BB85" s="1" t="s">
        <v>96</v>
      </c>
      <c r="BC85">
        <v>124.24</v>
      </c>
      <c r="BD85">
        <v>88.75</v>
      </c>
      <c r="BE85" s="1" t="s">
        <v>96</v>
      </c>
      <c r="BF85" s="1" t="s">
        <v>96</v>
      </c>
      <c r="BG85" t="s">
        <v>96</v>
      </c>
      <c r="BH85">
        <v>27.62</v>
      </c>
      <c r="BI85">
        <v>185.52</v>
      </c>
      <c r="BJ85">
        <v>5.74</v>
      </c>
      <c r="BK85" s="1" t="s">
        <v>96</v>
      </c>
      <c r="BL85" s="1" t="s">
        <v>96</v>
      </c>
      <c r="BM85" s="1" t="s">
        <v>96</v>
      </c>
      <c r="BN85" s="1" t="s">
        <v>96</v>
      </c>
      <c r="BO85" s="1" t="s">
        <v>96</v>
      </c>
      <c r="BP85">
        <v>47.36</v>
      </c>
      <c r="BQ85">
        <v>9.65</v>
      </c>
      <c r="BR85" s="1" t="s">
        <v>96</v>
      </c>
      <c r="BS85">
        <v>697.44</v>
      </c>
      <c r="BT85">
        <v>22.15</v>
      </c>
      <c r="BU85" s="1" t="s">
        <v>96</v>
      </c>
      <c r="BV85">
        <v>18.05</v>
      </c>
      <c r="BW85">
        <v>55.27</v>
      </c>
      <c r="BX85" s="1" t="s">
        <v>96</v>
      </c>
    </row>
    <row r="86" spans="1:76">
      <c r="A86">
        <v>50</v>
      </c>
      <c r="B86" t="s">
        <v>245</v>
      </c>
      <c r="D86" t="b">
        <v>1</v>
      </c>
      <c r="E86" t="s">
        <v>246</v>
      </c>
      <c r="G86" t="s">
        <v>247</v>
      </c>
      <c r="H86" s="1" t="s">
        <v>96</v>
      </c>
      <c r="I86" s="1" t="s">
        <v>96</v>
      </c>
      <c r="J86">
        <v>5.41</v>
      </c>
      <c r="K86" s="1" t="s">
        <v>96</v>
      </c>
      <c r="L86" s="1" t="s">
        <v>96</v>
      </c>
      <c r="M86" s="1" t="s">
        <v>96</v>
      </c>
      <c r="N86" s="1" t="s">
        <v>96</v>
      </c>
      <c r="O86" s="1" t="s">
        <v>96</v>
      </c>
      <c r="P86" s="1" t="s">
        <v>96</v>
      </c>
      <c r="Q86" s="1" t="s">
        <v>96</v>
      </c>
      <c r="R86" s="1" t="s">
        <v>96</v>
      </c>
      <c r="S86" s="1" t="s">
        <v>96</v>
      </c>
      <c r="T86" t="s">
        <v>96</v>
      </c>
      <c r="U86" s="1" t="s">
        <v>96</v>
      </c>
      <c r="V86" t="s">
        <v>96</v>
      </c>
      <c r="W86" t="s">
        <v>96</v>
      </c>
      <c r="X86" t="s">
        <v>96</v>
      </c>
      <c r="Y86" s="1" t="s">
        <v>96</v>
      </c>
      <c r="Z86" t="s">
        <v>96</v>
      </c>
      <c r="AA86" t="s">
        <v>96</v>
      </c>
      <c r="AB86">
        <v>29.76</v>
      </c>
      <c r="AC86" s="1" t="s">
        <v>96</v>
      </c>
      <c r="AD86" s="1" t="s">
        <v>96</v>
      </c>
      <c r="AE86" s="1" t="s">
        <v>96</v>
      </c>
      <c r="AF86" s="1" t="s">
        <v>96</v>
      </c>
      <c r="AG86" s="1" t="s">
        <v>96</v>
      </c>
      <c r="AH86" s="1">
        <v>1.19</v>
      </c>
      <c r="AI86" t="s">
        <v>96</v>
      </c>
      <c r="AJ86">
        <v>1.31</v>
      </c>
      <c r="AK86" s="1" t="s">
        <v>96</v>
      </c>
      <c r="AL86" s="1" t="s">
        <v>96</v>
      </c>
      <c r="AM86">
        <v>56.2</v>
      </c>
      <c r="AN86" t="s">
        <v>96</v>
      </c>
      <c r="AO86" s="1" t="s">
        <v>96</v>
      </c>
      <c r="AP86" s="1" t="s">
        <v>96</v>
      </c>
      <c r="AQ86" t="s">
        <v>96</v>
      </c>
      <c r="AR86" s="1" t="s">
        <v>96</v>
      </c>
      <c r="AS86">
        <v>1267.3499999999999</v>
      </c>
      <c r="AT86" t="s">
        <v>96</v>
      </c>
      <c r="AU86">
        <v>8.73</v>
      </c>
      <c r="AV86" s="1" t="s">
        <v>96</v>
      </c>
      <c r="AW86" t="s">
        <v>133</v>
      </c>
      <c r="AX86" s="1" t="s">
        <v>96</v>
      </c>
      <c r="AY86" s="1" t="s">
        <v>96</v>
      </c>
      <c r="AZ86">
        <v>14.62</v>
      </c>
      <c r="BA86" s="1" t="s">
        <v>96</v>
      </c>
      <c r="BB86" s="1" t="s">
        <v>96</v>
      </c>
      <c r="BC86">
        <v>9.5399999999999991</v>
      </c>
      <c r="BD86" t="s">
        <v>96</v>
      </c>
      <c r="BE86" s="1" t="s">
        <v>96</v>
      </c>
      <c r="BF86" s="1" t="s">
        <v>96</v>
      </c>
      <c r="BG86" t="s">
        <v>96</v>
      </c>
      <c r="BH86">
        <v>23.32</v>
      </c>
      <c r="BI86" t="s">
        <v>96</v>
      </c>
      <c r="BJ86" t="s">
        <v>96</v>
      </c>
      <c r="BK86" s="1" t="s">
        <v>96</v>
      </c>
      <c r="BL86" s="1" t="s">
        <v>96</v>
      </c>
      <c r="BM86" s="1" t="s">
        <v>96</v>
      </c>
      <c r="BN86" s="1" t="s">
        <v>96</v>
      </c>
      <c r="BO86" s="1" t="s">
        <v>96</v>
      </c>
      <c r="BP86">
        <v>332.48</v>
      </c>
      <c r="BQ86" t="s">
        <v>96</v>
      </c>
      <c r="BR86" s="1">
        <v>56.89</v>
      </c>
      <c r="BS86" t="s">
        <v>96</v>
      </c>
      <c r="BT86" t="s">
        <v>96</v>
      </c>
      <c r="BU86" s="1" t="s">
        <v>96</v>
      </c>
      <c r="BV86">
        <v>36.71</v>
      </c>
      <c r="BW86" t="s">
        <v>96</v>
      </c>
      <c r="BX86" s="1" t="s">
        <v>96</v>
      </c>
    </row>
    <row r="87" spans="1:76">
      <c r="A87">
        <v>46</v>
      </c>
      <c r="B87" t="s">
        <v>233</v>
      </c>
      <c r="D87" t="b">
        <v>1</v>
      </c>
      <c r="E87" t="s">
        <v>234</v>
      </c>
      <c r="G87" t="s">
        <v>235</v>
      </c>
      <c r="H87" s="1" t="s">
        <v>96</v>
      </c>
      <c r="I87" s="1" t="s">
        <v>96</v>
      </c>
      <c r="J87">
        <v>6.59</v>
      </c>
      <c r="K87" s="1" t="s">
        <v>96</v>
      </c>
      <c r="L87" s="1" t="s">
        <v>96</v>
      </c>
      <c r="M87" s="1" t="s">
        <v>96</v>
      </c>
      <c r="N87" s="1" t="s">
        <v>96</v>
      </c>
      <c r="O87" s="1" t="s">
        <v>96</v>
      </c>
      <c r="P87" s="1" t="s">
        <v>96</v>
      </c>
      <c r="Q87" s="1" t="s">
        <v>96</v>
      </c>
      <c r="R87" s="1" t="s">
        <v>96</v>
      </c>
      <c r="S87" s="1" t="s">
        <v>96</v>
      </c>
      <c r="T87" t="s">
        <v>96</v>
      </c>
      <c r="U87" s="1" t="s">
        <v>96</v>
      </c>
      <c r="V87" t="s">
        <v>96</v>
      </c>
      <c r="W87" t="s">
        <v>96</v>
      </c>
      <c r="X87" t="s">
        <v>96</v>
      </c>
      <c r="Y87" s="1" t="s">
        <v>96</v>
      </c>
      <c r="Z87" t="s">
        <v>96</v>
      </c>
      <c r="AA87" t="s">
        <v>96</v>
      </c>
      <c r="AB87">
        <v>117.25</v>
      </c>
      <c r="AC87" s="1" t="s">
        <v>96</v>
      </c>
      <c r="AD87" s="1" t="s">
        <v>96</v>
      </c>
      <c r="AE87" s="1" t="s">
        <v>96</v>
      </c>
      <c r="AF87" s="1" t="s">
        <v>96</v>
      </c>
      <c r="AG87" s="1" t="s">
        <v>96</v>
      </c>
      <c r="AH87" s="1">
        <v>1.1299999999999999</v>
      </c>
      <c r="AI87" t="s">
        <v>96</v>
      </c>
      <c r="AJ87">
        <v>2.1800000000000002</v>
      </c>
      <c r="AK87" s="1" t="s">
        <v>96</v>
      </c>
      <c r="AL87" s="1" t="s">
        <v>96</v>
      </c>
      <c r="AM87">
        <v>76.89</v>
      </c>
      <c r="AN87">
        <v>1.41</v>
      </c>
      <c r="AO87" s="1" t="s">
        <v>96</v>
      </c>
      <c r="AP87" s="1" t="s">
        <v>96</v>
      </c>
      <c r="AQ87" t="s">
        <v>96</v>
      </c>
      <c r="AR87" s="1" t="s">
        <v>96</v>
      </c>
      <c r="AS87">
        <v>1126.0999999999999</v>
      </c>
      <c r="AT87" t="s">
        <v>96</v>
      </c>
      <c r="AU87" t="s">
        <v>96</v>
      </c>
      <c r="AV87" s="1" t="s">
        <v>96</v>
      </c>
      <c r="AW87" t="s">
        <v>133</v>
      </c>
      <c r="AX87" s="1" t="s">
        <v>96</v>
      </c>
      <c r="AY87" s="1" t="s">
        <v>96</v>
      </c>
      <c r="AZ87">
        <v>4.38</v>
      </c>
      <c r="BA87" s="1" t="s">
        <v>96</v>
      </c>
      <c r="BB87" s="1" t="s">
        <v>96</v>
      </c>
      <c r="BC87">
        <v>5.68</v>
      </c>
      <c r="BD87" t="s">
        <v>96</v>
      </c>
      <c r="BE87" s="1" t="s">
        <v>96</v>
      </c>
      <c r="BF87" s="1" t="s">
        <v>96</v>
      </c>
      <c r="BG87" t="s">
        <v>96</v>
      </c>
      <c r="BH87">
        <v>10.11</v>
      </c>
      <c r="BI87" t="s">
        <v>96</v>
      </c>
      <c r="BJ87" t="s">
        <v>96</v>
      </c>
      <c r="BK87" s="1" t="s">
        <v>96</v>
      </c>
      <c r="BL87" s="1" t="s">
        <v>96</v>
      </c>
      <c r="BM87" s="1" t="s">
        <v>96</v>
      </c>
      <c r="BN87" s="1" t="s">
        <v>96</v>
      </c>
      <c r="BO87" s="1" t="s">
        <v>96</v>
      </c>
      <c r="BP87">
        <v>64.900000000000006</v>
      </c>
      <c r="BQ87" t="s">
        <v>96</v>
      </c>
      <c r="BR87" s="1">
        <v>8.41</v>
      </c>
      <c r="BS87" t="s">
        <v>96</v>
      </c>
      <c r="BT87" t="s">
        <v>96</v>
      </c>
      <c r="BU87" s="1" t="s">
        <v>96</v>
      </c>
      <c r="BV87" t="s">
        <v>96</v>
      </c>
      <c r="BW87" t="s">
        <v>96</v>
      </c>
      <c r="BX87" s="1" t="s">
        <v>96</v>
      </c>
    </row>
    <row r="88" spans="1:76">
      <c r="A88">
        <v>51</v>
      </c>
      <c r="B88" t="s">
        <v>248</v>
      </c>
      <c r="D88" t="b">
        <v>1</v>
      </c>
      <c r="E88" t="s">
        <v>249</v>
      </c>
      <c r="G88" t="s">
        <v>250</v>
      </c>
      <c r="H88" s="1" t="s">
        <v>96</v>
      </c>
      <c r="I88" s="1" t="s">
        <v>96</v>
      </c>
      <c r="J88">
        <v>7.3</v>
      </c>
      <c r="K88" s="1" t="s">
        <v>96</v>
      </c>
      <c r="L88" s="1" t="s">
        <v>96</v>
      </c>
      <c r="M88" s="1" t="s">
        <v>96</v>
      </c>
      <c r="N88" s="1" t="s">
        <v>96</v>
      </c>
      <c r="O88" s="1" t="s">
        <v>96</v>
      </c>
      <c r="P88" s="1" t="s">
        <v>96</v>
      </c>
      <c r="Q88" s="1" t="s">
        <v>96</v>
      </c>
      <c r="R88" s="1" t="s">
        <v>96</v>
      </c>
      <c r="S88" s="1" t="s">
        <v>96</v>
      </c>
      <c r="T88" t="s">
        <v>96</v>
      </c>
      <c r="U88" s="1" t="s">
        <v>96</v>
      </c>
      <c r="V88">
        <v>1.58</v>
      </c>
      <c r="W88" t="s">
        <v>96</v>
      </c>
      <c r="X88" t="s">
        <v>96</v>
      </c>
      <c r="Y88" s="1" t="s">
        <v>96</v>
      </c>
      <c r="Z88" t="s">
        <v>96</v>
      </c>
      <c r="AA88" t="s">
        <v>96</v>
      </c>
      <c r="AB88">
        <v>67.59</v>
      </c>
      <c r="AC88" s="1" t="s">
        <v>96</v>
      </c>
      <c r="AD88" s="1" t="s">
        <v>96</v>
      </c>
      <c r="AE88" s="1" t="s">
        <v>96</v>
      </c>
      <c r="AF88" s="1" t="s">
        <v>96</v>
      </c>
      <c r="AG88" s="1" t="s">
        <v>96</v>
      </c>
      <c r="AH88" s="1" t="s">
        <v>96</v>
      </c>
      <c r="AI88" t="s">
        <v>96</v>
      </c>
      <c r="AJ88">
        <v>1.1200000000000001</v>
      </c>
      <c r="AK88" s="1" t="s">
        <v>96</v>
      </c>
      <c r="AL88" s="1" t="s">
        <v>96</v>
      </c>
      <c r="AM88">
        <v>59.46</v>
      </c>
      <c r="AN88" t="s">
        <v>96</v>
      </c>
      <c r="AO88" s="1" t="s">
        <v>96</v>
      </c>
      <c r="AP88" s="1" t="s">
        <v>96</v>
      </c>
      <c r="AQ88" t="s">
        <v>96</v>
      </c>
      <c r="AR88" s="1" t="s">
        <v>96</v>
      </c>
      <c r="AS88">
        <v>2311.4299999999998</v>
      </c>
      <c r="AT88" t="s">
        <v>96</v>
      </c>
      <c r="AU88">
        <v>7.95</v>
      </c>
      <c r="AV88" s="1" t="s">
        <v>96</v>
      </c>
      <c r="AW88" t="s">
        <v>133</v>
      </c>
      <c r="AX88" s="1" t="s">
        <v>96</v>
      </c>
      <c r="AY88" s="1" t="s">
        <v>96</v>
      </c>
      <c r="AZ88">
        <v>32.11</v>
      </c>
      <c r="BA88" s="1" t="s">
        <v>96</v>
      </c>
      <c r="BB88" s="1" t="s">
        <v>96</v>
      </c>
      <c r="BC88">
        <v>17.989999999999998</v>
      </c>
      <c r="BD88" t="s">
        <v>96</v>
      </c>
      <c r="BE88" s="1" t="s">
        <v>96</v>
      </c>
      <c r="BF88" s="1" t="s">
        <v>96</v>
      </c>
      <c r="BG88" t="s">
        <v>96</v>
      </c>
      <c r="BH88">
        <v>35.78</v>
      </c>
      <c r="BI88" t="s">
        <v>96</v>
      </c>
      <c r="BJ88" t="s">
        <v>96</v>
      </c>
      <c r="BK88" s="1" t="s">
        <v>96</v>
      </c>
      <c r="BL88" s="1" t="s">
        <v>96</v>
      </c>
      <c r="BM88" s="1" t="s">
        <v>96</v>
      </c>
      <c r="BN88" s="1" t="s">
        <v>96</v>
      </c>
      <c r="BO88" s="1" t="s">
        <v>96</v>
      </c>
      <c r="BP88">
        <v>114.95</v>
      </c>
      <c r="BQ88" t="s">
        <v>96</v>
      </c>
      <c r="BR88" s="1">
        <v>6.6</v>
      </c>
      <c r="BS88" t="s">
        <v>96</v>
      </c>
      <c r="BT88" t="s">
        <v>96</v>
      </c>
      <c r="BU88" s="1" t="s">
        <v>96</v>
      </c>
      <c r="BV88" t="s">
        <v>96</v>
      </c>
      <c r="BW88" t="s">
        <v>96</v>
      </c>
      <c r="BX88" s="1" t="s">
        <v>96</v>
      </c>
    </row>
    <row r="89" spans="1:76">
      <c r="A89">
        <v>163</v>
      </c>
      <c r="B89" t="s">
        <v>584</v>
      </c>
      <c r="D89" t="b">
        <v>1</v>
      </c>
      <c r="E89" t="s">
        <v>585</v>
      </c>
      <c r="G89" t="s">
        <v>586</v>
      </c>
      <c r="H89" s="1" t="s">
        <v>96</v>
      </c>
      <c r="I89" s="1" t="s">
        <v>96</v>
      </c>
      <c r="J89">
        <v>21.83</v>
      </c>
      <c r="K89" s="1" t="s">
        <v>96</v>
      </c>
      <c r="L89" s="1" t="s">
        <v>96</v>
      </c>
      <c r="M89" s="1" t="s">
        <v>96</v>
      </c>
      <c r="N89" s="1" t="s">
        <v>96</v>
      </c>
      <c r="O89" s="1" t="s">
        <v>96</v>
      </c>
      <c r="P89" s="1" t="s">
        <v>96</v>
      </c>
      <c r="Q89" s="1" t="s">
        <v>96</v>
      </c>
      <c r="R89" s="1" t="s">
        <v>96</v>
      </c>
      <c r="S89" s="1" t="s">
        <v>96</v>
      </c>
      <c r="T89">
        <v>3.73</v>
      </c>
      <c r="U89" s="1" t="s">
        <v>96</v>
      </c>
      <c r="V89">
        <v>12.42</v>
      </c>
      <c r="W89">
        <v>3.23</v>
      </c>
      <c r="X89">
        <v>147.13999999999999</v>
      </c>
      <c r="Y89" s="1" t="s">
        <v>96</v>
      </c>
      <c r="Z89">
        <v>8.19</v>
      </c>
      <c r="AA89">
        <v>73.64</v>
      </c>
      <c r="AB89">
        <v>217.14</v>
      </c>
      <c r="AC89" s="1" t="s">
        <v>96</v>
      </c>
      <c r="AD89" s="1" t="s">
        <v>96</v>
      </c>
      <c r="AE89" s="1" t="s">
        <v>96</v>
      </c>
      <c r="AF89" s="1" t="s">
        <v>96</v>
      </c>
      <c r="AG89" s="1" t="s">
        <v>96</v>
      </c>
      <c r="AH89" s="1">
        <v>3.33</v>
      </c>
      <c r="AI89">
        <v>63.33</v>
      </c>
      <c r="AJ89">
        <v>26.78</v>
      </c>
      <c r="AK89" s="1" t="s">
        <v>96</v>
      </c>
      <c r="AL89" s="1" t="s">
        <v>96</v>
      </c>
      <c r="AM89">
        <v>50.58</v>
      </c>
      <c r="AN89">
        <v>52.65</v>
      </c>
      <c r="AO89" s="1" t="s">
        <v>96</v>
      </c>
      <c r="AP89" s="1" t="s">
        <v>96</v>
      </c>
      <c r="AQ89" t="s">
        <v>96</v>
      </c>
      <c r="AR89" s="1" t="s">
        <v>96</v>
      </c>
      <c r="AS89">
        <v>1071.29</v>
      </c>
      <c r="AT89">
        <v>161.43</v>
      </c>
      <c r="AU89">
        <v>82.52</v>
      </c>
      <c r="AV89" s="1" t="s">
        <v>96</v>
      </c>
      <c r="AW89">
        <v>642.49</v>
      </c>
      <c r="AX89" s="1" t="s">
        <v>96</v>
      </c>
      <c r="AY89" s="1" t="s">
        <v>96</v>
      </c>
      <c r="AZ89">
        <v>90.05</v>
      </c>
      <c r="BA89" s="1">
        <v>16.579999999999998</v>
      </c>
      <c r="BB89" s="1" t="s">
        <v>96</v>
      </c>
      <c r="BC89">
        <v>441.62</v>
      </c>
      <c r="BD89">
        <v>67.75</v>
      </c>
      <c r="BE89" s="1" t="s">
        <v>96</v>
      </c>
      <c r="BF89" s="1">
        <v>33.96</v>
      </c>
      <c r="BG89">
        <v>22.06</v>
      </c>
      <c r="BH89">
        <v>369.12</v>
      </c>
      <c r="BI89">
        <v>31.18</v>
      </c>
      <c r="BJ89" t="s">
        <v>96</v>
      </c>
      <c r="BK89" s="1" t="s">
        <v>96</v>
      </c>
      <c r="BL89" s="1" t="s">
        <v>96</v>
      </c>
      <c r="BM89" s="1" t="s">
        <v>96</v>
      </c>
      <c r="BN89" s="1" t="s">
        <v>96</v>
      </c>
      <c r="BO89" s="1" t="s">
        <v>96</v>
      </c>
      <c r="BP89">
        <v>155.81</v>
      </c>
      <c r="BQ89">
        <v>68.14</v>
      </c>
      <c r="BR89" s="1" t="s">
        <v>96</v>
      </c>
      <c r="BS89">
        <v>27.46</v>
      </c>
      <c r="BT89">
        <v>38.26</v>
      </c>
      <c r="BU89" s="1" t="s">
        <v>96</v>
      </c>
      <c r="BV89">
        <v>30.84</v>
      </c>
      <c r="BW89">
        <v>58.41</v>
      </c>
      <c r="BX89" s="1" t="s">
        <v>96</v>
      </c>
    </row>
    <row r="90" spans="1:76">
      <c r="A90">
        <v>175</v>
      </c>
      <c r="B90" t="s">
        <v>620</v>
      </c>
      <c r="D90" t="b">
        <v>1</v>
      </c>
      <c r="E90" t="s">
        <v>621</v>
      </c>
      <c r="G90" t="s">
        <v>622</v>
      </c>
      <c r="H90" s="1" t="s">
        <v>96</v>
      </c>
      <c r="I90" s="1" t="s">
        <v>96</v>
      </c>
      <c r="J90">
        <v>7.83</v>
      </c>
      <c r="K90" s="1" t="s">
        <v>96</v>
      </c>
      <c r="L90" s="1" t="s">
        <v>96</v>
      </c>
      <c r="M90" s="1" t="s">
        <v>96</v>
      </c>
      <c r="N90" s="1" t="s">
        <v>96</v>
      </c>
      <c r="O90" s="1" t="s">
        <v>96</v>
      </c>
      <c r="P90" s="1" t="s">
        <v>96</v>
      </c>
      <c r="Q90" s="1" t="s">
        <v>96</v>
      </c>
      <c r="R90" s="1" t="s">
        <v>96</v>
      </c>
      <c r="S90" s="1" t="s">
        <v>96</v>
      </c>
      <c r="T90" t="s">
        <v>96</v>
      </c>
      <c r="U90" s="1" t="s">
        <v>96</v>
      </c>
      <c r="V90" t="s">
        <v>96</v>
      </c>
      <c r="W90">
        <v>1.95</v>
      </c>
      <c r="X90">
        <v>34.380000000000003</v>
      </c>
      <c r="Y90" s="1" t="s">
        <v>96</v>
      </c>
      <c r="Z90" t="s">
        <v>96</v>
      </c>
      <c r="AA90">
        <v>32.04</v>
      </c>
      <c r="AB90">
        <v>16.84</v>
      </c>
      <c r="AC90" s="1" t="s">
        <v>96</v>
      </c>
      <c r="AD90" s="1">
        <v>1.65</v>
      </c>
      <c r="AE90" s="1" t="s">
        <v>96</v>
      </c>
      <c r="AF90" s="1" t="s">
        <v>96</v>
      </c>
      <c r="AG90" s="1" t="s">
        <v>96</v>
      </c>
      <c r="AH90" s="1" t="s">
        <v>96</v>
      </c>
      <c r="AI90" t="s">
        <v>96</v>
      </c>
      <c r="AJ90">
        <v>6.94</v>
      </c>
      <c r="AK90" s="1" t="s">
        <v>96</v>
      </c>
      <c r="AL90" s="1" t="s">
        <v>96</v>
      </c>
      <c r="AM90">
        <v>35.04</v>
      </c>
      <c r="AN90" t="s">
        <v>96</v>
      </c>
      <c r="AO90" s="1" t="s">
        <v>96</v>
      </c>
      <c r="AP90" s="1" t="s">
        <v>96</v>
      </c>
      <c r="AQ90">
        <v>2.69</v>
      </c>
      <c r="AR90" s="1">
        <v>3.02</v>
      </c>
      <c r="AS90">
        <v>1887.52</v>
      </c>
      <c r="AT90">
        <v>284.08999999999997</v>
      </c>
      <c r="AU90">
        <v>93.55</v>
      </c>
      <c r="AV90" s="1" t="s">
        <v>96</v>
      </c>
      <c r="AW90" t="s">
        <v>133</v>
      </c>
      <c r="AX90" s="1" t="s">
        <v>96</v>
      </c>
      <c r="AY90" s="1" t="s">
        <v>96</v>
      </c>
      <c r="AZ90">
        <v>20.23</v>
      </c>
      <c r="BA90" s="1">
        <v>5.01</v>
      </c>
      <c r="BB90" s="1" t="s">
        <v>96</v>
      </c>
      <c r="BC90">
        <v>208.38</v>
      </c>
      <c r="BD90">
        <v>52.5</v>
      </c>
      <c r="BE90" s="1" t="s">
        <v>96</v>
      </c>
      <c r="BF90" s="1">
        <v>3.62</v>
      </c>
      <c r="BG90">
        <v>2.8</v>
      </c>
      <c r="BH90">
        <v>236.37</v>
      </c>
      <c r="BI90">
        <v>38.35</v>
      </c>
      <c r="BJ90" t="s">
        <v>96</v>
      </c>
      <c r="BK90" s="1" t="s">
        <v>96</v>
      </c>
      <c r="BL90" s="1" t="s">
        <v>96</v>
      </c>
      <c r="BM90" s="1" t="s">
        <v>96</v>
      </c>
      <c r="BN90" s="1" t="s">
        <v>96</v>
      </c>
      <c r="BO90" s="1" t="s">
        <v>96</v>
      </c>
      <c r="BP90">
        <v>146.25</v>
      </c>
      <c r="BQ90">
        <v>25.25</v>
      </c>
      <c r="BR90" s="1">
        <v>7.6</v>
      </c>
      <c r="BS90">
        <v>175.88</v>
      </c>
      <c r="BT90">
        <v>26.77</v>
      </c>
      <c r="BU90" s="1" t="s">
        <v>96</v>
      </c>
      <c r="BV90">
        <v>25.78</v>
      </c>
      <c r="BW90">
        <v>80.010000000000005</v>
      </c>
      <c r="BX90" s="1" t="s">
        <v>96</v>
      </c>
    </row>
    <row r="91" spans="1:76">
      <c r="A91">
        <v>162</v>
      </c>
      <c r="B91" t="s">
        <v>581</v>
      </c>
      <c r="D91" t="b">
        <v>1</v>
      </c>
      <c r="E91" t="s">
        <v>582</v>
      </c>
      <c r="G91" t="s">
        <v>583</v>
      </c>
      <c r="H91" s="1" t="s">
        <v>96</v>
      </c>
      <c r="I91" s="1" t="s">
        <v>96</v>
      </c>
      <c r="J91">
        <v>12.74</v>
      </c>
      <c r="K91" s="1" t="s">
        <v>96</v>
      </c>
      <c r="L91" s="1" t="s">
        <v>96</v>
      </c>
      <c r="M91" s="1" t="s">
        <v>96</v>
      </c>
      <c r="N91" s="1" t="s">
        <v>96</v>
      </c>
      <c r="O91" s="1" t="s">
        <v>96</v>
      </c>
      <c r="P91" s="1" t="s">
        <v>96</v>
      </c>
      <c r="Q91" s="1" t="s">
        <v>96</v>
      </c>
      <c r="R91" s="1" t="s">
        <v>96</v>
      </c>
      <c r="S91" s="1" t="s">
        <v>96</v>
      </c>
      <c r="T91" t="s">
        <v>96</v>
      </c>
      <c r="U91" s="1" t="s">
        <v>96</v>
      </c>
      <c r="V91">
        <v>1.89</v>
      </c>
      <c r="W91" t="s">
        <v>96</v>
      </c>
      <c r="X91">
        <v>18.600000000000001</v>
      </c>
      <c r="Y91" s="1" t="s">
        <v>96</v>
      </c>
      <c r="Z91" t="s">
        <v>96</v>
      </c>
      <c r="AA91">
        <v>8.41</v>
      </c>
      <c r="AB91">
        <v>26.49</v>
      </c>
      <c r="AC91" s="1">
        <v>2.8</v>
      </c>
      <c r="AD91" s="1" t="s">
        <v>96</v>
      </c>
      <c r="AE91" s="1" t="s">
        <v>96</v>
      </c>
      <c r="AF91" s="1" t="s">
        <v>96</v>
      </c>
      <c r="AG91" s="1" t="s">
        <v>96</v>
      </c>
      <c r="AH91" s="1" t="s">
        <v>96</v>
      </c>
      <c r="AI91" t="s">
        <v>96</v>
      </c>
      <c r="AJ91">
        <v>5.28</v>
      </c>
      <c r="AK91" s="1" t="s">
        <v>96</v>
      </c>
      <c r="AL91" s="1">
        <v>1.42</v>
      </c>
      <c r="AM91">
        <v>13.94</v>
      </c>
      <c r="AN91">
        <v>15.42</v>
      </c>
      <c r="AO91" s="1" t="s">
        <v>96</v>
      </c>
      <c r="AP91" s="1" t="s">
        <v>96</v>
      </c>
      <c r="AQ91" t="s">
        <v>96</v>
      </c>
      <c r="AR91" s="1" t="s">
        <v>96</v>
      </c>
      <c r="AS91">
        <v>362.13</v>
      </c>
      <c r="AT91">
        <v>35.58</v>
      </c>
      <c r="AU91">
        <v>47.69</v>
      </c>
      <c r="AV91" s="1" t="s">
        <v>96</v>
      </c>
      <c r="AW91">
        <v>60.49</v>
      </c>
      <c r="AX91" s="1" t="s">
        <v>96</v>
      </c>
      <c r="AY91" s="1" t="s">
        <v>96</v>
      </c>
      <c r="AZ91">
        <v>107.76</v>
      </c>
      <c r="BA91" s="1">
        <v>5.71</v>
      </c>
      <c r="BB91" s="1" t="s">
        <v>96</v>
      </c>
      <c r="BC91">
        <v>110.4</v>
      </c>
      <c r="BD91">
        <v>15.69</v>
      </c>
      <c r="BE91" s="1" t="s">
        <v>96</v>
      </c>
      <c r="BF91" s="1">
        <v>32.82</v>
      </c>
      <c r="BG91">
        <v>21.36</v>
      </c>
      <c r="BH91">
        <v>21.73</v>
      </c>
      <c r="BI91">
        <v>189.78</v>
      </c>
      <c r="BJ91">
        <v>2.93</v>
      </c>
      <c r="BK91" s="1" t="s">
        <v>96</v>
      </c>
      <c r="BL91" s="1" t="s">
        <v>96</v>
      </c>
      <c r="BM91" s="1" t="s">
        <v>96</v>
      </c>
      <c r="BN91" s="1" t="s">
        <v>96</v>
      </c>
      <c r="BO91" s="1" t="s">
        <v>96</v>
      </c>
      <c r="BP91">
        <v>277.27</v>
      </c>
      <c r="BQ91">
        <v>156.37</v>
      </c>
      <c r="BR91" s="1" t="s">
        <v>96</v>
      </c>
      <c r="BS91">
        <v>248.27</v>
      </c>
      <c r="BT91">
        <v>119.94</v>
      </c>
      <c r="BU91" s="1">
        <v>15.29</v>
      </c>
      <c r="BV91">
        <v>55.36</v>
      </c>
      <c r="BW91">
        <v>141.47</v>
      </c>
      <c r="BX91" s="1" t="s">
        <v>96</v>
      </c>
    </row>
    <row r="92" spans="1:76">
      <c r="A92">
        <v>202</v>
      </c>
      <c r="B92" t="s">
        <v>701</v>
      </c>
      <c r="D92" t="b">
        <v>1</v>
      </c>
      <c r="E92" t="s">
        <v>702</v>
      </c>
      <c r="G92" t="s">
        <v>703</v>
      </c>
      <c r="H92" s="1" t="s">
        <v>96</v>
      </c>
      <c r="I92" s="1" t="s">
        <v>96</v>
      </c>
      <c r="J92">
        <v>13.92</v>
      </c>
      <c r="K92" s="1" t="s">
        <v>96</v>
      </c>
      <c r="L92" s="1" t="s">
        <v>96</v>
      </c>
      <c r="M92" s="1" t="s">
        <v>96</v>
      </c>
      <c r="N92" s="1" t="s">
        <v>96</v>
      </c>
      <c r="O92" s="1" t="s">
        <v>96</v>
      </c>
      <c r="P92" s="1" t="s">
        <v>96</v>
      </c>
      <c r="Q92" s="1" t="s">
        <v>96</v>
      </c>
      <c r="R92" s="1" t="s">
        <v>96</v>
      </c>
      <c r="S92" s="1" t="s">
        <v>96</v>
      </c>
      <c r="T92" t="s">
        <v>96</v>
      </c>
      <c r="U92" s="1" t="s">
        <v>96</v>
      </c>
      <c r="V92">
        <v>2.09</v>
      </c>
      <c r="W92">
        <v>7.66</v>
      </c>
      <c r="X92">
        <v>300.47000000000003</v>
      </c>
      <c r="Y92" s="1" t="s">
        <v>96</v>
      </c>
      <c r="Z92">
        <v>8.44</v>
      </c>
      <c r="AA92">
        <v>171.76</v>
      </c>
      <c r="AB92">
        <v>31.13</v>
      </c>
      <c r="AC92" s="1" t="s">
        <v>96</v>
      </c>
      <c r="AD92" s="1">
        <v>3.47</v>
      </c>
      <c r="AE92" s="1" t="s">
        <v>96</v>
      </c>
      <c r="AF92" s="1" t="s">
        <v>96</v>
      </c>
      <c r="AG92" s="1" t="s">
        <v>96</v>
      </c>
      <c r="AH92" s="1" t="s">
        <v>96</v>
      </c>
      <c r="AI92">
        <v>313.5</v>
      </c>
      <c r="AJ92">
        <v>50.93</v>
      </c>
      <c r="AK92" s="1">
        <v>1.73</v>
      </c>
      <c r="AL92" s="1" t="s">
        <v>96</v>
      </c>
      <c r="AM92">
        <v>8.48</v>
      </c>
      <c r="AN92">
        <v>3.25</v>
      </c>
      <c r="AO92" s="1" t="s">
        <v>96</v>
      </c>
      <c r="AP92" s="1" t="s">
        <v>96</v>
      </c>
      <c r="AQ92">
        <v>3.22</v>
      </c>
      <c r="AR92" s="1" t="s">
        <v>96</v>
      </c>
      <c r="AS92">
        <v>559.58000000000004</v>
      </c>
      <c r="AT92">
        <v>141.46</v>
      </c>
      <c r="AU92">
        <v>206.2</v>
      </c>
      <c r="AV92" s="1" t="s">
        <v>96</v>
      </c>
      <c r="AW92">
        <v>130.44999999999999</v>
      </c>
      <c r="AX92" s="1" t="s">
        <v>96</v>
      </c>
      <c r="AY92" s="1" t="s">
        <v>96</v>
      </c>
      <c r="AZ92">
        <v>20.190000000000001</v>
      </c>
      <c r="BA92" s="1">
        <v>4.2300000000000004</v>
      </c>
      <c r="BB92" s="1" t="s">
        <v>96</v>
      </c>
      <c r="BC92">
        <v>32.42</v>
      </c>
      <c r="BD92">
        <v>11.93</v>
      </c>
      <c r="BE92" s="1" t="s">
        <v>96</v>
      </c>
      <c r="BF92" s="1" t="s">
        <v>96</v>
      </c>
      <c r="BG92" t="s">
        <v>96</v>
      </c>
      <c r="BH92">
        <v>9.15</v>
      </c>
      <c r="BI92">
        <v>45.39</v>
      </c>
      <c r="BJ92">
        <v>3.03</v>
      </c>
      <c r="BK92" s="1" t="s">
        <v>96</v>
      </c>
      <c r="BL92" s="1" t="s">
        <v>96</v>
      </c>
      <c r="BM92" s="1" t="s">
        <v>96</v>
      </c>
      <c r="BN92" s="1" t="s">
        <v>96</v>
      </c>
      <c r="BO92" s="1">
        <v>7.11</v>
      </c>
      <c r="BP92">
        <v>118.63</v>
      </c>
      <c r="BQ92">
        <v>10.57</v>
      </c>
      <c r="BR92" s="1" t="s">
        <v>96</v>
      </c>
      <c r="BS92">
        <v>372.86</v>
      </c>
      <c r="BT92">
        <v>13.38</v>
      </c>
      <c r="BU92" s="1" t="s">
        <v>96</v>
      </c>
      <c r="BV92">
        <v>96.9</v>
      </c>
      <c r="BW92">
        <v>101.65</v>
      </c>
      <c r="BX92" s="1" t="s">
        <v>96</v>
      </c>
    </row>
    <row r="93" spans="1:76">
      <c r="A93">
        <v>28</v>
      </c>
      <c r="B93" t="s">
        <v>179</v>
      </c>
      <c r="D93" t="b">
        <v>1</v>
      </c>
      <c r="E93" t="s">
        <v>180</v>
      </c>
      <c r="G93" t="s">
        <v>181</v>
      </c>
      <c r="H93" s="1" t="s">
        <v>96</v>
      </c>
      <c r="I93" s="1" t="s">
        <v>96</v>
      </c>
      <c r="J93">
        <v>12.9</v>
      </c>
      <c r="K93" s="1" t="s">
        <v>96</v>
      </c>
      <c r="L93" s="1" t="s">
        <v>96</v>
      </c>
      <c r="M93" s="1" t="s">
        <v>96</v>
      </c>
      <c r="N93" s="1" t="s">
        <v>96</v>
      </c>
      <c r="O93" s="1" t="s">
        <v>96</v>
      </c>
      <c r="P93" s="1" t="s">
        <v>96</v>
      </c>
      <c r="Q93" s="1" t="s">
        <v>96</v>
      </c>
      <c r="R93" s="1" t="s">
        <v>96</v>
      </c>
      <c r="S93" s="1" t="s">
        <v>96</v>
      </c>
      <c r="T93" t="s">
        <v>96</v>
      </c>
      <c r="U93" s="1" t="s">
        <v>96</v>
      </c>
      <c r="V93" t="s">
        <v>96</v>
      </c>
      <c r="W93" t="s">
        <v>96</v>
      </c>
      <c r="X93">
        <v>11.21</v>
      </c>
      <c r="Y93" s="1" t="s">
        <v>96</v>
      </c>
      <c r="Z93" t="s">
        <v>96</v>
      </c>
      <c r="AA93">
        <v>28.47</v>
      </c>
      <c r="AB93">
        <v>29.83</v>
      </c>
      <c r="AC93" s="1" t="s">
        <v>96</v>
      </c>
      <c r="AD93" s="1" t="s">
        <v>96</v>
      </c>
      <c r="AE93" s="1" t="s">
        <v>96</v>
      </c>
      <c r="AF93" s="1" t="s">
        <v>96</v>
      </c>
      <c r="AG93" s="1" t="s">
        <v>96</v>
      </c>
      <c r="AH93" s="1" t="s">
        <v>96</v>
      </c>
      <c r="AI93" t="s">
        <v>96</v>
      </c>
      <c r="AJ93">
        <v>3.91</v>
      </c>
      <c r="AK93" s="1" t="s">
        <v>96</v>
      </c>
      <c r="AL93" s="1" t="s">
        <v>96</v>
      </c>
      <c r="AM93">
        <v>10.73</v>
      </c>
      <c r="AN93">
        <v>3.54</v>
      </c>
      <c r="AO93" s="1" t="s">
        <v>96</v>
      </c>
      <c r="AP93" s="1" t="s">
        <v>96</v>
      </c>
      <c r="AQ93" t="s">
        <v>96</v>
      </c>
      <c r="AR93" s="1" t="s">
        <v>96</v>
      </c>
      <c r="AS93">
        <v>137.41</v>
      </c>
      <c r="AT93">
        <v>31.09</v>
      </c>
      <c r="AU93">
        <v>10.79</v>
      </c>
      <c r="AV93" s="1" t="s">
        <v>96</v>
      </c>
      <c r="AW93">
        <v>19.59</v>
      </c>
      <c r="AX93" s="1" t="s">
        <v>96</v>
      </c>
      <c r="AY93" s="1" t="s">
        <v>96</v>
      </c>
      <c r="AZ93">
        <v>4.2699999999999996</v>
      </c>
      <c r="BA93" s="1" t="s">
        <v>96</v>
      </c>
      <c r="BB93" s="1" t="s">
        <v>96</v>
      </c>
      <c r="BC93">
        <v>26.74</v>
      </c>
      <c r="BD93">
        <v>4.46</v>
      </c>
      <c r="BE93" s="1" t="s">
        <v>96</v>
      </c>
      <c r="BF93" s="1" t="s">
        <v>96</v>
      </c>
      <c r="BG93" t="s">
        <v>96</v>
      </c>
      <c r="BH93">
        <v>3.97</v>
      </c>
      <c r="BI93">
        <v>36.21</v>
      </c>
      <c r="BJ93" t="s">
        <v>96</v>
      </c>
      <c r="BK93" s="1" t="s">
        <v>96</v>
      </c>
      <c r="BL93" s="1" t="s">
        <v>96</v>
      </c>
      <c r="BM93" s="1" t="s">
        <v>96</v>
      </c>
      <c r="BN93" s="1" t="s">
        <v>96</v>
      </c>
      <c r="BO93" s="1" t="s">
        <v>96</v>
      </c>
      <c r="BP93">
        <v>51.11</v>
      </c>
      <c r="BQ93">
        <v>10.97</v>
      </c>
      <c r="BR93" s="1" t="s">
        <v>96</v>
      </c>
      <c r="BS93">
        <v>107.36</v>
      </c>
      <c r="BT93">
        <v>13.35</v>
      </c>
      <c r="BU93" s="1" t="s">
        <v>96</v>
      </c>
      <c r="BV93">
        <v>17.510000000000002</v>
      </c>
      <c r="BW93">
        <v>49.1</v>
      </c>
      <c r="BX93" s="1" t="s">
        <v>96</v>
      </c>
    </row>
    <row r="94" spans="1:76">
      <c r="A94">
        <v>237</v>
      </c>
      <c r="B94" t="s">
        <v>806</v>
      </c>
      <c r="D94" t="b">
        <v>1</v>
      </c>
      <c r="E94" t="s">
        <v>807</v>
      </c>
      <c r="G94" t="s">
        <v>808</v>
      </c>
      <c r="H94" s="1" t="s">
        <v>96</v>
      </c>
      <c r="I94" s="1" t="s">
        <v>96</v>
      </c>
      <c r="J94">
        <v>14.14</v>
      </c>
      <c r="K94" s="1" t="s">
        <v>96</v>
      </c>
      <c r="L94" s="1" t="s">
        <v>96</v>
      </c>
      <c r="M94" s="1">
        <v>5.52</v>
      </c>
      <c r="N94" s="1" t="s">
        <v>96</v>
      </c>
      <c r="O94" s="1" t="s">
        <v>96</v>
      </c>
      <c r="P94" s="1" t="s">
        <v>96</v>
      </c>
      <c r="Q94" s="1" t="s">
        <v>96</v>
      </c>
      <c r="R94" s="1" t="s">
        <v>96</v>
      </c>
      <c r="S94" s="1" t="s">
        <v>96</v>
      </c>
      <c r="T94" t="s">
        <v>96</v>
      </c>
      <c r="U94" s="1" t="s">
        <v>96</v>
      </c>
      <c r="V94">
        <v>1.37</v>
      </c>
      <c r="W94">
        <v>4.03</v>
      </c>
      <c r="X94">
        <v>74.83</v>
      </c>
      <c r="Y94" s="1" t="s">
        <v>96</v>
      </c>
      <c r="Z94">
        <v>16.11</v>
      </c>
      <c r="AA94">
        <v>151.56</v>
      </c>
      <c r="AB94">
        <v>120.21</v>
      </c>
      <c r="AC94" s="1" t="s">
        <v>96</v>
      </c>
      <c r="AD94" s="1">
        <v>1.77</v>
      </c>
      <c r="AE94" s="1" t="s">
        <v>96</v>
      </c>
      <c r="AF94" s="1" t="s">
        <v>96</v>
      </c>
      <c r="AG94" s="1" t="s">
        <v>96</v>
      </c>
      <c r="AH94" s="1" t="s">
        <v>96</v>
      </c>
      <c r="AI94">
        <v>25.77</v>
      </c>
      <c r="AJ94">
        <v>15.99</v>
      </c>
      <c r="AK94" s="1" t="s">
        <v>96</v>
      </c>
      <c r="AL94" s="1" t="s">
        <v>96</v>
      </c>
      <c r="AM94">
        <v>60.77</v>
      </c>
      <c r="AN94">
        <v>4.3499999999999996</v>
      </c>
      <c r="AO94" s="1" t="s">
        <v>96</v>
      </c>
      <c r="AP94" s="1" t="s">
        <v>96</v>
      </c>
      <c r="AQ94" t="s">
        <v>96</v>
      </c>
      <c r="AR94" s="1" t="s">
        <v>96</v>
      </c>
      <c r="AS94">
        <v>558.91999999999996</v>
      </c>
      <c r="AT94">
        <v>174.59</v>
      </c>
      <c r="AU94">
        <v>56.71</v>
      </c>
      <c r="AV94" s="1" t="s">
        <v>96</v>
      </c>
      <c r="AW94">
        <v>237.29</v>
      </c>
      <c r="AX94" s="1" t="s">
        <v>96</v>
      </c>
      <c r="AY94" s="1" t="s">
        <v>96</v>
      </c>
      <c r="AZ94">
        <v>8.01</v>
      </c>
      <c r="BA94" s="1">
        <v>2.87</v>
      </c>
      <c r="BB94" s="1" t="s">
        <v>96</v>
      </c>
      <c r="BC94">
        <v>53.28</v>
      </c>
      <c r="BD94">
        <v>19.11</v>
      </c>
      <c r="BE94" s="1" t="s">
        <v>96</v>
      </c>
      <c r="BF94" s="1" t="s">
        <v>96</v>
      </c>
      <c r="BG94">
        <v>3.36</v>
      </c>
      <c r="BH94">
        <v>37.479999999999997</v>
      </c>
      <c r="BI94">
        <v>24.93</v>
      </c>
      <c r="BJ94" t="s">
        <v>96</v>
      </c>
      <c r="BK94" s="1" t="s">
        <v>96</v>
      </c>
      <c r="BL94" s="1" t="s">
        <v>96</v>
      </c>
      <c r="BM94" s="1" t="s">
        <v>96</v>
      </c>
      <c r="BN94" s="1" t="s">
        <v>96</v>
      </c>
      <c r="BO94" s="1">
        <v>9.7100000000000009</v>
      </c>
      <c r="BP94">
        <v>64.39</v>
      </c>
      <c r="BQ94">
        <v>8.2200000000000006</v>
      </c>
      <c r="BR94" s="1" t="s">
        <v>96</v>
      </c>
      <c r="BS94">
        <v>132.32</v>
      </c>
      <c r="BT94">
        <v>5.46</v>
      </c>
      <c r="BU94" s="1" t="s">
        <v>96</v>
      </c>
      <c r="BV94">
        <v>18.73</v>
      </c>
      <c r="BW94">
        <v>42.36</v>
      </c>
      <c r="BX94" s="1" t="s">
        <v>96</v>
      </c>
    </row>
    <row r="95" spans="1:76">
      <c r="A95">
        <v>124</v>
      </c>
      <c r="B95" t="s">
        <v>467</v>
      </c>
      <c r="D95" t="b">
        <v>1</v>
      </c>
      <c r="E95" t="s">
        <v>468</v>
      </c>
      <c r="G95" t="s">
        <v>469</v>
      </c>
      <c r="H95" s="1" t="s">
        <v>96</v>
      </c>
      <c r="I95" s="1" t="s">
        <v>96</v>
      </c>
      <c r="J95">
        <v>46.77</v>
      </c>
      <c r="K95" s="1" t="s">
        <v>96</v>
      </c>
      <c r="L95" s="1">
        <v>21.13</v>
      </c>
      <c r="M95" s="1">
        <v>5.54</v>
      </c>
      <c r="N95" s="1" t="s">
        <v>96</v>
      </c>
      <c r="O95" s="1" t="s">
        <v>96</v>
      </c>
      <c r="P95" s="1" t="s">
        <v>96</v>
      </c>
      <c r="Q95" s="1" t="s">
        <v>96</v>
      </c>
      <c r="R95" s="1" t="s">
        <v>96</v>
      </c>
      <c r="S95" s="1" t="s">
        <v>96</v>
      </c>
      <c r="T95" t="s">
        <v>96</v>
      </c>
      <c r="U95" s="1" t="s">
        <v>96</v>
      </c>
      <c r="V95">
        <v>9.2799999999999994</v>
      </c>
      <c r="W95">
        <v>14.41</v>
      </c>
      <c r="X95">
        <v>203.61</v>
      </c>
      <c r="Y95" s="1" t="s">
        <v>96</v>
      </c>
      <c r="Z95">
        <v>11.61</v>
      </c>
      <c r="AA95">
        <v>320.49</v>
      </c>
      <c r="AB95">
        <v>62.27</v>
      </c>
      <c r="AC95" s="1">
        <v>10.050000000000001</v>
      </c>
      <c r="AD95" s="1" t="s">
        <v>96</v>
      </c>
      <c r="AE95" s="1" t="s">
        <v>96</v>
      </c>
      <c r="AF95" s="1" t="s">
        <v>96</v>
      </c>
      <c r="AG95" s="1" t="s">
        <v>96</v>
      </c>
      <c r="AH95" s="1" t="s">
        <v>96</v>
      </c>
      <c r="AI95">
        <v>86.76</v>
      </c>
      <c r="AJ95" t="s">
        <v>133</v>
      </c>
      <c r="AK95" s="1">
        <v>6.69</v>
      </c>
      <c r="AL95" s="1">
        <v>3.72</v>
      </c>
      <c r="AM95">
        <v>51.2</v>
      </c>
      <c r="AN95">
        <v>17.829999999999998</v>
      </c>
      <c r="AO95" s="1" t="s">
        <v>96</v>
      </c>
      <c r="AP95" s="1" t="s">
        <v>96</v>
      </c>
      <c r="AQ95">
        <v>62.85</v>
      </c>
      <c r="AR95" s="1">
        <v>3.33</v>
      </c>
      <c r="AS95" t="s">
        <v>133</v>
      </c>
      <c r="AT95" t="s">
        <v>133</v>
      </c>
      <c r="AU95" t="s">
        <v>133</v>
      </c>
      <c r="AV95" s="1" t="s">
        <v>96</v>
      </c>
      <c r="AW95" t="s">
        <v>133</v>
      </c>
      <c r="AX95" s="1" t="s">
        <v>96</v>
      </c>
      <c r="AY95" s="1">
        <v>55.49</v>
      </c>
      <c r="AZ95">
        <v>145.24</v>
      </c>
      <c r="BA95" s="1" t="s">
        <v>133</v>
      </c>
      <c r="BB95" s="1" t="s">
        <v>96</v>
      </c>
      <c r="BC95">
        <v>969.19</v>
      </c>
      <c r="BD95">
        <v>402.55</v>
      </c>
      <c r="BE95" s="1" t="s">
        <v>96</v>
      </c>
      <c r="BF95" s="1">
        <v>30.41</v>
      </c>
      <c r="BG95">
        <v>26.74</v>
      </c>
      <c r="BH95" t="s">
        <v>133</v>
      </c>
      <c r="BI95">
        <v>512.66</v>
      </c>
      <c r="BJ95">
        <v>15.4</v>
      </c>
      <c r="BK95" s="1" t="s">
        <v>96</v>
      </c>
      <c r="BL95" s="1" t="s">
        <v>96</v>
      </c>
      <c r="BM95" s="1">
        <v>6.49</v>
      </c>
      <c r="BN95" s="1">
        <v>2.99</v>
      </c>
      <c r="BO95" s="1">
        <v>161.74</v>
      </c>
      <c r="BP95">
        <v>631.99</v>
      </c>
      <c r="BQ95">
        <v>121.01</v>
      </c>
      <c r="BR95" s="1">
        <v>87.71</v>
      </c>
      <c r="BS95">
        <v>2191.2600000000002</v>
      </c>
      <c r="BT95">
        <v>154.69999999999999</v>
      </c>
      <c r="BU95" s="1" t="s">
        <v>133</v>
      </c>
      <c r="BV95" t="s">
        <v>133</v>
      </c>
      <c r="BW95">
        <v>853.18</v>
      </c>
      <c r="BX95" s="1">
        <v>8.52</v>
      </c>
    </row>
    <row r="96" spans="1:76">
      <c r="A96">
        <v>54</v>
      </c>
      <c r="B96" t="s">
        <v>257</v>
      </c>
      <c r="D96" t="b">
        <v>1</v>
      </c>
      <c r="E96" t="s">
        <v>258</v>
      </c>
      <c r="G96" t="s">
        <v>259</v>
      </c>
      <c r="H96" s="1" t="s">
        <v>96</v>
      </c>
      <c r="I96" s="1" t="s">
        <v>96</v>
      </c>
      <c r="J96">
        <v>7.22</v>
      </c>
      <c r="K96" s="1" t="s">
        <v>96</v>
      </c>
      <c r="L96" s="1" t="s">
        <v>96</v>
      </c>
      <c r="M96" s="1" t="s">
        <v>96</v>
      </c>
      <c r="N96" s="1" t="s">
        <v>96</v>
      </c>
      <c r="O96" s="1" t="s">
        <v>96</v>
      </c>
      <c r="P96" s="1" t="s">
        <v>96</v>
      </c>
      <c r="Q96" s="1" t="s">
        <v>96</v>
      </c>
      <c r="R96" s="1" t="s">
        <v>96</v>
      </c>
      <c r="S96" s="1" t="s">
        <v>96</v>
      </c>
      <c r="T96" t="s">
        <v>96</v>
      </c>
      <c r="U96" s="1" t="s">
        <v>96</v>
      </c>
      <c r="V96">
        <v>2.95</v>
      </c>
      <c r="W96" t="s">
        <v>96</v>
      </c>
      <c r="X96">
        <v>2.54</v>
      </c>
      <c r="Y96" s="1" t="s">
        <v>96</v>
      </c>
      <c r="Z96" t="s">
        <v>96</v>
      </c>
      <c r="AA96" t="s">
        <v>96</v>
      </c>
      <c r="AB96">
        <v>84.93</v>
      </c>
      <c r="AC96" s="1" t="s">
        <v>96</v>
      </c>
      <c r="AD96" s="1" t="s">
        <v>96</v>
      </c>
      <c r="AE96" s="1" t="s">
        <v>96</v>
      </c>
      <c r="AF96" s="1" t="s">
        <v>96</v>
      </c>
      <c r="AG96" s="1" t="s">
        <v>96</v>
      </c>
      <c r="AH96" s="1" t="s">
        <v>96</v>
      </c>
      <c r="AI96">
        <v>57.58</v>
      </c>
      <c r="AJ96" t="s">
        <v>96</v>
      </c>
      <c r="AK96" s="1" t="s">
        <v>96</v>
      </c>
      <c r="AL96" s="1" t="s">
        <v>96</v>
      </c>
      <c r="AM96">
        <v>92.91</v>
      </c>
      <c r="AN96">
        <v>3.78</v>
      </c>
      <c r="AO96" s="1" t="s">
        <v>96</v>
      </c>
      <c r="AP96" s="1" t="s">
        <v>96</v>
      </c>
      <c r="AQ96" t="s">
        <v>96</v>
      </c>
      <c r="AR96" s="1" t="s">
        <v>96</v>
      </c>
      <c r="AS96" t="s">
        <v>133</v>
      </c>
      <c r="AT96" t="s">
        <v>96</v>
      </c>
      <c r="AU96">
        <v>6.36</v>
      </c>
      <c r="AV96" s="1" t="s">
        <v>96</v>
      </c>
      <c r="AW96" t="s">
        <v>133</v>
      </c>
      <c r="AX96" s="1" t="s">
        <v>96</v>
      </c>
      <c r="AY96" s="1" t="s">
        <v>96</v>
      </c>
      <c r="AZ96">
        <v>42.33</v>
      </c>
      <c r="BA96" s="1" t="s">
        <v>96</v>
      </c>
      <c r="BB96" s="1" t="s">
        <v>96</v>
      </c>
      <c r="BC96">
        <v>27.48</v>
      </c>
      <c r="BD96" t="s">
        <v>96</v>
      </c>
      <c r="BE96" s="1" t="s">
        <v>96</v>
      </c>
      <c r="BF96" s="1" t="s">
        <v>96</v>
      </c>
      <c r="BG96" t="s">
        <v>96</v>
      </c>
      <c r="BH96">
        <v>45.7</v>
      </c>
      <c r="BI96" t="s">
        <v>96</v>
      </c>
      <c r="BJ96" t="s">
        <v>96</v>
      </c>
      <c r="BK96" s="1" t="s">
        <v>96</v>
      </c>
      <c r="BL96" s="1" t="s">
        <v>96</v>
      </c>
      <c r="BM96" s="1" t="s">
        <v>96</v>
      </c>
      <c r="BN96" s="1" t="s">
        <v>96</v>
      </c>
      <c r="BO96" s="1" t="s">
        <v>96</v>
      </c>
      <c r="BP96">
        <v>125.88</v>
      </c>
      <c r="BQ96" t="s">
        <v>96</v>
      </c>
      <c r="BR96" s="1">
        <v>6.98</v>
      </c>
      <c r="BS96">
        <v>5.7</v>
      </c>
      <c r="BT96" t="s">
        <v>96</v>
      </c>
      <c r="BU96" s="1" t="s">
        <v>96</v>
      </c>
      <c r="BV96" t="s">
        <v>96</v>
      </c>
      <c r="BW96" t="s">
        <v>96</v>
      </c>
      <c r="BX96" s="1" t="s">
        <v>96</v>
      </c>
    </row>
    <row r="97" spans="1:76">
      <c r="A97">
        <v>100</v>
      </c>
      <c r="B97" t="s">
        <v>395</v>
      </c>
      <c r="D97" t="b">
        <v>1</v>
      </c>
      <c r="E97" t="s">
        <v>396</v>
      </c>
      <c r="G97" t="s">
        <v>397</v>
      </c>
      <c r="H97" s="1" t="s">
        <v>96</v>
      </c>
      <c r="I97" s="1" t="s">
        <v>96</v>
      </c>
      <c r="J97">
        <v>13.38</v>
      </c>
      <c r="K97" s="1" t="s">
        <v>96</v>
      </c>
      <c r="L97" s="1" t="s">
        <v>96</v>
      </c>
      <c r="M97" s="1" t="s">
        <v>96</v>
      </c>
      <c r="N97" s="1" t="s">
        <v>96</v>
      </c>
      <c r="O97" s="1" t="s">
        <v>96</v>
      </c>
      <c r="P97" s="1" t="s">
        <v>96</v>
      </c>
      <c r="Q97" s="1" t="s">
        <v>96</v>
      </c>
      <c r="R97" s="1" t="s">
        <v>96</v>
      </c>
      <c r="S97" s="1" t="s">
        <v>96</v>
      </c>
      <c r="T97">
        <v>1.48</v>
      </c>
      <c r="U97" s="1" t="s">
        <v>96</v>
      </c>
      <c r="V97">
        <v>24.96</v>
      </c>
      <c r="W97">
        <v>6.99</v>
      </c>
      <c r="X97">
        <v>19.8</v>
      </c>
      <c r="Y97" s="1" t="s">
        <v>96</v>
      </c>
      <c r="Z97" t="s">
        <v>96</v>
      </c>
      <c r="AA97">
        <v>419.89</v>
      </c>
      <c r="AB97" t="s">
        <v>133</v>
      </c>
      <c r="AC97" s="1" t="s">
        <v>96</v>
      </c>
      <c r="AD97" s="1">
        <v>1.82</v>
      </c>
      <c r="AE97" s="1" t="s">
        <v>96</v>
      </c>
      <c r="AF97" s="1" t="s">
        <v>96</v>
      </c>
      <c r="AG97" s="1" t="s">
        <v>96</v>
      </c>
      <c r="AH97" s="1">
        <v>4.68</v>
      </c>
      <c r="AI97">
        <v>710.69</v>
      </c>
      <c r="AJ97">
        <v>268.08</v>
      </c>
      <c r="AK97" s="1" t="s">
        <v>96</v>
      </c>
      <c r="AL97" s="1">
        <v>2.2799999999999998</v>
      </c>
      <c r="AM97" t="s">
        <v>133</v>
      </c>
      <c r="AN97">
        <v>73.38</v>
      </c>
      <c r="AO97" s="1">
        <v>1.8</v>
      </c>
      <c r="AP97" s="1" t="s">
        <v>96</v>
      </c>
      <c r="AQ97" t="s">
        <v>96</v>
      </c>
      <c r="AR97" s="1" t="s">
        <v>96</v>
      </c>
      <c r="AS97" t="s">
        <v>133</v>
      </c>
      <c r="AT97">
        <v>279.10000000000002</v>
      </c>
      <c r="AU97">
        <v>381.59</v>
      </c>
      <c r="AV97" s="1" t="s">
        <v>96</v>
      </c>
      <c r="AW97">
        <v>599.12</v>
      </c>
      <c r="AX97" s="1" t="s">
        <v>96</v>
      </c>
      <c r="AY97" s="1" t="s">
        <v>96</v>
      </c>
      <c r="AZ97">
        <v>41.06</v>
      </c>
      <c r="BA97" s="1">
        <v>3.72</v>
      </c>
      <c r="BB97" s="1" t="s">
        <v>96</v>
      </c>
      <c r="BC97">
        <v>58.19</v>
      </c>
      <c r="BD97">
        <v>5.57</v>
      </c>
      <c r="BE97" s="1" t="s">
        <v>96</v>
      </c>
      <c r="BF97" s="1" t="s">
        <v>96</v>
      </c>
      <c r="BG97" t="s">
        <v>96</v>
      </c>
      <c r="BH97">
        <v>14.45</v>
      </c>
      <c r="BI97">
        <v>13.48</v>
      </c>
      <c r="BJ97">
        <v>9.0500000000000007</v>
      </c>
      <c r="BK97" s="1" t="s">
        <v>96</v>
      </c>
      <c r="BL97" s="1" t="s">
        <v>96</v>
      </c>
      <c r="BM97" s="1">
        <v>8.99</v>
      </c>
      <c r="BN97" s="1">
        <v>7.42</v>
      </c>
      <c r="BO97" s="1">
        <v>6.19</v>
      </c>
      <c r="BP97">
        <v>109.43</v>
      </c>
      <c r="BQ97">
        <v>6.45</v>
      </c>
      <c r="BR97" s="1" t="s">
        <v>96</v>
      </c>
      <c r="BS97">
        <v>173.06</v>
      </c>
      <c r="BT97" t="s">
        <v>96</v>
      </c>
      <c r="BU97" s="1" t="s">
        <v>96</v>
      </c>
      <c r="BV97">
        <v>59.79</v>
      </c>
      <c r="BW97">
        <v>35.93</v>
      </c>
      <c r="BX97" s="1" t="s">
        <v>96</v>
      </c>
    </row>
    <row r="98" spans="1:76">
      <c r="A98">
        <v>53</v>
      </c>
      <c r="B98" t="s">
        <v>254</v>
      </c>
      <c r="D98" t="b">
        <v>1</v>
      </c>
      <c r="E98" t="s">
        <v>255</v>
      </c>
      <c r="G98" t="s">
        <v>256</v>
      </c>
      <c r="H98" s="1" t="s">
        <v>96</v>
      </c>
      <c r="I98" s="1" t="s">
        <v>96</v>
      </c>
      <c r="J98">
        <v>10.87</v>
      </c>
      <c r="K98" s="1" t="s">
        <v>96</v>
      </c>
      <c r="L98" s="1" t="s">
        <v>96</v>
      </c>
      <c r="M98" s="1" t="s">
        <v>96</v>
      </c>
      <c r="N98" s="1" t="s">
        <v>96</v>
      </c>
      <c r="O98" s="1" t="s">
        <v>96</v>
      </c>
      <c r="P98" s="1" t="s">
        <v>96</v>
      </c>
      <c r="Q98" s="1" t="s">
        <v>96</v>
      </c>
      <c r="R98" s="1" t="s">
        <v>96</v>
      </c>
      <c r="S98" s="1" t="s">
        <v>96</v>
      </c>
      <c r="T98">
        <v>1.1499999999999999</v>
      </c>
      <c r="U98" s="1" t="s">
        <v>96</v>
      </c>
      <c r="V98">
        <v>8.67</v>
      </c>
      <c r="W98" t="s">
        <v>96</v>
      </c>
      <c r="X98">
        <v>19.010000000000002</v>
      </c>
      <c r="Y98" s="1" t="s">
        <v>96</v>
      </c>
      <c r="Z98" t="s">
        <v>96</v>
      </c>
      <c r="AA98" t="s">
        <v>96</v>
      </c>
      <c r="AB98">
        <v>166.79</v>
      </c>
      <c r="AC98" s="1" t="s">
        <v>96</v>
      </c>
      <c r="AD98" s="1" t="s">
        <v>96</v>
      </c>
      <c r="AE98" s="1" t="s">
        <v>96</v>
      </c>
      <c r="AF98" s="1" t="s">
        <v>96</v>
      </c>
      <c r="AG98" s="1" t="s">
        <v>96</v>
      </c>
      <c r="AH98" s="1">
        <v>3.09</v>
      </c>
      <c r="AI98">
        <v>594.80999999999995</v>
      </c>
      <c r="AJ98">
        <v>1.79</v>
      </c>
      <c r="AK98" s="1" t="s">
        <v>96</v>
      </c>
      <c r="AL98" s="1">
        <v>1.1299999999999999</v>
      </c>
      <c r="AM98">
        <v>280.73</v>
      </c>
      <c r="AN98">
        <v>13.48</v>
      </c>
      <c r="AO98" s="1" t="s">
        <v>96</v>
      </c>
      <c r="AP98" s="1" t="s">
        <v>96</v>
      </c>
      <c r="AQ98" t="s">
        <v>96</v>
      </c>
      <c r="AR98" s="1" t="s">
        <v>96</v>
      </c>
      <c r="AS98" t="s">
        <v>133</v>
      </c>
      <c r="AT98" t="s">
        <v>96</v>
      </c>
      <c r="AU98">
        <v>16.62</v>
      </c>
      <c r="AV98" s="1" t="s">
        <v>96</v>
      </c>
      <c r="AW98" t="s">
        <v>133</v>
      </c>
      <c r="AX98" s="1" t="s">
        <v>96</v>
      </c>
      <c r="AY98" s="1" t="s">
        <v>96</v>
      </c>
      <c r="AZ98">
        <v>66.7</v>
      </c>
      <c r="BA98" s="1" t="s">
        <v>96</v>
      </c>
      <c r="BB98" s="1" t="s">
        <v>96</v>
      </c>
      <c r="BC98">
        <v>37.299999999999997</v>
      </c>
      <c r="BD98" t="s">
        <v>96</v>
      </c>
      <c r="BE98" s="1" t="s">
        <v>96</v>
      </c>
      <c r="BF98" s="1" t="s">
        <v>96</v>
      </c>
      <c r="BG98" t="s">
        <v>96</v>
      </c>
      <c r="BH98">
        <v>62.05</v>
      </c>
      <c r="BI98" t="s">
        <v>96</v>
      </c>
      <c r="BJ98" t="s">
        <v>96</v>
      </c>
      <c r="BK98" s="1" t="s">
        <v>96</v>
      </c>
      <c r="BL98" s="1" t="s">
        <v>96</v>
      </c>
      <c r="BM98" s="1" t="s">
        <v>96</v>
      </c>
      <c r="BN98" s="1" t="s">
        <v>96</v>
      </c>
      <c r="BO98" s="1" t="s">
        <v>96</v>
      </c>
      <c r="BP98">
        <v>180.56</v>
      </c>
      <c r="BQ98" t="s">
        <v>96</v>
      </c>
      <c r="BR98" s="1">
        <v>11.46</v>
      </c>
      <c r="BS98">
        <v>5.36</v>
      </c>
      <c r="BT98" t="s">
        <v>96</v>
      </c>
      <c r="BU98" s="1" t="s">
        <v>96</v>
      </c>
      <c r="BV98">
        <v>7.95</v>
      </c>
      <c r="BW98" t="s">
        <v>96</v>
      </c>
      <c r="BX98" s="1" t="s">
        <v>96</v>
      </c>
    </row>
    <row r="99" spans="1:76">
      <c r="A99">
        <v>244</v>
      </c>
      <c r="B99" t="s">
        <v>827</v>
      </c>
      <c r="D99" t="b">
        <v>1</v>
      </c>
      <c r="E99" t="s">
        <v>828</v>
      </c>
      <c r="G99" t="s">
        <v>829</v>
      </c>
      <c r="H99" s="1" t="s">
        <v>96</v>
      </c>
      <c r="I99" s="1" t="s">
        <v>96</v>
      </c>
      <c r="J99">
        <v>9.91</v>
      </c>
      <c r="K99" s="1" t="s">
        <v>96</v>
      </c>
      <c r="L99" s="1" t="s">
        <v>96</v>
      </c>
      <c r="M99" s="1" t="s">
        <v>96</v>
      </c>
      <c r="N99" s="1" t="s">
        <v>96</v>
      </c>
      <c r="O99" s="1" t="s">
        <v>96</v>
      </c>
      <c r="P99" s="1" t="s">
        <v>96</v>
      </c>
      <c r="Q99" s="1" t="s">
        <v>96</v>
      </c>
      <c r="R99" s="1" t="s">
        <v>96</v>
      </c>
      <c r="S99" s="1" t="s">
        <v>96</v>
      </c>
      <c r="T99" t="s">
        <v>96</v>
      </c>
      <c r="U99" s="1" t="s">
        <v>96</v>
      </c>
      <c r="V99" t="s">
        <v>96</v>
      </c>
      <c r="W99">
        <v>2.46</v>
      </c>
      <c r="X99">
        <v>31.08</v>
      </c>
      <c r="Y99" s="1" t="s">
        <v>96</v>
      </c>
      <c r="Z99" t="s">
        <v>96</v>
      </c>
      <c r="AA99">
        <v>49.34</v>
      </c>
      <c r="AB99">
        <v>14.52</v>
      </c>
      <c r="AC99" s="1" t="s">
        <v>96</v>
      </c>
      <c r="AD99" s="1" t="s">
        <v>96</v>
      </c>
      <c r="AE99" s="1" t="s">
        <v>96</v>
      </c>
      <c r="AF99" s="1" t="s">
        <v>96</v>
      </c>
      <c r="AG99" s="1" t="s">
        <v>96</v>
      </c>
      <c r="AH99" s="1" t="s">
        <v>96</v>
      </c>
      <c r="AI99" t="s">
        <v>96</v>
      </c>
      <c r="AJ99">
        <v>3.56</v>
      </c>
      <c r="AK99" s="1" t="s">
        <v>96</v>
      </c>
      <c r="AL99" s="1" t="s">
        <v>96</v>
      </c>
      <c r="AM99">
        <v>18.13</v>
      </c>
      <c r="AN99">
        <v>1.88</v>
      </c>
      <c r="AO99" s="1" t="s">
        <v>96</v>
      </c>
      <c r="AP99" s="1" t="s">
        <v>96</v>
      </c>
      <c r="AQ99" t="s">
        <v>96</v>
      </c>
      <c r="AR99" s="1" t="s">
        <v>96</v>
      </c>
      <c r="AS99">
        <v>156.9</v>
      </c>
      <c r="AT99">
        <v>68.77</v>
      </c>
      <c r="AU99">
        <v>7.98</v>
      </c>
      <c r="AV99" s="1" t="s">
        <v>96</v>
      </c>
      <c r="AW99">
        <v>46.83</v>
      </c>
      <c r="AX99" s="1" t="s">
        <v>96</v>
      </c>
      <c r="AY99" s="1" t="s">
        <v>96</v>
      </c>
      <c r="AZ99">
        <v>3.27</v>
      </c>
      <c r="BA99" s="1" t="s">
        <v>96</v>
      </c>
      <c r="BB99" s="1" t="s">
        <v>96</v>
      </c>
      <c r="BC99">
        <v>15.54</v>
      </c>
      <c r="BD99">
        <v>7.33</v>
      </c>
      <c r="BE99" s="1" t="s">
        <v>96</v>
      </c>
      <c r="BF99" s="1" t="s">
        <v>96</v>
      </c>
      <c r="BG99" t="s">
        <v>96</v>
      </c>
      <c r="BH99">
        <v>11.75</v>
      </c>
      <c r="BI99">
        <v>58.86</v>
      </c>
      <c r="BJ99">
        <v>3.14</v>
      </c>
      <c r="BK99" s="1" t="s">
        <v>96</v>
      </c>
      <c r="BL99" s="1" t="s">
        <v>96</v>
      </c>
      <c r="BM99" s="1" t="s">
        <v>96</v>
      </c>
      <c r="BN99" s="1" t="s">
        <v>96</v>
      </c>
      <c r="BO99" s="1">
        <v>6.08</v>
      </c>
      <c r="BP99">
        <v>35.47</v>
      </c>
      <c r="BQ99">
        <v>5.32</v>
      </c>
      <c r="BR99" s="1" t="s">
        <v>96</v>
      </c>
      <c r="BS99">
        <v>262.2</v>
      </c>
      <c r="BT99">
        <v>13.65</v>
      </c>
      <c r="BU99" s="1" t="s">
        <v>96</v>
      </c>
      <c r="BV99">
        <v>14.9</v>
      </c>
      <c r="BW99">
        <v>73.31</v>
      </c>
      <c r="BX99" s="1" t="s">
        <v>96</v>
      </c>
    </row>
    <row r="100" spans="1:76">
      <c r="A100">
        <v>227</v>
      </c>
      <c r="B100" t="s">
        <v>776</v>
      </c>
      <c r="D100" t="b">
        <v>1</v>
      </c>
      <c r="E100" t="s">
        <v>777</v>
      </c>
      <c r="G100" t="s">
        <v>778</v>
      </c>
      <c r="H100" s="1" t="s">
        <v>96</v>
      </c>
      <c r="I100" s="1" t="s">
        <v>96</v>
      </c>
      <c r="J100">
        <v>9.7899999999999991</v>
      </c>
      <c r="K100" s="1" t="s">
        <v>96</v>
      </c>
      <c r="L100" s="1" t="s">
        <v>96</v>
      </c>
      <c r="M100" s="1" t="s">
        <v>96</v>
      </c>
      <c r="N100" s="1" t="s">
        <v>96</v>
      </c>
      <c r="O100" s="1" t="s">
        <v>96</v>
      </c>
      <c r="P100" s="1" t="s">
        <v>96</v>
      </c>
      <c r="Q100" s="1" t="s">
        <v>96</v>
      </c>
      <c r="R100" s="1" t="s">
        <v>96</v>
      </c>
      <c r="S100" s="1" t="s">
        <v>96</v>
      </c>
      <c r="T100" t="s">
        <v>96</v>
      </c>
      <c r="U100" s="1" t="s">
        <v>96</v>
      </c>
      <c r="V100">
        <v>1.63</v>
      </c>
      <c r="W100" t="s">
        <v>96</v>
      </c>
      <c r="X100">
        <v>15.66</v>
      </c>
      <c r="Y100" s="1" t="s">
        <v>96</v>
      </c>
      <c r="Z100" t="s">
        <v>96</v>
      </c>
      <c r="AA100">
        <v>7.4</v>
      </c>
      <c r="AB100">
        <v>37.6</v>
      </c>
      <c r="AC100" s="1" t="s">
        <v>96</v>
      </c>
      <c r="AD100" s="1">
        <v>2.48</v>
      </c>
      <c r="AE100" s="1" t="s">
        <v>96</v>
      </c>
      <c r="AF100" s="1" t="s">
        <v>96</v>
      </c>
      <c r="AG100" s="1" t="s">
        <v>96</v>
      </c>
      <c r="AH100" s="1" t="s">
        <v>96</v>
      </c>
      <c r="AI100" t="s">
        <v>96</v>
      </c>
      <c r="AJ100">
        <v>6.75</v>
      </c>
      <c r="AK100" s="1" t="s">
        <v>96</v>
      </c>
      <c r="AL100" s="1" t="s">
        <v>96</v>
      </c>
      <c r="AM100">
        <v>47.89</v>
      </c>
      <c r="AN100">
        <v>1.92</v>
      </c>
      <c r="AO100" s="1" t="s">
        <v>96</v>
      </c>
      <c r="AP100" s="1" t="s">
        <v>96</v>
      </c>
      <c r="AQ100">
        <v>4.71</v>
      </c>
      <c r="AR100" s="1" t="s">
        <v>96</v>
      </c>
      <c r="AS100" t="s">
        <v>133</v>
      </c>
      <c r="AT100">
        <v>285.51</v>
      </c>
      <c r="AU100">
        <v>98.36</v>
      </c>
      <c r="AV100" s="1" t="s">
        <v>96</v>
      </c>
      <c r="AW100" t="s">
        <v>133</v>
      </c>
      <c r="AX100" s="1" t="s">
        <v>96</v>
      </c>
      <c r="AY100" s="1">
        <v>5.43</v>
      </c>
      <c r="AZ100">
        <v>61.38</v>
      </c>
      <c r="BA100" s="1">
        <v>11.18</v>
      </c>
      <c r="BB100" s="1" t="s">
        <v>96</v>
      </c>
      <c r="BC100">
        <v>720.08</v>
      </c>
      <c r="BD100">
        <v>68.11</v>
      </c>
      <c r="BE100" s="1" t="s">
        <v>96</v>
      </c>
      <c r="BF100" s="1">
        <v>14.64</v>
      </c>
      <c r="BG100">
        <v>7.22</v>
      </c>
      <c r="BH100">
        <v>233.36</v>
      </c>
      <c r="BI100">
        <v>262.10000000000002</v>
      </c>
      <c r="BJ100" t="s">
        <v>96</v>
      </c>
      <c r="BK100" s="1" t="s">
        <v>96</v>
      </c>
      <c r="BL100" s="1" t="s">
        <v>96</v>
      </c>
      <c r="BM100" s="1" t="s">
        <v>96</v>
      </c>
      <c r="BN100" s="1" t="s">
        <v>96</v>
      </c>
      <c r="BO100" s="1" t="s">
        <v>96</v>
      </c>
      <c r="BP100">
        <v>298.74</v>
      </c>
      <c r="BQ100">
        <v>64.709999999999994</v>
      </c>
      <c r="BR100" s="1" t="s">
        <v>96</v>
      </c>
      <c r="BS100">
        <v>521</v>
      </c>
      <c r="BT100">
        <v>19.190000000000001</v>
      </c>
      <c r="BU100" s="1" t="s">
        <v>96</v>
      </c>
      <c r="BV100">
        <v>29.17</v>
      </c>
      <c r="BW100">
        <v>58.72</v>
      </c>
      <c r="BX100" s="1" t="s">
        <v>96</v>
      </c>
    </row>
    <row r="101" spans="1:76">
      <c r="A101">
        <v>164</v>
      </c>
      <c r="B101" t="s">
        <v>587</v>
      </c>
      <c r="D101" t="b">
        <v>1</v>
      </c>
      <c r="E101" t="s">
        <v>588</v>
      </c>
      <c r="G101" t="s">
        <v>589</v>
      </c>
      <c r="H101" s="1" t="s">
        <v>96</v>
      </c>
      <c r="I101" s="1" t="s">
        <v>96</v>
      </c>
      <c r="J101">
        <v>21.44</v>
      </c>
      <c r="K101" s="1" t="s">
        <v>96</v>
      </c>
      <c r="L101" s="1" t="s">
        <v>96</v>
      </c>
      <c r="M101" s="1" t="s">
        <v>96</v>
      </c>
      <c r="N101" s="1" t="s">
        <v>96</v>
      </c>
      <c r="O101" s="1" t="s">
        <v>96</v>
      </c>
      <c r="P101" s="1" t="s">
        <v>96</v>
      </c>
      <c r="Q101" s="1" t="s">
        <v>96</v>
      </c>
      <c r="R101" s="1" t="s">
        <v>96</v>
      </c>
      <c r="S101" s="1" t="s">
        <v>96</v>
      </c>
      <c r="T101" t="s">
        <v>96</v>
      </c>
      <c r="U101" s="1" t="s">
        <v>96</v>
      </c>
      <c r="V101">
        <v>1.29</v>
      </c>
      <c r="W101">
        <v>2.29</v>
      </c>
      <c r="X101">
        <v>98.94</v>
      </c>
      <c r="Y101" s="1" t="s">
        <v>96</v>
      </c>
      <c r="Z101" t="s">
        <v>96</v>
      </c>
      <c r="AA101">
        <v>43.49</v>
      </c>
      <c r="AB101">
        <v>36.29</v>
      </c>
      <c r="AC101" s="1">
        <v>3.95</v>
      </c>
      <c r="AD101" s="1" t="s">
        <v>96</v>
      </c>
      <c r="AE101" s="1" t="s">
        <v>96</v>
      </c>
      <c r="AF101" s="1" t="s">
        <v>96</v>
      </c>
      <c r="AG101" s="1" t="s">
        <v>96</v>
      </c>
      <c r="AH101" s="1" t="s">
        <v>96</v>
      </c>
      <c r="AI101">
        <v>42.03</v>
      </c>
      <c r="AJ101">
        <v>16.010000000000002</v>
      </c>
      <c r="AK101" s="1" t="s">
        <v>96</v>
      </c>
      <c r="AL101" s="1">
        <v>1.48</v>
      </c>
      <c r="AM101">
        <v>26.57</v>
      </c>
      <c r="AN101">
        <v>19.829999999999998</v>
      </c>
      <c r="AO101" s="1" t="s">
        <v>96</v>
      </c>
      <c r="AP101" s="1" t="s">
        <v>96</v>
      </c>
      <c r="AQ101" t="s">
        <v>96</v>
      </c>
      <c r="AR101" s="1" t="s">
        <v>96</v>
      </c>
      <c r="AS101">
        <v>533.77</v>
      </c>
      <c r="AT101">
        <v>109.4</v>
      </c>
      <c r="AU101">
        <v>103.33</v>
      </c>
      <c r="AV101" s="1" t="s">
        <v>96</v>
      </c>
      <c r="AW101">
        <v>201.66</v>
      </c>
      <c r="AX101" s="1" t="s">
        <v>96</v>
      </c>
      <c r="AY101" s="1" t="s">
        <v>96</v>
      </c>
      <c r="AZ101">
        <v>68.02</v>
      </c>
      <c r="BA101" s="1">
        <v>12.93</v>
      </c>
      <c r="BB101" s="1" t="s">
        <v>96</v>
      </c>
      <c r="BC101">
        <v>170.04</v>
      </c>
      <c r="BD101">
        <v>41.5</v>
      </c>
      <c r="BE101" s="1" t="s">
        <v>96</v>
      </c>
      <c r="BF101" s="1">
        <v>33.090000000000003</v>
      </c>
      <c r="BG101">
        <v>20.190000000000001</v>
      </c>
      <c r="BH101">
        <v>65.89</v>
      </c>
      <c r="BI101">
        <v>48.99</v>
      </c>
      <c r="BJ101" t="s">
        <v>96</v>
      </c>
      <c r="BK101" s="1" t="s">
        <v>96</v>
      </c>
      <c r="BL101" s="1" t="s">
        <v>96</v>
      </c>
      <c r="BM101" s="1" t="s">
        <v>96</v>
      </c>
      <c r="BN101" s="1" t="s">
        <v>96</v>
      </c>
      <c r="BO101" s="1" t="s">
        <v>96</v>
      </c>
      <c r="BP101">
        <v>72.34</v>
      </c>
      <c r="BQ101">
        <v>50.01</v>
      </c>
      <c r="BR101" s="1" t="s">
        <v>96</v>
      </c>
      <c r="BS101">
        <v>65.790000000000006</v>
      </c>
      <c r="BT101">
        <v>43.54</v>
      </c>
      <c r="BU101" s="1">
        <v>11.17</v>
      </c>
      <c r="BV101">
        <v>33.479999999999997</v>
      </c>
      <c r="BW101">
        <v>56.67</v>
      </c>
      <c r="BX101" s="1" t="s">
        <v>96</v>
      </c>
    </row>
    <row r="102" spans="1:76">
      <c r="A102">
        <v>6</v>
      </c>
      <c r="B102" t="s">
        <v>112</v>
      </c>
      <c r="D102" t="b">
        <v>1</v>
      </c>
      <c r="E102" t="s">
        <v>113</v>
      </c>
      <c r="G102" t="s">
        <v>114</v>
      </c>
      <c r="H102" s="1" t="s">
        <v>96</v>
      </c>
      <c r="I102" s="1" t="s">
        <v>96</v>
      </c>
      <c r="J102">
        <v>11.36</v>
      </c>
      <c r="K102" s="1" t="s">
        <v>96</v>
      </c>
      <c r="L102" s="1" t="s">
        <v>96</v>
      </c>
      <c r="M102" s="1" t="s">
        <v>96</v>
      </c>
      <c r="N102" s="1" t="s">
        <v>96</v>
      </c>
      <c r="O102" s="1" t="s">
        <v>96</v>
      </c>
      <c r="P102" s="1" t="s">
        <v>96</v>
      </c>
      <c r="Q102" s="1" t="s">
        <v>96</v>
      </c>
      <c r="R102" s="1" t="s">
        <v>96</v>
      </c>
      <c r="S102" s="1" t="s">
        <v>96</v>
      </c>
      <c r="T102" t="s">
        <v>96</v>
      </c>
      <c r="U102" s="1" t="s">
        <v>96</v>
      </c>
      <c r="V102">
        <v>3.23</v>
      </c>
      <c r="W102">
        <v>9.9700000000000006</v>
      </c>
      <c r="X102">
        <v>42.15</v>
      </c>
      <c r="Y102" s="1" t="s">
        <v>96</v>
      </c>
      <c r="Z102">
        <v>15</v>
      </c>
      <c r="AA102">
        <v>173.5</v>
      </c>
      <c r="AB102">
        <v>159.94</v>
      </c>
      <c r="AC102" s="1" t="s">
        <v>96</v>
      </c>
      <c r="AD102" s="1" t="s">
        <v>96</v>
      </c>
      <c r="AE102" s="1" t="s">
        <v>96</v>
      </c>
      <c r="AF102" s="1" t="s">
        <v>96</v>
      </c>
      <c r="AG102" s="1" t="s">
        <v>96</v>
      </c>
      <c r="AH102" s="1" t="s">
        <v>96</v>
      </c>
      <c r="AI102">
        <v>151.55000000000001</v>
      </c>
      <c r="AJ102">
        <v>17.93</v>
      </c>
      <c r="AK102" s="1" t="s">
        <v>96</v>
      </c>
      <c r="AL102" s="1" t="s">
        <v>96</v>
      </c>
      <c r="AM102">
        <v>54.18</v>
      </c>
      <c r="AN102">
        <v>4.8</v>
      </c>
      <c r="AO102" s="1" t="s">
        <v>96</v>
      </c>
      <c r="AP102" s="1" t="s">
        <v>96</v>
      </c>
      <c r="AQ102">
        <v>6.58</v>
      </c>
      <c r="AR102" s="1" t="s">
        <v>96</v>
      </c>
      <c r="AS102">
        <v>926.37</v>
      </c>
      <c r="AT102">
        <v>205.3</v>
      </c>
      <c r="AU102">
        <v>48.69</v>
      </c>
      <c r="AV102" s="1" t="s">
        <v>96</v>
      </c>
      <c r="AW102">
        <v>462.62</v>
      </c>
      <c r="AX102" s="1" t="s">
        <v>96</v>
      </c>
      <c r="AY102" s="1">
        <v>7.74</v>
      </c>
      <c r="AZ102">
        <v>16.13</v>
      </c>
      <c r="BA102" s="1">
        <v>15.06</v>
      </c>
      <c r="BB102" s="1" t="s">
        <v>96</v>
      </c>
      <c r="BC102">
        <v>563.54999999999995</v>
      </c>
      <c r="BD102">
        <v>142.30000000000001</v>
      </c>
      <c r="BE102" s="1" t="s">
        <v>96</v>
      </c>
      <c r="BF102" s="1">
        <v>11.11</v>
      </c>
      <c r="BG102">
        <v>5.99</v>
      </c>
      <c r="BH102">
        <v>232.79</v>
      </c>
      <c r="BI102">
        <v>200.99</v>
      </c>
      <c r="BJ102">
        <v>4.24</v>
      </c>
      <c r="BK102" s="1" t="s">
        <v>96</v>
      </c>
      <c r="BL102" s="1" t="s">
        <v>96</v>
      </c>
      <c r="BM102" s="1" t="s">
        <v>96</v>
      </c>
      <c r="BN102" s="1" t="s">
        <v>96</v>
      </c>
      <c r="BO102" s="1">
        <v>34.840000000000003</v>
      </c>
      <c r="BP102">
        <v>194.12</v>
      </c>
      <c r="BQ102">
        <v>100.41</v>
      </c>
      <c r="BR102" s="1" t="s">
        <v>96</v>
      </c>
      <c r="BS102">
        <v>343.39</v>
      </c>
      <c r="BT102">
        <v>75.260000000000005</v>
      </c>
      <c r="BU102" s="1">
        <v>11.62</v>
      </c>
      <c r="BV102">
        <v>31.55</v>
      </c>
      <c r="BW102">
        <v>106.56</v>
      </c>
      <c r="BX102" s="1" t="s">
        <v>96</v>
      </c>
    </row>
    <row r="103" spans="1:76">
      <c r="A103">
        <v>29</v>
      </c>
      <c r="B103" t="s">
        <v>182</v>
      </c>
      <c r="D103" t="b">
        <v>1</v>
      </c>
      <c r="E103" t="s">
        <v>183</v>
      </c>
      <c r="G103" t="s">
        <v>184</v>
      </c>
      <c r="H103" s="1" t="s">
        <v>96</v>
      </c>
      <c r="I103" s="1" t="s">
        <v>96</v>
      </c>
      <c r="J103">
        <v>17.309999999999999</v>
      </c>
      <c r="K103" s="1" t="s">
        <v>96</v>
      </c>
      <c r="L103" s="1" t="s">
        <v>96</v>
      </c>
      <c r="M103" s="1">
        <v>6.85</v>
      </c>
      <c r="N103" s="1" t="s">
        <v>96</v>
      </c>
      <c r="O103" s="1" t="s">
        <v>96</v>
      </c>
      <c r="P103" s="1" t="s">
        <v>96</v>
      </c>
      <c r="Q103" s="1" t="s">
        <v>96</v>
      </c>
      <c r="R103" s="1" t="s">
        <v>96</v>
      </c>
      <c r="S103" s="1" t="s">
        <v>96</v>
      </c>
      <c r="T103" t="s">
        <v>96</v>
      </c>
      <c r="U103" s="1" t="s">
        <v>96</v>
      </c>
      <c r="V103">
        <v>23.03</v>
      </c>
      <c r="W103">
        <v>8.1199999999999992</v>
      </c>
      <c r="X103">
        <v>12.87</v>
      </c>
      <c r="Y103" s="1" t="s">
        <v>96</v>
      </c>
      <c r="Z103">
        <v>10.210000000000001</v>
      </c>
      <c r="AA103">
        <v>452.94</v>
      </c>
      <c r="AB103">
        <v>508.28</v>
      </c>
      <c r="AC103" s="1" t="s">
        <v>96</v>
      </c>
      <c r="AD103" s="1" t="s">
        <v>96</v>
      </c>
      <c r="AE103" s="1" t="s">
        <v>96</v>
      </c>
      <c r="AF103" s="1" t="s">
        <v>96</v>
      </c>
      <c r="AG103" s="1" t="s">
        <v>96</v>
      </c>
      <c r="AH103" s="1" t="s">
        <v>96</v>
      </c>
      <c r="AI103">
        <v>85.98</v>
      </c>
      <c r="AJ103">
        <v>27.01</v>
      </c>
      <c r="AK103" s="1" t="s">
        <v>96</v>
      </c>
      <c r="AL103" s="1">
        <v>1.93</v>
      </c>
      <c r="AM103">
        <v>535.67999999999995</v>
      </c>
      <c r="AN103">
        <v>13.76</v>
      </c>
      <c r="AO103" s="1" t="s">
        <v>96</v>
      </c>
      <c r="AP103" s="1" t="s">
        <v>96</v>
      </c>
      <c r="AQ103">
        <v>8.42</v>
      </c>
      <c r="AR103" s="1" t="s">
        <v>96</v>
      </c>
      <c r="AS103">
        <v>1891.74</v>
      </c>
      <c r="AT103">
        <v>553.82000000000005</v>
      </c>
      <c r="AU103">
        <v>75.73</v>
      </c>
      <c r="AV103" s="1" t="s">
        <v>96</v>
      </c>
      <c r="AW103">
        <v>214.66</v>
      </c>
      <c r="AX103" s="1" t="s">
        <v>96</v>
      </c>
      <c r="AY103" s="1">
        <v>2.88</v>
      </c>
      <c r="AZ103">
        <v>7.08</v>
      </c>
      <c r="BA103" s="1" t="s">
        <v>96</v>
      </c>
      <c r="BB103" s="1" t="s">
        <v>96</v>
      </c>
      <c r="BC103">
        <v>134.25</v>
      </c>
      <c r="BD103">
        <v>38.32</v>
      </c>
      <c r="BE103" s="1" t="s">
        <v>96</v>
      </c>
      <c r="BF103" s="1" t="s">
        <v>96</v>
      </c>
      <c r="BG103">
        <v>3.09</v>
      </c>
      <c r="BH103">
        <v>23.99</v>
      </c>
      <c r="BI103">
        <v>76.56</v>
      </c>
      <c r="BJ103">
        <v>8.52</v>
      </c>
      <c r="BK103" s="1" t="s">
        <v>96</v>
      </c>
      <c r="BL103" s="1" t="s">
        <v>96</v>
      </c>
      <c r="BM103" s="1">
        <v>10.1</v>
      </c>
      <c r="BN103" s="1" t="s">
        <v>96</v>
      </c>
      <c r="BO103" s="1">
        <v>13.89</v>
      </c>
      <c r="BP103">
        <v>74.150000000000006</v>
      </c>
      <c r="BQ103">
        <v>10.130000000000001</v>
      </c>
      <c r="BR103" s="1" t="s">
        <v>96</v>
      </c>
      <c r="BS103">
        <v>482.5</v>
      </c>
      <c r="BT103">
        <v>28.72</v>
      </c>
      <c r="BU103" s="1" t="s">
        <v>96</v>
      </c>
      <c r="BV103">
        <v>23.76</v>
      </c>
      <c r="BW103">
        <v>127.8</v>
      </c>
      <c r="BX103" s="1" t="s">
        <v>96</v>
      </c>
    </row>
    <row r="104" spans="1:76">
      <c r="A104">
        <v>219</v>
      </c>
      <c r="B104" t="s">
        <v>752</v>
      </c>
      <c r="D104" t="b">
        <v>1</v>
      </c>
      <c r="E104" t="s">
        <v>753</v>
      </c>
      <c r="G104" t="s">
        <v>754</v>
      </c>
      <c r="H104" s="1" t="s">
        <v>96</v>
      </c>
      <c r="I104" s="1" t="s">
        <v>96</v>
      </c>
      <c r="J104">
        <v>16.54</v>
      </c>
      <c r="K104" s="1" t="s">
        <v>96</v>
      </c>
      <c r="L104" s="1" t="s">
        <v>96</v>
      </c>
      <c r="M104" s="1">
        <v>8.27</v>
      </c>
      <c r="N104" s="1" t="s">
        <v>96</v>
      </c>
      <c r="O104" s="1" t="s">
        <v>96</v>
      </c>
      <c r="P104" s="1" t="s">
        <v>96</v>
      </c>
      <c r="Q104" s="1" t="s">
        <v>96</v>
      </c>
      <c r="R104" s="1" t="s">
        <v>96</v>
      </c>
      <c r="S104" s="1" t="s">
        <v>96</v>
      </c>
      <c r="T104">
        <v>1.67</v>
      </c>
      <c r="U104" s="1" t="s">
        <v>96</v>
      </c>
      <c r="V104">
        <v>2.08</v>
      </c>
      <c r="W104">
        <v>11.73</v>
      </c>
      <c r="X104">
        <v>208.22</v>
      </c>
      <c r="Y104" s="1" t="s">
        <v>96</v>
      </c>
      <c r="Z104">
        <v>35.44</v>
      </c>
      <c r="AA104">
        <v>291.97000000000003</v>
      </c>
      <c r="AB104">
        <v>229.64</v>
      </c>
      <c r="AC104" s="1" t="s">
        <v>96</v>
      </c>
      <c r="AD104" s="1" t="s">
        <v>96</v>
      </c>
      <c r="AE104" s="1" t="s">
        <v>96</v>
      </c>
      <c r="AF104" s="1" t="s">
        <v>96</v>
      </c>
      <c r="AG104" s="1" t="s">
        <v>96</v>
      </c>
      <c r="AH104" s="1" t="s">
        <v>96</v>
      </c>
      <c r="AI104">
        <v>456.32</v>
      </c>
      <c r="AJ104">
        <v>52.81</v>
      </c>
      <c r="AK104" s="1" t="s">
        <v>96</v>
      </c>
      <c r="AL104" s="1" t="s">
        <v>96</v>
      </c>
      <c r="AM104">
        <v>20.28</v>
      </c>
      <c r="AN104" t="s">
        <v>96</v>
      </c>
      <c r="AO104" s="1" t="s">
        <v>96</v>
      </c>
      <c r="AP104" s="1" t="s">
        <v>96</v>
      </c>
      <c r="AQ104">
        <v>3.85</v>
      </c>
      <c r="AR104" s="1" t="s">
        <v>96</v>
      </c>
      <c r="AS104">
        <v>1035.46</v>
      </c>
      <c r="AT104">
        <v>290.2</v>
      </c>
      <c r="AU104">
        <v>92.94</v>
      </c>
      <c r="AV104" s="1" t="s">
        <v>96</v>
      </c>
      <c r="AW104">
        <v>180.71</v>
      </c>
      <c r="AX104" s="1" t="s">
        <v>96</v>
      </c>
      <c r="AY104" s="1" t="s">
        <v>96</v>
      </c>
      <c r="AZ104">
        <v>8.5500000000000007</v>
      </c>
      <c r="BA104" s="1" t="s">
        <v>96</v>
      </c>
      <c r="BB104" s="1" t="s">
        <v>96</v>
      </c>
      <c r="BC104">
        <v>70.540000000000006</v>
      </c>
      <c r="BD104">
        <v>21.18</v>
      </c>
      <c r="BE104" s="1" t="s">
        <v>96</v>
      </c>
      <c r="BF104" s="1" t="s">
        <v>96</v>
      </c>
      <c r="BG104" t="s">
        <v>96</v>
      </c>
      <c r="BH104">
        <v>11.71</v>
      </c>
      <c r="BI104">
        <v>153.96</v>
      </c>
      <c r="BJ104">
        <v>9.9600000000000009</v>
      </c>
      <c r="BK104" s="1" t="s">
        <v>96</v>
      </c>
      <c r="BL104" s="1" t="s">
        <v>96</v>
      </c>
      <c r="BM104" s="1" t="s">
        <v>96</v>
      </c>
      <c r="BN104" s="1" t="s">
        <v>96</v>
      </c>
      <c r="BO104" s="1">
        <v>23.28</v>
      </c>
      <c r="BP104">
        <v>193.3</v>
      </c>
      <c r="BQ104">
        <v>17.600000000000001</v>
      </c>
      <c r="BR104" s="1" t="s">
        <v>96</v>
      </c>
      <c r="BS104">
        <v>1567.36</v>
      </c>
      <c r="BT104">
        <v>18.010000000000002</v>
      </c>
      <c r="BU104" s="1" t="s">
        <v>96</v>
      </c>
      <c r="BV104">
        <v>32.36</v>
      </c>
      <c r="BW104">
        <v>168.56</v>
      </c>
      <c r="BX104" s="1" t="s">
        <v>96</v>
      </c>
    </row>
    <row r="105" spans="1:76">
      <c r="A105">
        <v>156</v>
      </c>
      <c r="B105" t="s">
        <v>563</v>
      </c>
      <c r="D105" t="b">
        <v>1</v>
      </c>
      <c r="E105" t="s">
        <v>564</v>
      </c>
      <c r="G105" t="s">
        <v>565</v>
      </c>
      <c r="H105" s="1" t="s">
        <v>96</v>
      </c>
      <c r="I105" s="1" t="s">
        <v>96</v>
      </c>
      <c r="J105">
        <v>28.1</v>
      </c>
      <c r="K105" s="1" t="s">
        <v>96</v>
      </c>
      <c r="L105" s="1" t="s">
        <v>96</v>
      </c>
      <c r="M105" s="1" t="s">
        <v>96</v>
      </c>
      <c r="N105" s="1" t="s">
        <v>96</v>
      </c>
      <c r="O105" s="1" t="s">
        <v>96</v>
      </c>
      <c r="P105" s="1" t="s">
        <v>96</v>
      </c>
      <c r="Q105" s="1" t="s">
        <v>96</v>
      </c>
      <c r="R105" s="1" t="s">
        <v>96</v>
      </c>
      <c r="S105" s="1" t="s">
        <v>96</v>
      </c>
      <c r="T105" t="s">
        <v>96</v>
      </c>
      <c r="U105" s="1" t="s">
        <v>96</v>
      </c>
      <c r="V105">
        <v>1.06</v>
      </c>
      <c r="W105" t="s">
        <v>96</v>
      </c>
      <c r="X105">
        <v>20.91</v>
      </c>
      <c r="Y105" s="1" t="s">
        <v>96</v>
      </c>
      <c r="Z105" t="s">
        <v>96</v>
      </c>
      <c r="AA105">
        <v>67.37</v>
      </c>
      <c r="AB105">
        <v>219.59</v>
      </c>
      <c r="AC105" s="1" t="s">
        <v>96</v>
      </c>
      <c r="AD105" s="1" t="s">
        <v>96</v>
      </c>
      <c r="AE105" s="1" t="s">
        <v>96</v>
      </c>
      <c r="AF105" s="1" t="s">
        <v>96</v>
      </c>
      <c r="AG105" s="1" t="s">
        <v>96</v>
      </c>
      <c r="AH105" s="1" t="s">
        <v>96</v>
      </c>
      <c r="AI105" t="s">
        <v>96</v>
      </c>
      <c r="AJ105">
        <v>14.82</v>
      </c>
      <c r="AK105" s="1" t="s">
        <v>96</v>
      </c>
      <c r="AL105" s="1" t="s">
        <v>96</v>
      </c>
      <c r="AM105">
        <v>33.22</v>
      </c>
      <c r="AN105">
        <v>9.8000000000000007</v>
      </c>
      <c r="AO105" s="1" t="s">
        <v>96</v>
      </c>
      <c r="AP105" s="1" t="s">
        <v>96</v>
      </c>
      <c r="AQ105">
        <v>7.53</v>
      </c>
      <c r="AR105" s="1" t="s">
        <v>96</v>
      </c>
      <c r="AS105">
        <v>1828.76</v>
      </c>
      <c r="AT105">
        <v>142</v>
      </c>
      <c r="AU105">
        <v>92.01</v>
      </c>
      <c r="AV105" s="1" t="s">
        <v>96</v>
      </c>
      <c r="AW105">
        <v>325.74</v>
      </c>
      <c r="AX105" s="1" t="s">
        <v>96</v>
      </c>
      <c r="AY105" s="1" t="s">
        <v>96</v>
      </c>
      <c r="AZ105">
        <v>48.96</v>
      </c>
      <c r="BA105" s="1">
        <v>4.99</v>
      </c>
      <c r="BB105" s="1" t="s">
        <v>96</v>
      </c>
      <c r="BC105">
        <v>162.13999999999999</v>
      </c>
      <c r="BD105">
        <v>20.309999999999999</v>
      </c>
      <c r="BE105" s="1" t="s">
        <v>96</v>
      </c>
      <c r="BF105" s="1">
        <v>6.57</v>
      </c>
      <c r="BG105" t="s">
        <v>96</v>
      </c>
      <c r="BH105">
        <v>34.01</v>
      </c>
      <c r="BI105">
        <v>34.020000000000003</v>
      </c>
      <c r="BJ105" t="s">
        <v>96</v>
      </c>
      <c r="BK105" s="1" t="s">
        <v>96</v>
      </c>
      <c r="BL105" s="1" t="s">
        <v>96</v>
      </c>
      <c r="BM105" s="1" t="s">
        <v>96</v>
      </c>
      <c r="BN105" s="1" t="s">
        <v>96</v>
      </c>
      <c r="BO105" s="1" t="s">
        <v>96</v>
      </c>
      <c r="BP105">
        <v>134.4</v>
      </c>
      <c r="BQ105">
        <v>20.36</v>
      </c>
      <c r="BR105" s="1" t="s">
        <v>96</v>
      </c>
      <c r="BS105">
        <v>167.45</v>
      </c>
      <c r="BT105">
        <v>8.43</v>
      </c>
      <c r="BU105" s="1" t="s">
        <v>96</v>
      </c>
      <c r="BV105">
        <v>14.71</v>
      </c>
      <c r="BW105">
        <v>39.85</v>
      </c>
      <c r="BX105" s="1" t="s">
        <v>96</v>
      </c>
    </row>
    <row r="106" spans="1:76">
      <c r="A106">
        <v>132</v>
      </c>
      <c r="B106" t="s">
        <v>491</v>
      </c>
      <c r="D106" t="b">
        <v>1</v>
      </c>
      <c r="E106" t="s">
        <v>492</v>
      </c>
      <c r="G106" t="s">
        <v>493</v>
      </c>
      <c r="H106" s="1" t="s">
        <v>96</v>
      </c>
      <c r="I106" s="1" t="s">
        <v>96</v>
      </c>
      <c r="J106">
        <v>14.99</v>
      </c>
      <c r="K106" s="1" t="s">
        <v>96</v>
      </c>
      <c r="L106" s="1" t="s">
        <v>96</v>
      </c>
      <c r="M106" s="1" t="s">
        <v>96</v>
      </c>
      <c r="N106" s="1" t="s">
        <v>96</v>
      </c>
      <c r="O106" s="1" t="s">
        <v>96</v>
      </c>
      <c r="P106" s="1" t="s">
        <v>96</v>
      </c>
      <c r="Q106" s="1" t="s">
        <v>96</v>
      </c>
      <c r="R106" s="1" t="s">
        <v>96</v>
      </c>
      <c r="S106" s="1" t="s">
        <v>96</v>
      </c>
      <c r="T106" t="s">
        <v>96</v>
      </c>
      <c r="U106" s="1" t="s">
        <v>96</v>
      </c>
      <c r="V106">
        <v>2.77</v>
      </c>
      <c r="W106">
        <v>3.72</v>
      </c>
      <c r="X106">
        <v>46.81</v>
      </c>
      <c r="Y106" s="1" t="s">
        <v>96</v>
      </c>
      <c r="Z106" t="s">
        <v>96</v>
      </c>
      <c r="AA106">
        <v>125.08</v>
      </c>
      <c r="AB106">
        <v>251.04</v>
      </c>
      <c r="AC106" s="1" t="s">
        <v>96</v>
      </c>
      <c r="AD106" s="1">
        <v>8.06</v>
      </c>
      <c r="AE106" s="1" t="s">
        <v>96</v>
      </c>
      <c r="AF106" s="1" t="s">
        <v>96</v>
      </c>
      <c r="AG106" s="1" t="s">
        <v>96</v>
      </c>
      <c r="AH106" s="1" t="s">
        <v>96</v>
      </c>
      <c r="AI106" t="s">
        <v>96</v>
      </c>
      <c r="AJ106">
        <v>30.8</v>
      </c>
      <c r="AK106" s="1" t="s">
        <v>96</v>
      </c>
      <c r="AL106" s="1" t="s">
        <v>96</v>
      </c>
      <c r="AM106">
        <v>76.3</v>
      </c>
      <c r="AN106">
        <v>4.66</v>
      </c>
      <c r="AO106" s="1" t="s">
        <v>96</v>
      </c>
      <c r="AP106" s="1" t="s">
        <v>96</v>
      </c>
      <c r="AQ106">
        <v>4.04</v>
      </c>
      <c r="AR106" s="1">
        <v>2.96</v>
      </c>
      <c r="AS106">
        <v>1758.15</v>
      </c>
      <c r="AT106">
        <v>303.01</v>
      </c>
      <c r="AU106">
        <v>137.56</v>
      </c>
      <c r="AV106" s="1" t="s">
        <v>96</v>
      </c>
      <c r="AW106">
        <v>597.35</v>
      </c>
      <c r="AX106" s="1" t="s">
        <v>96</v>
      </c>
      <c r="AY106" s="1" t="s">
        <v>96</v>
      </c>
      <c r="AZ106">
        <v>24.71</v>
      </c>
      <c r="BA106" s="1">
        <v>10.23</v>
      </c>
      <c r="BB106" s="1" t="s">
        <v>96</v>
      </c>
      <c r="BC106">
        <v>263.32</v>
      </c>
      <c r="BD106">
        <v>51.49</v>
      </c>
      <c r="BE106" s="1" t="s">
        <v>96</v>
      </c>
      <c r="BF106" s="1">
        <v>4.59</v>
      </c>
      <c r="BG106" t="s">
        <v>96</v>
      </c>
      <c r="BH106">
        <v>95.48</v>
      </c>
      <c r="BI106">
        <v>149.88999999999999</v>
      </c>
      <c r="BJ106" t="s">
        <v>96</v>
      </c>
      <c r="BK106" s="1" t="s">
        <v>96</v>
      </c>
      <c r="BL106" s="1" t="s">
        <v>96</v>
      </c>
      <c r="BM106" s="1" t="s">
        <v>96</v>
      </c>
      <c r="BN106" s="1" t="s">
        <v>96</v>
      </c>
      <c r="BO106" s="1">
        <v>7.9</v>
      </c>
      <c r="BP106">
        <v>306.07</v>
      </c>
      <c r="BQ106">
        <v>94.35</v>
      </c>
      <c r="BR106" s="1">
        <v>5.03</v>
      </c>
      <c r="BS106">
        <v>621.32000000000005</v>
      </c>
      <c r="BT106">
        <v>52.57</v>
      </c>
      <c r="BU106" s="1">
        <v>14.17</v>
      </c>
      <c r="BV106">
        <v>66.72</v>
      </c>
      <c r="BW106">
        <v>164.97</v>
      </c>
      <c r="BX106" s="1" t="s">
        <v>96</v>
      </c>
    </row>
    <row r="107" spans="1:76">
      <c r="A107">
        <v>79</v>
      </c>
      <c r="B107" t="s">
        <v>332</v>
      </c>
      <c r="D107" t="b">
        <v>1</v>
      </c>
      <c r="E107" t="s">
        <v>333</v>
      </c>
      <c r="G107" t="s">
        <v>334</v>
      </c>
      <c r="H107" s="1" t="s">
        <v>96</v>
      </c>
      <c r="I107" s="1" t="s">
        <v>96</v>
      </c>
      <c r="J107">
        <v>21.6</v>
      </c>
      <c r="K107" s="1" t="s">
        <v>96</v>
      </c>
      <c r="L107" s="1" t="s">
        <v>96</v>
      </c>
      <c r="M107" s="1">
        <v>10.83</v>
      </c>
      <c r="N107" s="1" t="s">
        <v>96</v>
      </c>
      <c r="O107" s="1" t="s">
        <v>96</v>
      </c>
      <c r="P107" s="1" t="s">
        <v>96</v>
      </c>
      <c r="Q107" s="1" t="s">
        <v>96</v>
      </c>
      <c r="R107" s="1" t="s">
        <v>96</v>
      </c>
      <c r="S107" s="1" t="s">
        <v>96</v>
      </c>
      <c r="T107" t="s">
        <v>96</v>
      </c>
      <c r="U107" s="1" t="s">
        <v>96</v>
      </c>
      <c r="V107">
        <v>2.09</v>
      </c>
      <c r="W107">
        <v>5.89</v>
      </c>
      <c r="X107">
        <v>60.62</v>
      </c>
      <c r="Y107" s="1" t="s">
        <v>96</v>
      </c>
      <c r="Z107">
        <v>16.13</v>
      </c>
      <c r="AA107">
        <v>200.22</v>
      </c>
      <c r="AB107">
        <v>130.55000000000001</v>
      </c>
      <c r="AC107" s="1">
        <v>3.45</v>
      </c>
      <c r="AD107" s="1">
        <v>1.67</v>
      </c>
      <c r="AE107" s="1" t="s">
        <v>96</v>
      </c>
      <c r="AF107" s="1" t="s">
        <v>96</v>
      </c>
      <c r="AG107" s="1" t="s">
        <v>96</v>
      </c>
      <c r="AH107" s="1" t="s">
        <v>96</v>
      </c>
      <c r="AI107">
        <v>758.16</v>
      </c>
      <c r="AJ107">
        <v>31.58</v>
      </c>
      <c r="AK107" s="1" t="s">
        <v>96</v>
      </c>
      <c r="AL107" s="1">
        <v>1.1499999999999999</v>
      </c>
      <c r="AM107">
        <v>98.58</v>
      </c>
      <c r="AN107">
        <v>11.53</v>
      </c>
      <c r="AO107" s="1" t="s">
        <v>96</v>
      </c>
      <c r="AP107" s="1" t="s">
        <v>96</v>
      </c>
      <c r="AQ107">
        <v>21.11</v>
      </c>
      <c r="AR107" s="1">
        <v>3.18</v>
      </c>
      <c r="AS107" t="s">
        <v>133</v>
      </c>
      <c r="AT107">
        <v>1405.42</v>
      </c>
      <c r="AU107">
        <v>232.91</v>
      </c>
      <c r="AV107" s="1" t="s">
        <v>96</v>
      </c>
      <c r="AW107" t="s">
        <v>133</v>
      </c>
      <c r="AX107" s="1" t="s">
        <v>96</v>
      </c>
      <c r="AY107" s="1">
        <v>17.649999999999999</v>
      </c>
      <c r="AZ107">
        <v>40.43</v>
      </c>
      <c r="BA107" s="1">
        <v>26.22</v>
      </c>
      <c r="BB107" s="1" t="s">
        <v>96</v>
      </c>
      <c r="BC107">
        <v>589.41999999999996</v>
      </c>
      <c r="BD107">
        <v>324.29000000000002</v>
      </c>
      <c r="BE107" s="1" t="s">
        <v>96</v>
      </c>
      <c r="BF107" s="1">
        <v>7.52</v>
      </c>
      <c r="BG107">
        <v>7.22</v>
      </c>
      <c r="BH107">
        <v>251.25</v>
      </c>
      <c r="BI107">
        <v>429.79</v>
      </c>
      <c r="BJ107">
        <v>22.92</v>
      </c>
      <c r="BK107" s="1" t="s">
        <v>96</v>
      </c>
      <c r="BL107" s="1" t="s">
        <v>96</v>
      </c>
      <c r="BM107" s="1">
        <v>12.85</v>
      </c>
      <c r="BN107" s="1">
        <v>3.58</v>
      </c>
      <c r="BO107" s="1">
        <v>14.48</v>
      </c>
      <c r="BP107">
        <v>348.69</v>
      </c>
      <c r="BQ107">
        <v>52.31</v>
      </c>
      <c r="BR107" s="1" t="s">
        <v>96</v>
      </c>
      <c r="BS107">
        <v>1172.31</v>
      </c>
      <c r="BT107">
        <v>61.61</v>
      </c>
      <c r="BU107" s="1">
        <v>13.32</v>
      </c>
      <c r="BV107">
        <v>81.28</v>
      </c>
      <c r="BW107">
        <v>211.37</v>
      </c>
      <c r="BX107" s="1" t="s">
        <v>96</v>
      </c>
    </row>
    <row r="108" spans="1:76">
      <c r="A108">
        <v>137</v>
      </c>
      <c r="B108" t="s">
        <v>506</v>
      </c>
      <c r="D108" t="b">
        <v>1</v>
      </c>
      <c r="E108" t="s">
        <v>507</v>
      </c>
      <c r="G108" t="s">
        <v>508</v>
      </c>
      <c r="H108" s="1" t="s">
        <v>96</v>
      </c>
      <c r="I108" s="1" t="s">
        <v>96</v>
      </c>
      <c r="J108">
        <v>18.38</v>
      </c>
      <c r="K108" s="1" t="s">
        <v>96</v>
      </c>
      <c r="L108" s="1" t="s">
        <v>96</v>
      </c>
      <c r="M108" s="1" t="s">
        <v>96</v>
      </c>
      <c r="N108" s="1" t="s">
        <v>96</v>
      </c>
      <c r="O108" s="1" t="s">
        <v>96</v>
      </c>
      <c r="P108" s="1" t="s">
        <v>96</v>
      </c>
      <c r="Q108" s="1" t="s">
        <v>96</v>
      </c>
      <c r="R108" s="1" t="s">
        <v>96</v>
      </c>
      <c r="S108" s="1" t="s">
        <v>96</v>
      </c>
      <c r="T108" t="s">
        <v>96</v>
      </c>
      <c r="U108" s="1" t="s">
        <v>96</v>
      </c>
      <c r="V108">
        <v>3.57</v>
      </c>
      <c r="W108">
        <v>19.920000000000002</v>
      </c>
      <c r="X108">
        <v>92.63</v>
      </c>
      <c r="Y108" s="1" t="s">
        <v>96</v>
      </c>
      <c r="Z108">
        <v>58.14</v>
      </c>
      <c r="AA108">
        <v>409.96</v>
      </c>
      <c r="AB108">
        <v>104.58</v>
      </c>
      <c r="AC108" s="1" t="s">
        <v>96</v>
      </c>
      <c r="AD108" s="1">
        <v>1.4</v>
      </c>
      <c r="AE108" s="1" t="s">
        <v>96</v>
      </c>
      <c r="AF108" s="1" t="s">
        <v>96</v>
      </c>
      <c r="AG108" s="1" t="s">
        <v>96</v>
      </c>
      <c r="AH108" s="1" t="s">
        <v>96</v>
      </c>
      <c r="AI108">
        <v>1154.25</v>
      </c>
      <c r="AJ108">
        <v>29.8</v>
      </c>
      <c r="AK108" s="1" t="s">
        <v>96</v>
      </c>
      <c r="AL108" s="1">
        <v>1.59</v>
      </c>
      <c r="AM108">
        <v>74.349999999999994</v>
      </c>
      <c r="AN108">
        <v>1.06</v>
      </c>
      <c r="AO108" s="1" t="s">
        <v>96</v>
      </c>
      <c r="AP108" s="1" t="s">
        <v>96</v>
      </c>
      <c r="AQ108" t="s">
        <v>96</v>
      </c>
      <c r="AR108" s="1" t="s">
        <v>96</v>
      </c>
      <c r="AS108">
        <v>1505.83</v>
      </c>
      <c r="AT108">
        <v>1299.6300000000001</v>
      </c>
      <c r="AU108">
        <v>72.989999999999995</v>
      </c>
      <c r="AV108" s="1" t="s">
        <v>96</v>
      </c>
      <c r="AW108" t="s">
        <v>133</v>
      </c>
      <c r="AX108" s="1" t="s">
        <v>96</v>
      </c>
      <c r="AY108" s="1" t="s">
        <v>96</v>
      </c>
      <c r="AZ108">
        <v>38.64</v>
      </c>
      <c r="BA108" s="1" t="s">
        <v>96</v>
      </c>
      <c r="BB108" s="1" t="s">
        <v>96</v>
      </c>
      <c r="BC108">
        <v>57.84</v>
      </c>
      <c r="BD108">
        <v>87.94</v>
      </c>
      <c r="BE108" s="1" t="s">
        <v>96</v>
      </c>
      <c r="BF108" s="1" t="s">
        <v>96</v>
      </c>
      <c r="BG108">
        <v>8.74</v>
      </c>
      <c r="BH108">
        <v>59.69</v>
      </c>
      <c r="BI108">
        <v>97.14</v>
      </c>
      <c r="BJ108">
        <v>3.71</v>
      </c>
      <c r="BK108" s="1" t="s">
        <v>96</v>
      </c>
      <c r="BL108" s="1" t="s">
        <v>96</v>
      </c>
      <c r="BM108" s="1">
        <v>8.9600000000000009</v>
      </c>
      <c r="BN108" s="1" t="s">
        <v>96</v>
      </c>
      <c r="BO108" s="1">
        <v>69.3</v>
      </c>
      <c r="BP108">
        <v>325.49</v>
      </c>
      <c r="BQ108">
        <v>14.78</v>
      </c>
      <c r="BR108" s="1">
        <v>12.93</v>
      </c>
      <c r="BS108">
        <v>1360.04</v>
      </c>
      <c r="BT108">
        <v>119.54</v>
      </c>
      <c r="BU108" s="1" t="s">
        <v>96</v>
      </c>
      <c r="BV108">
        <v>29.25</v>
      </c>
      <c r="BW108">
        <v>1178.56</v>
      </c>
      <c r="BX108" s="1" t="s">
        <v>96</v>
      </c>
    </row>
    <row r="109" spans="1:76">
      <c r="A109">
        <v>9</v>
      </c>
      <c r="B109" t="s">
        <v>121</v>
      </c>
      <c r="D109" t="b">
        <v>1</v>
      </c>
      <c r="E109" t="s">
        <v>122</v>
      </c>
      <c r="G109" t="s">
        <v>123</v>
      </c>
      <c r="H109" s="1" t="s">
        <v>96</v>
      </c>
      <c r="I109" s="1" t="s">
        <v>96</v>
      </c>
      <c r="J109">
        <v>24.6</v>
      </c>
      <c r="K109" s="1" t="s">
        <v>96</v>
      </c>
      <c r="L109" s="1" t="s">
        <v>96</v>
      </c>
      <c r="M109" s="1" t="s">
        <v>96</v>
      </c>
      <c r="N109" s="1" t="s">
        <v>96</v>
      </c>
      <c r="O109" s="1" t="s">
        <v>96</v>
      </c>
      <c r="P109" s="1" t="s">
        <v>96</v>
      </c>
      <c r="Q109" s="1" t="s">
        <v>96</v>
      </c>
      <c r="R109" s="1" t="s">
        <v>96</v>
      </c>
      <c r="S109" s="1" t="s">
        <v>96</v>
      </c>
      <c r="T109" t="s">
        <v>96</v>
      </c>
      <c r="U109" s="1" t="s">
        <v>96</v>
      </c>
      <c r="V109">
        <v>5.45</v>
      </c>
      <c r="W109">
        <v>3.05</v>
      </c>
      <c r="X109">
        <v>364.23</v>
      </c>
      <c r="Y109" s="1" t="s">
        <v>96</v>
      </c>
      <c r="Z109">
        <v>11.06</v>
      </c>
      <c r="AA109">
        <v>106.17</v>
      </c>
      <c r="AB109">
        <v>140.9</v>
      </c>
      <c r="AC109" s="1" t="s">
        <v>96</v>
      </c>
      <c r="AD109" s="1">
        <v>1.23</v>
      </c>
      <c r="AE109" s="1" t="s">
        <v>96</v>
      </c>
      <c r="AF109" s="1" t="s">
        <v>96</v>
      </c>
      <c r="AG109" s="1" t="s">
        <v>96</v>
      </c>
      <c r="AH109" s="1">
        <v>1.0900000000000001</v>
      </c>
      <c r="AI109">
        <v>66.760000000000005</v>
      </c>
      <c r="AJ109">
        <v>70.44</v>
      </c>
      <c r="AK109" s="1" t="s">
        <v>96</v>
      </c>
      <c r="AL109" s="1" t="s">
        <v>96</v>
      </c>
      <c r="AM109">
        <v>153.84</v>
      </c>
      <c r="AN109">
        <v>9.67</v>
      </c>
      <c r="AO109" s="1" t="s">
        <v>96</v>
      </c>
      <c r="AP109" s="1" t="s">
        <v>96</v>
      </c>
      <c r="AQ109" t="s">
        <v>96</v>
      </c>
      <c r="AR109" s="1" t="s">
        <v>96</v>
      </c>
      <c r="AS109">
        <v>517.97</v>
      </c>
      <c r="AT109">
        <v>75.84</v>
      </c>
      <c r="AU109">
        <v>104.43</v>
      </c>
      <c r="AV109" s="1" t="s">
        <v>96</v>
      </c>
      <c r="AW109">
        <v>174.82</v>
      </c>
      <c r="AX109" s="1" t="s">
        <v>96</v>
      </c>
      <c r="AY109" s="1" t="s">
        <v>96</v>
      </c>
      <c r="AZ109">
        <v>9.6999999999999993</v>
      </c>
      <c r="BA109" s="1">
        <v>3.46</v>
      </c>
      <c r="BB109" s="1" t="s">
        <v>96</v>
      </c>
      <c r="BC109">
        <v>45.18</v>
      </c>
      <c r="BD109">
        <v>7.4</v>
      </c>
      <c r="BE109" s="1" t="s">
        <v>96</v>
      </c>
      <c r="BF109" s="1" t="s">
        <v>96</v>
      </c>
      <c r="BG109" t="s">
        <v>96</v>
      </c>
      <c r="BH109">
        <v>14.94</v>
      </c>
      <c r="BI109">
        <v>39.799999999999997</v>
      </c>
      <c r="BJ109">
        <v>3.12</v>
      </c>
      <c r="BK109" s="1" t="s">
        <v>96</v>
      </c>
      <c r="BL109" s="1" t="s">
        <v>96</v>
      </c>
      <c r="BM109" s="1" t="s">
        <v>96</v>
      </c>
      <c r="BN109" s="1">
        <v>3.63</v>
      </c>
      <c r="BO109" s="1">
        <v>7.04</v>
      </c>
      <c r="BP109">
        <v>52.55</v>
      </c>
      <c r="BQ109">
        <v>12.55</v>
      </c>
      <c r="BR109" s="1" t="s">
        <v>96</v>
      </c>
      <c r="BS109">
        <v>122.41</v>
      </c>
      <c r="BT109">
        <v>10.94</v>
      </c>
      <c r="BU109" s="1" t="s">
        <v>96</v>
      </c>
      <c r="BV109">
        <v>38.53</v>
      </c>
      <c r="BW109">
        <v>29.1</v>
      </c>
      <c r="BX109" s="1" t="s">
        <v>96</v>
      </c>
    </row>
    <row r="110" spans="1:76">
      <c r="A110">
        <v>177</v>
      </c>
      <c r="B110" t="s">
        <v>626</v>
      </c>
      <c r="D110" t="b">
        <v>1</v>
      </c>
      <c r="E110" t="s">
        <v>627</v>
      </c>
      <c r="G110" t="s">
        <v>628</v>
      </c>
      <c r="H110" s="1" t="s">
        <v>96</v>
      </c>
      <c r="I110" s="1" t="s">
        <v>96</v>
      </c>
      <c r="J110">
        <v>11.83</v>
      </c>
      <c r="K110" s="1" t="s">
        <v>96</v>
      </c>
      <c r="L110" s="1" t="s">
        <v>96</v>
      </c>
      <c r="M110" s="1" t="s">
        <v>96</v>
      </c>
      <c r="N110" s="1" t="s">
        <v>96</v>
      </c>
      <c r="O110" s="1" t="s">
        <v>96</v>
      </c>
      <c r="P110" s="1" t="s">
        <v>96</v>
      </c>
      <c r="Q110" s="1" t="s">
        <v>96</v>
      </c>
      <c r="R110" s="1" t="s">
        <v>96</v>
      </c>
      <c r="S110" s="1" t="s">
        <v>96</v>
      </c>
      <c r="T110">
        <v>5.0199999999999996</v>
      </c>
      <c r="U110" s="1" t="s">
        <v>96</v>
      </c>
      <c r="V110">
        <v>60.2</v>
      </c>
      <c r="W110">
        <v>10.1</v>
      </c>
      <c r="X110">
        <v>462.25</v>
      </c>
      <c r="Y110" s="1" t="s">
        <v>96</v>
      </c>
      <c r="Z110">
        <v>15.46</v>
      </c>
      <c r="AA110">
        <v>370</v>
      </c>
      <c r="AB110">
        <v>343.29</v>
      </c>
      <c r="AC110" s="1" t="s">
        <v>96</v>
      </c>
      <c r="AD110" s="1" t="s">
        <v>96</v>
      </c>
      <c r="AE110" s="1" t="s">
        <v>96</v>
      </c>
      <c r="AF110" s="1" t="s">
        <v>96</v>
      </c>
      <c r="AG110" s="1" t="s">
        <v>96</v>
      </c>
      <c r="AH110" s="1">
        <v>1.27</v>
      </c>
      <c r="AI110">
        <v>271.68</v>
      </c>
      <c r="AJ110">
        <v>97.61</v>
      </c>
      <c r="AK110" s="1">
        <v>1.62</v>
      </c>
      <c r="AL110" s="1">
        <v>1.6</v>
      </c>
      <c r="AM110">
        <v>43.61</v>
      </c>
      <c r="AN110">
        <v>6.14</v>
      </c>
      <c r="AO110" s="1" t="s">
        <v>96</v>
      </c>
      <c r="AP110" s="1" t="s">
        <v>96</v>
      </c>
      <c r="AQ110" t="s">
        <v>96</v>
      </c>
      <c r="AR110" s="1" t="s">
        <v>96</v>
      </c>
      <c r="AS110">
        <v>1729.73</v>
      </c>
      <c r="AT110">
        <v>344.33</v>
      </c>
      <c r="AU110">
        <v>262.44</v>
      </c>
      <c r="AV110" s="1" t="s">
        <v>96</v>
      </c>
      <c r="AW110">
        <v>268.06</v>
      </c>
      <c r="AX110" s="1" t="s">
        <v>96</v>
      </c>
      <c r="AY110" s="1" t="s">
        <v>96</v>
      </c>
      <c r="AZ110">
        <v>25.55</v>
      </c>
      <c r="BA110" s="1">
        <v>12</v>
      </c>
      <c r="BB110" s="1" t="s">
        <v>96</v>
      </c>
      <c r="BC110">
        <v>153.51</v>
      </c>
      <c r="BD110">
        <v>40.54</v>
      </c>
      <c r="BE110" s="1" t="s">
        <v>96</v>
      </c>
      <c r="BF110" s="1">
        <v>2.99</v>
      </c>
      <c r="BG110">
        <v>12.95</v>
      </c>
      <c r="BH110">
        <v>32.44</v>
      </c>
      <c r="BI110">
        <v>28.12</v>
      </c>
      <c r="BJ110" t="s">
        <v>96</v>
      </c>
      <c r="BK110" s="1" t="s">
        <v>96</v>
      </c>
      <c r="BL110" s="1" t="s">
        <v>96</v>
      </c>
      <c r="BM110" s="1" t="s">
        <v>96</v>
      </c>
      <c r="BN110" s="1" t="s">
        <v>96</v>
      </c>
      <c r="BO110" s="1" t="s">
        <v>96</v>
      </c>
      <c r="BP110">
        <v>86.93</v>
      </c>
      <c r="BQ110">
        <v>12.7</v>
      </c>
      <c r="BR110" s="1" t="s">
        <v>96</v>
      </c>
      <c r="BS110">
        <v>102.76</v>
      </c>
      <c r="BT110">
        <v>13.72</v>
      </c>
      <c r="BU110" s="1" t="s">
        <v>96</v>
      </c>
      <c r="BV110">
        <v>58.46</v>
      </c>
      <c r="BW110">
        <v>64.23</v>
      </c>
      <c r="BX110" s="1" t="s">
        <v>96</v>
      </c>
    </row>
    <row r="111" spans="1:76">
      <c r="A111">
        <v>88</v>
      </c>
      <c r="B111" t="s">
        <v>359</v>
      </c>
      <c r="D111" t="b">
        <v>1</v>
      </c>
      <c r="E111" t="s">
        <v>360</v>
      </c>
      <c r="G111" t="s">
        <v>361</v>
      </c>
      <c r="H111" s="1" t="s">
        <v>96</v>
      </c>
      <c r="I111" s="1" t="s">
        <v>96</v>
      </c>
      <c r="J111">
        <v>8.7799999999999994</v>
      </c>
      <c r="K111" s="1" t="s">
        <v>96</v>
      </c>
      <c r="L111" s="1" t="s">
        <v>96</v>
      </c>
      <c r="M111" s="1" t="s">
        <v>96</v>
      </c>
      <c r="N111" s="1" t="s">
        <v>96</v>
      </c>
      <c r="O111" s="1" t="s">
        <v>96</v>
      </c>
      <c r="P111" s="1" t="s">
        <v>96</v>
      </c>
      <c r="Q111" s="1" t="s">
        <v>96</v>
      </c>
      <c r="R111" s="1" t="s">
        <v>96</v>
      </c>
      <c r="S111" s="1" t="s">
        <v>96</v>
      </c>
      <c r="T111" t="s">
        <v>96</v>
      </c>
      <c r="U111" s="1" t="s">
        <v>96</v>
      </c>
      <c r="V111">
        <v>1.07</v>
      </c>
      <c r="W111">
        <v>1.1499999999999999</v>
      </c>
      <c r="X111">
        <v>11.98</v>
      </c>
      <c r="Y111" s="1" t="s">
        <v>96</v>
      </c>
      <c r="Z111" t="s">
        <v>96</v>
      </c>
      <c r="AA111">
        <v>68.569999999999993</v>
      </c>
      <c r="AB111">
        <v>34.369999999999997</v>
      </c>
      <c r="AC111" s="1" t="s">
        <v>96</v>
      </c>
      <c r="AD111" s="1">
        <v>5.36</v>
      </c>
      <c r="AE111" s="1" t="s">
        <v>96</v>
      </c>
      <c r="AF111" s="1" t="s">
        <v>96</v>
      </c>
      <c r="AG111" s="1" t="s">
        <v>96</v>
      </c>
      <c r="AH111" s="1" t="s">
        <v>96</v>
      </c>
      <c r="AI111" t="s">
        <v>96</v>
      </c>
      <c r="AJ111">
        <v>11.36</v>
      </c>
      <c r="AK111" s="1" t="s">
        <v>96</v>
      </c>
      <c r="AL111" s="1" t="s">
        <v>96</v>
      </c>
      <c r="AM111">
        <v>12.18</v>
      </c>
      <c r="AN111">
        <v>4.6900000000000004</v>
      </c>
      <c r="AO111" s="1" t="s">
        <v>96</v>
      </c>
      <c r="AP111" s="1" t="s">
        <v>96</v>
      </c>
      <c r="AQ111" t="s">
        <v>96</v>
      </c>
      <c r="AR111" s="1" t="s">
        <v>96</v>
      </c>
      <c r="AS111">
        <v>844.42</v>
      </c>
      <c r="AT111">
        <v>269</v>
      </c>
      <c r="AU111">
        <v>82.87</v>
      </c>
      <c r="AV111" s="1" t="s">
        <v>96</v>
      </c>
      <c r="AW111">
        <v>325.45999999999998</v>
      </c>
      <c r="AX111" s="1" t="s">
        <v>96</v>
      </c>
      <c r="AY111" s="1">
        <v>2.76</v>
      </c>
      <c r="AZ111">
        <v>27.43</v>
      </c>
      <c r="BA111" s="1">
        <v>12.65</v>
      </c>
      <c r="BB111" s="1" t="s">
        <v>96</v>
      </c>
      <c r="BC111">
        <v>310.77999999999997</v>
      </c>
      <c r="BD111">
        <v>113.48</v>
      </c>
      <c r="BE111" s="1" t="s">
        <v>96</v>
      </c>
      <c r="BF111" s="1">
        <v>15.21</v>
      </c>
      <c r="BG111">
        <v>14.42</v>
      </c>
      <c r="BH111">
        <v>145.46</v>
      </c>
      <c r="BI111">
        <v>94.45</v>
      </c>
      <c r="BJ111" t="s">
        <v>96</v>
      </c>
      <c r="BK111" s="1" t="s">
        <v>96</v>
      </c>
      <c r="BL111" s="1" t="s">
        <v>96</v>
      </c>
      <c r="BM111" s="1" t="s">
        <v>96</v>
      </c>
      <c r="BN111" s="1" t="s">
        <v>96</v>
      </c>
      <c r="BO111" s="1" t="s">
        <v>96</v>
      </c>
      <c r="BP111">
        <v>76.97</v>
      </c>
      <c r="BQ111">
        <v>44.39</v>
      </c>
      <c r="BR111" s="1" t="s">
        <v>96</v>
      </c>
      <c r="BS111">
        <v>136.38</v>
      </c>
      <c r="BT111">
        <v>63.89</v>
      </c>
      <c r="BU111" s="1" t="s">
        <v>96</v>
      </c>
      <c r="BV111">
        <v>28.81</v>
      </c>
      <c r="BW111">
        <v>87.68</v>
      </c>
      <c r="BX111" s="1" t="s">
        <v>96</v>
      </c>
    </row>
    <row r="112" spans="1:76">
      <c r="A112">
        <v>62</v>
      </c>
      <c r="B112" t="s">
        <v>281</v>
      </c>
      <c r="D112" t="b">
        <v>1</v>
      </c>
      <c r="E112" t="s">
        <v>282</v>
      </c>
      <c r="G112" t="s">
        <v>283</v>
      </c>
      <c r="H112" s="1" t="s">
        <v>96</v>
      </c>
      <c r="I112" s="1" t="s">
        <v>96</v>
      </c>
      <c r="J112">
        <v>9.1999999999999993</v>
      </c>
      <c r="K112" s="1" t="s">
        <v>96</v>
      </c>
      <c r="L112" s="1" t="s">
        <v>96</v>
      </c>
      <c r="M112" s="1" t="s">
        <v>96</v>
      </c>
      <c r="N112" s="1" t="s">
        <v>96</v>
      </c>
      <c r="O112" s="1" t="s">
        <v>96</v>
      </c>
      <c r="P112" s="1" t="s">
        <v>96</v>
      </c>
      <c r="Q112" s="1" t="s">
        <v>96</v>
      </c>
      <c r="R112" s="1" t="s">
        <v>96</v>
      </c>
      <c r="S112" s="1" t="s">
        <v>96</v>
      </c>
      <c r="T112">
        <v>4.08</v>
      </c>
      <c r="U112" s="1" t="s">
        <v>96</v>
      </c>
      <c r="V112">
        <v>22.07</v>
      </c>
      <c r="W112" t="s">
        <v>96</v>
      </c>
      <c r="X112" t="s">
        <v>133</v>
      </c>
      <c r="Y112" s="1" t="s">
        <v>96</v>
      </c>
      <c r="Z112" t="s">
        <v>96</v>
      </c>
      <c r="AA112" t="s">
        <v>96</v>
      </c>
      <c r="AB112">
        <v>555.4</v>
      </c>
      <c r="AC112" s="1" t="s">
        <v>96</v>
      </c>
      <c r="AD112" s="1" t="s">
        <v>96</v>
      </c>
      <c r="AE112" s="1" t="s">
        <v>96</v>
      </c>
      <c r="AF112" s="1" t="s">
        <v>96</v>
      </c>
      <c r="AG112" s="1" t="s">
        <v>96</v>
      </c>
      <c r="AH112" s="1">
        <v>1.68</v>
      </c>
      <c r="AI112">
        <v>187.81</v>
      </c>
      <c r="AJ112">
        <v>309.16000000000003</v>
      </c>
      <c r="AK112" s="1">
        <v>4.55</v>
      </c>
      <c r="AL112" s="1" t="s">
        <v>96</v>
      </c>
      <c r="AM112">
        <v>44.23</v>
      </c>
      <c r="AN112">
        <v>1.18</v>
      </c>
      <c r="AO112" s="1" t="s">
        <v>96</v>
      </c>
      <c r="AP112" s="1" t="s">
        <v>96</v>
      </c>
      <c r="AQ112" t="s">
        <v>96</v>
      </c>
      <c r="AR112" s="1">
        <v>3.2</v>
      </c>
      <c r="AS112">
        <v>2171.29</v>
      </c>
      <c r="AT112" t="s">
        <v>96</v>
      </c>
      <c r="AU112">
        <v>380.93</v>
      </c>
      <c r="AV112" s="1" t="s">
        <v>96</v>
      </c>
      <c r="AW112">
        <v>453.63</v>
      </c>
      <c r="AX112" s="1" t="s">
        <v>96</v>
      </c>
      <c r="AY112" s="1" t="s">
        <v>96</v>
      </c>
      <c r="AZ112">
        <v>5.4</v>
      </c>
      <c r="BA112" s="1" t="s">
        <v>96</v>
      </c>
      <c r="BB112" s="1" t="s">
        <v>96</v>
      </c>
      <c r="BC112">
        <v>5.74</v>
      </c>
      <c r="BD112" t="s">
        <v>96</v>
      </c>
      <c r="BE112" s="1" t="s">
        <v>96</v>
      </c>
      <c r="BF112" s="1" t="s">
        <v>96</v>
      </c>
      <c r="BG112" t="s">
        <v>96</v>
      </c>
      <c r="BH112" t="s">
        <v>96</v>
      </c>
      <c r="BI112" t="s">
        <v>96</v>
      </c>
      <c r="BJ112" t="s">
        <v>96</v>
      </c>
      <c r="BK112" s="1" t="s">
        <v>96</v>
      </c>
      <c r="BL112" s="1" t="s">
        <v>96</v>
      </c>
      <c r="BM112" s="1" t="s">
        <v>96</v>
      </c>
      <c r="BN112" s="1" t="s">
        <v>96</v>
      </c>
      <c r="BO112" s="1" t="s">
        <v>96</v>
      </c>
      <c r="BP112">
        <v>81.96</v>
      </c>
      <c r="BQ112" t="s">
        <v>96</v>
      </c>
      <c r="BR112" s="1" t="s">
        <v>96</v>
      </c>
      <c r="BS112">
        <v>5.39</v>
      </c>
      <c r="BT112" t="s">
        <v>96</v>
      </c>
      <c r="BU112" s="1" t="s">
        <v>96</v>
      </c>
      <c r="BV112">
        <v>113.52</v>
      </c>
      <c r="BW112" t="s">
        <v>96</v>
      </c>
      <c r="BX112" s="1" t="s">
        <v>96</v>
      </c>
    </row>
    <row r="113" spans="1:76">
      <c r="A113">
        <v>181</v>
      </c>
      <c r="B113" t="s">
        <v>638</v>
      </c>
      <c r="D113" t="b">
        <v>1</v>
      </c>
      <c r="E113" t="s">
        <v>639</v>
      </c>
      <c r="G113" t="s">
        <v>640</v>
      </c>
      <c r="H113" s="1" t="s">
        <v>96</v>
      </c>
      <c r="I113" s="1" t="s">
        <v>96</v>
      </c>
      <c r="J113">
        <v>13.26</v>
      </c>
      <c r="K113" s="1" t="s">
        <v>96</v>
      </c>
      <c r="L113" s="1" t="s">
        <v>96</v>
      </c>
      <c r="M113" s="1">
        <v>24.1</v>
      </c>
      <c r="N113" s="1" t="s">
        <v>96</v>
      </c>
      <c r="O113" s="1" t="s">
        <v>96</v>
      </c>
      <c r="P113" s="1" t="s">
        <v>96</v>
      </c>
      <c r="Q113" s="1" t="s">
        <v>96</v>
      </c>
      <c r="R113" s="1" t="s">
        <v>96</v>
      </c>
      <c r="S113" s="1" t="s">
        <v>96</v>
      </c>
      <c r="T113" t="s">
        <v>96</v>
      </c>
      <c r="U113" s="1" t="s">
        <v>96</v>
      </c>
      <c r="V113">
        <v>2.94</v>
      </c>
      <c r="W113">
        <v>53.62</v>
      </c>
      <c r="X113">
        <v>252.02</v>
      </c>
      <c r="Y113" s="1" t="s">
        <v>96</v>
      </c>
      <c r="Z113">
        <v>77.510000000000005</v>
      </c>
      <c r="AA113">
        <v>331.16</v>
      </c>
      <c r="AB113">
        <v>36.56</v>
      </c>
      <c r="AC113" s="1">
        <v>4.29</v>
      </c>
      <c r="AD113" s="1" t="s">
        <v>96</v>
      </c>
      <c r="AE113" s="1" t="s">
        <v>96</v>
      </c>
      <c r="AF113" s="1" t="s">
        <v>96</v>
      </c>
      <c r="AG113" s="1" t="s">
        <v>96</v>
      </c>
      <c r="AH113" s="1" t="s">
        <v>96</v>
      </c>
      <c r="AI113">
        <v>127.48</v>
      </c>
      <c r="AJ113">
        <v>57.95</v>
      </c>
      <c r="AK113" s="1">
        <v>1.3</v>
      </c>
      <c r="AL113" s="1">
        <v>5.98</v>
      </c>
      <c r="AM113">
        <v>31.99</v>
      </c>
      <c r="AN113">
        <v>3.62</v>
      </c>
      <c r="AO113" s="1" t="s">
        <v>96</v>
      </c>
      <c r="AP113" s="1" t="s">
        <v>96</v>
      </c>
      <c r="AQ113">
        <v>4.43</v>
      </c>
      <c r="AR113" s="1" t="s">
        <v>96</v>
      </c>
      <c r="AS113">
        <v>503.11</v>
      </c>
      <c r="AT113">
        <v>314.06</v>
      </c>
      <c r="AU113">
        <v>56.47</v>
      </c>
      <c r="AV113" s="1" t="s">
        <v>96</v>
      </c>
      <c r="AW113">
        <v>349.51</v>
      </c>
      <c r="AX113" s="1" t="s">
        <v>96</v>
      </c>
      <c r="AY113" s="1">
        <v>2.78</v>
      </c>
      <c r="AZ113">
        <v>22.81</v>
      </c>
      <c r="BA113" s="1">
        <v>2.8</v>
      </c>
      <c r="BB113" s="1" t="s">
        <v>96</v>
      </c>
      <c r="BC113">
        <v>53.7</v>
      </c>
      <c r="BD113">
        <v>34.9</v>
      </c>
      <c r="BE113" s="1" t="s">
        <v>96</v>
      </c>
      <c r="BF113" s="1">
        <v>3.16</v>
      </c>
      <c r="BG113">
        <v>3.95</v>
      </c>
      <c r="BH113">
        <v>31.49</v>
      </c>
      <c r="BI113">
        <v>69.72</v>
      </c>
      <c r="BJ113">
        <v>3.23</v>
      </c>
      <c r="BK113" s="1" t="s">
        <v>96</v>
      </c>
      <c r="BL113" s="1" t="s">
        <v>96</v>
      </c>
      <c r="BM113" s="1" t="s">
        <v>96</v>
      </c>
      <c r="BN113" s="1" t="s">
        <v>96</v>
      </c>
      <c r="BO113" s="1">
        <v>25.4</v>
      </c>
      <c r="BP113">
        <v>60.5</v>
      </c>
      <c r="BQ113">
        <v>9.5299999999999994</v>
      </c>
      <c r="BR113" s="1" t="s">
        <v>96</v>
      </c>
      <c r="BS113">
        <v>476.69</v>
      </c>
      <c r="BT113">
        <v>14.06</v>
      </c>
      <c r="BU113" s="1" t="s">
        <v>96</v>
      </c>
      <c r="BV113">
        <v>11.28</v>
      </c>
      <c r="BW113">
        <v>77.209999999999994</v>
      </c>
      <c r="BX113" s="1" t="s">
        <v>96</v>
      </c>
    </row>
    <row r="114" spans="1:76">
      <c r="A114">
        <v>138</v>
      </c>
      <c r="B114" t="s">
        <v>509</v>
      </c>
      <c r="D114" t="b">
        <v>1</v>
      </c>
      <c r="E114" t="s">
        <v>510</v>
      </c>
      <c r="G114" t="s">
        <v>511</v>
      </c>
      <c r="H114" s="1" t="s">
        <v>96</v>
      </c>
      <c r="I114" s="1" t="s">
        <v>96</v>
      </c>
      <c r="J114">
        <v>13.79</v>
      </c>
      <c r="K114" s="1" t="s">
        <v>96</v>
      </c>
      <c r="L114" s="1" t="s">
        <v>96</v>
      </c>
      <c r="M114" s="1" t="s">
        <v>96</v>
      </c>
      <c r="N114" s="1" t="s">
        <v>96</v>
      </c>
      <c r="O114" s="1" t="s">
        <v>96</v>
      </c>
      <c r="P114" s="1" t="s">
        <v>96</v>
      </c>
      <c r="Q114" s="1" t="s">
        <v>96</v>
      </c>
      <c r="R114" s="1" t="s">
        <v>96</v>
      </c>
      <c r="S114" s="1" t="s">
        <v>96</v>
      </c>
      <c r="T114" t="s">
        <v>96</v>
      </c>
      <c r="U114" s="1" t="s">
        <v>96</v>
      </c>
      <c r="V114" t="s">
        <v>96</v>
      </c>
      <c r="W114">
        <v>1.22</v>
      </c>
      <c r="X114">
        <v>9.2899999999999991</v>
      </c>
      <c r="Y114" s="1" t="s">
        <v>96</v>
      </c>
      <c r="Z114" t="s">
        <v>96</v>
      </c>
      <c r="AA114">
        <v>70.02</v>
      </c>
      <c r="AB114">
        <v>22.15</v>
      </c>
      <c r="AC114" s="1" t="s">
        <v>96</v>
      </c>
      <c r="AD114" s="1" t="s">
        <v>96</v>
      </c>
      <c r="AE114" s="1" t="s">
        <v>96</v>
      </c>
      <c r="AF114" s="1" t="s">
        <v>96</v>
      </c>
      <c r="AG114" s="1" t="s">
        <v>96</v>
      </c>
      <c r="AH114" s="1">
        <v>1.23</v>
      </c>
      <c r="AI114">
        <v>646.46</v>
      </c>
      <c r="AJ114">
        <v>4.16</v>
      </c>
      <c r="AK114" s="1" t="s">
        <v>96</v>
      </c>
      <c r="AL114" s="1">
        <v>1.1299999999999999</v>
      </c>
      <c r="AM114">
        <v>67.75</v>
      </c>
      <c r="AN114" t="s">
        <v>96</v>
      </c>
      <c r="AO114" s="1" t="s">
        <v>96</v>
      </c>
      <c r="AP114" s="1" t="s">
        <v>96</v>
      </c>
      <c r="AQ114" t="s">
        <v>96</v>
      </c>
      <c r="AR114" s="1" t="s">
        <v>96</v>
      </c>
      <c r="AS114">
        <v>884.8</v>
      </c>
      <c r="AT114">
        <v>575.29</v>
      </c>
      <c r="AU114">
        <v>57.36</v>
      </c>
      <c r="AV114" s="1" t="s">
        <v>96</v>
      </c>
      <c r="AW114">
        <v>387.23</v>
      </c>
      <c r="AX114" s="1" t="s">
        <v>96</v>
      </c>
      <c r="AY114" s="1" t="s">
        <v>96</v>
      </c>
      <c r="AZ114">
        <v>32.340000000000003</v>
      </c>
      <c r="BA114" s="1" t="s">
        <v>96</v>
      </c>
      <c r="BB114" s="1" t="s">
        <v>96</v>
      </c>
      <c r="BC114">
        <v>37.020000000000003</v>
      </c>
      <c r="BD114">
        <v>30.82</v>
      </c>
      <c r="BE114" s="1" t="s">
        <v>96</v>
      </c>
      <c r="BF114" s="1" t="s">
        <v>96</v>
      </c>
      <c r="BG114">
        <v>4.54</v>
      </c>
      <c r="BH114">
        <v>13.94</v>
      </c>
      <c r="BI114">
        <v>80.53</v>
      </c>
      <c r="BJ114">
        <v>17.16</v>
      </c>
      <c r="BK114" s="1" t="s">
        <v>96</v>
      </c>
      <c r="BL114" s="1" t="s">
        <v>96</v>
      </c>
      <c r="BM114" s="1">
        <v>43.37</v>
      </c>
      <c r="BN114" s="1" t="s">
        <v>96</v>
      </c>
      <c r="BO114" s="1">
        <v>12.88</v>
      </c>
      <c r="BP114">
        <v>213.62</v>
      </c>
      <c r="BQ114">
        <v>14.2</v>
      </c>
      <c r="BR114" s="1">
        <v>6.34</v>
      </c>
      <c r="BS114">
        <v>666.98</v>
      </c>
      <c r="BT114">
        <v>70.58</v>
      </c>
      <c r="BU114" s="1" t="s">
        <v>96</v>
      </c>
      <c r="BV114">
        <v>33.31</v>
      </c>
      <c r="BW114">
        <v>754.92</v>
      </c>
      <c r="BX114" s="1" t="s">
        <v>96</v>
      </c>
    </row>
    <row r="115" spans="1:76">
      <c r="A115">
        <v>180</v>
      </c>
      <c r="B115" t="s">
        <v>635</v>
      </c>
      <c r="D115" t="b">
        <v>1</v>
      </c>
      <c r="E115" t="s">
        <v>636</v>
      </c>
      <c r="G115" t="s">
        <v>637</v>
      </c>
      <c r="H115" s="1" t="s">
        <v>96</v>
      </c>
      <c r="I115" s="1" t="s">
        <v>96</v>
      </c>
      <c r="J115">
        <v>26.93</v>
      </c>
      <c r="K115" s="1" t="s">
        <v>96</v>
      </c>
      <c r="L115" s="1" t="s">
        <v>96</v>
      </c>
      <c r="M115" s="1">
        <v>7.26</v>
      </c>
      <c r="N115" s="1" t="s">
        <v>96</v>
      </c>
      <c r="O115" s="1" t="s">
        <v>96</v>
      </c>
      <c r="P115" s="1" t="s">
        <v>96</v>
      </c>
      <c r="Q115" s="1" t="s">
        <v>96</v>
      </c>
      <c r="R115" s="1" t="s">
        <v>96</v>
      </c>
      <c r="S115" s="1" t="s">
        <v>96</v>
      </c>
      <c r="T115">
        <v>1.52</v>
      </c>
      <c r="U115" s="1" t="s">
        <v>96</v>
      </c>
      <c r="V115">
        <v>6.41</v>
      </c>
      <c r="W115">
        <v>16.21</v>
      </c>
      <c r="X115">
        <v>116.19</v>
      </c>
      <c r="Y115" s="1" t="s">
        <v>96</v>
      </c>
      <c r="Z115">
        <v>33.99</v>
      </c>
      <c r="AA115" t="s">
        <v>133</v>
      </c>
      <c r="AB115">
        <v>345.56</v>
      </c>
      <c r="AC115" s="1">
        <v>2.95</v>
      </c>
      <c r="AD115" s="1">
        <v>5.83</v>
      </c>
      <c r="AE115" s="1" t="s">
        <v>96</v>
      </c>
      <c r="AF115" s="1" t="s">
        <v>96</v>
      </c>
      <c r="AG115" s="1" t="s">
        <v>96</v>
      </c>
      <c r="AH115" s="1">
        <v>1.01</v>
      </c>
      <c r="AI115">
        <v>72.75</v>
      </c>
      <c r="AJ115">
        <v>66</v>
      </c>
      <c r="AK115" s="1" t="s">
        <v>96</v>
      </c>
      <c r="AL115" s="1">
        <v>1.1599999999999999</v>
      </c>
      <c r="AM115">
        <v>30.61</v>
      </c>
      <c r="AN115">
        <v>5.1100000000000003</v>
      </c>
      <c r="AO115" s="1" t="s">
        <v>96</v>
      </c>
      <c r="AP115" s="1" t="s">
        <v>96</v>
      </c>
      <c r="AQ115">
        <v>28.45</v>
      </c>
      <c r="AR115" s="1" t="s">
        <v>96</v>
      </c>
      <c r="AS115">
        <v>1415.73</v>
      </c>
      <c r="AT115">
        <v>1281.5999999999999</v>
      </c>
      <c r="AU115">
        <v>116.14</v>
      </c>
      <c r="AV115" s="1" t="s">
        <v>96</v>
      </c>
      <c r="AW115">
        <v>340.97</v>
      </c>
      <c r="AX115" s="1" t="s">
        <v>96</v>
      </c>
      <c r="AY115" s="1">
        <v>13.51</v>
      </c>
      <c r="AZ115">
        <v>13.42</v>
      </c>
      <c r="BA115" s="1">
        <v>8.33</v>
      </c>
      <c r="BB115" s="1" t="s">
        <v>96</v>
      </c>
      <c r="BC115">
        <v>202.4</v>
      </c>
      <c r="BD115">
        <v>225.55</v>
      </c>
      <c r="BE115" s="1" t="s">
        <v>96</v>
      </c>
      <c r="BF115" s="1" t="s">
        <v>96</v>
      </c>
      <c r="BG115">
        <v>6.57</v>
      </c>
      <c r="BH115">
        <v>59.45</v>
      </c>
      <c r="BI115">
        <v>305.17</v>
      </c>
      <c r="BJ115">
        <v>5.86</v>
      </c>
      <c r="BK115" s="1" t="s">
        <v>96</v>
      </c>
      <c r="BL115" s="1" t="s">
        <v>96</v>
      </c>
      <c r="BM115" s="1" t="s">
        <v>96</v>
      </c>
      <c r="BN115" s="1" t="s">
        <v>96</v>
      </c>
      <c r="BO115" s="1">
        <v>13.23</v>
      </c>
      <c r="BP115">
        <v>86.48</v>
      </c>
      <c r="BQ115">
        <v>15.42</v>
      </c>
      <c r="BR115" s="1" t="s">
        <v>96</v>
      </c>
      <c r="BS115">
        <v>1203.4100000000001</v>
      </c>
      <c r="BT115">
        <v>66.12</v>
      </c>
      <c r="BU115" s="1" t="s">
        <v>96</v>
      </c>
      <c r="BV115">
        <v>23.9</v>
      </c>
      <c r="BW115">
        <v>304.77</v>
      </c>
      <c r="BX115" s="1" t="s">
        <v>96</v>
      </c>
    </row>
    <row r="116" spans="1:76">
      <c r="A116">
        <v>91</v>
      </c>
      <c r="B116" t="s">
        <v>368</v>
      </c>
      <c r="D116" t="b">
        <v>1</v>
      </c>
      <c r="E116" t="s">
        <v>369</v>
      </c>
      <c r="G116" t="s">
        <v>370</v>
      </c>
      <c r="H116" s="1" t="s">
        <v>96</v>
      </c>
      <c r="I116" s="1" t="s">
        <v>96</v>
      </c>
      <c r="J116">
        <v>9.6300000000000008</v>
      </c>
      <c r="K116" s="1" t="s">
        <v>96</v>
      </c>
      <c r="L116" s="1" t="s">
        <v>96</v>
      </c>
      <c r="M116" s="1" t="s">
        <v>96</v>
      </c>
      <c r="N116" s="1" t="s">
        <v>96</v>
      </c>
      <c r="O116" s="1" t="s">
        <v>96</v>
      </c>
      <c r="P116" s="1" t="s">
        <v>96</v>
      </c>
      <c r="Q116" s="1" t="s">
        <v>96</v>
      </c>
      <c r="R116" s="1" t="s">
        <v>96</v>
      </c>
      <c r="S116" s="1" t="s">
        <v>96</v>
      </c>
      <c r="T116" t="s">
        <v>96</v>
      </c>
      <c r="U116" s="1" t="s">
        <v>96</v>
      </c>
      <c r="V116">
        <v>2.5299999999999998</v>
      </c>
      <c r="W116">
        <v>16.399999999999999</v>
      </c>
      <c r="X116">
        <v>90.82</v>
      </c>
      <c r="Y116" s="1" t="s">
        <v>96</v>
      </c>
      <c r="Z116">
        <v>22.66</v>
      </c>
      <c r="AA116">
        <v>182.52</v>
      </c>
      <c r="AB116">
        <v>68.599999999999994</v>
      </c>
      <c r="AC116" s="1" t="s">
        <v>96</v>
      </c>
      <c r="AD116" s="1" t="s">
        <v>96</v>
      </c>
      <c r="AE116" s="1" t="s">
        <v>96</v>
      </c>
      <c r="AF116" s="1" t="s">
        <v>96</v>
      </c>
      <c r="AG116" s="1" t="s">
        <v>96</v>
      </c>
      <c r="AH116" s="1" t="s">
        <v>96</v>
      </c>
      <c r="AI116">
        <v>170.47</v>
      </c>
      <c r="AJ116">
        <v>10.44</v>
      </c>
      <c r="AK116" s="1" t="s">
        <v>96</v>
      </c>
      <c r="AL116" s="1" t="s">
        <v>96</v>
      </c>
      <c r="AM116">
        <v>24.57</v>
      </c>
      <c r="AN116" t="s">
        <v>96</v>
      </c>
      <c r="AO116" s="1" t="s">
        <v>96</v>
      </c>
      <c r="AP116" s="1" t="s">
        <v>96</v>
      </c>
      <c r="AQ116" t="s">
        <v>96</v>
      </c>
      <c r="AR116" s="1" t="s">
        <v>96</v>
      </c>
      <c r="AS116">
        <v>877.53</v>
      </c>
      <c r="AT116">
        <v>954.48</v>
      </c>
      <c r="AU116">
        <v>35.340000000000003</v>
      </c>
      <c r="AV116" s="1" t="s">
        <v>96</v>
      </c>
      <c r="AW116" t="s">
        <v>133</v>
      </c>
      <c r="AX116" s="1" t="s">
        <v>96</v>
      </c>
      <c r="AY116" s="1" t="s">
        <v>96</v>
      </c>
      <c r="AZ116">
        <v>10.53</v>
      </c>
      <c r="BA116" s="1" t="s">
        <v>96</v>
      </c>
      <c r="BB116" s="1" t="s">
        <v>96</v>
      </c>
      <c r="BC116">
        <v>73.42</v>
      </c>
      <c r="BD116">
        <v>99.07</v>
      </c>
      <c r="BE116" s="1" t="s">
        <v>96</v>
      </c>
      <c r="BF116" s="1" t="s">
        <v>96</v>
      </c>
      <c r="BG116" t="s">
        <v>96</v>
      </c>
      <c r="BH116">
        <v>237.2</v>
      </c>
      <c r="BI116">
        <v>46.08</v>
      </c>
      <c r="BJ116">
        <v>3.39</v>
      </c>
      <c r="BK116" s="1" t="s">
        <v>96</v>
      </c>
      <c r="BL116" s="1" t="s">
        <v>96</v>
      </c>
      <c r="BM116" s="1">
        <v>5.97</v>
      </c>
      <c r="BN116" s="1" t="s">
        <v>96</v>
      </c>
      <c r="BO116" s="1">
        <v>24.77</v>
      </c>
      <c r="BP116">
        <v>111.13</v>
      </c>
      <c r="BQ116">
        <v>8.77</v>
      </c>
      <c r="BR116" s="1">
        <v>7.39</v>
      </c>
      <c r="BS116">
        <v>425.04</v>
      </c>
      <c r="BT116">
        <v>79.89</v>
      </c>
      <c r="BU116" s="1" t="s">
        <v>96</v>
      </c>
      <c r="BV116">
        <v>12.91</v>
      </c>
      <c r="BW116">
        <v>650.41999999999996</v>
      </c>
      <c r="BX116" s="1" t="s">
        <v>96</v>
      </c>
    </row>
    <row r="117" spans="1:76">
      <c r="A117">
        <v>232</v>
      </c>
      <c r="B117" t="s">
        <v>791</v>
      </c>
      <c r="D117" t="b">
        <v>1</v>
      </c>
      <c r="E117" t="s">
        <v>792</v>
      </c>
      <c r="G117" t="s">
        <v>793</v>
      </c>
      <c r="H117" s="1" t="s">
        <v>96</v>
      </c>
      <c r="I117" s="1" t="s">
        <v>96</v>
      </c>
      <c r="J117">
        <v>5.3</v>
      </c>
      <c r="K117" s="1" t="s">
        <v>96</v>
      </c>
      <c r="L117" s="1" t="s">
        <v>96</v>
      </c>
      <c r="M117" s="1" t="s">
        <v>96</v>
      </c>
      <c r="N117" s="1" t="s">
        <v>96</v>
      </c>
      <c r="O117" s="1" t="s">
        <v>96</v>
      </c>
      <c r="P117" s="1" t="s">
        <v>96</v>
      </c>
      <c r="Q117" s="1" t="s">
        <v>96</v>
      </c>
      <c r="R117" s="1" t="s">
        <v>96</v>
      </c>
      <c r="S117" s="1" t="s">
        <v>96</v>
      </c>
      <c r="T117">
        <v>1.84</v>
      </c>
      <c r="U117" s="1" t="s">
        <v>96</v>
      </c>
      <c r="V117">
        <v>9.18</v>
      </c>
      <c r="W117">
        <v>17.100000000000001</v>
      </c>
      <c r="X117">
        <v>459.95</v>
      </c>
      <c r="Y117" s="1" t="s">
        <v>96</v>
      </c>
      <c r="Z117">
        <v>110.29</v>
      </c>
      <c r="AA117">
        <v>593.26</v>
      </c>
      <c r="AB117">
        <v>172.54</v>
      </c>
      <c r="AC117" s="1" t="s">
        <v>96</v>
      </c>
      <c r="AD117" s="1" t="s">
        <v>96</v>
      </c>
      <c r="AE117" s="1" t="s">
        <v>96</v>
      </c>
      <c r="AF117" s="1" t="s">
        <v>96</v>
      </c>
      <c r="AG117" s="1" t="s">
        <v>96</v>
      </c>
      <c r="AH117" s="1">
        <v>1.35</v>
      </c>
      <c r="AI117">
        <v>153.46</v>
      </c>
      <c r="AJ117">
        <v>72.430000000000007</v>
      </c>
      <c r="AK117" s="1">
        <v>1.3</v>
      </c>
      <c r="AL117" s="1" t="s">
        <v>96</v>
      </c>
      <c r="AM117">
        <v>71.650000000000006</v>
      </c>
      <c r="AN117">
        <v>9.3699999999999992</v>
      </c>
      <c r="AO117" s="1" t="s">
        <v>96</v>
      </c>
      <c r="AP117" s="1" t="s">
        <v>96</v>
      </c>
      <c r="AQ117">
        <v>9.09</v>
      </c>
      <c r="AR117" s="1" t="s">
        <v>96</v>
      </c>
      <c r="AS117">
        <v>934.92</v>
      </c>
      <c r="AT117">
        <v>404.41</v>
      </c>
      <c r="AU117">
        <v>100.5</v>
      </c>
      <c r="AV117" s="1" t="s">
        <v>96</v>
      </c>
      <c r="AW117">
        <v>244.26</v>
      </c>
      <c r="AX117" s="1" t="s">
        <v>96</v>
      </c>
      <c r="AY117" s="1" t="s">
        <v>96</v>
      </c>
      <c r="AZ117">
        <v>17.940000000000001</v>
      </c>
      <c r="BA117" s="1" t="s">
        <v>96</v>
      </c>
      <c r="BB117" s="1" t="s">
        <v>96</v>
      </c>
      <c r="BC117">
        <v>13.72</v>
      </c>
      <c r="BD117">
        <v>6.34</v>
      </c>
      <c r="BE117" s="1" t="s">
        <v>96</v>
      </c>
      <c r="BF117" s="1" t="s">
        <v>96</v>
      </c>
      <c r="BG117" t="s">
        <v>96</v>
      </c>
      <c r="BH117">
        <v>3.29</v>
      </c>
      <c r="BI117">
        <v>14.44</v>
      </c>
      <c r="BJ117">
        <v>8.1999999999999993</v>
      </c>
      <c r="BK117" s="1" t="s">
        <v>96</v>
      </c>
      <c r="BL117" s="1" t="s">
        <v>96</v>
      </c>
      <c r="BM117" s="1">
        <v>5.71</v>
      </c>
      <c r="BN117" s="1" t="s">
        <v>96</v>
      </c>
      <c r="BO117" s="1">
        <v>23.66</v>
      </c>
      <c r="BP117">
        <v>110.46</v>
      </c>
      <c r="BQ117" t="s">
        <v>96</v>
      </c>
      <c r="BR117" s="1" t="s">
        <v>96</v>
      </c>
      <c r="BS117">
        <v>611.29</v>
      </c>
      <c r="BT117">
        <v>5.9</v>
      </c>
      <c r="BU117" s="1" t="s">
        <v>96</v>
      </c>
      <c r="BV117">
        <v>51.14</v>
      </c>
      <c r="BW117">
        <v>194.22</v>
      </c>
      <c r="BX117" s="1" t="s">
        <v>96</v>
      </c>
    </row>
    <row r="118" spans="1:76">
      <c r="A118">
        <v>92</v>
      </c>
      <c r="B118" t="s">
        <v>371</v>
      </c>
      <c r="D118" t="b">
        <v>1</v>
      </c>
      <c r="E118" t="s">
        <v>372</v>
      </c>
      <c r="G118" t="s">
        <v>373</v>
      </c>
      <c r="H118" s="1" t="s">
        <v>96</v>
      </c>
      <c r="I118" s="1" t="s">
        <v>96</v>
      </c>
      <c r="J118">
        <v>9.36</v>
      </c>
      <c r="K118" s="1" t="s">
        <v>96</v>
      </c>
      <c r="L118" s="1" t="s">
        <v>96</v>
      </c>
      <c r="M118" s="1" t="s">
        <v>96</v>
      </c>
      <c r="N118" s="1" t="s">
        <v>96</v>
      </c>
      <c r="O118" s="1" t="s">
        <v>96</v>
      </c>
      <c r="P118" s="1" t="s">
        <v>96</v>
      </c>
      <c r="Q118" s="1" t="s">
        <v>96</v>
      </c>
      <c r="R118" s="1" t="s">
        <v>96</v>
      </c>
      <c r="S118" s="1" t="s">
        <v>96</v>
      </c>
      <c r="T118" t="s">
        <v>96</v>
      </c>
      <c r="U118" s="1" t="s">
        <v>96</v>
      </c>
      <c r="V118" t="s">
        <v>96</v>
      </c>
      <c r="W118">
        <v>18.510000000000002</v>
      </c>
      <c r="X118">
        <v>7.24</v>
      </c>
      <c r="Y118" s="1" t="s">
        <v>96</v>
      </c>
      <c r="Z118">
        <v>8.7100000000000009</v>
      </c>
      <c r="AA118">
        <v>252.45</v>
      </c>
      <c r="AB118">
        <v>9.19</v>
      </c>
      <c r="AC118" s="1" t="s">
        <v>96</v>
      </c>
      <c r="AD118" s="1" t="s">
        <v>96</v>
      </c>
      <c r="AE118" s="1" t="s">
        <v>96</v>
      </c>
      <c r="AF118" s="1" t="s">
        <v>96</v>
      </c>
      <c r="AG118" s="1" t="s">
        <v>96</v>
      </c>
      <c r="AH118" s="1" t="s">
        <v>96</v>
      </c>
      <c r="AI118">
        <v>108.54</v>
      </c>
      <c r="AJ118">
        <v>2.5499999999999998</v>
      </c>
      <c r="AK118" s="1" t="s">
        <v>96</v>
      </c>
      <c r="AL118" s="1" t="s">
        <v>96</v>
      </c>
      <c r="AM118">
        <v>31.69</v>
      </c>
      <c r="AN118">
        <v>1.05</v>
      </c>
      <c r="AO118" s="1" t="s">
        <v>96</v>
      </c>
      <c r="AP118" s="1" t="s">
        <v>96</v>
      </c>
      <c r="AQ118">
        <v>23.4</v>
      </c>
      <c r="AR118" s="1">
        <v>2.81</v>
      </c>
      <c r="AS118" t="s">
        <v>133</v>
      </c>
      <c r="AT118" t="s">
        <v>133</v>
      </c>
      <c r="AU118">
        <v>62.33</v>
      </c>
      <c r="AV118" s="1" t="s">
        <v>96</v>
      </c>
      <c r="AW118" t="s">
        <v>133</v>
      </c>
      <c r="AX118" s="1" t="s">
        <v>96</v>
      </c>
      <c r="AY118" s="1">
        <v>18.989999999999998</v>
      </c>
      <c r="AZ118">
        <v>31.97</v>
      </c>
      <c r="BA118" s="1">
        <v>4.53</v>
      </c>
      <c r="BB118" s="1" t="s">
        <v>96</v>
      </c>
      <c r="BC118">
        <v>400.67</v>
      </c>
      <c r="BD118">
        <v>732.61</v>
      </c>
      <c r="BE118" s="1" t="s">
        <v>96</v>
      </c>
      <c r="BF118" s="1">
        <v>4.96</v>
      </c>
      <c r="BG118">
        <v>11</v>
      </c>
      <c r="BH118" t="s">
        <v>133</v>
      </c>
      <c r="BI118">
        <v>50.05</v>
      </c>
      <c r="BJ118">
        <v>8.99</v>
      </c>
      <c r="BK118" s="1" t="s">
        <v>96</v>
      </c>
      <c r="BL118" s="1" t="s">
        <v>96</v>
      </c>
      <c r="BM118" s="1">
        <v>18.39</v>
      </c>
      <c r="BN118" s="1" t="s">
        <v>96</v>
      </c>
      <c r="BO118" s="1">
        <v>13.89</v>
      </c>
      <c r="BP118">
        <v>98.33</v>
      </c>
      <c r="BQ118">
        <v>6.76</v>
      </c>
      <c r="BR118" s="1" t="s">
        <v>96</v>
      </c>
      <c r="BS118">
        <v>526.05999999999995</v>
      </c>
      <c r="BT118">
        <v>65.72</v>
      </c>
      <c r="BU118" s="1" t="s">
        <v>96</v>
      </c>
      <c r="BV118" t="s">
        <v>96</v>
      </c>
      <c r="BW118">
        <v>632.80999999999995</v>
      </c>
      <c r="BX118" s="1" t="s">
        <v>96</v>
      </c>
    </row>
    <row r="119" spans="1:76">
      <c r="A119">
        <v>136</v>
      </c>
      <c r="B119" t="s">
        <v>503</v>
      </c>
      <c r="D119" t="b">
        <v>1</v>
      </c>
      <c r="E119" t="s">
        <v>504</v>
      </c>
      <c r="G119" t="s">
        <v>505</v>
      </c>
      <c r="H119" s="1" t="s">
        <v>96</v>
      </c>
      <c r="I119" s="1" t="s">
        <v>96</v>
      </c>
      <c r="J119">
        <v>23.58</v>
      </c>
      <c r="K119" s="1" t="s">
        <v>96</v>
      </c>
      <c r="L119" s="1" t="s">
        <v>96</v>
      </c>
      <c r="M119" s="1">
        <v>10.62</v>
      </c>
      <c r="N119" s="1" t="s">
        <v>96</v>
      </c>
      <c r="O119" s="1" t="s">
        <v>96</v>
      </c>
      <c r="P119" s="1" t="s">
        <v>96</v>
      </c>
      <c r="Q119" s="1" t="s">
        <v>96</v>
      </c>
      <c r="R119" s="1" t="s">
        <v>96</v>
      </c>
      <c r="S119" s="1" t="s">
        <v>96</v>
      </c>
      <c r="T119" t="s">
        <v>96</v>
      </c>
      <c r="U119" s="1" t="s">
        <v>96</v>
      </c>
      <c r="V119">
        <v>2.63</v>
      </c>
      <c r="W119">
        <v>30.29</v>
      </c>
      <c r="X119">
        <v>23.76</v>
      </c>
      <c r="Y119" s="1" t="s">
        <v>96</v>
      </c>
      <c r="Z119">
        <v>69.7</v>
      </c>
      <c r="AA119">
        <v>384.8</v>
      </c>
      <c r="AB119">
        <v>29.78</v>
      </c>
      <c r="AC119" s="1">
        <v>7.21</v>
      </c>
      <c r="AD119" s="1">
        <v>2.63</v>
      </c>
      <c r="AE119" s="1" t="s">
        <v>96</v>
      </c>
      <c r="AF119" s="1" t="s">
        <v>96</v>
      </c>
      <c r="AG119" s="1" t="s">
        <v>96</v>
      </c>
      <c r="AH119" s="1" t="s">
        <v>96</v>
      </c>
      <c r="AI119">
        <v>704.74</v>
      </c>
      <c r="AJ119">
        <v>35.24</v>
      </c>
      <c r="AK119" s="1" t="s">
        <v>96</v>
      </c>
      <c r="AL119" s="1">
        <v>3.12</v>
      </c>
      <c r="AM119">
        <v>29.82</v>
      </c>
      <c r="AN119">
        <v>1.92</v>
      </c>
      <c r="AO119" s="1" t="s">
        <v>96</v>
      </c>
      <c r="AP119" s="1" t="s">
        <v>96</v>
      </c>
      <c r="AQ119">
        <v>10.88</v>
      </c>
      <c r="AR119" s="1" t="s">
        <v>96</v>
      </c>
      <c r="AS119">
        <v>898.58</v>
      </c>
      <c r="AT119">
        <v>629.57000000000005</v>
      </c>
      <c r="AU119">
        <v>33.85</v>
      </c>
      <c r="AV119" s="1" t="s">
        <v>96</v>
      </c>
      <c r="AW119">
        <v>611.92999999999995</v>
      </c>
      <c r="AX119" s="1" t="s">
        <v>96</v>
      </c>
      <c r="AY119" s="1" t="s">
        <v>96</v>
      </c>
      <c r="AZ119">
        <v>51.1</v>
      </c>
      <c r="BA119" s="1" t="s">
        <v>96</v>
      </c>
      <c r="BB119" s="1" t="s">
        <v>96</v>
      </c>
      <c r="BC119">
        <v>29.15</v>
      </c>
      <c r="BD119">
        <v>32.979999999999997</v>
      </c>
      <c r="BE119" s="1" t="s">
        <v>96</v>
      </c>
      <c r="BF119" s="1" t="s">
        <v>96</v>
      </c>
      <c r="BG119">
        <v>5.39</v>
      </c>
      <c r="BH119">
        <v>23.53</v>
      </c>
      <c r="BI119">
        <v>181.6</v>
      </c>
      <c r="BJ119">
        <v>9.24</v>
      </c>
      <c r="BK119" s="1" t="s">
        <v>96</v>
      </c>
      <c r="BL119" s="1" t="s">
        <v>96</v>
      </c>
      <c r="BM119" s="1">
        <v>7.33</v>
      </c>
      <c r="BN119" s="1" t="s">
        <v>96</v>
      </c>
      <c r="BO119" s="1">
        <v>56.41</v>
      </c>
      <c r="BP119">
        <v>347.59</v>
      </c>
      <c r="BQ119">
        <v>17.23</v>
      </c>
      <c r="BR119" s="1">
        <v>9.6</v>
      </c>
      <c r="BS119" t="s">
        <v>133</v>
      </c>
      <c r="BT119">
        <v>74.02</v>
      </c>
      <c r="BU119" s="1" t="s">
        <v>96</v>
      </c>
      <c r="BV119">
        <v>12.58</v>
      </c>
      <c r="BW119">
        <v>1055.08</v>
      </c>
      <c r="BX119" s="1" t="s">
        <v>96</v>
      </c>
    </row>
    <row r="120" spans="1:76">
      <c r="A120">
        <v>89</v>
      </c>
      <c r="B120" t="s">
        <v>362</v>
      </c>
      <c r="D120" t="b">
        <v>1</v>
      </c>
      <c r="E120" t="s">
        <v>363</v>
      </c>
      <c r="G120" t="s">
        <v>364</v>
      </c>
      <c r="H120" s="1" t="s">
        <v>96</v>
      </c>
      <c r="I120" s="1" t="s">
        <v>96</v>
      </c>
      <c r="J120">
        <v>6.05</v>
      </c>
      <c r="K120" s="1" t="s">
        <v>96</v>
      </c>
      <c r="L120" s="1" t="s">
        <v>96</v>
      </c>
      <c r="M120" s="1" t="s">
        <v>96</v>
      </c>
      <c r="N120" s="1" t="s">
        <v>96</v>
      </c>
      <c r="O120" s="1" t="s">
        <v>96</v>
      </c>
      <c r="P120" s="1" t="s">
        <v>96</v>
      </c>
      <c r="Q120" s="1" t="s">
        <v>96</v>
      </c>
      <c r="R120" s="1" t="s">
        <v>96</v>
      </c>
      <c r="S120" s="1" t="s">
        <v>96</v>
      </c>
      <c r="T120" t="s">
        <v>96</v>
      </c>
      <c r="U120" s="1" t="s">
        <v>96</v>
      </c>
      <c r="V120" t="s">
        <v>96</v>
      </c>
      <c r="W120">
        <v>1.79</v>
      </c>
      <c r="X120">
        <v>1.9</v>
      </c>
      <c r="Y120" s="1" t="s">
        <v>96</v>
      </c>
      <c r="Z120" t="s">
        <v>96</v>
      </c>
      <c r="AA120">
        <v>20.61</v>
      </c>
      <c r="AB120">
        <v>7.7</v>
      </c>
      <c r="AC120" s="1" t="s">
        <v>96</v>
      </c>
      <c r="AD120" s="1" t="s">
        <v>96</v>
      </c>
      <c r="AE120" s="1" t="s">
        <v>96</v>
      </c>
      <c r="AF120" s="1" t="s">
        <v>96</v>
      </c>
      <c r="AG120" s="1" t="s">
        <v>96</v>
      </c>
      <c r="AH120" s="1" t="s">
        <v>96</v>
      </c>
      <c r="AI120" t="s">
        <v>96</v>
      </c>
      <c r="AJ120">
        <v>1.89</v>
      </c>
      <c r="AK120" s="1" t="s">
        <v>96</v>
      </c>
      <c r="AL120" s="1" t="s">
        <v>96</v>
      </c>
      <c r="AM120">
        <v>14.22</v>
      </c>
      <c r="AN120" t="s">
        <v>96</v>
      </c>
      <c r="AO120" s="1" t="s">
        <v>96</v>
      </c>
      <c r="AP120" s="1" t="s">
        <v>96</v>
      </c>
      <c r="AQ120">
        <v>2.98</v>
      </c>
      <c r="AR120" s="1" t="s">
        <v>96</v>
      </c>
      <c r="AS120">
        <v>886.15</v>
      </c>
      <c r="AT120">
        <v>61.54</v>
      </c>
      <c r="AU120">
        <v>44.32</v>
      </c>
      <c r="AV120" s="1" t="s">
        <v>96</v>
      </c>
      <c r="AW120">
        <v>376.42</v>
      </c>
      <c r="AX120" s="1" t="s">
        <v>96</v>
      </c>
      <c r="AY120" s="1" t="s">
        <v>96</v>
      </c>
      <c r="AZ120">
        <v>9.42</v>
      </c>
      <c r="BA120" s="1">
        <v>3.88</v>
      </c>
      <c r="BB120" s="1" t="s">
        <v>96</v>
      </c>
      <c r="BC120">
        <v>111.4</v>
      </c>
      <c r="BD120">
        <v>9.48</v>
      </c>
      <c r="BE120" s="1" t="s">
        <v>96</v>
      </c>
      <c r="BF120" s="1" t="s">
        <v>96</v>
      </c>
      <c r="BG120">
        <v>2.67</v>
      </c>
      <c r="BH120">
        <v>49.08</v>
      </c>
      <c r="BI120">
        <v>34.31</v>
      </c>
      <c r="BJ120" t="s">
        <v>96</v>
      </c>
      <c r="BK120" s="1" t="s">
        <v>96</v>
      </c>
      <c r="BL120" s="1" t="s">
        <v>96</v>
      </c>
      <c r="BM120" s="1" t="s">
        <v>96</v>
      </c>
      <c r="BN120" s="1" t="s">
        <v>96</v>
      </c>
      <c r="BO120" s="1" t="s">
        <v>96</v>
      </c>
      <c r="BP120">
        <v>104.72</v>
      </c>
      <c r="BQ120">
        <v>22.27</v>
      </c>
      <c r="BR120" s="1" t="s">
        <v>96</v>
      </c>
      <c r="BS120">
        <v>107.93</v>
      </c>
      <c r="BT120" t="s">
        <v>96</v>
      </c>
      <c r="BU120" s="1" t="s">
        <v>96</v>
      </c>
      <c r="BV120">
        <v>16.91</v>
      </c>
      <c r="BW120">
        <v>19.7</v>
      </c>
      <c r="BX120" s="1" t="s">
        <v>96</v>
      </c>
    </row>
    <row r="121" spans="1:76">
      <c r="A121">
        <v>44</v>
      </c>
      <c r="B121" t="s">
        <v>227</v>
      </c>
      <c r="D121" t="b">
        <v>1</v>
      </c>
      <c r="E121" t="s">
        <v>228</v>
      </c>
      <c r="G121" t="s">
        <v>229</v>
      </c>
      <c r="H121" s="1" t="s">
        <v>96</v>
      </c>
      <c r="I121" s="1" t="s">
        <v>96</v>
      </c>
      <c r="J121">
        <v>16.489999999999998</v>
      </c>
      <c r="K121" s="1" t="s">
        <v>96</v>
      </c>
      <c r="L121" s="1" t="s">
        <v>96</v>
      </c>
      <c r="M121" s="1" t="s">
        <v>96</v>
      </c>
      <c r="N121" s="1" t="s">
        <v>96</v>
      </c>
      <c r="O121" s="1" t="s">
        <v>96</v>
      </c>
      <c r="P121" s="1" t="s">
        <v>96</v>
      </c>
      <c r="Q121" s="1" t="s">
        <v>96</v>
      </c>
      <c r="R121" s="1" t="s">
        <v>96</v>
      </c>
      <c r="S121" s="1" t="s">
        <v>96</v>
      </c>
      <c r="T121" t="s">
        <v>96</v>
      </c>
      <c r="U121" s="1" t="s">
        <v>96</v>
      </c>
      <c r="V121">
        <v>3.95</v>
      </c>
      <c r="W121">
        <v>1.87</v>
      </c>
      <c r="X121">
        <v>374.05</v>
      </c>
      <c r="Y121" s="1" t="s">
        <v>96</v>
      </c>
      <c r="Z121">
        <v>6.16</v>
      </c>
      <c r="AA121">
        <v>84.06</v>
      </c>
      <c r="AB121">
        <v>83.4</v>
      </c>
      <c r="AC121" s="1" t="s">
        <v>96</v>
      </c>
      <c r="AD121" s="1">
        <v>1.68</v>
      </c>
      <c r="AE121" s="1" t="s">
        <v>96</v>
      </c>
      <c r="AF121" s="1" t="s">
        <v>96</v>
      </c>
      <c r="AG121" s="1" t="s">
        <v>96</v>
      </c>
      <c r="AH121" s="1" t="s">
        <v>96</v>
      </c>
      <c r="AI121" t="s">
        <v>96</v>
      </c>
      <c r="AJ121">
        <v>58.5</v>
      </c>
      <c r="AK121" s="1">
        <v>2.76</v>
      </c>
      <c r="AL121" s="1" t="s">
        <v>96</v>
      </c>
      <c r="AM121">
        <v>57.05</v>
      </c>
      <c r="AN121">
        <v>4.75</v>
      </c>
      <c r="AO121" s="1" t="s">
        <v>96</v>
      </c>
      <c r="AP121" s="1" t="s">
        <v>96</v>
      </c>
      <c r="AQ121">
        <v>8.84</v>
      </c>
      <c r="AR121" s="1" t="s">
        <v>96</v>
      </c>
      <c r="AS121" t="s">
        <v>133</v>
      </c>
      <c r="AT121">
        <v>1184.73</v>
      </c>
      <c r="AU121">
        <v>613.33000000000004</v>
      </c>
      <c r="AV121" s="1" t="s">
        <v>96</v>
      </c>
      <c r="AW121" t="s">
        <v>133</v>
      </c>
      <c r="AX121" s="1" t="s">
        <v>96</v>
      </c>
      <c r="AY121" s="1">
        <v>3.87</v>
      </c>
      <c r="AZ121">
        <v>43.25</v>
      </c>
      <c r="BA121" s="1">
        <v>27.27</v>
      </c>
      <c r="BB121" s="1" t="s">
        <v>96</v>
      </c>
      <c r="BC121">
        <v>262.12</v>
      </c>
      <c r="BD121">
        <v>117.18</v>
      </c>
      <c r="BE121" s="1" t="s">
        <v>96</v>
      </c>
      <c r="BF121" s="1">
        <v>5.48</v>
      </c>
      <c r="BG121">
        <v>10.39</v>
      </c>
      <c r="BH121">
        <v>116.89</v>
      </c>
      <c r="BI121">
        <v>82.89</v>
      </c>
      <c r="BJ121" t="s">
        <v>96</v>
      </c>
      <c r="BK121" s="1" t="s">
        <v>96</v>
      </c>
      <c r="BL121" s="1" t="s">
        <v>96</v>
      </c>
      <c r="BM121" s="1" t="s">
        <v>96</v>
      </c>
      <c r="BN121" s="1" t="s">
        <v>96</v>
      </c>
      <c r="BO121" s="1" t="s">
        <v>96</v>
      </c>
      <c r="BP121">
        <v>136.15</v>
      </c>
      <c r="BQ121">
        <v>17.190000000000001</v>
      </c>
      <c r="BR121" s="1" t="s">
        <v>96</v>
      </c>
      <c r="BS121">
        <v>443.77</v>
      </c>
      <c r="BT121">
        <v>24.66</v>
      </c>
      <c r="BU121" s="1" t="s">
        <v>96</v>
      </c>
      <c r="BV121">
        <v>53.54</v>
      </c>
      <c r="BW121">
        <v>153.97999999999999</v>
      </c>
      <c r="BX121" s="1" t="s">
        <v>96</v>
      </c>
    </row>
    <row r="122" spans="1:76">
      <c r="A122">
        <v>58</v>
      </c>
      <c r="B122" t="s">
        <v>269</v>
      </c>
      <c r="D122" t="b">
        <v>1</v>
      </c>
      <c r="E122" t="s">
        <v>270</v>
      </c>
      <c r="G122" t="s">
        <v>271</v>
      </c>
      <c r="H122" s="1" t="s">
        <v>96</v>
      </c>
      <c r="I122" s="1" t="s">
        <v>96</v>
      </c>
      <c r="J122">
        <v>11.44</v>
      </c>
      <c r="K122" s="1" t="s">
        <v>96</v>
      </c>
      <c r="L122" s="1" t="s">
        <v>96</v>
      </c>
      <c r="M122" s="1" t="s">
        <v>96</v>
      </c>
      <c r="N122" s="1" t="s">
        <v>96</v>
      </c>
      <c r="O122" s="1" t="s">
        <v>96</v>
      </c>
      <c r="P122" s="1" t="s">
        <v>96</v>
      </c>
      <c r="Q122" s="1" t="s">
        <v>96</v>
      </c>
      <c r="R122" s="1" t="s">
        <v>96</v>
      </c>
      <c r="S122" s="1" t="s">
        <v>96</v>
      </c>
      <c r="T122" t="s">
        <v>96</v>
      </c>
      <c r="U122" s="1" t="s">
        <v>96</v>
      </c>
      <c r="V122">
        <v>1.96</v>
      </c>
      <c r="W122">
        <v>5.73</v>
      </c>
      <c r="X122">
        <v>34.4</v>
      </c>
      <c r="Y122" s="1" t="s">
        <v>96</v>
      </c>
      <c r="Z122" t="s">
        <v>96</v>
      </c>
      <c r="AA122">
        <v>201.95</v>
      </c>
      <c r="AB122">
        <v>98.57</v>
      </c>
      <c r="AC122" s="1" t="s">
        <v>96</v>
      </c>
      <c r="AD122" s="1" t="s">
        <v>96</v>
      </c>
      <c r="AE122" s="1" t="s">
        <v>96</v>
      </c>
      <c r="AF122" s="1" t="s">
        <v>96</v>
      </c>
      <c r="AG122" s="1" t="s">
        <v>96</v>
      </c>
      <c r="AH122" s="1">
        <v>1.36</v>
      </c>
      <c r="AI122">
        <v>370.27</v>
      </c>
      <c r="AJ122">
        <v>40.86</v>
      </c>
      <c r="AK122" s="1" t="s">
        <v>96</v>
      </c>
      <c r="AL122" s="1" t="s">
        <v>96</v>
      </c>
      <c r="AM122">
        <v>96.77</v>
      </c>
      <c r="AN122">
        <v>8.0500000000000007</v>
      </c>
      <c r="AO122" s="1" t="s">
        <v>96</v>
      </c>
      <c r="AP122" s="1" t="s">
        <v>96</v>
      </c>
      <c r="AQ122">
        <v>5.41</v>
      </c>
      <c r="AR122" s="1" t="s">
        <v>96</v>
      </c>
      <c r="AS122">
        <v>1726.15</v>
      </c>
      <c r="AT122">
        <v>352.14</v>
      </c>
      <c r="AU122">
        <v>104.17</v>
      </c>
      <c r="AV122" s="1" t="s">
        <v>96</v>
      </c>
      <c r="AW122">
        <v>423.21</v>
      </c>
      <c r="AX122" s="1" t="s">
        <v>96</v>
      </c>
      <c r="AY122" s="1" t="s">
        <v>96</v>
      </c>
      <c r="AZ122">
        <v>10.25</v>
      </c>
      <c r="BA122" s="1">
        <v>9.2200000000000006</v>
      </c>
      <c r="BB122" s="1" t="s">
        <v>96</v>
      </c>
      <c r="BC122">
        <v>368.48</v>
      </c>
      <c r="BD122">
        <v>78.87</v>
      </c>
      <c r="BE122" s="1" t="s">
        <v>96</v>
      </c>
      <c r="BF122" s="1">
        <v>4.09</v>
      </c>
      <c r="BG122">
        <v>4.04</v>
      </c>
      <c r="BH122">
        <v>112.32</v>
      </c>
      <c r="BI122">
        <v>29.72</v>
      </c>
      <c r="BJ122" t="s">
        <v>96</v>
      </c>
      <c r="BK122" s="1" t="s">
        <v>96</v>
      </c>
      <c r="BL122" s="1" t="s">
        <v>96</v>
      </c>
      <c r="BM122" s="1" t="s">
        <v>96</v>
      </c>
      <c r="BN122" s="1">
        <v>5.17</v>
      </c>
      <c r="BO122" s="1" t="s">
        <v>96</v>
      </c>
      <c r="BP122">
        <v>109.87</v>
      </c>
      <c r="BQ122">
        <v>54.54</v>
      </c>
      <c r="BR122" s="1" t="s">
        <v>96</v>
      </c>
      <c r="BS122">
        <v>110.91</v>
      </c>
      <c r="BT122">
        <v>41.25</v>
      </c>
      <c r="BU122" s="1" t="s">
        <v>96</v>
      </c>
      <c r="BV122">
        <v>31.34</v>
      </c>
      <c r="BW122">
        <v>68.709999999999994</v>
      </c>
      <c r="BX122" s="1" t="s">
        <v>96</v>
      </c>
    </row>
    <row r="123" spans="1:76">
      <c r="A123">
        <v>15</v>
      </c>
      <c r="B123" t="s">
        <v>140</v>
      </c>
      <c r="D123" t="b">
        <v>1</v>
      </c>
      <c r="E123" t="s">
        <v>141</v>
      </c>
      <c r="G123" t="s">
        <v>142</v>
      </c>
      <c r="H123" s="1" t="s">
        <v>96</v>
      </c>
      <c r="I123" s="1" t="s">
        <v>96</v>
      </c>
      <c r="J123">
        <v>19.27</v>
      </c>
      <c r="K123" s="1" t="s">
        <v>96</v>
      </c>
      <c r="L123" s="1" t="s">
        <v>96</v>
      </c>
      <c r="M123" s="1" t="s">
        <v>96</v>
      </c>
      <c r="N123" s="1" t="s">
        <v>96</v>
      </c>
      <c r="O123" s="1" t="s">
        <v>96</v>
      </c>
      <c r="P123" s="1" t="s">
        <v>96</v>
      </c>
      <c r="Q123" s="1" t="s">
        <v>96</v>
      </c>
      <c r="R123" s="1" t="s">
        <v>96</v>
      </c>
      <c r="S123" s="1" t="s">
        <v>96</v>
      </c>
      <c r="T123">
        <v>1.19</v>
      </c>
      <c r="U123" s="1" t="s">
        <v>96</v>
      </c>
      <c r="V123">
        <v>2.13</v>
      </c>
      <c r="W123" t="s">
        <v>96</v>
      </c>
      <c r="X123">
        <v>123.6</v>
      </c>
      <c r="Y123" s="1" t="s">
        <v>96</v>
      </c>
      <c r="Z123" t="s">
        <v>96</v>
      </c>
      <c r="AA123" t="s">
        <v>96</v>
      </c>
      <c r="AB123">
        <v>18.600000000000001</v>
      </c>
      <c r="AC123" s="1" t="s">
        <v>96</v>
      </c>
      <c r="AD123" s="1" t="s">
        <v>96</v>
      </c>
      <c r="AE123" s="1" t="s">
        <v>96</v>
      </c>
      <c r="AF123" s="1" t="s">
        <v>96</v>
      </c>
      <c r="AG123" s="1" t="s">
        <v>96</v>
      </c>
      <c r="AH123" s="1">
        <v>1.38</v>
      </c>
      <c r="AI123">
        <v>167.28</v>
      </c>
      <c r="AJ123">
        <v>10.3</v>
      </c>
      <c r="AK123" s="1">
        <v>1.59</v>
      </c>
      <c r="AL123" s="1" t="s">
        <v>96</v>
      </c>
      <c r="AM123">
        <v>24.06</v>
      </c>
      <c r="AN123">
        <v>3.3</v>
      </c>
      <c r="AO123" s="1" t="s">
        <v>96</v>
      </c>
      <c r="AP123" s="1" t="s">
        <v>96</v>
      </c>
      <c r="AQ123" t="s">
        <v>96</v>
      </c>
      <c r="AR123" s="1" t="s">
        <v>96</v>
      </c>
      <c r="AS123">
        <v>146.1</v>
      </c>
      <c r="AT123" t="s">
        <v>96</v>
      </c>
      <c r="AU123">
        <v>11.9</v>
      </c>
      <c r="AV123" s="1" t="s">
        <v>96</v>
      </c>
      <c r="AW123">
        <v>103.36</v>
      </c>
      <c r="AX123" s="1" t="s">
        <v>96</v>
      </c>
      <c r="AY123" s="1" t="s">
        <v>96</v>
      </c>
      <c r="AZ123">
        <v>11.15</v>
      </c>
      <c r="BA123" s="1" t="s">
        <v>96</v>
      </c>
      <c r="BB123" s="1" t="s">
        <v>96</v>
      </c>
      <c r="BC123">
        <v>9.42</v>
      </c>
      <c r="BD123" t="s">
        <v>96</v>
      </c>
      <c r="BE123" s="1" t="s">
        <v>96</v>
      </c>
      <c r="BF123" s="1" t="s">
        <v>96</v>
      </c>
      <c r="BG123" t="s">
        <v>96</v>
      </c>
      <c r="BH123">
        <v>4.1100000000000003</v>
      </c>
      <c r="BI123" t="s">
        <v>96</v>
      </c>
      <c r="BJ123" t="s">
        <v>96</v>
      </c>
      <c r="BK123" s="1" t="s">
        <v>96</v>
      </c>
      <c r="BL123" s="1" t="s">
        <v>96</v>
      </c>
      <c r="BM123" s="1" t="s">
        <v>96</v>
      </c>
      <c r="BN123" s="1" t="s">
        <v>96</v>
      </c>
      <c r="BO123" s="1" t="s">
        <v>96</v>
      </c>
      <c r="BP123">
        <v>74.27</v>
      </c>
      <c r="BQ123" t="s">
        <v>96</v>
      </c>
      <c r="BR123" s="1" t="s">
        <v>96</v>
      </c>
      <c r="BS123" t="s">
        <v>96</v>
      </c>
      <c r="BT123" t="s">
        <v>96</v>
      </c>
      <c r="BU123" s="1" t="s">
        <v>96</v>
      </c>
      <c r="BV123">
        <v>17.45</v>
      </c>
      <c r="BW123" t="s">
        <v>96</v>
      </c>
      <c r="BX123" s="1" t="s">
        <v>96</v>
      </c>
    </row>
    <row r="124" spans="1:76">
      <c r="A124">
        <v>57</v>
      </c>
      <c r="B124" t="s">
        <v>266</v>
      </c>
      <c r="D124" t="b">
        <v>1</v>
      </c>
      <c r="E124" t="s">
        <v>267</v>
      </c>
      <c r="G124" t="s">
        <v>268</v>
      </c>
      <c r="H124" s="1" t="s">
        <v>96</v>
      </c>
      <c r="I124" s="1" t="s">
        <v>96</v>
      </c>
      <c r="J124">
        <v>9.7899999999999991</v>
      </c>
      <c r="K124" s="1" t="s">
        <v>96</v>
      </c>
      <c r="L124" s="1" t="s">
        <v>96</v>
      </c>
      <c r="M124" s="1" t="s">
        <v>96</v>
      </c>
      <c r="N124" s="1" t="s">
        <v>96</v>
      </c>
      <c r="O124" s="1" t="s">
        <v>96</v>
      </c>
      <c r="P124" s="1" t="s">
        <v>96</v>
      </c>
      <c r="Q124" s="1" t="s">
        <v>96</v>
      </c>
      <c r="R124" s="1" t="s">
        <v>96</v>
      </c>
      <c r="S124" s="1" t="s">
        <v>96</v>
      </c>
      <c r="T124" t="s">
        <v>96</v>
      </c>
      <c r="U124" s="1" t="s">
        <v>96</v>
      </c>
      <c r="V124" t="s">
        <v>96</v>
      </c>
      <c r="W124">
        <v>2.58</v>
      </c>
      <c r="X124">
        <v>21.59</v>
      </c>
      <c r="Y124" s="1" t="s">
        <v>96</v>
      </c>
      <c r="Z124" t="s">
        <v>96</v>
      </c>
      <c r="AA124">
        <v>123.16</v>
      </c>
      <c r="AB124">
        <v>51</v>
      </c>
      <c r="AC124" s="1" t="s">
        <v>96</v>
      </c>
      <c r="AD124" s="1" t="s">
        <v>96</v>
      </c>
      <c r="AE124" s="1" t="s">
        <v>96</v>
      </c>
      <c r="AF124" s="1" t="s">
        <v>96</v>
      </c>
      <c r="AG124" s="1" t="s">
        <v>96</v>
      </c>
      <c r="AH124" s="1">
        <v>14.11</v>
      </c>
      <c r="AI124">
        <v>68.67</v>
      </c>
      <c r="AJ124">
        <v>12.52</v>
      </c>
      <c r="AK124" s="1" t="s">
        <v>96</v>
      </c>
      <c r="AL124" s="1" t="s">
        <v>96</v>
      </c>
      <c r="AM124">
        <v>61.33</v>
      </c>
      <c r="AN124">
        <v>1.82</v>
      </c>
      <c r="AO124" s="1" t="s">
        <v>96</v>
      </c>
      <c r="AP124" s="1" t="s">
        <v>96</v>
      </c>
      <c r="AQ124">
        <v>21.28</v>
      </c>
      <c r="AR124" s="1" t="s">
        <v>96</v>
      </c>
      <c r="AS124" t="s">
        <v>133</v>
      </c>
      <c r="AT124">
        <v>1567.22</v>
      </c>
      <c r="AU124">
        <v>250.72</v>
      </c>
      <c r="AV124" s="1" t="s">
        <v>96</v>
      </c>
      <c r="AW124" t="s">
        <v>133</v>
      </c>
      <c r="AX124" s="1" t="s">
        <v>96</v>
      </c>
      <c r="AY124" s="1">
        <v>16.100000000000001</v>
      </c>
      <c r="AZ124">
        <v>11.18</v>
      </c>
      <c r="BA124" s="1">
        <v>43.89</v>
      </c>
      <c r="BB124" s="1" t="s">
        <v>96</v>
      </c>
      <c r="BC124">
        <v>1726.98</v>
      </c>
      <c r="BD124">
        <v>485.43</v>
      </c>
      <c r="BE124" s="1" t="s">
        <v>96</v>
      </c>
      <c r="BF124" s="1">
        <v>8.11</v>
      </c>
      <c r="BG124">
        <v>5.86</v>
      </c>
      <c r="BH124">
        <v>754.42</v>
      </c>
      <c r="BI124">
        <v>118.72</v>
      </c>
      <c r="BJ124">
        <v>4.7300000000000004</v>
      </c>
      <c r="BK124" s="1" t="s">
        <v>96</v>
      </c>
      <c r="BL124" s="1" t="s">
        <v>96</v>
      </c>
      <c r="BM124" s="1" t="s">
        <v>96</v>
      </c>
      <c r="BN124" s="1" t="s">
        <v>96</v>
      </c>
      <c r="BO124" s="1" t="s">
        <v>96</v>
      </c>
      <c r="BP124">
        <v>95.63</v>
      </c>
      <c r="BQ124">
        <v>41.79</v>
      </c>
      <c r="BR124" s="1" t="s">
        <v>96</v>
      </c>
      <c r="BS124">
        <v>511.77</v>
      </c>
      <c r="BT124">
        <v>47.29</v>
      </c>
      <c r="BU124" s="1" t="s">
        <v>96</v>
      </c>
      <c r="BV124">
        <v>29.6</v>
      </c>
      <c r="BW124">
        <v>114.39</v>
      </c>
      <c r="BX124" s="1" t="s">
        <v>96</v>
      </c>
    </row>
    <row r="125" spans="1:76">
      <c r="A125">
        <v>8</v>
      </c>
      <c r="B125" t="s">
        <v>118</v>
      </c>
      <c r="D125" t="b">
        <v>1</v>
      </c>
      <c r="E125" t="s">
        <v>119</v>
      </c>
      <c r="G125" t="s">
        <v>120</v>
      </c>
      <c r="H125" s="1" t="s">
        <v>96</v>
      </c>
      <c r="I125" s="1" t="s">
        <v>96</v>
      </c>
      <c r="J125">
        <v>13.34</v>
      </c>
      <c r="K125" s="1" t="s">
        <v>96</v>
      </c>
      <c r="L125" s="1" t="s">
        <v>96</v>
      </c>
      <c r="M125" s="1">
        <v>7.24</v>
      </c>
      <c r="N125" s="1" t="s">
        <v>96</v>
      </c>
      <c r="O125" s="1" t="s">
        <v>96</v>
      </c>
      <c r="P125" s="1" t="s">
        <v>96</v>
      </c>
      <c r="Q125" s="1" t="s">
        <v>96</v>
      </c>
      <c r="R125" s="1" t="s">
        <v>96</v>
      </c>
      <c r="S125" s="1" t="s">
        <v>96</v>
      </c>
      <c r="T125" t="s">
        <v>96</v>
      </c>
      <c r="U125" s="1" t="s">
        <v>96</v>
      </c>
      <c r="V125">
        <v>4</v>
      </c>
      <c r="W125">
        <v>1.39</v>
      </c>
      <c r="X125">
        <v>153.62</v>
      </c>
      <c r="Y125" s="1" t="s">
        <v>96</v>
      </c>
      <c r="Z125" t="s">
        <v>96</v>
      </c>
      <c r="AA125">
        <v>32.71</v>
      </c>
      <c r="AB125">
        <v>160.76</v>
      </c>
      <c r="AC125" s="1" t="s">
        <v>96</v>
      </c>
      <c r="AD125" s="1">
        <v>1.36</v>
      </c>
      <c r="AE125" s="1" t="s">
        <v>96</v>
      </c>
      <c r="AF125" s="1" t="s">
        <v>96</v>
      </c>
      <c r="AG125" s="1" t="s">
        <v>96</v>
      </c>
      <c r="AH125" s="1" t="s">
        <v>96</v>
      </c>
      <c r="AI125" t="s">
        <v>96</v>
      </c>
      <c r="AJ125">
        <v>21.58</v>
      </c>
      <c r="AK125" s="1" t="s">
        <v>96</v>
      </c>
      <c r="AL125" s="1" t="s">
        <v>96</v>
      </c>
      <c r="AM125">
        <v>81.72</v>
      </c>
      <c r="AN125">
        <v>11.01</v>
      </c>
      <c r="AO125" s="1" t="s">
        <v>96</v>
      </c>
      <c r="AP125" s="1" t="s">
        <v>96</v>
      </c>
      <c r="AQ125">
        <v>6.56</v>
      </c>
      <c r="AR125" s="1" t="s">
        <v>96</v>
      </c>
      <c r="AS125">
        <v>2470.5700000000002</v>
      </c>
      <c r="AT125">
        <v>121.68</v>
      </c>
      <c r="AU125">
        <v>303.16000000000003</v>
      </c>
      <c r="AV125" s="1" t="s">
        <v>96</v>
      </c>
      <c r="AW125">
        <v>550.25</v>
      </c>
      <c r="AX125" s="1" t="s">
        <v>96</v>
      </c>
      <c r="AY125" s="1">
        <v>3.8</v>
      </c>
      <c r="AZ125">
        <v>38.409999999999997</v>
      </c>
      <c r="BA125" s="1">
        <v>24.49</v>
      </c>
      <c r="BB125" s="1" t="s">
        <v>96</v>
      </c>
      <c r="BC125">
        <v>440.37</v>
      </c>
      <c r="BD125">
        <v>25.12</v>
      </c>
      <c r="BE125" s="1" t="s">
        <v>96</v>
      </c>
      <c r="BF125" s="1">
        <v>14.1</v>
      </c>
      <c r="BG125" t="s">
        <v>96</v>
      </c>
      <c r="BH125">
        <v>111.75</v>
      </c>
      <c r="BI125">
        <v>149.69</v>
      </c>
      <c r="BJ125" t="s">
        <v>96</v>
      </c>
      <c r="BK125" s="1" t="s">
        <v>96</v>
      </c>
      <c r="BL125" s="1" t="s">
        <v>96</v>
      </c>
      <c r="BM125" s="1" t="s">
        <v>96</v>
      </c>
      <c r="BN125" s="1" t="s">
        <v>96</v>
      </c>
      <c r="BO125" s="1" t="s">
        <v>96</v>
      </c>
      <c r="BP125">
        <v>261.26</v>
      </c>
      <c r="BQ125">
        <v>75.58</v>
      </c>
      <c r="BR125" s="1" t="s">
        <v>96</v>
      </c>
      <c r="BS125">
        <v>339.61</v>
      </c>
      <c r="BT125">
        <v>18.649999999999999</v>
      </c>
      <c r="BU125" s="1">
        <v>13.01</v>
      </c>
      <c r="BV125">
        <v>73.05</v>
      </c>
      <c r="BW125">
        <v>48.77</v>
      </c>
      <c r="BX125" s="1" t="s">
        <v>96</v>
      </c>
    </row>
    <row r="126" spans="1:76">
      <c r="A126">
        <v>114</v>
      </c>
      <c r="B126" t="s">
        <v>437</v>
      </c>
      <c r="D126" t="b">
        <v>1</v>
      </c>
      <c r="E126" t="s">
        <v>438</v>
      </c>
      <c r="G126" t="s">
        <v>439</v>
      </c>
      <c r="H126" s="1" t="s">
        <v>96</v>
      </c>
      <c r="I126" s="1" t="s">
        <v>96</v>
      </c>
      <c r="J126">
        <v>10.31</v>
      </c>
      <c r="K126" s="1" t="s">
        <v>96</v>
      </c>
      <c r="L126" s="1" t="s">
        <v>96</v>
      </c>
      <c r="M126" s="1" t="s">
        <v>96</v>
      </c>
      <c r="N126" s="1" t="s">
        <v>96</v>
      </c>
      <c r="O126" s="1" t="s">
        <v>96</v>
      </c>
      <c r="P126" s="1" t="s">
        <v>96</v>
      </c>
      <c r="Q126" s="1" t="s">
        <v>96</v>
      </c>
      <c r="R126" s="1" t="s">
        <v>96</v>
      </c>
      <c r="S126" s="1" t="s">
        <v>96</v>
      </c>
      <c r="T126" t="s">
        <v>96</v>
      </c>
      <c r="U126" s="1" t="s">
        <v>96</v>
      </c>
      <c r="V126">
        <v>12.21</v>
      </c>
      <c r="W126">
        <v>27.79</v>
      </c>
      <c r="X126">
        <v>68.680000000000007</v>
      </c>
      <c r="Y126" s="1" t="s">
        <v>96</v>
      </c>
      <c r="Z126">
        <v>19.05</v>
      </c>
      <c r="AA126">
        <v>356.83</v>
      </c>
      <c r="AB126">
        <v>170.96</v>
      </c>
      <c r="AC126" s="1">
        <v>2.66</v>
      </c>
      <c r="AD126" s="1">
        <v>22.9</v>
      </c>
      <c r="AE126" s="1" t="s">
        <v>96</v>
      </c>
      <c r="AF126" s="1" t="s">
        <v>96</v>
      </c>
      <c r="AG126" s="1" t="s">
        <v>96</v>
      </c>
      <c r="AH126" s="1" t="s">
        <v>96</v>
      </c>
      <c r="AI126">
        <v>326.23</v>
      </c>
      <c r="AJ126">
        <v>63.5</v>
      </c>
      <c r="AK126" s="1" t="s">
        <v>96</v>
      </c>
      <c r="AL126" s="1">
        <v>3.46</v>
      </c>
      <c r="AM126">
        <v>56.79</v>
      </c>
      <c r="AN126">
        <v>6.34</v>
      </c>
      <c r="AO126" s="1" t="s">
        <v>96</v>
      </c>
      <c r="AP126" s="1" t="s">
        <v>96</v>
      </c>
      <c r="AQ126">
        <v>34.61</v>
      </c>
      <c r="AR126" s="1" t="s">
        <v>96</v>
      </c>
      <c r="AS126">
        <v>1280.28</v>
      </c>
      <c r="AT126">
        <v>628.24</v>
      </c>
      <c r="AU126">
        <v>134.03</v>
      </c>
      <c r="AV126" s="1" t="s">
        <v>96</v>
      </c>
      <c r="AW126">
        <v>180.87</v>
      </c>
      <c r="AX126" s="1" t="s">
        <v>96</v>
      </c>
      <c r="AY126" s="1">
        <v>6.25</v>
      </c>
      <c r="AZ126">
        <v>6.4</v>
      </c>
      <c r="BA126" s="1">
        <v>2.6</v>
      </c>
      <c r="BB126" s="1" t="s">
        <v>96</v>
      </c>
      <c r="BC126">
        <v>58.04</v>
      </c>
      <c r="BD126">
        <v>33.950000000000003</v>
      </c>
      <c r="BE126" s="1" t="s">
        <v>96</v>
      </c>
      <c r="BF126" s="1" t="s">
        <v>96</v>
      </c>
      <c r="BG126" t="s">
        <v>96</v>
      </c>
      <c r="BH126">
        <v>11.66</v>
      </c>
      <c r="BI126">
        <v>45.64</v>
      </c>
      <c r="BJ126">
        <v>7.82</v>
      </c>
      <c r="BK126" s="1" t="s">
        <v>96</v>
      </c>
      <c r="BL126" s="1" t="s">
        <v>96</v>
      </c>
      <c r="BM126" s="1" t="s">
        <v>96</v>
      </c>
      <c r="BN126" s="1" t="s">
        <v>96</v>
      </c>
      <c r="BO126" s="1">
        <v>7.82</v>
      </c>
      <c r="BP126">
        <v>40.89</v>
      </c>
      <c r="BQ126" t="s">
        <v>96</v>
      </c>
      <c r="BR126" s="1" t="s">
        <v>96</v>
      </c>
      <c r="BS126">
        <v>359.18</v>
      </c>
      <c r="BT126">
        <v>5.65</v>
      </c>
      <c r="BU126" s="1" t="s">
        <v>96</v>
      </c>
      <c r="BV126">
        <v>16.670000000000002</v>
      </c>
      <c r="BW126">
        <v>52.11</v>
      </c>
      <c r="BX126" s="1" t="s">
        <v>96</v>
      </c>
    </row>
    <row r="127" spans="1:76">
      <c r="A127">
        <v>212</v>
      </c>
      <c r="B127" t="s">
        <v>731</v>
      </c>
      <c r="D127" t="b">
        <v>1</v>
      </c>
      <c r="E127" t="s">
        <v>732</v>
      </c>
      <c r="G127" t="s">
        <v>733</v>
      </c>
      <c r="H127" s="1" t="s">
        <v>96</v>
      </c>
      <c r="I127" s="1" t="s">
        <v>96</v>
      </c>
      <c r="J127">
        <v>11.54</v>
      </c>
      <c r="K127" s="1" t="s">
        <v>96</v>
      </c>
      <c r="L127" s="1" t="s">
        <v>96</v>
      </c>
      <c r="M127" s="1">
        <v>6.12</v>
      </c>
      <c r="N127" s="1" t="s">
        <v>96</v>
      </c>
      <c r="O127" s="1" t="s">
        <v>96</v>
      </c>
      <c r="P127" s="1" t="s">
        <v>96</v>
      </c>
      <c r="Q127" s="1" t="s">
        <v>96</v>
      </c>
      <c r="R127" s="1" t="s">
        <v>96</v>
      </c>
      <c r="S127" s="1" t="s">
        <v>96</v>
      </c>
      <c r="T127" t="s">
        <v>96</v>
      </c>
      <c r="U127" s="1" t="s">
        <v>96</v>
      </c>
      <c r="V127" t="s">
        <v>96</v>
      </c>
      <c r="W127">
        <v>17.850000000000001</v>
      </c>
      <c r="X127">
        <v>22.31</v>
      </c>
      <c r="Y127" s="1" t="s">
        <v>96</v>
      </c>
      <c r="Z127">
        <v>16.27</v>
      </c>
      <c r="AA127">
        <v>131.24</v>
      </c>
      <c r="AB127">
        <v>20.18</v>
      </c>
      <c r="AC127" s="1">
        <v>5.18</v>
      </c>
      <c r="AD127" s="1">
        <v>2.64</v>
      </c>
      <c r="AE127" s="1" t="s">
        <v>96</v>
      </c>
      <c r="AF127" s="1" t="s">
        <v>96</v>
      </c>
      <c r="AG127" s="1" t="s">
        <v>96</v>
      </c>
      <c r="AH127" s="1" t="s">
        <v>96</v>
      </c>
      <c r="AI127">
        <v>48.72</v>
      </c>
      <c r="AJ127">
        <v>15.87</v>
      </c>
      <c r="AK127" s="1" t="s">
        <v>96</v>
      </c>
      <c r="AL127" s="1">
        <v>5.57</v>
      </c>
      <c r="AM127">
        <v>41.1</v>
      </c>
      <c r="AN127" t="s">
        <v>96</v>
      </c>
      <c r="AO127" s="1" t="s">
        <v>96</v>
      </c>
      <c r="AP127" s="1" t="s">
        <v>96</v>
      </c>
      <c r="AQ127">
        <v>4.72</v>
      </c>
      <c r="AR127" s="1" t="s">
        <v>96</v>
      </c>
      <c r="AS127">
        <v>2476.71</v>
      </c>
      <c r="AT127">
        <v>814.65</v>
      </c>
      <c r="AU127">
        <v>100.8</v>
      </c>
      <c r="AV127" s="1" t="s">
        <v>96</v>
      </c>
      <c r="AW127" t="s">
        <v>133</v>
      </c>
      <c r="AX127" s="1" t="s">
        <v>96</v>
      </c>
      <c r="AY127" s="1">
        <v>6.37</v>
      </c>
      <c r="AZ127">
        <v>35.54</v>
      </c>
      <c r="BA127" s="1">
        <v>10.37</v>
      </c>
      <c r="BB127" s="1" t="s">
        <v>96</v>
      </c>
      <c r="BC127">
        <v>510.65</v>
      </c>
      <c r="BD127">
        <v>225.62</v>
      </c>
      <c r="BE127" s="1" t="s">
        <v>96</v>
      </c>
      <c r="BF127" s="1">
        <v>8.99</v>
      </c>
      <c r="BG127">
        <v>7.53</v>
      </c>
      <c r="BH127">
        <v>350.47</v>
      </c>
      <c r="BI127">
        <v>169.55</v>
      </c>
      <c r="BJ127" t="s">
        <v>96</v>
      </c>
      <c r="BK127" s="1" t="s">
        <v>96</v>
      </c>
      <c r="BL127" s="1" t="s">
        <v>96</v>
      </c>
      <c r="BM127" s="1" t="s">
        <v>96</v>
      </c>
      <c r="BN127" s="1" t="s">
        <v>96</v>
      </c>
      <c r="BO127" s="1">
        <v>5.18</v>
      </c>
      <c r="BP127">
        <v>172.36</v>
      </c>
      <c r="BQ127">
        <v>43.82</v>
      </c>
      <c r="BR127" s="1">
        <v>5.18</v>
      </c>
      <c r="BS127">
        <v>425.92</v>
      </c>
      <c r="BT127">
        <v>71.25</v>
      </c>
      <c r="BU127" s="1" t="s">
        <v>96</v>
      </c>
      <c r="BV127">
        <v>19.54</v>
      </c>
      <c r="BW127">
        <v>216.3</v>
      </c>
      <c r="BX127" s="1" t="s">
        <v>96</v>
      </c>
    </row>
    <row r="128" spans="1:76">
      <c r="A128">
        <v>90</v>
      </c>
      <c r="B128" t="s">
        <v>365</v>
      </c>
      <c r="D128" t="b">
        <v>1</v>
      </c>
      <c r="E128" t="s">
        <v>366</v>
      </c>
      <c r="G128" t="s">
        <v>367</v>
      </c>
      <c r="H128" s="1" t="s">
        <v>96</v>
      </c>
      <c r="I128" s="1" t="s">
        <v>96</v>
      </c>
      <c r="J128">
        <v>12.86</v>
      </c>
      <c r="K128" s="1" t="s">
        <v>96</v>
      </c>
      <c r="L128" s="1" t="s">
        <v>96</v>
      </c>
      <c r="M128" s="1" t="s">
        <v>96</v>
      </c>
      <c r="N128" s="1" t="s">
        <v>96</v>
      </c>
      <c r="O128" s="1" t="s">
        <v>96</v>
      </c>
      <c r="P128" s="1" t="s">
        <v>96</v>
      </c>
      <c r="Q128" s="1" t="s">
        <v>96</v>
      </c>
      <c r="R128" s="1" t="s">
        <v>96</v>
      </c>
      <c r="S128" s="1" t="s">
        <v>96</v>
      </c>
      <c r="T128" t="s">
        <v>96</v>
      </c>
      <c r="U128" s="1" t="s">
        <v>96</v>
      </c>
      <c r="V128">
        <v>1.8</v>
      </c>
      <c r="W128" t="s">
        <v>96</v>
      </c>
      <c r="X128">
        <v>30.95</v>
      </c>
      <c r="Y128" s="1" t="s">
        <v>96</v>
      </c>
      <c r="Z128" t="s">
        <v>96</v>
      </c>
      <c r="AA128">
        <v>27.24</v>
      </c>
      <c r="AB128">
        <v>62.66</v>
      </c>
      <c r="AC128" s="1" t="s">
        <v>96</v>
      </c>
      <c r="AD128" s="1" t="s">
        <v>96</v>
      </c>
      <c r="AE128" s="1" t="s">
        <v>96</v>
      </c>
      <c r="AF128" s="1" t="s">
        <v>96</v>
      </c>
      <c r="AG128" s="1" t="s">
        <v>96</v>
      </c>
      <c r="AH128" s="1" t="s">
        <v>96</v>
      </c>
      <c r="AI128">
        <v>34.78</v>
      </c>
      <c r="AJ128">
        <v>18.510000000000002</v>
      </c>
      <c r="AK128" s="1" t="s">
        <v>96</v>
      </c>
      <c r="AL128" s="1" t="s">
        <v>96</v>
      </c>
      <c r="AM128">
        <v>27.92</v>
      </c>
      <c r="AN128">
        <v>2.8</v>
      </c>
      <c r="AO128" s="1" t="s">
        <v>96</v>
      </c>
      <c r="AP128" s="1" t="s">
        <v>96</v>
      </c>
      <c r="AQ128" t="s">
        <v>96</v>
      </c>
      <c r="AR128" s="1" t="s">
        <v>96</v>
      </c>
      <c r="AS128">
        <v>401.56</v>
      </c>
      <c r="AT128">
        <v>13.13</v>
      </c>
      <c r="AU128">
        <v>23.73</v>
      </c>
      <c r="AV128" s="1" t="s">
        <v>96</v>
      </c>
      <c r="AW128">
        <v>96.29</v>
      </c>
      <c r="AX128" s="1" t="s">
        <v>96</v>
      </c>
      <c r="AY128" s="1" t="s">
        <v>96</v>
      </c>
      <c r="AZ128" t="s">
        <v>96</v>
      </c>
      <c r="BA128" s="1" t="s">
        <v>96</v>
      </c>
      <c r="BB128" s="1" t="s">
        <v>96</v>
      </c>
      <c r="BC128">
        <v>16.27</v>
      </c>
      <c r="BD128" t="s">
        <v>96</v>
      </c>
      <c r="BE128" s="1" t="s">
        <v>96</v>
      </c>
      <c r="BF128" s="1" t="s">
        <v>96</v>
      </c>
      <c r="BG128" t="s">
        <v>96</v>
      </c>
      <c r="BH128">
        <v>4.6900000000000004</v>
      </c>
      <c r="BI128" t="s">
        <v>96</v>
      </c>
      <c r="BJ128" t="s">
        <v>96</v>
      </c>
      <c r="BK128" s="1" t="s">
        <v>96</v>
      </c>
      <c r="BL128" s="1" t="s">
        <v>96</v>
      </c>
      <c r="BM128" s="1" t="s">
        <v>96</v>
      </c>
      <c r="BN128" s="1">
        <v>3.78</v>
      </c>
      <c r="BO128" s="1" t="s">
        <v>96</v>
      </c>
      <c r="BP128">
        <v>27</v>
      </c>
      <c r="BQ128" t="s">
        <v>96</v>
      </c>
      <c r="BR128" s="1" t="s">
        <v>96</v>
      </c>
      <c r="BS128">
        <v>9.4600000000000009</v>
      </c>
      <c r="BT128" t="s">
        <v>96</v>
      </c>
      <c r="BU128" s="1" t="s">
        <v>96</v>
      </c>
      <c r="BV128">
        <v>23.85</v>
      </c>
      <c r="BW128" t="s">
        <v>96</v>
      </c>
      <c r="BX128" s="1" t="s">
        <v>96</v>
      </c>
    </row>
    <row r="129" spans="1:76">
      <c r="A129">
        <v>143</v>
      </c>
      <c r="B129" t="s">
        <v>524</v>
      </c>
      <c r="D129" t="b">
        <v>1</v>
      </c>
      <c r="E129" t="s">
        <v>525</v>
      </c>
      <c r="G129" t="s">
        <v>526</v>
      </c>
      <c r="H129" s="1" t="s">
        <v>96</v>
      </c>
      <c r="I129" s="1" t="s">
        <v>96</v>
      </c>
      <c r="J129">
        <v>18.100000000000001</v>
      </c>
      <c r="K129" s="1" t="s">
        <v>96</v>
      </c>
      <c r="L129" s="1" t="s">
        <v>96</v>
      </c>
      <c r="M129" s="1">
        <v>5.95</v>
      </c>
      <c r="N129" s="1" t="s">
        <v>96</v>
      </c>
      <c r="O129" s="1" t="s">
        <v>96</v>
      </c>
      <c r="P129" s="1" t="s">
        <v>96</v>
      </c>
      <c r="Q129" s="1" t="s">
        <v>96</v>
      </c>
      <c r="R129" s="1" t="s">
        <v>96</v>
      </c>
      <c r="S129" s="1" t="s">
        <v>96</v>
      </c>
      <c r="T129">
        <v>6.05</v>
      </c>
      <c r="U129" s="1" t="s">
        <v>96</v>
      </c>
      <c r="V129">
        <v>13.05</v>
      </c>
      <c r="W129">
        <v>2.48</v>
      </c>
      <c r="X129" t="s">
        <v>133</v>
      </c>
      <c r="Y129" s="1" t="s">
        <v>96</v>
      </c>
      <c r="Z129">
        <v>31.14</v>
      </c>
      <c r="AA129">
        <v>218.42</v>
      </c>
      <c r="AB129">
        <v>601.01</v>
      </c>
      <c r="AC129" s="1" t="s">
        <v>96</v>
      </c>
      <c r="AD129" s="1" t="s">
        <v>96</v>
      </c>
      <c r="AE129" s="1" t="s">
        <v>96</v>
      </c>
      <c r="AF129" s="1" t="s">
        <v>96</v>
      </c>
      <c r="AG129" s="1" t="s">
        <v>96</v>
      </c>
      <c r="AH129" s="1">
        <v>7.46</v>
      </c>
      <c r="AI129">
        <v>100.15</v>
      </c>
      <c r="AJ129">
        <v>259.88</v>
      </c>
      <c r="AK129" s="1">
        <v>4.8099999999999996</v>
      </c>
      <c r="AL129" s="1" t="s">
        <v>96</v>
      </c>
      <c r="AM129">
        <v>141.52000000000001</v>
      </c>
      <c r="AN129">
        <v>11.54</v>
      </c>
      <c r="AO129" s="1" t="s">
        <v>96</v>
      </c>
      <c r="AP129" s="1" t="s">
        <v>96</v>
      </c>
      <c r="AQ129">
        <v>18.27</v>
      </c>
      <c r="AR129" s="1">
        <v>2.79</v>
      </c>
      <c r="AS129" t="s">
        <v>133</v>
      </c>
      <c r="AT129">
        <v>1233.22</v>
      </c>
      <c r="AU129">
        <v>1858.42</v>
      </c>
      <c r="AV129" s="1" t="s">
        <v>96</v>
      </c>
      <c r="AW129" t="s">
        <v>133</v>
      </c>
      <c r="AX129" s="1" t="s">
        <v>96</v>
      </c>
      <c r="AY129" s="1" t="s">
        <v>96</v>
      </c>
      <c r="AZ129">
        <v>78.28</v>
      </c>
      <c r="BA129" s="1">
        <v>52.82</v>
      </c>
      <c r="BB129" s="1" t="s">
        <v>96</v>
      </c>
      <c r="BC129">
        <v>382.15</v>
      </c>
      <c r="BD129">
        <v>80.73</v>
      </c>
      <c r="BE129" s="1" t="s">
        <v>96</v>
      </c>
      <c r="BF129" s="1">
        <v>8.82</v>
      </c>
      <c r="BG129" t="s">
        <v>96</v>
      </c>
      <c r="BH129">
        <v>200.17</v>
      </c>
      <c r="BI129">
        <v>14.22</v>
      </c>
      <c r="BJ129" t="s">
        <v>96</v>
      </c>
      <c r="BK129" s="1" t="s">
        <v>96</v>
      </c>
      <c r="BL129" s="1" t="s">
        <v>96</v>
      </c>
      <c r="BM129" s="1" t="s">
        <v>96</v>
      </c>
      <c r="BN129" s="1" t="s">
        <v>96</v>
      </c>
      <c r="BO129" s="1" t="s">
        <v>96</v>
      </c>
      <c r="BP129">
        <v>282.91000000000003</v>
      </c>
      <c r="BQ129">
        <v>21.89</v>
      </c>
      <c r="BR129" s="1" t="s">
        <v>96</v>
      </c>
      <c r="BS129">
        <v>273.01</v>
      </c>
      <c r="BT129">
        <v>6.91</v>
      </c>
      <c r="BU129" s="1" t="s">
        <v>96</v>
      </c>
      <c r="BV129">
        <v>170.52</v>
      </c>
      <c r="BW129">
        <v>78.81</v>
      </c>
      <c r="BX129" s="1" t="s">
        <v>96</v>
      </c>
    </row>
    <row r="130" spans="1:76">
      <c r="A130">
        <v>220</v>
      </c>
      <c r="B130" t="s">
        <v>755</v>
      </c>
      <c r="D130" t="b">
        <v>1</v>
      </c>
      <c r="E130" t="s">
        <v>756</v>
      </c>
      <c r="G130" t="s">
        <v>757</v>
      </c>
      <c r="H130" s="1" t="s">
        <v>96</v>
      </c>
      <c r="I130" s="1" t="s">
        <v>96</v>
      </c>
      <c r="J130">
        <v>7.84</v>
      </c>
      <c r="K130" s="1" t="s">
        <v>96</v>
      </c>
      <c r="L130" s="1" t="s">
        <v>96</v>
      </c>
      <c r="M130" s="1" t="s">
        <v>96</v>
      </c>
      <c r="N130" s="1" t="s">
        <v>96</v>
      </c>
      <c r="O130" s="1" t="s">
        <v>96</v>
      </c>
      <c r="P130" s="1" t="s">
        <v>96</v>
      </c>
      <c r="Q130" s="1" t="s">
        <v>96</v>
      </c>
      <c r="R130" s="1" t="s">
        <v>96</v>
      </c>
      <c r="S130" s="1" t="s">
        <v>96</v>
      </c>
      <c r="T130" t="s">
        <v>96</v>
      </c>
      <c r="U130" s="1" t="s">
        <v>96</v>
      </c>
      <c r="V130">
        <v>1.25</v>
      </c>
      <c r="W130">
        <v>8.58</v>
      </c>
      <c r="X130">
        <v>47.23</v>
      </c>
      <c r="Y130" s="1" t="s">
        <v>96</v>
      </c>
      <c r="Z130">
        <v>29.48</v>
      </c>
      <c r="AA130">
        <v>224.04</v>
      </c>
      <c r="AB130">
        <v>36.96</v>
      </c>
      <c r="AC130" s="1" t="s">
        <v>96</v>
      </c>
      <c r="AD130" s="1">
        <v>2.04</v>
      </c>
      <c r="AE130" s="1" t="s">
        <v>96</v>
      </c>
      <c r="AF130" s="1" t="s">
        <v>96</v>
      </c>
      <c r="AG130" s="1" t="s">
        <v>96</v>
      </c>
      <c r="AH130" s="1" t="s">
        <v>96</v>
      </c>
      <c r="AI130" t="s">
        <v>96</v>
      </c>
      <c r="AJ130">
        <v>22.71</v>
      </c>
      <c r="AK130" s="1" t="s">
        <v>96</v>
      </c>
      <c r="AL130" s="1" t="s">
        <v>96</v>
      </c>
      <c r="AM130">
        <v>43.95</v>
      </c>
      <c r="AN130" t="s">
        <v>96</v>
      </c>
      <c r="AO130" s="1" t="s">
        <v>96</v>
      </c>
      <c r="AP130" s="1" t="s">
        <v>96</v>
      </c>
      <c r="AQ130" t="s">
        <v>96</v>
      </c>
      <c r="AR130" s="1" t="s">
        <v>96</v>
      </c>
      <c r="AS130">
        <v>571.36</v>
      </c>
      <c r="AT130">
        <v>364.38</v>
      </c>
      <c r="AU130">
        <v>43.1</v>
      </c>
      <c r="AV130" s="1" t="s">
        <v>96</v>
      </c>
      <c r="AW130">
        <v>225.4</v>
      </c>
      <c r="AX130" s="1" t="s">
        <v>96</v>
      </c>
      <c r="AY130" s="1" t="s">
        <v>96</v>
      </c>
      <c r="AZ130" t="s">
        <v>96</v>
      </c>
      <c r="BA130" s="1" t="s">
        <v>96</v>
      </c>
      <c r="BB130" s="1" t="s">
        <v>96</v>
      </c>
      <c r="BC130">
        <v>53.68</v>
      </c>
      <c r="BD130">
        <v>41.69</v>
      </c>
      <c r="BE130" s="1" t="s">
        <v>96</v>
      </c>
      <c r="BF130" s="1" t="s">
        <v>96</v>
      </c>
      <c r="BG130" t="s">
        <v>96</v>
      </c>
      <c r="BH130">
        <v>22.18</v>
      </c>
      <c r="BI130">
        <v>124.68</v>
      </c>
      <c r="BJ130" t="s">
        <v>96</v>
      </c>
      <c r="BK130" s="1" t="s">
        <v>96</v>
      </c>
      <c r="BL130" s="1" t="s">
        <v>96</v>
      </c>
      <c r="BM130" s="1" t="s">
        <v>96</v>
      </c>
      <c r="BN130" s="1" t="s">
        <v>96</v>
      </c>
      <c r="BO130" s="1">
        <v>14.43</v>
      </c>
      <c r="BP130">
        <v>140.22999999999999</v>
      </c>
      <c r="BQ130">
        <v>20.45</v>
      </c>
      <c r="BR130" s="1" t="s">
        <v>96</v>
      </c>
      <c r="BS130">
        <v>368.11</v>
      </c>
      <c r="BT130">
        <v>47.3</v>
      </c>
      <c r="BU130" s="1" t="s">
        <v>96</v>
      </c>
      <c r="BV130">
        <v>25.17</v>
      </c>
      <c r="BW130">
        <v>238.29</v>
      </c>
      <c r="BX130" s="1" t="s">
        <v>96</v>
      </c>
    </row>
    <row r="131" spans="1:76">
      <c r="A131">
        <v>115</v>
      </c>
      <c r="B131" t="s">
        <v>440</v>
      </c>
      <c r="D131" t="b">
        <v>1</v>
      </c>
      <c r="E131" t="s">
        <v>441</v>
      </c>
      <c r="G131" t="s">
        <v>442</v>
      </c>
      <c r="H131" s="1" t="s">
        <v>96</v>
      </c>
      <c r="I131" s="1" t="s">
        <v>96</v>
      </c>
      <c r="J131">
        <v>26.17</v>
      </c>
      <c r="K131" s="1" t="s">
        <v>96</v>
      </c>
      <c r="L131" s="1" t="s">
        <v>96</v>
      </c>
      <c r="M131" s="1" t="s">
        <v>96</v>
      </c>
      <c r="N131" s="1" t="s">
        <v>96</v>
      </c>
      <c r="O131" s="1" t="s">
        <v>96</v>
      </c>
      <c r="P131" s="1" t="s">
        <v>96</v>
      </c>
      <c r="Q131" s="1" t="s">
        <v>96</v>
      </c>
      <c r="R131" s="1" t="s">
        <v>96</v>
      </c>
      <c r="S131" s="1" t="s">
        <v>96</v>
      </c>
      <c r="T131">
        <v>1.1100000000000001</v>
      </c>
      <c r="U131" s="1" t="s">
        <v>96</v>
      </c>
      <c r="V131">
        <v>5.37</v>
      </c>
      <c r="W131">
        <v>6.37</v>
      </c>
      <c r="X131">
        <v>216.11</v>
      </c>
      <c r="Y131" s="1" t="s">
        <v>96</v>
      </c>
      <c r="Z131">
        <v>24.48</v>
      </c>
      <c r="AA131">
        <v>315.48</v>
      </c>
      <c r="AB131">
        <v>102</v>
      </c>
      <c r="AC131" s="1">
        <v>3.17</v>
      </c>
      <c r="AD131" s="1" t="s">
        <v>96</v>
      </c>
      <c r="AE131" s="1" t="s">
        <v>96</v>
      </c>
      <c r="AF131" s="1" t="s">
        <v>96</v>
      </c>
      <c r="AG131" s="1" t="s">
        <v>96</v>
      </c>
      <c r="AH131" s="1" t="s">
        <v>96</v>
      </c>
      <c r="AI131" t="s">
        <v>96</v>
      </c>
      <c r="AJ131">
        <v>49.04</v>
      </c>
      <c r="AK131" s="1" t="s">
        <v>96</v>
      </c>
      <c r="AL131" s="1" t="s">
        <v>96</v>
      </c>
      <c r="AM131">
        <v>33.880000000000003</v>
      </c>
      <c r="AN131">
        <v>4.71</v>
      </c>
      <c r="AO131" s="1" t="s">
        <v>96</v>
      </c>
      <c r="AP131" s="1" t="s">
        <v>96</v>
      </c>
      <c r="AQ131">
        <v>10.64</v>
      </c>
      <c r="AR131" s="1" t="s">
        <v>96</v>
      </c>
      <c r="AS131">
        <v>1328.42</v>
      </c>
      <c r="AT131">
        <v>446.92</v>
      </c>
      <c r="AU131">
        <v>107.72</v>
      </c>
      <c r="AV131" s="1" t="s">
        <v>96</v>
      </c>
      <c r="AW131">
        <v>395.08</v>
      </c>
      <c r="AX131" s="1" t="s">
        <v>96</v>
      </c>
      <c r="AY131" s="1">
        <v>2.54</v>
      </c>
      <c r="AZ131">
        <v>13.63</v>
      </c>
      <c r="BA131" s="1">
        <v>5.37</v>
      </c>
      <c r="BB131" s="1" t="s">
        <v>96</v>
      </c>
      <c r="BC131">
        <v>136.72999999999999</v>
      </c>
      <c r="BD131">
        <v>61.22</v>
      </c>
      <c r="BE131" s="1" t="s">
        <v>96</v>
      </c>
      <c r="BF131" s="1" t="s">
        <v>96</v>
      </c>
      <c r="BG131" t="s">
        <v>96</v>
      </c>
      <c r="BH131">
        <v>35.369999999999997</v>
      </c>
      <c r="BI131">
        <v>29.75</v>
      </c>
      <c r="BJ131" t="s">
        <v>96</v>
      </c>
      <c r="BK131" s="1" t="s">
        <v>96</v>
      </c>
      <c r="BL131" s="1" t="s">
        <v>96</v>
      </c>
      <c r="BM131" s="1" t="s">
        <v>96</v>
      </c>
      <c r="BN131" s="1" t="s">
        <v>96</v>
      </c>
      <c r="BO131" s="1" t="s">
        <v>96</v>
      </c>
      <c r="BP131">
        <v>57.18</v>
      </c>
      <c r="BQ131">
        <v>8.36</v>
      </c>
      <c r="BR131" s="1" t="s">
        <v>96</v>
      </c>
      <c r="BS131">
        <v>140.63</v>
      </c>
      <c r="BT131">
        <v>10.87</v>
      </c>
      <c r="BU131" s="1" t="s">
        <v>96</v>
      </c>
      <c r="BV131">
        <v>17.27</v>
      </c>
      <c r="BW131">
        <v>45.75</v>
      </c>
      <c r="BX131" s="1" t="s">
        <v>96</v>
      </c>
    </row>
    <row r="132" spans="1:76">
      <c r="A132">
        <v>226</v>
      </c>
      <c r="B132" t="s">
        <v>773</v>
      </c>
      <c r="D132" t="b">
        <v>1</v>
      </c>
      <c r="E132" t="s">
        <v>774</v>
      </c>
      <c r="G132" t="s">
        <v>775</v>
      </c>
      <c r="H132" s="1" t="s">
        <v>96</v>
      </c>
      <c r="I132" s="1" t="s">
        <v>96</v>
      </c>
      <c r="J132">
        <v>15.18</v>
      </c>
      <c r="K132" s="1" t="s">
        <v>96</v>
      </c>
      <c r="L132" s="1" t="s">
        <v>96</v>
      </c>
      <c r="M132" s="1">
        <v>8.49</v>
      </c>
      <c r="N132" s="1" t="s">
        <v>96</v>
      </c>
      <c r="O132" s="1" t="s">
        <v>96</v>
      </c>
      <c r="P132" s="1" t="s">
        <v>96</v>
      </c>
      <c r="Q132" s="1" t="s">
        <v>96</v>
      </c>
      <c r="R132" s="1" t="s">
        <v>96</v>
      </c>
      <c r="S132" s="1" t="s">
        <v>96</v>
      </c>
      <c r="T132" t="s">
        <v>96</v>
      </c>
      <c r="U132" s="1" t="s">
        <v>96</v>
      </c>
      <c r="V132">
        <v>25.82</v>
      </c>
      <c r="W132">
        <v>1.43</v>
      </c>
      <c r="X132">
        <v>8.92</v>
      </c>
      <c r="Y132" s="1" t="s">
        <v>96</v>
      </c>
      <c r="Z132" t="s">
        <v>96</v>
      </c>
      <c r="AA132">
        <v>120.31</v>
      </c>
      <c r="AB132">
        <v>841.39</v>
      </c>
      <c r="AC132" s="1" t="s">
        <v>96</v>
      </c>
      <c r="AD132" s="1" t="s">
        <v>96</v>
      </c>
      <c r="AE132" s="1" t="s">
        <v>96</v>
      </c>
      <c r="AF132" s="1" t="s">
        <v>96</v>
      </c>
      <c r="AG132" s="1" t="s">
        <v>96</v>
      </c>
      <c r="AH132" s="1">
        <v>2.11</v>
      </c>
      <c r="AI132">
        <v>306.43</v>
      </c>
      <c r="AJ132">
        <v>44.45</v>
      </c>
      <c r="AK132" s="1" t="s">
        <v>96</v>
      </c>
      <c r="AL132" s="1">
        <v>3.78</v>
      </c>
      <c r="AM132" t="s">
        <v>133</v>
      </c>
      <c r="AN132">
        <v>96.67</v>
      </c>
      <c r="AO132" s="1" t="s">
        <v>96</v>
      </c>
      <c r="AP132" s="1" t="s">
        <v>96</v>
      </c>
      <c r="AQ132" t="s">
        <v>96</v>
      </c>
      <c r="AR132" s="1" t="s">
        <v>96</v>
      </c>
      <c r="AS132">
        <v>513.37</v>
      </c>
      <c r="AT132">
        <v>50</v>
      </c>
      <c r="AU132">
        <v>36.69</v>
      </c>
      <c r="AV132" s="1" t="s">
        <v>96</v>
      </c>
      <c r="AW132">
        <v>284.5</v>
      </c>
      <c r="AX132" s="1" t="s">
        <v>96</v>
      </c>
      <c r="AY132" s="1" t="s">
        <v>96</v>
      </c>
      <c r="AZ132">
        <v>41.17</v>
      </c>
      <c r="BA132" s="1" t="s">
        <v>96</v>
      </c>
      <c r="BB132" s="1" t="s">
        <v>96</v>
      </c>
      <c r="BC132">
        <v>77.349999999999994</v>
      </c>
      <c r="BD132">
        <v>9.2899999999999991</v>
      </c>
      <c r="BE132" s="1" t="s">
        <v>96</v>
      </c>
      <c r="BF132" s="1">
        <v>9.65</v>
      </c>
      <c r="BG132">
        <v>7.63</v>
      </c>
      <c r="BH132">
        <v>28.67</v>
      </c>
      <c r="BI132">
        <v>136.53</v>
      </c>
      <c r="BJ132">
        <v>7.73</v>
      </c>
      <c r="BK132" s="1" t="s">
        <v>96</v>
      </c>
      <c r="BL132" s="1" t="s">
        <v>96</v>
      </c>
      <c r="BM132" s="1">
        <v>6.12</v>
      </c>
      <c r="BN132" s="1">
        <v>7.07</v>
      </c>
      <c r="BO132" s="1" t="s">
        <v>96</v>
      </c>
      <c r="BP132">
        <v>218.73</v>
      </c>
      <c r="BQ132">
        <v>71</v>
      </c>
      <c r="BR132" s="1" t="s">
        <v>96</v>
      </c>
      <c r="BS132">
        <v>230.97</v>
      </c>
      <c r="BT132">
        <v>18.68</v>
      </c>
      <c r="BU132" s="1" t="s">
        <v>96</v>
      </c>
      <c r="BV132">
        <v>28.89</v>
      </c>
      <c r="BW132">
        <v>53.34</v>
      </c>
      <c r="BX132" s="1" t="s">
        <v>96</v>
      </c>
    </row>
    <row r="133" spans="1:76">
      <c r="A133">
        <v>14</v>
      </c>
      <c r="B133" t="s">
        <v>137</v>
      </c>
      <c r="D133" t="b">
        <v>1</v>
      </c>
      <c r="E133" t="s">
        <v>138</v>
      </c>
      <c r="G133" t="s">
        <v>139</v>
      </c>
      <c r="H133" s="1" t="s">
        <v>96</v>
      </c>
      <c r="I133" s="1" t="s">
        <v>96</v>
      </c>
      <c r="J133">
        <v>21.27</v>
      </c>
      <c r="K133" s="1" t="s">
        <v>96</v>
      </c>
      <c r="L133" s="1" t="s">
        <v>96</v>
      </c>
      <c r="M133" s="1" t="s">
        <v>96</v>
      </c>
      <c r="N133" s="1" t="s">
        <v>96</v>
      </c>
      <c r="O133" s="1" t="s">
        <v>96</v>
      </c>
      <c r="P133" s="1" t="s">
        <v>96</v>
      </c>
      <c r="Q133" s="1" t="s">
        <v>96</v>
      </c>
      <c r="R133" s="1" t="s">
        <v>96</v>
      </c>
      <c r="S133" s="1" t="s">
        <v>96</v>
      </c>
      <c r="T133">
        <v>5.87</v>
      </c>
      <c r="U133" s="1" t="s">
        <v>96</v>
      </c>
      <c r="V133">
        <v>21.69</v>
      </c>
      <c r="W133" t="s">
        <v>96</v>
      </c>
      <c r="X133" t="s">
        <v>133</v>
      </c>
      <c r="Y133" s="1" t="s">
        <v>96</v>
      </c>
      <c r="Z133" t="s">
        <v>96</v>
      </c>
      <c r="AA133" t="s">
        <v>96</v>
      </c>
      <c r="AB133">
        <v>366.54</v>
      </c>
      <c r="AC133" s="1" t="s">
        <v>96</v>
      </c>
      <c r="AD133" s="1" t="s">
        <v>96</v>
      </c>
      <c r="AE133" s="1" t="s">
        <v>96</v>
      </c>
      <c r="AF133" s="1" t="s">
        <v>96</v>
      </c>
      <c r="AG133" s="1" t="s">
        <v>96</v>
      </c>
      <c r="AH133" s="1">
        <v>2.94</v>
      </c>
      <c r="AI133">
        <v>108.02</v>
      </c>
      <c r="AJ133">
        <v>231.39</v>
      </c>
      <c r="AK133" s="1">
        <v>19.18</v>
      </c>
      <c r="AL133" s="1" t="s">
        <v>96</v>
      </c>
      <c r="AM133">
        <v>56.98</v>
      </c>
      <c r="AN133">
        <v>3.24</v>
      </c>
      <c r="AO133" s="1" t="s">
        <v>96</v>
      </c>
      <c r="AP133" s="1" t="s">
        <v>96</v>
      </c>
      <c r="AQ133" t="s">
        <v>96</v>
      </c>
      <c r="AR133" s="1" t="s">
        <v>96</v>
      </c>
      <c r="AS133">
        <v>282.26</v>
      </c>
      <c r="AT133" t="s">
        <v>96</v>
      </c>
      <c r="AU133">
        <v>86.03</v>
      </c>
      <c r="AV133" s="1" t="s">
        <v>96</v>
      </c>
      <c r="AW133">
        <v>134.46</v>
      </c>
      <c r="AX133" s="1" t="s">
        <v>96</v>
      </c>
      <c r="AY133" s="1" t="s">
        <v>96</v>
      </c>
      <c r="AZ133">
        <v>5.83</v>
      </c>
      <c r="BA133" s="1">
        <v>2.65</v>
      </c>
      <c r="BB133" s="1" t="s">
        <v>96</v>
      </c>
      <c r="BC133">
        <v>23.75</v>
      </c>
      <c r="BD133" t="s">
        <v>96</v>
      </c>
      <c r="BE133" s="1" t="s">
        <v>96</v>
      </c>
      <c r="BF133" s="1" t="s">
        <v>96</v>
      </c>
      <c r="BG133" t="s">
        <v>96</v>
      </c>
      <c r="BH133">
        <v>11.34</v>
      </c>
      <c r="BI133" t="s">
        <v>96</v>
      </c>
      <c r="BJ133" t="s">
        <v>96</v>
      </c>
      <c r="BK133" s="1" t="s">
        <v>96</v>
      </c>
      <c r="BL133" s="1" t="s">
        <v>96</v>
      </c>
      <c r="BM133" s="1" t="s">
        <v>96</v>
      </c>
      <c r="BN133" s="1" t="s">
        <v>96</v>
      </c>
      <c r="BO133" s="1" t="s">
        <v>96</v>
      </c>
      <c r="BP133">
        <v>45.62</v>
      </c>
      <c r="BQ133">
        <v>5.23</v>
      </c>
      <c r="BR133" s="1" t="s">
        <v>96</v>
      </c>
      <c r="BS133" t="s">
        <v>96</v>
      </c>
      <c r="BT133" t="s">
        <v>96</v>
      </c>
      <c r="BU133" s="1" t="s">
        <v>96</v>
      </c>
      <c r="BV133">
        <v>84.99</v>
      </c>
      <c r="BW133" t="s">
        <v>96</v>
      </c>
      <c r="BX133" s="1" t="s">
        <v>96</v>
      </c>
    </row>
    <row r="134" spans="1:76">
      <c r="A134">
        <v>205</v>
      </c>
      <c r="B134" t="s">
        <v>710</v>
      </c>
      <c r="D134" t="b">
        <v>1</v>
      </c>
      <c r="E134" t="s">
        <v>711</v>
      </c>
      <c r="G134" t="s">
        <v>712</v>
      </c>
      <c r="H134" s="1" t="s">
        <v>96</v>
      </c>
      <c r="I134" s="1" t="s">
        <v>96</v>
      </c>
      <c r="J134">
        <v>24.33</v>
      </c>
      <c r="K134" s="1" t="s">
        <v>96</v>
      </c>
      <c r="L134" s="1" t="s">
        <v>96</v>
      </c>
      <c r="M134" s="1">
        <v>10.17</v>
      </c>
      <c r="N134" s="1" t="s">
        <v>96</v>
      </c>
      <c r="O134" s="1">
        <v>13.23</v>
      </c>
      <c r="P134" s="1" t="s">
        <v>96</v>
      </c>
      <c r="Q134" s="1" t="s">
        <v>96</v>
      </c>
      <c r="R134" s="1" t="s">
        <v>96</v>
      </c>
      <c r="S134" s="1" t="s">
        <v>96</v>
      </c>
      <c r="T134" t="s">
        <v>96</v>
      </c>
      <c r="U134" s="1" t="s">
        <v>96</v>
      </c>
      <c r="V134">
        <v>1.29</v>
      </c>
      <c r="W134">
        <v>9.98</v>
      </c>
      <c r="X134">
        <v>21.21</v>
      </c>
      <c r="Y134" s="1" t="s">
        <v>96</v>
      </c>
      <c r="Z134">
        <v>43.74</v>
      </c>
      <c r="AA134">
        <v>597.99</v>
      </c>
      <c r="AB134">
        <v>117.24</v>
      </c>
      <c r="AC134" s="1" t="s">
        <v>96</v>
      </c>
      <c r="AD134" s="1" t="s">
        <v>96</v>
      </c>
      <c r="AE134" s="1" t="s">
        <v>96</v>
      </c>
      <c r="AF134" s="1" t="s">
        <v>96</v>
      </c>
      <c r="AG134" s="1" t="s">
        <v>96</v>
      </c>
      <c r="AH134" s="1" t="s">
        <v>96</v>
      </c>
      <c r="AI134" t="s">
        <v>96</v>
      </c>
      <c r="AJ134">
        <v>20.55</v>
      </c>
      <c r="AK134" s="1" t="s">
        <v>96</v>
      </c>
      <c r="AL134" s="1" t="s">
        <v>96</v>
      </c>
      <c r="AM134">
        <v>107.09</v>
      </c>
      <c r="AN134">
        <v>2.29</v>
      </c>
      <c r="AO134" s="1" t="s">
        <v>96</v>
      </c>
      <c r="AP134" s="1" t="s">
        <v>96</v>
      </c>
      <c r="AQ134">
        <v>14.09</v>
      </c>
      <c r="AR134" s="1" t="s">
        <v>96</v>
      </c>
      <c r="AS134">
        <v>1458.66</v>
      </c>
      <c r="AT134">
        <v>874.07</v>
      </c>
      <c r="AU134">
        <v>37</v>
      </c>
      <c r="AV134" s="1" t="s">
        <v>96</v>
      </c>
      <c r="AW134">
        <v>632.72</v>
      </c>
      <c r="AX134" s="1" t="s">
        <v>96</v>
      </c>
      <c r="AY134" s="1" t="s">
        <v>96</v>
      </c>
      <c r="AZ134">
        <v>7.26</v>
      </c>
      <c r="BA134" s="1" t="s">
        <v>96</v>
      </c>
      <c r="BB134" s="1" t="s">
        <v>96</v>
      </c>
      <c r="BC134">
        <v>51.12</v>
      </c>
      <c r="BD134">
        <v>35.1</v>
      </c>
      <c r="BE134" s="1" t="s">
        <v>96</v>
      </c>
      <c r="BF134" s="1" t="s">
        <v>96</v>
      </c>
      <c r="BG134" t="s">
        <v>96</v>
      </c>
      <c r="BH134">
        <v>28.22</v>
      </c>
      <c r="BI134">
        <v>18.149999999999999</v>
      </c>
      <c r="BJ134">
        <v>3.34</v>
      </c>
      <c r="BK134" s="1" t="s">
        <v>96</v>
      </c>
      <c r="BL134" s="1" t="s">
        <v>96</v>
      </c>
      <c r="BM134" s="1" t="s">
        <v>96</v>
      </c>
      <c r="BN134" s="1" t="s">
        <v>96</v>
      </c>
      <c r="BO134" s="1">
        <v>6.34</v>
      </c>
      <c r="BP134">
        <v>85.29</v>
      </c>
      <c r="BQ134">
        <v>5.4</v>
      </c>
      <c r="BR134" s="1" t="s">
        <v>96</v>
      </c>
      <c r="BS134">
        <v>358.52</v>
      </c>
      <c r="BT134">
        <v>5.73</v>
      </c>
      <c r="BU134" s="1" t="s">
        <v>96</v>
      </c>
      <c r="BV134">
        <v>5.0599999999999996</v>
      </c>
      <c r="BW134">
        <v>97.02</v>
      </c>
      <c r="BX134" s="1" t="s">
        <v>96</v>
      </c>
    </row>
    <row r="135" spans="1:76">
      <c r="A135">
        <v>113</v>
      </c>
      <c r="B135" t="s">
        <v>434</v>
      </c>
      <c r="D135" t="b">
        <v>1</v>
      </c>
      <c r="E135" t="s">
        <v>435</v>
      </c>
      <c r="G135" t="s">
        <v>436</v>
      </c>
      <c r="H135" s="1" t="s">
        <v>96</v>
      </c>
      <c r="I135" s="1" t="s">
        <v>96</v>
      </c>
      <c r="J135">
        <v>23.45</v>
      </c>
      <c r="K135" s="1" t="s">
        <v>96</v>
      </c>
      <c r="L135" s="1" t="s">
        <v>96</v>
      </c>
      <c r="M135" s="1">
        <v>10.09</v>
      </c>
      <c r="N135" s="1" t="s">
        <v>96</v>
      </c>
      <c r="O135" s="1" t="s">
        <v>96</v>
      </c>
      <c r="P135" s="1" t="s">
        <v>96</v>
      </c>
      <c r="Q135" s="1" t="s">
        <v>96</v>
      </c>
      <c r="R135" s="1" t="s">
        <v>96</v>
      </c>
      <c r="S135" s="1" t="s">
        <v>96</v>
      </c>
      <c r="T135" t="s">
        <v>96</v>
      </c>
      <c r="U135" s="1" t="s">
        <v>96</v>
      </c>
      <c r="V135">
        <v>19.149999999999999</v>
      </c>
      <c r="W135">
        <v>21.09</v>
      </c>
      <c r="X135">
        <v>84.81</v>
      </c>
      <c r="Y135" s="1" t="s">
        <v>96</v>
      </c>
      <c r="Z135">
        <v>21.67</v>
      </c>
      <c r="AA135" t="s">
        <v>133</v>
      </c>
      <c r="AB135" t="s">
        <v>133</v>
      </c>
      <c r="AC135" s="1">
        <v>3.18</v>
      </c>
      <c r="AD135" s="1">
        <v>24.39</v>
      </c>
      <c r="AE135" s="1" t="s">
        <v>96</v>
      </c>
      <c r="AF135" s="1" t="s">
        <v>96</v>
      </c>
      <c r="AG135" s="1" t="s">
        <v>96</v>
      </c>
      <c r="AH135" s="1">
        <v>1.01</v>
      </c>
      <c r="AI135">
        <v>998.05</v>
      </c>
      <c r="AJ135">
        <v>341.02</v>
      </c>
      <c r="AK135" s="1" t="s">
        <v>96</v>
      </c>
      <c r="AL135" s="1">
        <v>3</v>
      </c>
      <c r="AM135">
        <v>320.8</v>
      </c>
      <c r="AN135">
        <v>15.85</v>
      </c>
      <c r="AO135" s="1" t="s">
        <v>96</v>
      </c>
      <c r="AP135" s="1" t="s">
        <v>96</v>
      </c>
      <c r="AQ135">
        <v>13.15</v>
      </c>
      <c r="AR135" s="1" t="s">
        <v>96</v>
      </c>
      <c r="AS135">
        <v>476.43</v>
      </c>
      <c r="AT135">
        <v>314.16000000000003</v>
      </c>
      <c r="AU135">
        <v>183.47</v>
      </c>
      <c r="AV135" s="1" t="s">
        <v>96</v>
      </c>
      <c r="AW135">
        <v>34.72</v>
      </c>
      <c r="AX135" s="1" t="s">
        <v>96</v>
      </c>
      <c r="AY135" s="1">
        <v>4.1500000000000004</v>
      </c>
      <c r="AZ135">
        <v>2.73</v>
      </c>
      <c r="BA135" s="1">
        <v>4.8099999999999996</v>
      </c>
      <c r="BB135" s="1" t="s">
        <v>96</v>
      </c>
      <c r="BC135">
        <v>39.729999999999997</v>
      </c>
      <c r="BD135">
        <v>25.39</v>
      </c>
      <c r="BE135" s="1" t="s">
        <v>96</v>
      </c>
      <c r="BF135" s="1" t="s">
        <v>96</v>
      </c>
      <c r="BG135" t="s">
        <v>96</v>
      </c>
      <c r="BH135">
        <v>4.79</v>
      </c>
      <c r="BI135">
        <v>59.17</v>
      </c>
      <c r="BJ135">
        <v>39.19</v>
      </c>
      <c r="BK135" s="1" t="s">
        <v>96</v>
      </c>
      <c r="BL135" s="1" t="s">
        <v>96</v>
      </c>
      <c r="BM135" s="1">
        <v>15.62</v>
      </c>
      <c r="BN135" s="1">
        <v>4.6500000000000004</v>
      </c>
      <c r="BO135" s="1">
        <v>15.57</v>
      </c>
      <c r="BP135">
        <v>14.6</v>
      </c>
      <c r="BQ135" t="s">
        <v>96</v>
      </c>
      <c r="BR135" s="1" t="s">
        <v>96</v>
      </c>
      <c r="BS135">
        <v>336.11</v>
      </c>
      <c r="BT135">
        <v>8.02</v>
      </c>
      <c r="BU135" s="1" t="s">
        <v>96</v>
      </c>
      <c r="BV135">
        <v>34.799999999999997</v>
      </c>
      <c r="BW135">
        <v>24.44</v>
      </c>
      <c r="BX135" s="1" t="s">
        <v>96</v>
      </c>
    </row>
    <row r="136" spans="1:76">
      <c r="A136">
        <v>186</v>
      </c>
      <c r="B136" t="s">
        <v>653</v>
      </c>
      <c r="D136" t="b">
        <v>1</v>
      </c>
      <c r="E136" t="s">
        <v>654</v>
      </c>
      <c r="G136" t="s">
        <v>655</v>
      </c>
      <c r="H136" s="1" t="s">
        <v>96</v>
      </c>
      <c r="I136" s="1" t="s">
        <v>96</v>
      </c>
      <c r="J136">
        <v>26.37</v>
      </c>
      <c r="K136" s="1" t="s">
        <v>96</v>
      </c>
      <c r="L136" s="1" t="s">
        <v>96</v>
      </c>
      <c r="M136" s="1">
        <v>7.23</v>
      </c>
      <c r="N136" s="1" t="s">
        <v>96</v>
      </c>
      <c r="O136" s="1" t="s">
        <v>96</v>
      </c>
      <c r="P136" s="1" t="s">
        <v>96</v>
      </c>
      <c r="Q136" s="1" t="s">
        <v>96</v>
      </c>
      <c r="R136" s="1" t="s">
        <v>96</v>
      </c>
      <c r="S136" s="1" t="s">
        <v>96</v>
      </c>
      <c r="T136" t="s">
        <v>96</v>
      </c>
      <c r="U136" s="1" t="s">
        <v>96</v>
      </c>
      <c r="V136">
        <v>4.5999999999999996</v>
      </c>
      <c r="W136">
        <v>36.54</v>
      </c>
      <c r="X136">
        <v>50.79</v>
      </c>
      <c r="Y136" s="1" t="s">
        <v>96</v>
      </c>
      <c r="Z136">
        <v>35.71</v>
      </c>
      <c r="AA136">
        <v>683.84</v>
      </c>
      <c r="AB136">
        <v>70.319999999999993</v>
      </c>
      <c r="AC136" s="1">
        <v>5.9</v>
      </c>
      <c r="AD136" s="1">
        <v>5.97</v>
      </c>
      <c r="AE136" s="1" t="s">
        <v>96</v>
      </c>
      <c r="AF136" s="1" t="s">
        <v>96</v>
      </c>
      <c r="AG136" s="1" t="s">
        <v>96</v>
      </c>
      <c r="AH136" s="1" t="s">
        <v>96</v>
      </c>
      <c r="AI136" t="s">
        <v>133</v>
      </c>
      <c r="AJ136">
        <v>71.38</v>
      </c>
      <c r="AK136" s="1" t="s">
        <v>96</v>
      </c>
      <c r="AL136" s="1">
        <v>4.99</v>
      </c>
      <c r="AM136">
        <v>21.66</v>
      </c>
      <c r="AN136">
        <v>2.91</v>
      </c>
      <c r="AO136" s="1" t="s">
        <v>96</v>
      </c>
      <c r="AP136" s="1" t="s">
        <v>96</v>
      </c>
      <c r="AQ136">
        <v>33.53</v>
      </c>
      <c r="AR136" s="1" t="s">
        <v>96</v>
      </c>
      <c r="AS136">
        <v>434.91</v>
      </c>
      <c r="AT136">
        <v>545.20000000000005</v>
      </c>
      <c r="AU136">
        <v>55.16</v>
      </c>
      <c r="AV136" s="1" t="s">
        <v>96</v>
      </c>
      <c r="AW136">
        <v>35.35</v>
      </c>
      <c r="AX136" s="1" t="s">
        <v>96</v>
      </c>
      <c r="AY136" s="1">
        <v>7.49</v>
      </c>
      <c r="AZ136" t="s">
        <v>96</v>
      </c>
      <c r="BA136" s="1" t="s">
        <v>96</v>
      </c>
      <c r="BB136" s="1" t="s">
        <v>96</v>
      </c>
      <c r="BC136">
        <v>18.22</v>
      </c>
      <c r="BD136">
        <v>22.86</v>
      </c>
      <c r="BE136" s="1" t="s">
        <v>96</v>
      </c>
      <c r="BF136" s="1" t="s">
        <v>96</v>
      </c>
      <c r="BG136" t="s">
        <v>96</v>
      </c>
      <c r="BH136">
        <v>2.5099999999999998</v>
      </c>
      <c r="BI136">
        <v>22.05</v>
      </c>
      <c r="BJ136">
        <v>8.3000000000000007</v>
      </c>
      <c r="BK136" s="1" t="s">
        <v>96</v>
      </c>
      <c r="BL136" s="1" t="s">
        <v>96</v>
      </c>
      <c r="BM136" s="1">
        <v>5.42</v>
      </c>
      <c r="BN136" s="1" t="s">
        <v>96</v>
      </c>
      <c r="BO136" s="1">
        <v>12.5</v>
      </c>
      <c r="BP136">
        <v>10.039999999999999</v>
      </c>
      <c r="BQ136" t="s">
        <v>96</v>
      </c>
      <c r="BR136" s="1" t="s">
        <v>96</v>
      </c>
      <c r="BS136">
        <v>311.79000000000002</v>
      </c>
      <c r="BT136">
        <v>5.71</v>
      </c>
      <c r="BU136" s="1" t="s">
        <v>96</v>
      </c>
      <c r="BV136">
        <v>5.76</v>
      </c>
      <c r="BW136">
        <v>52.3</v>
      </c>
      <c r="BX136" s="1" t="s">
        <v>96</v>
      </c>
    </row>
    <row r="137" spans="1:76">
      <c r="A137">
        <v>184</v>
      </c>
      <c r="B137" t="s">
        <v>647</v>
      </c>
      <c r="D137" t="b">
        <v>1</v>
      </c>
      <c r="E137" t="s">
        <v>648</v>
      </c>
      <c r="G137" t="s">
        <v>649</v>
      </c>
      <c r="H137" s="1" t="s">
        <v>96</v>
      </c>
      <c r="I137" s="1" t="s">
        <v>96</v>
      </c>
      <c r="J137">
        <v>19.62</v>
      </c>
      <c r="K137" s="1" t="s">
        <v>96</v>
      </c>
      <c r="L137" s="1">
        <v>11.19</v>
      </c>
      <c r="M137" s="1">
        <v>20.75</v>
      </c>
      <c r="N137" s="1" t="s">
        <v>96</v>
      </c>
      <c r="O137" s="1" t="s">
        <v>96</v>
      </c>
      <c r="P137" s="1" t="s">
        <v>96</v>
      </c>
      <c r="Q137" s="1" t="s">
        <v>96</v>
      </c>
      <c r="R137" s="1" t="s">
        <v>96</v>
      </c>
      <c r="S137" s="1" t="s">
        <v>96</v>
      </c>
      <c r="T137">
        <v>1.06</v>
      </c>
      <c r="U137" s="1" t="s">
        <v>96</v>
      </c>
      <c r="V137">
        <v>1.22</v>
      </c>
      <c r="W137">
        <v>53.9</v>
      </c>
      <c r="X137">
        <v>24.76</v>
      </c>
      <c r="Y137" s="1" t="s">
        <v>96</v>
      </c>
      <c r="Z137">
        <v>94.62</v>
      </c>
      <c r="AA137">
        <v>792.09</v>
      </c>
      <c r="AB137">
        <v>139.36000000000001</v>
      </c>
      <c r="AC137" s="1">
        <v>5.28</v>
      </c>
      <c r="AD137" s="1" t="s">
        <v>96</v>
      </c>
      <c r="AE137" s="1" t="s">
        <v>96</v>
      </c>
      <c r="AF137" s="1" t="s">
        <v>96</v>
      </c>
      <c r="AG137" s="1" t="s">
        <v>96</v>
      </c>
      <c r="AH137" s="1" t="s">
        <v>96</v>
      </c>
      <c r="AI137">
        <v>493.72</v>
      </c>
      <c r="AJ137">
        <v>47.6</v>
      </c>
      <c r="AK137" s="1" t="s">
        <v>96</v>
      </c>
      <c r="AL137" s="1">
        <v>1.31</v>
      </c>
      <c r="AM137">
        <v>29.48</v>
      </c>
      <c r="AN137">
        <v>1.73</v>
      </c>
      <c r="AO137" s="1" t="s">
        <v>96</v>
      </c>
      <c r="AP137" s="1" t="s">
        <v>96</v>
      </c>
      <c r="AQ137">
        <v>20.05</v>
      </c>
      <c r="AR137" s="1" t="s">
        <v>96</v>
      </c>
      <c r="AS137">
        <v>2147.42</v>
      </c>
      <c r="AT137">
        <v>1635.78</v>
      </c>
      <c r="AU137">
        <v>42.45</v>
      </c>
      <c r="AV137" s="1" t="s">
        <v>96</v>
      </c>
      <c r="AW137">
        <v>541.92999999999995</v>
      </c>
      <c r="AX137" s="1" t="s">
        <v>96</v>
      </c>
      <c r="AY137" s="1">
        <v>10.86</v>
      </c>
      <c r="AZ137">
        <v>15.04</v>
      </c>
      <c r="BA137" s="1" t="s">
        <v>96</v>
      </c>
      <c r="BB137" s="1" t="s">
        <v>96</v>
      </c>
      <c r="BC137">
        <v>113.68</v>
      </c>
      <c r="BD137">
        <v>99.85</v>
      </c>
      <c r="BE137" s="1" t="s">
        <v>96</v>
      </c>
      <c r="BF137" s="1" t="s">
        <v>96</v>
      </c>
      <c r="BG137" t="s">
        <v>96</v>
      </c>
      <c r="BH137">
        <v>39.74</v>
      </c>
      <c r="BI137">
        <v>107.56</v>
      </c>
      <c r="BJ137">
        <v>14.75</v>
      </c>
      <c r="BK137" s="1" t="s">
        <v>96</v>
      </c>
      <c r="BL137" s="1" t="s">
        <v>96</v>
      </c>
      <c r="BM137" s="1" t="s">
        <v>96</v>
      </c>
      <c r="BN137" s="1" t="s">
        <v>96</v>
      </c>
      <c r="BO137" s="1">
        <v>38.880000000000003</v>
      </c>
      <c r="BP137">
        <v>83.65</v>
      </c>
      <c r="BQ137">
        <v>5.59</v>
      </c>
      <c r="BR137" s="1" t="s">
        <v>96</v>
      </c>
      <c r="BS137">
        <v>1575.59</v>
      </c>
      <c r="BT137">
        <v>20.09</v>
      </c>
      <c r="BU137" s="1" t="s">
        <v>96</v>
      </c>
      <c r="BV137">
        <v>9.8699999999999992</v>
      </c>
      <c r="BW137">
        <v>204.77</v>
      </c>
      <c r="BX137" s="1" t="s">
        <v>96</v>
      </c>
    </row>
    <row r="138" spans="1:76">
      <c r="A138">
        <v>141</v>
      </c>
      <c r="B138" t="s">
        <v>518</v>
      </c>
      <c r="D138" t="b">
        <v>1</v>
      </c>
      <c r="E138" t="s">
        <v>519</v>
      </c>
      <c r="G138" t="s">
        <v>520</v>
      </c>
      <c r="H138" s="1" t="s">
        <v>96</v>
      </c>
      <c r="I138" s="1" t="s">
        <v>96</v>
      </c>
      <c r="J138">
        <v>14.25</v>
      </c>
      <c r="K138" s="1" t="s">
        <v>96</v>
      </c>
      <c r="L138" s="1" t="s">
        <v>96</v>
      </c>
      <c r="M138" s="1">
        <v>25.76</v>
      </c>
      <c r="N138" s="1" t="s">
        <v>96</v>
      </c>
      <c r="O138" s="1" t="s">
        <v>96</v>
      </c>
      <c r="P138" s="1" t="s">
        <v>96</v>
      </c>
      <c r="Q138" s="1" t="s">
        <v>96</v>
      </c>
      <c r="R138" s="1" t="s">
        <v>96</v>
      </c>
      <c r="S138" s="1" t="s">
        <v>96</v>
      </c>
      <c r="T138" t="s">
        <v>96</v>
      </c>
      <c r="U138" s="1" t="s">
        <v>96</v>
      </c>
      <c r="V138">
        <v>4.47</v>
      </c>
      <c r="W138">
        <v>10.97</v>
      </c>
      <c r="X138">
        <v>190.65</v>
      </c>
      <c r="Y138" s="1" t="s">
        <v>96</v>
      </c>
      <c r="Z138">
        <v>43.28</v>
      </c>
      <c r="AA138">
        <v>222.54</v>
      </c>
      <c r="AB138">
        <v>84.51</v>
      </c>
      <c r="AC138" s="1">
        <v>7.59</v>
      </c>
      <c r="AD138" s="1" t="s">
        <v>96</v>
      </c>
      <c r="AE138" s="1" t="s">
        <v>96</v>
      </c>
      <c r="AF138" s="1" t="s">
        <v>96</v>
      </c>
      <c r="AG138" s="1" t="s">
        <v>96</v>
      </c>
      <c r="AH138" s="1" t="s">
        <v>96</v>
      </c>
      <c r="AI138">
        <v>335.63</v>
      </c>
      <c r="AJ138">
        <v>52.44</v>
      </c>
      <c r="AK138" s="1" t="s">
        <v>96</v>
      </c>
      <c r="AL138" s="1" t="s">
        <v>96</v>
      </c>
      <c r="AM138">
        <v>46.94</v>
      </c>
      <c r="AN138">
        <v>12.72</v>
      </c>
      <c r="AO138" s="1" t="s">
        <v>96</v>
      </c>
      <c r="AP138" s="1" t="s">
        <v>96</v>
      </c>
      <c r="AQ138">
        <v>46.45</v>
      </c>
      <c r="AR138" s="1" t="s">
        <v>96</v>
      </c>
      <c r="AS138">
        <v>957.27</v>
      </c>
      <c r="AT138">
        <v>329.86</v>
      </c>
      <c r="AU138">
        <v>71.760000000000005</v>
      </c>
      <c r="AV138" s="1" t="s">
        <v>96</v>
      </c>
      <c r="AW138">
        <v>181.93</v>
      </c>
      <c r="AX138" s="1" t="s">
        <v>96</v>
      </c>
      <c r="AY138" s="1">
        <v>2.99</v>
      </c>
      <c r="AZ138">
        <v>8.7200000000000006</v>
      </c>
      <c r="BA138" s="1" t="s">
        <v>96</v>
      </c>
      <c r="BB138" s="1" t="s">
        <v>96</v>
      </c>
      <c r="BC138">
        <v>20.57</v>
      </c>
      <c r="BD138">
        <v>7.73</v>
      </c>
      <c r="BE138" s="1" t="s">
        <v>96</v>
      </c>
      <c r="BF138" s="1" t="s">
        <v>96</v>
      </c>
      <c r="BG138" t="s">
        <v>96</v>
      </c>
      <c r="BH138">
        <v>5.22</v>
      </c>
      <c r="BI138">
        <v>18.600000000000001</v>
      </c>
      <c r="BJ138">
        <v>13.98</v>
      </c>
      <c r="BK138" s="1" t="s">
        <v>96</v>
      </c>
      <c r="BL138" s="1" t="s">
        <v>96</v>
      </c>
      <c r="BM138" s="1" t="s">
        <v>96</v>
      </c>
      <c r="BN138" s="1" t="s">
        <v>96</v>
      </c>
      <c r="BO138" s="1">
        <v>10.06</v>
      </c>
      <c r="BP138">
        <v>21.8</v>
      </c>
      <c r="BQ138" t="s">
        <v>96</v>
      </c>
      <c r="BR138" s="1" t="s">
        <v>96</v>
      </c>
      <c r="BS138">
        <v>498.29</v>
      </c>
      <c r="BT138" t="s">
        <v>96</v>
      </c>
      <c r="BU138" s="1" t="s">
        <v>96</v>
      </c>
      <c r="BV138">
        <v>8.32</v>
      </c>
      <c r="BW138">
        <v>15.93</v>
      </c>
      <c r="BX138" s="1" t="s">
        <v>96</v>
      </c>
    </row>
    <row r="139" spans="1:76">
      <c r="A139">
        <v>145</v>
      </c>
      <c r="B139" t="s">
        <v>530</v>
      </c>
      <c r="D139" t="b">
        <v>1</v>
      </c>
      <c r="E139" t="s">
        <v>531</v>
      </c>
      <c r="G139" t="s">
        <v>532</v>
      </c>
      <c r="H139" s="1" t="s">
        <v>96</v>
      </c>
      <c r="I139" s="1" t="s">
        <v>96</v>
      </c>
      <c r="J139">
        <v>25.95</v>
      </c>
      <c r="K139" s="1" t="s">
        <v>96</v>
      </c>
      <c r="L139" s="1">
        <v>12.46</v>
      </c>
      <c r="M139" s="1">
        <v>5.71</v>
      </c>
      <c r="N139" s="1" t="s">
        <v>96</v>
      </c>
      <c r="O139" s="1" t="s">
        <v>96</v>
      </c>
      <c r="P139" s="1" t="s">
        <v>96</v>
      </c>
      <c r="Q139" s="1" t="s">
        <v>96</v>
      </c>
      <c r="R139" s="1">
        <v>2.59</v>
      </c>
      <c r="S139" s="1" t="s">
        <v>96</v>
      </c>
      <c r="T139">
        <v>2.48</v>
      </c>
      <c r="U139" s="1" t="s">
        <v>96</v>
      </c>
      <c r="V139">
        <v>12.98</v>
      </c>
      <c r="W139">
        <v>70.3</v>
      </c>
      <c r="X139">
        <v>245.82</v>
      </c>
      <c r="Y139" s="1" t="s">
        <v>96</v>
      </c>
      <c r="Z139">
        <v>39.24</v>
      </c>
      <c r="AA139">
        <v>704.49</v>
      </c>
      <c r="AB139">
        <v>176.21</v>
      </c>
      <c r="AC139" s="1" t="s">
        <v>96</v>
      </c>
      <c r="AD139" s="1" t="s">
        <v>96</v>
      </c>
      <c r="AE139" s="1" t="s">
        <v>96</v>
      </c>
      <c r="AF139" s="1" t="s">
        <v>96</v>
      </c>
      <c r="AG139" s="1" t="s">
        <v>96</v>
      </c>
      <c r="AH139" s="1">
        <v>1.1200000000000001</v>
      </c>
      <c r="AI139">
        <v>38</v>
      </c>
      <c r="AJ139">
        <v>119.5</v>
      </c>
      <c r="AK139" s="1" t="s">
        <v>96</v>
      </c>
      <c r="AL139" s="1" t="s">
        <v>96</v>
      </c>
      <c r="AM139">
        <v>61.9</v>
      </c>
      <c r="AN139">
        <v>4.74</v>
      </c>
      <c r="AO139" s="1" t="s">
        <v>96</v>
      </c>
      <c r="AP139" s="1" t="s">
        <v>96</v>
      </c>
      <c r="AQ139">
        <v>70.83</v>
      </c>
      <c r="AR139" s="1" t="s">
        <v>96</v>
      </c>
      <c r="AS139" t="s">
        <v>133</v>
      </c>
      <c r="AT139" t="s">
        <v>133</v>
      </c>
      <c r="AU139">
        <v>841.5</v>
      </c>
      <c r="AV139" s="1" t="s">
        <v>96</v>
      </c>
      <c r="AW139" t="s">
        <v>133</v>
      </c>
      <c r="AX139" s="1" t="s">
        <v>96</v>
      </c>
      <c r="AY139" s="1">
        <v>18.82</v>
      </c>
      <c r="AZ139">
        <v>17.850000000000001</v>
      </c>
      <c r="BA139" s="1">
        <v>46.58</v>
      </c>
      <c r="BB139" s="1" t="s">
        <v>96</v>
      </c>
      <c r="BC139">
        <v>714.03</v>
      </c>
      <c r="BD139">
        <v>462.89</v>
      </c>
      <c r="BE139" s="1" t="s">
        <v>96</v>
      </c>
      <c r="BF139" s="1" t="s">
        <v>96</v>
      </c>
      <c r="BG139">
        <v>3.3</v>
      </c>
      <c r="BH139">
        <v>676.54</v>
      </c>
      <c r="BI139">
        <v>31.08</v>
      </c>
      <c r="BJ139">
        <v>3.68</v>
      </c>
      <c r="BK139" s="1" t="s">
        <v>96</v>
      </c>
      <c r="BL139" s="1" t="s">
        <v>96</v>
      </c>
      <c r="BM139" s="1" t="s">
        <v>96</v>
      </c>
      <c r="BN139" s="1" t="s">
        <v>96</v>
      </c>
      <c r="BO139" s="1">
        <v>13.42</v>
      </c>
      <c r="BP139">
        <v>112.69</v>
      </c>
      <c r="BQ139">
        <v>5.65</v>
      </c>
      <c r="BR139" s="1" t="s">
        <v>96</v>
      </c>
      <c r="BS139">
        <v>437.23</v>
      </c>
      <c r="BT139">
        <v>14.58</v>
      </c>
      <c r="BU139" s="1" t="s">
        <v>96</v>
      </c>
      <c r="BV139">
        <v>54.14</v>
      </c>
      <c r="BW139">
        <v>196.88</v>
      </c>
      <c r="BX139" s="1" t="s">
        <v>96</v>
      </c>
    </row>
    <row r="140" spans="1:76">
      <c r="A140">
        <v>55</v>
      </c>
      <c r="B140" t="s">
        <v>260</v>
      </c>
      <c r="D140" t="b">
        <v>1</v>
      </c>
      <c r="E140" t="s">
        <v>261</v>
      </c>
      <c r="G140" t="s">
        <v>262</v>
      </c>
      <c r="H140" s="1" t="s">
        <v>96</v>
      </c>
      <c r="I140" s="1" t="s">
        <v>96</v>
      </c>
      <c r="J140">
        <v>4.8</v>
      </c>
      <c r="K140" s="1" t="s">
        <v>96</v>
      </c>
      <c r="L140" s="1" t="s">
        <v>96</v>
      </c>
      <c r="M140" s="1">
        <v>5.84</v>
      </c>
      <c r="N140" s="1" t="s">
        <v>96</v>
      </c>
      <c r="O140" s="1" t="s">
        <v>96</v>
      </c>
      <c r="P140" s="1" t="s">
        <v>96</v>
      </c>
      <c r="Q140" s="1" t="s">
        <v>96</v>
      </c>
      <c r="R140" s="1" t="s">
        <v>96</v>
      </c>
      <c r="S140" s="1" t="s">
        <v>96</v>
      </c>
      <c r="T140">
        <v>1.56</v>
      </c>
      <c r="U140" s="1" t="s">
        <v>96</v>
      </c>
      <c r="V140">
        <v>1.86</v>
      </c>
      <c r="W140">
        <v>15.63</v>
      </c>
      <c r="X140">
        <v>34.74</v>
      </c>
      <c r="Y140" s="1" t="s">
        <v>96</v>
      </c>
      <c r="Z140">
        <v>40.159999999999997</v>
      </c>
      <c r="AA140">
        <v>245.24</v>
      </c>
      <c r="AB140">
        <v>135.12</v>
      </c>
      <c r="AC140" s="1" t="s">
        <v>96</v>
      </c>
      <c r="AD140" s="1" t="s">
        <v>96</v>
      </c>
      <c r="AE140" s="1" t="s">
        <v>96</v>
      </c>
      <c r="AF140" s="1" t="s">
        <v>96</v>
      </c>
      <c r="AG140" s="1" t="s">
        <v>96</v>
      </c>
      <c r="AH140" s="1" t="s">
        <v>96</v>
      </c>
      <c r="AI140" t="s">
        <v>96</v>
      </c>
      <c r="AJ140">
        <v>29.82</v>
      </c>
      <c r="AK140" s="1" t="s">
        <v>96</v>
      </c>
      <c r="AL140" s="1" t="s">
        <v>96</v>
      </c>
      <c r="AM140">
        <v>26.34</v>
      </c>
      <c r="AN140">
        <v>1.21</v>
      </c>
      <c r="AO140" s="1" t="s">
        <v>96</v>
      </c>
      <c r="AP140" s="1" t="s">
        <v>96</v>
      </c>
      <c r="AQ140">
        <v>5.6</v>
      </c>
      <c r="AR140" s="1" t="s">
        <v>96</v>
      </c>
      <c r="AS140">
        <v>1165.78</v>
      </c>
      <c r="AT140">
        <v>201.57</v>
      </c>
      <c r="AU140">
        <v>13.52</v>
      </c>
      <c r="AV140" s="1" t="s">
        <v>96</v>
      </c>
      <c r="AW140">
        <v>221.28</v>
      </c>
      <c r="AX140" s="1" t="s">
        <v>96</v>
      </c>
      <c r="AY140" s="1" t="s">
        <v>96</v>
      </c>
      <c r="AZ140" t="s">
        <v>96</v>
      </c>
      <c r="BA140" s="1" t="s">
        <v>96</v>
      </c>
      <c r="BB140" s="1" t="s">
        <v>96</v>
      </c>
      <c r="BC140">
        <v>21.55</v>
      </c>
      <c r="BD140">
        <v>5.4</v>
      </c>
      <c r="BE140" s="1" t="s">
        <v>96</v>
      </c>
      <c r="BF140" s="1" t="s">
        <v>96</v>
      </c>
      <c r="BG140" t="s">
        <v>96</v>
      </c>
      <c r="BH140">
        <v>6.26</v>
      </c>
      <c r="BI140">
        <v>14.37</v>
      </c>
      <c r="BJ140">
        <v>4.01</v>
      </c>
      <c r="BK140" s="1" t="s">
        <v>96</v>
      </c>
      <c r="BL140" s="1" t="s">
        <v>96</v>
      </c>
      <c r="BM140" s="1" t="s">
        <v>96</v>
      </c>
      <c r="BN140" s="1" t="s">
        <v>96</v>
      </c>
      <c r="BO140" s="1">
        <v>21.16</v>
      </c>
      <c r="BP140">
        <v>236.33</v>
      </c>
      <c r="BQ140" t="s">
        <v>96</v>
      </c>
      <c r="BR140" s="1" t="s">
        <v>96</v>
      </c>
      <c r="BS140">
        <v>677.69</v>
      </c>
      <c r="BT140" t="s">
        <v>96</v>
      </c>
      <c r="BU140" s="1" t="s">
        <v>96</v>
      </c>
      <c r="BV140">
        <v>22.03</v>
      </c>
      <c r="BW140">
        <v>93.68</v>
      </c>
      <c r="BX140" s="1" t="s">
        <v>96</v>
      </c>
    </row>
    <row r="141" spans="1:76">
      <c r="A141">
        <v>233</v>
      </c>
      <c r="B141" t="s">
        <v>794</v>
      </c>
      <c r="D141" t="b">
        <v>1</v>
      </c>
      <c r="E141" t="s">
        <v>795</v>
      </c>
      <c r="G141" t="s">
        <v>796</v>
      </c>
      <c r="H141" s="1" t="s">
        <v>96</v>
      </c>
      <c r="I141" s="1" t="s">
        <v>96</v>
      </c>
      <c r="J141">
        <v>22.38</v>
      </c>
      <c r="K141" s="1" t="s">
        <v>96</v>
      </c>
      <c r="L141" s="1" t="s">
        <v>96</v>
      </c>
      <c r="M141" s="1">
        <v>6.58</v>
      </c>
      <c r="N141" s="1" t="s">
        <v>96</v>
      </c>
      <c r="O141" s="1" t="s">
        <v>96</v>
      </c>
      <c r="P141" s="1" t="s">
        <v>96</v>
      </c>
      <c r="Q141" s="1" t="s">
        <v>96</v>
      </c>
      <c r="R141" s="1" t="s">
        <v>96</v>
      </c>
      <c r="S141" s="1" t="s">
        <v>96</v>
      </c>
      <c r="T141" t="s">
        <v>96</v>
      </c>
      <c r="U141" s="1" t="s">
        <v>96</v>
      </c>
      <c r="V141">
        <v>1.73</v>
      </c>
      <c r="W141">
        <v>7.91</v>
      </c>
      <c r="X141">
        <v>63.47</v>
      </c>
      <c r="Y141" s="1" t="s">
        <v>96</v>
      </c>
      <c r="Z141">
        <v>33.6</v>
      </c>
      <c r="AA141">
        <v>99.87</v>
      </c>
      <c r="AB141">
        <v>38.229999999999997</v>
      </c>
      <c r="AC141" s="1" t="s">
        <v>96</v>
      </c>
      <c r="AD141" s="1">
        <v>12.7</v>
      </c>
      <c r="AE141" s="1" t="s">
        <v>96</v>
      </c>
      <c r="AF141" s="1" t="s">
        <v>96</v>
      </c>
      <c r="AG141" s="1" t="s">
        <v>96</v>
      </c>
      <c r="AH141" s="1" t="s">
        <v>96</v>
      </c>
      <c r="AI141">
        <v>44.2</v>
      </c>
      <c r="AJ141">
        <v>12.43</v>
      </c>
      <c r="AK141" s="1" t="s">
        <v>96</v>
      </c>
      <c r="AL141" s="1" t="s">
        <v>96</v>
      </c>
      <c r="AM141">
        <v>39.979999999999997</v>
      </c>
      <c r="AN141">
        <v>4.74</v>
      </c>
      <c r="AO141" s="1" t="s">
        <v>96</v>
      </c>
      <c r="AP141" s="1" t="s">
        <v>96</v>
      </c>
      <c r="AQ141">
        <v>11.83</v>
      </c>
      <c r="AR141" s="1" t="s">
        <v>96</v>
      </c>
      <c r="AS141">
        <v>701.15</v>
      </c>
      <c r="AT141">
        <v>135.55000000000001</v>
      </c>
      <c r="AU141">
        <v>42.7</v>
      </c>
      <c r="AV141" s="1" t="s">
        <v>96</v>
      </c>
      <c r="AW141">
        <v>118.31</v>
      </c>
      <c r="AX141" s="1" t="s">
        <v>96</v>
      </c>
      <c r="AY141" s="1" t="s">
        <v>96</v>
      </c>
      <c r="AZ141">
        <v>8.06</v>
      </c>
      <c r="BA141" s="1" t="s">
        <v>96</v>
      </c>
      <c r="BB141" s="1" t="s">
        <v>96</v>
      </c>
      <c r="BC141">
        <v>13.49</v>
      </c>
      <c r="BD141">
        <v>3.13</v>
      </c>
      <c r="BE141" s="1" t="s">
        <v>96</v>
      </c>
      <c r="BF141" s="1" t="s">
        <v>96</v>
      </c>
      <c r="BG141" t="s">
        <v>96</v>
      </c>
      <c r="BH141">
        <v>2.68</v>
      </c>
      <c r="BI141" t="s">
        <v>96</v>
      </c>
      <c r="BJ141" t="s">
        <v>96</v>
      </c>
      <c r="BK141" s="1" t="s">
        <v>96</v>
      </c>
      <c r="BL141" s="1" t="s">
        <v>96</v>
      </c>
      <c r="BM141" s="1" t="s">
        <v>96</v>
      </c>
      <c r="BN141" s="1" t="s">
        <v>96</v>
      </c>
      <c r="BO141" s="1" t="s">
        <v>96</v>
      </c>
      <c r="BP141">
        <v>26.51</v>
      </c>
      <c r="BQ141" t="s">
        <v>96</v>
      </c>
      <c r="BR141" s="1" t="s">
        <v>96</v>
      </c>
      <c r="BS141">
        <v>110.22</v>
      </c>
      <c r="BT141" t="s">
        <v>96</v>
      </c>
      <c r="BU141" s="1" t="s">
        <v>96</v>
      </c>
      <c r="BV141" t="s">
        <v>96</v>
      </c>
      <c r="BW141">
        <v>13.03</v>
      </c>
      <c r="BX141" s="1" t="s">
        <v>96</v>
      </c>
    </row>
    <row r="142" spans="1:76">
      <c r="A142">
        <v>231</v>
      </c>
      <c r="B142" t="s">
        <v>788</v>
      </c>
      <c r="D142" t="b">
        <v>1</v>
      </c>
      <c r="E142" t="s">
        <v>789</v>
      </c>
      <c r="G142" t="s">
        <v>790</v>
      </c>
      <c r="H142" s="1" t="s">
        <v>96</v>
      </c>
      <c r="I142" s="1" t="s">
        <v>96</v>
      </c>
      <c r="J142">
        <v>23.23</v>
      </c>
      <c r="K142" s="1" t="s">
        <v>96</v>
      </c>
      <c r="L142" s="1" t="s">
        <v>96</v>
      </c>
      <c r="M142" s="1">
        <v>8.25</v>
      </c>
      <c r="N142" s="1" t="s">
        <v>96</v>
      </c>
      <c r="O142" s="1" t="s">
        <v>96</v>
      </c>
      <c r="P142" s="1" t="s">
        <v>96</v>
      </c>
      <c r="Q142" s="1" t="s">
        <v>96</v>
      </c>
      <c r="R142" s="1" t="s">
        <v>96</v>
      </c>
      <c r="S142" s="1" t="s">
        <v>96</v>
      </c>
      <c r="T142">
        <v>1.3</v>
      </c>
      <c r="U142" s="1" t="s">
        <v>96</v>
      </c>
      <c r="V142">
        <v>9.42</v>
      </c>
      <c r="W142">
        <v>15.09</v>
      </c>
      <c r="X142">
        <v>272.27</v>
      </c>
      <c r="Y142" s="1" t="s">
        <v>96</v>
      </c>
      <c r="Z142">
        <v>33.549999999999997</v>
      </c>
      <c r="AA142">
        <v>240.78</v>
      </c>
      <c r="AB142">
        <v>135.87</v>
      </c>
      <c r="AC142" s="1" t="s">
        <v>96</v>
      </c>
      <c r="AD142" s="1" t="s">
        <v>96</v>
      </c>
      <c r="AE142" s="1" t="s">
        <v>96</v>
      </c>
      <c r="AF142" s="1" t="s">
        <v>96</v>
      </c>
      <c r="AG142" s="1" t="s">
        <v>96</v>
      </c>
      <c r="AH142" s="1">
        <v>1.19</v>
      </c>
      <c r="AI142">
        <v>88.35</v>
      </c>
      <c r="AJ142">
        <v>63.26</v>
      </c>
      <c r="AK142" s="1">
        <v>1.71</v>
      </c>
      <c r="AL142" s="1" t="s">
        <v>96</v>
      </c>
      <c r="AM142">
        <v>47.97</v>
      </c>
      <c r="AN142">
        <v>12.02</v>
      </c>
      <c r="AO142" s="1" t="s">
        <v>96</v>
      </c>
      <c r="AP142" s="1" t="s">
        <v>96</v>
      </c>
      <c r="AQ142">
        <v>12.66</v>
      </c>
      <c r="AR142" s="1" t="s">
        <v>96</v>
      </c>
      <c r="AS142">
        <v>1796.61</v>
      </c>
      <c r="AT142">
        <v>350.54</v>
      </c>
      <c r="AU142">
        <v>250.15</v>
      </c>
      <c r="AV142" s="1" t="s">
        <v>96</v>
      </c>
      <c r="AW142">
        <v>328.47</v>
      </c>
      <c r="AX142" s="1" t="s">
        <v>96</v>
      </c>
      <c r="AY142" s="1" t="s">
        <v>96</v>
      </c>
      <c r="AZ142">
        <v>21.14</v>
      </c>
      <c r="BA142" s="1">
        <v>6.4</v>
      </c>
      <c r="BB142" s="1" t="s">
        <v>96</v>
      </c>
      <c r="BC142">
        <v>85.36</v>
      </c>
      <c r="BD142">
        <v>22.87</v>
      </c>
      <c r="BE142" s="1" t="s">
        <v>96</v>
      </c>
      <c r="BF142" s="1" t="s">
        <v>96</v>
      </c>
      <c r="BG142" t="s">
        <v>96</v>
      </c>
      <c r="BH142">
        <v>17.29</v>
      </c>
      <c r="BI142">
        <v>22.13</v>
      </c>
      <c r="BJ142">
        <v>2.78</v>
      </c>
      <c r="BK142" s="1" t="s">
        <v>96</v>
      </c>
      <c r="BL142" s="1" t="s">
        <v>96</v>
      </c>
      <c r="BM142" s="1" t="s">
        <v>96</v>
      </c>
      <c r="BN142" s="1" t="s">
        <v>96</v>
      </c>
      <c r="BO142" s="1">
        <v>19.28</v>
      </c>
      <c r="BP142">
        <v>129.99</v>
      </c>
      <c r="BQ142">
        <v>9.49</v>
      </c>
      <c r="BR142" s="1" t="s">
        <v>96</v>
      </c>
      <c r="BS142">
        <v>258.73</v>
      </c>
      <c r="BT142">
        <v>20.56</v>
      </c>
      <c r="BU142" s="1" t="s">
        <v>96</v>
      </c>
      <c r="BV142">
        <v>50.81</v>
      </c>
      <c r="BW142">
        <v>178.08</v>
      </c>
      <c r="BX142" s="1" t="s">
        <v>96</v>
      </c>
    </row>
    <row r="143" spans="1:76">
      <c r="A143">
        <v>10</v>
      </c>
      <c r="B143" t="s">
        <v>124</v>
      </c>
      <c r="D143" t="b">
        <v>1</v>
      </c>
      <c r="E143" t="s">
        <v>125</v>
      </c>
      <c r="G143" t="s">
        <v>126</v>
      </c>
      <c r="H143" s="1" t="s">
        <v>96</v>
      </c>
      <c r="I143" s="1" t="s">
        <v>96</v>
      </c>
      <c r="J143">
        <v>14.85</v>
      </c>
      <c r="K143" s="1" t="s">
        <v>96</v>
      </c>
      <c r="L143" s="1" t="s">
        <v>96</v>
      </c>
      <c r="M143" s="1" t="s">
        <v>96</v>
      </c>
      <c r="N143" s="1" t="s">
        <v>96</v>
      </c>
      <c r="O143" s="1" t="s">
        <v>96</v>
      </c>
      <c r="P143" s="1" t="s">
        <v>96</v>
      </c>
      <c r="Q143" s="1" t="s">
        <v>96</v>
      </c>
      <c r="R143" s="1" t="s">
        <v>96</v>
      </c>
      <c r="S143" s="1" t="s">
        <v>96</v>
      </c>
      <c r="T143">
        <v>1.48</v>
      </c>
      <c r="U143" s="1" t="s">
        <v>96</v>
      </c>
      <c r="V143">
        <v>3.87</v>
      </c>
      <c r="W143">
        <v>3.26</v>
      </c>
      <c r="X143">
        <v>237.45</v>
      </c>
      <c r="Y143" s="1" t="s">
        <v>96</v>
      </c>
      <c r="Z143">
        <v>5.78</v>
      </c>
      <c r="AA143">
        <v>105.8</v>
      </c>
      <c r="AB143">
        <v>41.77</v>
      </c>
      <c r="AC143" s="1" t="s">
        <v>96</v>
      </c>
      <c r="AD143" s="1" t="s">
        <v>96</v>
      </c>
      <c r="AE143" s="1" t="s">
        <v>96</v>
      </c>
      <c r="AF143" s="1" t="s">
        <v>96</v>
      </c>
      <c r="AG143" s="1" t="s">
        <v>96</v>
      </c>
      <c r="AH143" s="1">
        <v>1.22</v>
      </c>
      <c r="AI143">
        <v>106.08</v>
      </c>
      <c r="AJ143">
        <v>44.1</v>
      </c>
      <c r="AK143" s="1">
        <v>2.44</v>
      </c>
      <c r="AL143" s="1" t="s">
        <v>96</v>
      </c>
      <c r="AM143">
        <v>6.55</v>
      </c>
      <c r="AN143" t="s">
        <v>96</v>
      </c>
      <c r="AO143" s="1" t="s">
        <v>96</v>
      </c>
      <c r="AP143" s="1" t="s">
        <v>96</v>
      </c>
      <c r="AQ143" t="s">
        <v>96</v>
      </c>
      <c r="AR143" s="1" t="s">
        <v>96</v>
      </c>
      <c r="AS143">
        <v>225.44</v>
      </c>
      <c r="AT143">
        <v>44.32</v>
      </c>
      <c r="AU143">
        <v>56.14</v>
      </c>
      <c r="AV143" s="1" t="s">
        <v>96</v>
      </c>
      <c r="AW143">
        <v>90.78</v>
      </c>
      <c r="AX143" s="1" t="s">
        <v>96</v>
      </c>
      <c r="AY143" s="1" t="s">
        <v>96</v>
      </c>
      <c r="AZ143">
        <v>3.32</v>
      </c>
      <c r="BA143" s="1" t="s">
        <v>96</v>
      </c>
      <c r="BB143" s="1" t="s">
        <v>96</v>
      </c>
      <c r="BC143">
        <v>17.86</v>
      </c>
      <c r="BD143">
        <v>4.99</v>
      </c>
      <c r="BE143" s="1" t="s">
        <v>96</v>
      </c>
      <c r="BF143" s="1" t="s">
        <v>96</v>
      </c>
      <c r="BG143" t="s">
        <v>96</v>
      </c>
      <c r="BH143">
        <v>9.5399999999999991</v>
      </c>
      <c r="BI143">
        <v>18.5</v>
      </c>
      <c r="BJ143" t="s">
        <v>96</v>
      </c>
      <c r="BK143" s="1" t="s">
        <v>96</v>
      </c>
      <c r="BL143" s="1" t="s">
        <v>96</v>
      </c>
      <c r="BM143" s="1" t="s">
        <v>96</v>
      </c>
      <c r="BN143" s="1" t="s">
        <v>96</v>
      </c>
      <c r="BO143" s="1" t="s">
        <v>96</v>
      </c>
      <c r="BP143">
        <v>45.69</v>
      </c>
      <c r="BQ143">
        <v>7.07</v>
      </c>
      <c r="BR143" s="1" t="s">
        <v>96</v>
      </c>
      <c r="BS143">
        <v>77.16</v>
      </c>
      <c r="BT143">
        <v>9.68</v>
      </c>
      <c r="BU143" s="1" t="s">
        <v>96</v>
      </c>
      <c r="BV143">
        <v>55.38</v>
      </c>
      <c r="BW143">
        <v>50.34</v>
      </c>
      <c r="BX143" s="1" t="s">
        <v>96</v>
      </c>
    </row>
    <row r="144" spans="1:76">
      <c r="A144">
        <v>179</v>
      </c>
      <c r="B144" t="s">
        <v>632</v>
      </c>
      <c r="D144" t="b">
        <v>1</v>
      </c>
      <c r="E144" t="s">
        <v>633</v>
      </c>
      <c r="G144" t="s">
        <v>634</v>
      </c>
      <c r="H144" s="1" t="s">
        <v>96</v>
      </c>
      <c r="I144" s="1" t="s">
        <v>96</v>
      </c>
      <c r="J144">
        <v>14.02</v>
      </c>
      <c r="K144" s="1" t="s">
        <v>96</v>
      </c>
      <c r="L144" s="1" t="s">
        <v>96</v>
      </c>
      <c r="M144" s="1" t="s">
        <v>96</v>
      </c>
      <c r="N144" s="1" t="s">
        <v>96</v>
      </c>
      <c r="O144" s="1" t="s">
        <v>96</v>
      </c>
      <c r="P144" s="1" t="s">
        <v>96</v>
      </c>
      <c r="Q144" s="1" t="s">
        <v>96</v>
      </c>
      <c r="R144" s="1" t="s">
        <v>96</v>
      </c>
      <c r="S144" s="1" t="s">
        <v>96</v>
      </c>
      <c r="T144">
        <v>1.01</v>
      </c>
      <c r="U144" s="1" t="s">
        <v>96</v>
      </c>
      <c r="V144">
        <v>19.649999999999999</v>
      </c>
      <c r="W144">
        <v>4.38</v>
      </c>
      <c r="X144">
        <v>33.56</v>
      </c>
      <c r="Y144" s="1" t="s">
        <v>96</v>
      </c>
      <c r="Z144" t="s">
        <v>96</v>
      </c>
      <c r="AA144">
        <v>170.85</v>
      </c>
      <c r="AB144">
        <v>393.15</v>
      </c>
      <c r="AC144" s="1" t="s">
        <v>96</v>
      </c>
      <c r="AD144" s="1">
        <v>6.3</v>
      </c>
      <c r="AE144" s="1" t="s">
        <v>96</v>
      </c>
      <c r="AF144" s="1" t="s">
        <v>96</v>
      </c>
      <c r="AG144" s="1" t="s">
        <v>96</v>
      </c>
      <c r="AH144" s="1" t="s">
        <v>96</v>
      </c>
      <c r="AI144">
        <v>541.88</v>
      </c>
      <c r="AJ144">
        <v>22.99</v>
      </c>
      <c r="AK144" s="1" t="s">
        <v>96</v>
      </c>
      <c r="AL144" s="1">
        <v>1.59</v>
      </c>
      <c r="AM144">
        <v>296.49</v>
      </c>
      <c r="AN144">
        <v>5.34</v>
      </c>
      <c r="AO144" s="1" t="s">
        <v>96</v>
      </c>
      <c r="AP144" s="1" t="s">
        <v>96</v>
      </c>
      <c r="AQ144">
        <v>2.91</v>
      </c>
      <c r="AR144" s="1" t="s">
        <v>96</v>
      </c>
      <c r="AS144">
        <v>628.49</v>
      </c>
      <c r="AT144">
        <v>136.54</v>
      </c>
      <c r="AU144">
        <v>61.68</v>
      </c>
      <c r="AV144" s="1" t="s">
        <v>96</v>
      </c>
      <c r="AW144">
        <v>199.58</v>
      </c>
      <c r="AX144" s="1" t="s">
        <v>96</v>
      </c>
      <c r="AY144" s="1" t="s">
        <v>96</v>
      </c>
      <c r="AZ144">
        <v>4.67</v>
      </c>
      <c r="BA144" s="1">
        <v>3.7</v>
      </c>
      <c r="BB144" s="1" t="s">
        <v>96</v>
      </c>
      <c r="BC144">
        <v>74.930000000000007</v>
      </c>
      <c r="BD144">
        <v>16.37</v>
      </c>
      <c r="BE144" s="1" t="s">
        <v>96</v>
      </c>
      <c r="BF144" s="1" t="s">
        <v>96</v>
      </c>
      <c r="BG144" t="s">
        <v>96</v>
      </c>
      <c r="BH144">
        <v>24.92</v>
      </c>
      <c r="BI144">
        <v>99.79</v>
      </c>
      <c r="BJ144">
        <v>21.1</v>
      </c>
      <c r="BK144" s="1" t="s">
        <v>96</v>
      </c>
      <c r="BL144" s="1" t="s">
        <v>96</v>
      </c>
      <c r="BM144" s="1">
        <v>11.25</v>
      </c>
      <c r="BN144" s="1">
        <v>7.86</v>
      </c>
      <c r="BO144" s="1">
        <v>7.49</v>
      </c>
      <c r="BP144">
        <v>177.98</v>
      </c>
      <c r="BQ144">
        <v>46.52</v>
      </c>
      <c r="BR144" s="1" t="s">
        <v>96</v>
      </c>
      <c r="BS144">
        <v>670.95</v>
      </c>
      <c r="BT144">
        <v>24.77</v>
      </c>
      <c r="BU144" s="1" t="s">
        <v>96</v>
      </c>
      <c r="BV144">
        <v>75.599999999999994</v>
      </c>
      <c r="BW144">
        <v>107.53</v>
      </c>
      <c r="BX144" s="1" t="s">
        <v>96</v>
      </c>
    </row>
    <row r="145" spans="1:76">
      <c r="A145">
        <v>191</v>
      </c>
      <c r="B145" t="s">
        <v>668</v>
      </c>
      <c r="D145" t="b">
        <v>1</v>
      </c>
      <c r="E145" t="s">
        <v>669</v>
      </c>
      <c r="G145" t="s">
        <v>670</v>
      </c>
      <c r="H145" s="1" t="s">
        <v>96</v>
      </c>
      <c r="I145" s="1" t="s">
        <v>96</v>
      </c>
      <c r="J145">
        <v>18.47</v>
      </c>
      <c r="K145" s="1" t="s">
        <v>96</v>
      </c>
      <c r="L145" s="1" t="s">
        <v>96</v>
      </c>
      <c r="M145" s="1" t="s">
        <v>96</v>
      </c>
      <c r="N145" s="1" t="s">
        <v>96</v>
      </c>
      <c r="O145" s="1" t="s">
        <v>96</v>
      </c>
      <c r="P145" s="1" t="s">
        <v>96</v>
      </c>
      <c r="Q145" s="1" t="s">
        <v>96</v>
      </c>
      <c r="R145" s="1" t="s">
        <v>96</v>
      </c>
      <c r="S145" s="1" t="s">
        <v>96</v>
      </c>
      <c r="T145" t="s">
        <v>96</v>
      </c>
      <c r="U145" s="1" t="s">
        <v>96</v>
      </c>
      <c r="V145" t="s">
        <v>96</v>
      </c>
      <c r="W145">
        <v>2.34</v>
      </c>
      <c r="X145">
        <v>45.64</v>
      </c>
      <c r="Y145" s="1" t="s">
        <v>96</v>
      </c>
      <c r="Z145">
        <v>8.34</v>
      </c>
      <c r="AA145">
        <v>46.21</v>
      </c>
      <c r="AB145">
        <v>18.39</v>
      </c>
      <c r="AC145" s="1" t="s">
        <v>96</v>
      </c>
      <c r="AD145" s="1">
        <v>1.1599999999999999</v>
      </c>
      <c r="AE145" s="1" t="s">
        <v>96</v>
      </c>
      <c r="AF145" s="1" t="s">
        <v>96</v>
      </c>
      <c r="AG145" s="1" t="s">
        <v>96</v>
      </c>
      <c r="AH145" s="1" t="s">
        <v>96</v>
      </c>
      <c r="AI145" t="s">
        <v>96</v>
      </c>
      <c r="AJ145">
        <v>6.5</v>
      </c>
      <c r="AK145" s="1" t="s">
        <v>96</v>
      </c>
      <c r="AL145" s="1" t="s">
        <v>96</v>
      </c>
      <c r="AM145">
        <v>43.66</v>
      </c>
      <c r="AN145">
        <v>4.6399999999999997</v>
      </c>
      <c r="AO145" s="1" t="s">
        <v>96</v>
      </c>
      <c r="AP145" s="1" t="s">
        <v>96</v>
      </c>
      <c r="AQ145" t="s">
        <v>96</v>
      </c>
      <c r="AR145" s="1" t="s">
        <v>96</v>
      </c>
      <c r="AS145">
        <v>640.95000000000005</v>
      </c>
      <c r="AT145">
        <v>110.76</v>
      </c>
      <c r="AU145">
        <v>47.64</v>
      </c>
      <c r="AV145" s="1" t="s">
        <v>96</v>
      </c>
      <c r="AW145">
        <v>352.91</v>
      </c>
      <c r="AX145" s="1" t="s">
        <v>96</v>
      </c>
      <c r="AY145" s="1" t="s">
        <v>96</v>
      </c>
      <c r="AZ145">
        <v>29.82</v>
      </c>
      <c r="BA145" s="1" t="s">
        <v>96</v>
      </c>
      <c r="BB145" s="1" t="s">
        <v>96</v>
      </c>
      <c r="BC145">
        <v>47.1</v>
      </c>
      <c r="BD145">
        <v>10.14</v>
      </c>
      <c r="BE145" s="1" t="s">
        <v>96</v>
      </c>
      <c r="BF145" s="1">
        <v>3.78</v>
      </c>
      <c r="BG145" t="s">
        <v>96</v>
      </c>
      <c r="BH145">
        <v>22.98</v>
      </c>
      <c r="BI145">
        <v>39.1</v>
      </c>
      <c r="BJ145">
        <v>2.54</v>
      </c>
      <c r="BK145" s="1" t="s">
        <v>96</v>
      </c>
      <c r="BL145" s="1" t="s">
        <v>96</v>
      </c>
      <c r="BM145" s="1" t="s">
        <v>96</v>
      </c>
      <c r="BN145" s="1" t="s">
        <v>96</v>
      </c>
      <c r="BO145" s="1">
        <v>12.57</v>
      </c>
      <c r="BP145">
        <v>330.91</v>
      </c>
      <c r="BQ145">
        <v>25.1</v>
      </c>
      <c r="BR145" s="1">
        <v>6.62</v>
      </c>
      <c r="BS145">
        <v>520.74</v>
      </c>
      <c r="BT145">
        <v>26.79</v>
      </c>
      <c r="BU145" s="1" t="s">
        <v>96</v>
      </c>
      <c r="BV145">
        <v>47.5</v>
      </c>
      <c r="BW145">
        <v>185.27</v>
      </c>
      <c r="BX145" s="1" t="s">
        <v>96</v>
      </c>
    </row>
    <row r="146" spans="1:76">
      <c r="A146">
        <v>125</v>
      </c>
      <c r="B146" t="s">
        <v>470</v>
      </c>
      <c r="D146" t="b">
        <v>1</v>
      </c>
      <c r="E146" t="s">
        <v>471</v>
      </c>
      <c r="G146" t="s">
        <v>472</v>
      </c>
      <c r="H146" s="1" t="s">
        <v>96</v>
      </c>
      <c r="I146" s="1" t="s">
        <v>96</v>
      </c>
      <c r="J146">
        <v>11.67</v>
      </c>
      <c r="K146" s="1" t="s">
        <v>96</v>
      </c>
      <c r="L146" s="1" t="s">
        <v>96</v>
      </c>
      <c r="M146" s="1">
        <v>12.02</v>
      </c>
      <c r="N146" s="1" t="s">
        <v>96</v>
      </c>
      <c r="O146" s="1" t="s">
        <v>96</v>
      </c>
      <c r="P146" s="1" t="s">
        <v>96</v>
      </c>
      <c r="Q146" s="1" t="s">
        <v>96</v>
      </c>
      <c r="R146" s="1" t="s">
        <v>96</v>
      </c>
      <c r="S146" s="1" t="s">
        <v>96</v>
      </c>
      <c r="T146">
        <v>1.06</v>
      </c>
      <c r="U146" s="1" t="s">
        <v>96</v>
      </c>
      <c r="V146">
        <v>4.28</v>
      </c>
      <c r="W146">
        <v>17.899999999999999</v>
      </c>
      <c r="X146">
        <v>244.35</v>
      </c>
      <c r="Y146" s="1" t="s">
        <v>96</v>
      </c>
      <c r="Z146">
        <v>84.2</v>
      </c>
      <c r="AA146">
        <v>834.8</v>
      </c>
      <c r="AB146">
        <v>227.59</v>
      </c>
      <c r="AC146" s="1">
        <v>5.56</v>
      </c>
      <c r="AD146" s="1">
        <v>7.68</v>
      </c>
      <c r="AE146" s="1" t="s">
        <v>96</v>
      </c>
      <c r="AF146" s="1" t="s">
        <v>96</v>
      </c>
      <c r="AG146" s="1" t="s">
        <v>96</v>
      </c>
      <c r="AH146" s="1">
        <v>1.31</v>
      </c>
      <c r="AI146">
        <v>369.49</v>
      </c>
      <c r="AJ146">
        <v>70.69</v>
      </c>
      <c r="AK146" s="1">
        <v>1.83</v>
      </c>
      <c r="AL146" s="1">
        <v>3.59</v>
      </c>
      <c r="AM146">
        <v>41.4</v>
      </c>
      <c r="AN146">
        <v>2.3199999999999998</v>
      </c>
      <c r="AO146" s="1" t="s">
        <v>96</v>
      </c>
      <c r="AP146" s="1" t="s">
        <v>96</v>
      </c>
      <c r="AQ146">
        <v>13.16</v>
      </c>
      <c r="AR146" s="1">
        <v>2.67</v>
      </c>
      <c r="AS146">
        <v>917.41</v>
      </c>
      <c r="AT146">
        <v>721.21</v>
      </c>
      <c r="AU146">
        <v>93.93</v>
      </c>
      <c r="AV146" s="1" t="s">
        <v>96</v>
      </c>
      <c r="AW146">
        <v>224.2</v>
      </c>
      <c r="AX146" s="1" t="s">
        <v>96</v>
      </c>
      <c r="AY146" s="1">
        <v>9.7200000000000006</v>
      </c>
      <c r="AZ146">
        <v>6.87</v>
      </c>
      <c r="BA146" s="1">
        <v>6.01</v>
      </c>
      <c r="BB146" s="1" t="s">
        <v>96</v>
      </c>
      <c r="BC146">
        <v>112.97</v>
      </c>
      <c r="BD146">
        <v>126.67</v>
      </c>
      <c r="BE146" s="1" t="s">
        <v>96</v>
      </c>
      <c r="BF146" s="1" t="s">
        <v>96</v>
      </c>
      <c r="BG146" t="s">
        <v>96</v>
      </c>
      <c r="BH146">
        <v>63.75</v>
      </c>
      <c r="BI146">
        <v>177.76</v>
      </c>
      <c r="BJ146">
        <v>8.6999999999999993</v>
      </c>
      <c r="BK146" s="1" t="s">
        <v>96</v>
      </c>
      <c r="BL146" s="1" t="s">
        <v>96</v>
      </c>
      <c r="BM146" s="1" t="s">
        <v>96</v>
      </c>
      <c r="BN146" s="1" t="s">
        <v>96</v>
      </c>
      <c r="BO146" s="1">
        <v>51.81</v>
      </c>
      <c r="BP146">
        <v>68.11</v>
      </c>
      <c r="BQ146">
        <v>11.1</v>
      </c>
      <c r="BR146" s="1" t="s">
        <v>96</v>
      </c>
      <c r="BS146">
        <v>970.93</v>
      </c>
      <c r="BT146">
        <v>36.67</v>
      </c>
      <c r="BU146" s="1">
        <v>15.6</v>
      </c>
      <c r="BV146">
        <v>41.59</v>
      </c>
      <c r="BW146">
        <v>164.18</v>
      </c>
      <c r="BX146" s="1" t="s">
        <v>96</v>
      </c>
    </row>
    <row r="147" spans="1:76">
      <c r="A147">
        <v>213</v>
      </c>
      <c r="B147" t="s">
        <v>734</v>
      </c>
      <c r="D147" t="b">
        <v>1</v>
      </c>
      <c r="E147" t="s">
        <v>735</v>
      </c>
      <c r="G147" t="s">
        <v>736</v>
      </c>
      <c r="H147" s="1" t="s">
        <v>96</v>
      </c>
      <c r="I147" s="1" t="s">
        <v>96</v>
      </c>
      <c r="J147">
        <v>12.42</v>
      </c>
      <c r="K147" s="1" t="s">
        <v>96</v>
      </c>
      <c r="L147" s="1" t="s">
        <v>96</v>
      </c>
      <c r="M147" s="1" t="s">
        <v>96</v>
      </c>
      <c r="N147" s="1" t="s">
        <v>96</v>
      </c>
      <c r="O147" s="1" t="s">
        <v>96</v>
      </c>
      <c r="P147" s="1" t="s">
        <v>96</v>
      </c>
      <c r="Q147" s="1" t="s">
        <v>96</v>
      </c>
      <c r="R147" s="1" t="s">
        <v>96</v>
      </c>
      <c r="S147" s="1" t="s">
        <v>96</v>
      </c>
      <c r="T147" t="s">
        <v>96</v>
      </c>
      <c r="U147" s="1" t="s">
        <v>96</v>
      </c>
      <c r="V147" t="s">
        <v>96</v>
      </c>
      <c r="W147">
        <v>7.92</v>
      </c>
      <c r="X147">
        <v>28.9</v>
      </c>
      <c r="Y147" s="1" t="s">
        <v>96</v>
      </c>
      <c r="Z147">
        <v>8.4700000000000006</v>
      </c>
      <c r="AA147">
        <v>174.61</v>
      </c>
      <c r="AB147">
        <v>13.17</v>
      </c>
      <c r="AC147" s="1">
        <v>2.76</v>
      </c>
      <c r="AD147" s="1">
        <v>6.97</v>
      </c>
      <c r="AE147" s="1" t="s">
        <v>96</v>
      </c>
      <c r="AF147" s="1" t="s">
        <v>96</v>
      </c>
      <c r="AG147" s="1" t="s">
        <v>96</v>
      </c>
      <c r="AH147" s="1" t="s">
        <v>96</v>
      </c>
      <c r="AI147">
        <v>31.94</v>
      </c>
      <c r="AJ147">
        <v>7.37</v>
      </c>
      <c r="AK147" s="1" t="s">
        <v>96</v>
      </c>
      <c r="AL147" s="1" t="s">
        <v>96</v>
      </c>
      <c r="AM147">
        <v>8.2100000000000009</v>
      </c>
      <c r="AN147">
        <v>1.72</v>
      </c>
      <c r="AO147" s="1" t="s">
        <v>96</v>
      </c>
      <c r="AP147" s="1" t="s">
        <v>96</v>
      </c>
      <c r="AQ147">
        <v>4</v>
      </c>
      <c r="AR147" s="1" t="s">
        <v>96</v>
      </c>
      <c r="AS147">
        <v>911.47</v>
      </c>
      <c r="AT147">
        <v>359.79</v>
      </c>
      <c r="AU147">
        <v>74.13</v>
      </c>
      <c r="AV147" s="1" t="s">
        <v>96</v>
      </c>
      <c r="AW147">
        <v>157.29</v>
      </c>
      <c r="AX147" s="1" t="s">
        <v>96</v>
      </c>
      <c r="AY147" s="1">
        <v>3.62</v>
      </c>
      <c r="AZ147">
        <v>13.75</v>
      </c>
      <c r="BA147" s="1">
        <v>4.8600000000000003</v>
      </c>
      <c r="BB147" s="1" t="s">
        <v>96</v>
      </c>
      <c r="BC147">
        <v>156.34</v>
      </c>
      <c r="BD147">
        <v>80.28</v>
      </c>
      <c r="BE147" s="1" t="s">
        <v>96</v>
      </c>
      <c r="BF147" s="1" t="s">
        <v>96</v>
      </c>
      <c r="BG147">
        <v>5.22</v>
      </c>
      <c r="BH147">
        <v>28.59</v>
      </c>
      <c r="BI147">
        <v>147.68</v>
      </c>
      <c r="BJ147">
        <v>3.45</v>
      </c>
      <c r="BK147" s="1" t="s">
        <v>96</v>
      </c>
      <c r="BL147" s="1" t="s">
        <v>96</v>
      </c>
      <c r="BM147" s="1" t="s">
        <v>96</v>
      </c>
      <c r="BN147" s="1" t="s">
        <v>96</v>
      </c>
      <c r="BO147" s="1" t="s">
        <v>96</v>
      </c>
      <c r="BP147">
        <v>124.89</v>
      </c>
      <c r="BQ147">
        <v>32.15</v>
      </c>
      <c r="BR147" s="1" t="s">
        <v>96</v>
      </c>
      <c r="BS147">
        <v>440.2</v>
      </c>
      <c r="BT147">
        <v>59.13</v>
      </c>
      <c r="BU147" s="1" t="s">
        <v>96</v>
      </c>
      <c r="BV147">
        <v>15.52</v>
      </c>
      <c r="BW147">
        <v>186.41</v>
      </c>
      <c r="BX147" s="1" t="s">
        <v>96</v>
      </c>
    </row>
    <row r="148" spans="1:76">
      <c r="A148">
        <v>120</v>
      </c>
      <c r="B148" t="s">
        <v>455</v>
      </c>
      <c r="D148" t="b">
        <v>1</v>
      </c>
      <c r="E148" t="s">
        <v>456</v>
      </c>
      <c r="G148" t="s">
        <v>457</v>
      </c>
      <c r="H148" s="1" t="s">
        <v>96</v>
      </c>
      <c r="I148" s="1" t="s">
        <v>96</v>
      </c>
      <c r="J148">
        <v>16.440000000000001</v>
      </c>
      <c r="K148" s="1" t="s">
        <v>96</v>
      </c>
      <c r="L148" s="1" t="s">
        <v>96</v>
      </c>
      <c r="M148" s="1" t="s">
        <v>96</v>
      </c>
      <c r="N148" s="1" t="s">
        <v>96</v>
      </c>
      <c r="O148" s="1" t="s">
        <v>96</v>
      </c>
      <c r="P148" s="1" t="s">
        <v>96</v>
      </c>
      <c r="Q148" s="1" t="s">
        <v>96</v>
      </c>
      <c r="R148" s="1" t="s">
        <v>96</v>
      </c>
      <c r="S148" s="1" t="s">
        <v>96</v>
      </c>
      <c r="T148">
        <v>3.06</v>
      </c>
      <c r="U148" s="1" t="s">
        <v>96</v>
      </c>
      <c r="V148">
        <v>21.19</v>
      </c>
      <c r="W148">
        <v>2.25</v>
      </c>
      <c r="X148" t="s">
        <v>133</v>
      </c>
      <c r="Y148" s="1" t="s">
        <v>96</v>
      </c>
      <c r="Z148">
        <v>22.63</v>
      </c>
      <c r="AA148">
        <v>164.77</v>
      </c>
      <c r="AB148">
        <v>240.1</v>
      </c>
      <c r="AC148" s="1" t="s">
        <v>96</v>
      </c>
      <c r="AD148" s="1" t="s">
        <v>96</v>
      </c>
      <c r="AE148" s="1" t="s">
        <v>96</v>
      </c>
      <c r="AF148" s="1" t="s">
        <v>96</v>
      </c>
      <c r="AG148" s="1" t="s">
        <v>96</v>
      </c>
      <c r="AH148" s="1">
        <v>3.03</v>
      </c>
      <c r="AI148">
        <v>217.87</v>
      </c>
      <c r="AJ148">
        <v>191.06</v>
      </c>
      <c r="AK148" s="1">
        <v>3.42</v>
      </c>
      <c r="AL148" s="1" t="s">
        <v>96</v>
      </c>
      <c r="AM148">
        <v>54.83</v>
      </c>
      <c r="AN148">
        <v>10.43</v>
      </c>
      <c r="AO148" s="1" t="s">
        <v>96</v>
      </c>
      <c r="AP148" s="1" t="s">
        <v>96</v>
      </c>
      <c r="AQ148">
        <v>3.34</v>
      </c>
      <c r="AR148" s="1">
        <v>2.74</v>
      </c>
      <c r="AS148">
        <v>2229.1999999999998</v>
      </c>
      <c r="AT148">
        <v>396.96</v>
      </c>
      <c r="AU148">
        <v>757.42</v>
      </c>
      <c r="AV148" s="1" t="s">
        <v>96</v>
      </c>
      <c r="AW148">
        <v>587.78</v>
      </c>
      <c r="AX148" s="1" t="s">
        <v>96</v>
      </c>
      <c r="AY148" s="1" t="s">
        <v>96</v>
      </c>
      <c r="AZ148">
        <v>20.75</v>
      </c>
      <c r="BA148" s="1">
        <v>94.92</v>
      </c>
      <c r="BB148" s="1" t="s">
        <v>96</v>
      </c>
      <c r="BC148">
        <v>461.52</v>
      </c>
      <c r="BD148">
        <v>108.99</v>
      </c>
      <c r="BE148" s="1" t="s">
        <v>96</v>
      </c>
      <c r="BF148" s="1">
        <v>5.94</v>
      </c>
      <c r="BG148">
        <v>15.69</v>
      </c>
      <c r="BH148">
        <v>140.88999999999999</v>
      </c>
      <c r="BI148" t="s">
        <v>96</v>
      </c>
      <c r="BJ148" t="s">
        <v>96</v>
      </c>
      <c r="BK148" s="1" t="s">
        <v>96</v>
      </c>
      <c r="BL148" s="1" t="s">
        <v>96</v>
      </c>
      <c r="BM148" s="1" t="s">
        <v>96</v>
      </c>
      <c r="BN148" s="1" t="s">
        <v>96</v>
      </c>
      <c r="BO148" s="1">
        <v>9.5</v>
      </c>
      <c r="BP148">
        <v>67.69</v>
      </c>
      <c r="BQ148">
        <v>15.71</v>
      </c>
      <c r="BR148" s="1" t="s">
        <v>96</v>
      </c>
      <c r="BS148">
        <v>54.05</v>
      </c>
      <c r="BT148">
        <v>11.93</v>
      </c>
      <c r="BU148" s="1">
        <v>26.79</v>
      </c>
      <c r="BV148">
        <v>144.38</v>
      </c>
      <c r="BW148">
        <v>31.53</v>
      </c>
      <c r="BX148" s="1" t="s">
        <v>96</v>
      </c>
    </row>
    <row r="149" spans="1:76">
      <c r="A149">
        <v>187</v>
      </c>
      <c r="B149" t="s">
        <v>656</v>
      </c>
      <c r="D149" t="b">
        <v>1</v>
      </c>
      <c r="E149" t="s">
        <v>657</v>
      </c>
      <c r="G149" t="s">
        <v>658</v>
      </c>
      <c r="H149" s="1" t="s">
        <v>96</v>
      </c>
      <c r="I149" s="1" t="s">
        <v>96</v>
      </c>
      <c r="J149">
        <v>26.72</v>
      </c>
      <c r="K149" s="1" t="s">
        <v>96</v>
      </c>
      <c r="L149" s="1" t="s">
        <v>96</v>
      </c>
      <c r="M149" s="1" t="s">
        <v>96</v>
      </c>
      <c r="N149" s="1" t="s">
        <v>96</v>
      </c>
      <c r="O149" s="1" t="s">
        <v>96</v>
      </c>
      <c r="P149" s="1" t="s">
        <v>96</v>
      </c>
      <c r="Q149" s="1" t="s">
        <v>96</v>
      </c>
      <c r="R149" s="1" t="s">
        <v>96</v>
      </c>
      <c r="S149" s="1" t="s">
        <v>96</v>
      </c>
      <c r="T149" t="s">
        <v>96</v>
      </c>
      <c r="U149" s="1" t="s">
        <v>96</v>
      </c>
      <c r="V149">
        <v>5</v>
      </c>
      <c r="W149">
        <v>24.44</v>
      </c>
      <c r="X149">
        <v>46.88</v>
      </c>
      <c r="Y149" s="1" t="s">
        <v>96</v>
      </c>
      <c r="Z149">
        <v>28.21</v>
      </c>
      <c r="AA149">
        <v>689.63</v>
      </c>
      <c r="AB149">
        <v>117.13</v>
      </c>
      <c r="AC149" s="1">
        <v>5.57</v>
      </c>
      <c r="AD149" s="1">
        <v>5.62</v>
      </c>
      <c r="AE149" s="1" t="s">
        <v>96</v>
      </c>
      <c r="AF149" s="1" t="s">
        <v>96</v>
      </c>
      <c r="AG149" s="1" t="s">
        <v>96</v>
      </c>
      <c r="AH149" s="1" t="s">
        <v>96</v>
      </c>
      <c r="AI149">
        <v>1012.35</v>
      </c>
      <c r="AJ149">
        <v>57.64</v>
      </c>
      <c r="AK149" s="1" t="s">
        <v>96</v>
      </c>
      <c r="AL149" s="1" t="s">
        <v>96</v>
      </c>
      <c r="AM149">
        <v>55.82</v>
      </c>
      <c r="AN149">
        <v>3.68</v>
      </c>
      <c r="AO149" s="1" t="s">
        <v>96</v>
      </c>
      <c r="AP149" s="1" t="s">
        <v>96</v>
      </c>
      <c r="AQ149">
        <v>21.38</v>
      </c>
      <c r="AR149" s="1" t="s">
        <v>96</v>
      </c>
      <c r="AS149">
        <v>592.03</v>
      </c>
      <c r="AT149">
        <v>732.05</v>
      </c>
      <c r="AU149">
        <v>70.739999999999995</v>
      </c>
      <c r="AV149" s="1" t="s">
        <v>96</v>
      </c>
      <c r="AW149">
        <v>69.16</v>
      </c>
      <c r="AX149" s="1" t="s">
        <v>96</v>
      </c>
      <c r="AY149" s="1">
        <v>6.35</v>
      </c>
      <c r="AZ149">
        <v>5.91</v>
      </c>
      <c r="BA149" s="1" t="s">
        <v>96</v>
      </c>
      <c r="BB149" s="1" t="s">
        <v>96</v>
      </c>
      <c r="BC149">
        <v>25.56</v>
      </c>
      <c r="BD149">
        <v>33.43</v>
      </c>
      <c r="BE149" s="1" t="s">
        <v>96</v>
      </c>
      <c r="BF149" s="1" t="s">
        <v>96</v>
      </c>
      <c r="BG149" t="s">
        <v>96</v>
      </c>
      <c r="BH149">
        <v>5.27</v>
      </c>
      <c r="BI149">
        <v>56.92</v>
      </c>
      <c r="BJ149">
        <v>16.37</v>
      </c>
      <c r="BK149" s="1" t="s">
        <v>96</v>
      </c>
      <c r="BL149" s="1" t="s">
        <v>96</v>
      </c>
      <c r="BM149" s="1">
        <v>11.51</v>
      </c>
      <c r="BN149" s="1" t="s">
        <v>96</v>
      </c>
      <c r="BO149" s="1">
        <v>9.8800000000000008</v>
      </c>
      <c r="BP149">
        <v>10.029999999999999</v>
      </c>
      <c r="BQ149" t="s">
        <v>96</v>
      </c>
      <c r="BR149" s="1" t="s">
        <v>96</v>
      </c>
      <c r="BS149">
        <v>301.89</v>
      </c>
      <c r="BT149">
        <v>9.15</v>
      </c>
      <c r="BU149" s="1" t="s">
        <v>96</v>
      </c>
      <c r="BV149" t="s">
        <v>96</v>
      </c>
      <c r="BW149">
        <v>62.72</v>
      </c>
      <c r="BX149" s="1" t="s">
        <v>96</v>
      </c>
    </row>
    <row r="150" spans="1:76">
      <c r="A150">
        <v>185</v>
      </c>
      <c r="B150" t="s">
        <v>650</v>
      </c>
      <c r="D150" t="b">
        <v>1</v>
      </c>
      <c r="E150" t="s">
        <v>651</v>
      </c>
      <c r="G150" t="s">
        <v>652</v>
      </c>
      <c r="H150" s="1" t="s">
        <v>96</v>
      </c>
      <c r="I150" s="1" t="s">
        <v>96</v>
      </c>
      <c r="J150">
        <v>16.489999999999998</v>
      </c>
      <c r="K150" s="1" t="s">
        <v>96</v>
      </c>
      <c r="L150" s="1" t="s">
        <v>96</v>
      </c>
      <c r="M150" s="1" t="s">
        <v>96</v>
      </c>
      <c r="N150" s="1" t="s">
        <v>96</v>
      </c>
      <c r="O150" s="1" t="s">
        <v>96</v>
      </c>
      <c r="P150" s="1" t="s">
        <v>96</v>
      </c>
      <c r="Q150" s="1" t="s">
        <v>96</v>
      </c>
      <c r="R150" s="1" t="s">
        <v>96</v>
      </c>
      <c r="S150" s="1" t="s">
        <v>96</v>
      </c>
      <c r="T150" t="s">
        <v>96</v>
      </c>
      <c r="U150" s="1" t="s">
        <v>96</v>
      </c>
      <c r="V150">
        <v>1.21</v>
      </c>
      <c r="W150">
        <v>39.56</v>
      </c>
      <c r="X150">
        <v>6.61</v>
      </c>
      <c r="Y150" s="1" t="s">
        <v>96</v>
      </c>
      <c r="Z150">
        <v>29.84</v>
      </c>
      <c r="AA150">
        <v>397.36</v>
      </c>
      <c r="AB150">
        <v>136.52000000000001</v>
      </c>
      <c r="AC150" s="1" t="s">
        <v>96</v>
      </c>
      <c r="AD150" s="1" t="s">
        <v>96</v>
      </c>
      <c r="AE150" s="1" t="s">
        <v>96</v>
      </c>
      <c r="AF150" s="1" t="s">
        <v>96</v>
      </c>
      <c r="AG150" s="1" t="s">
        <v>96</v>
      </c>
      <c r="AH150" s="1" t="s">
        <v>96</v>
      </c>
      <c r="AI150">
        <v>69.39</v>
      </c>
      <c r="AJ150">
        <v>16.78</v>
      </c>
      <c r="AK150" s="1" t="s">
        <v>96</v>
      </c>
      <c r="AL150" s="1" t="s">
        <v>96</v>
      </c>
      <c r="AM150">
        <v>31.09</v>
      </c>
      <c r="AN150">
        <v>3.09</v>
      </c>
      <c r="AO150" s="1" t="s">
        <v>96</v>
      </c>
      <c r="AP150" s="1" t="s">
        <v>96</v>
      </c>
      <c r="AQ150">
        <v>21.23</v>
      </c>
      <c r="AR150" s="1" t="s">
        <v>96</v>
      </c>
      <c r="AS150">
        <v>1534.58</v>
      </c>
      <c r="AT150">
        <v>645.29</v>
      </c>
      <c r="AU150">
        <v>25.42</v>
      </c>
      <c r="AV150" s="1" t="s">
        <v>96</v>
      </c>
      <c r="AW150">
        <v>358.49</v>
      </c>
      <c r="AX150" s="1" t="s">
        <v>96</v>
      </c>
      <c r="AY150" s="1">
        <v>4.18</v>
      </c>
      <c r="AZ150">
        <v>14.99</v>
      </c>
      <c r="BA150" s="1" t="s">
        <v>96</v>
      </c>
      <c r="BB150" s="1" t="s">
        <v>96</v>
      </c>
      <c r="BC150">
        <v>74.39</v>
      </c>
      <c r="BD150">
        <v>38.08</v>
      </c>
      <c r="BE150" s="1" t="s">
        <v>96</v>
      </c>
      <c r="BF150" s="1" t="s">
        <v>96</v>
      </c>
      <c r="BG150" t="s">
        <v>96</v>
      </c>
      <c r="BH150">
        <v>26.95</v>
      </c>
      <c r="BI150">
        <v>61.54</v>
      </c>
      <c r="BJ150">
        <v>5.6</v>
      </c>
      <c r="BK150" s="1" t="s">
        <v>96</v>
      </c>
      <c r="BL150" s="1" t="s">
        <v>96</v>
      </c>
      <c r="BM150" s="1" t="s">
        <v>96</v>
      </c>
      <c r="BN150" s="1" t="s">
        <v>96</v>
      </c>
      <c r="BO150" s="1">
        <v>9.25</v>
      </c>
      <c r="BP150">
        <v>113.77</v>
      </c>
      <c r="BQ150">
        <v>6.99</v>
      </c>
      <c r="BR150" s="1" t="s">
        <v>96</v>
      </c>
      <c r="BS150">
        <v>626.78</v>
      </c>
      <c r="BT150">
        <v>14.42</v>
      </c>
      <c r="BU150" s="1" t="s">
        <v>96</v>
      </c>
      <c r="BV150">
        <v>7.5</v>
      </c>
      <c r="BW150">
        <v>164.31</v>
      </c>
      <c r="BX150" s="1" t="s">
        <v>96</v>
      </c>
    </row>
    <row r="151" spans="1:76">
      <c r="A151">
        <v>32</v>
      </c>
      <c r="B151" t="s">
        <v>191</v>
      </c>
      <c r="D151" t="b">
        <v>1</v>
      </c>
      <c r="E151" t="s">
        <v>192</v>
      </c>
      <c r="G151" t="s">
        <v>193</v>
      </c>
      <c r="H151" s="1" t="s">
        <v>96</v>
      </c>
      <c r="I151" s="1" t="s">
        <v>96</v>
      </c>
      <c r="J151">
        <v>17.100000000000001</v>
      </c>
      <c r="K151" s="1" t="s">
        <v>96</v>
      </c>
      <c r="L151" s="1" t="s">
        <v>96</v>
      </c>
      <c r="M151" s="1">
        <v>6.39</v>
      </c>
      <c r="N151" s="1" t="s">
        <v>96</v>
      </c>
      <c r="O151" s="1" t="s">
        <v>96</v>
      </c>
      <c r="P151" s="1" t="s">
        <v>96</v>
      </c>
      <c r="Q151" s="1" t="s">
        <v>96</v>
      </c>
      <c r="R151" s="1" t="s">
        <v>96</v>
      </c>
      <c r="S151" s="1" t="s">
        <v>96</v>
      </c>
      <c r="T151" t="s">
        <v>96</v>
      </c>
      <c r="U151" s="1" t="s">
        <v>96</v>
      </c>
      <c r="V151">
        <v>3.51</v>
      </c>
      <c r="W151">
        <v>5.82</v>
      </c>
      <c r="X151">
        <v>16.16</v>
      </c>
      <c r="Y151" s="1" t="s">
        <v>96</v>
      </c>
      <c r="Z151">
        <v>11.82</v>
      </c>
      <c r="AA151">
        <v>264.5</v>
      </c>
      <c r="AB151">
        <v>204.83</v>
      </c>
      <c r="AC151" s="1">
        <v>4.33</v>
      </c>
      <c r="AD151" s="1" t="s">
        <v>96</v>
      </c>
      <c r="AE151" s="1" t="s">
        <v>96</v>
      </c>
      <c r="AF151" s="1" t="s">
        <v>96</v>
      </c>
      <c r="AG151" s="1" t="s">
        <v>96</v>
      </c>
      <c r="AH151" s="1">
        <v>1.19</v>
      </c>
      <c r="AI151">
        <v>1022.17</v>
      </c>
      <c r="AJ151">
        <v>20.75</v>
      </c>
      <c r="AK151" s="1" t="s">
        <v>96</v>
      </c>
      <c r="AL151" s="1">
        <v>8.1300000000000008</v>
      </c>
      <c r="AM151">
        <v>318.43</v>
      </c>
      <c r="AN151">
        <v>3.23</v>
      </c>
      <c r="AO151" s="1" t="s">
        <v>96</v>
      </c>
      <c r="AP151" s="1" t="s">
        <v>96</v>
      </c>
      <c r="AQ151" t="s">
        <v>96</v>
      </c>
      <c r="AR151" s="1" t="s">
        <v>96</v>
      </c>
      <c r="AS151">
        <v>552.89</v>
      </c>
      <c r="AT151">
        <v>305.87</v>
      </c>
      <c r="AU151">
        <v>29.3</v>
      </c>
      <c r="AV151" s="1" t="s">
        <v>96</v>
      </c>
      <c r="AW151">
        <v>173.43</v>
      </c>
      <c r="AX151" s="1" t="s">
        <v>96</v>
      </c>
      <c r="AY151" s="1">
        <v>8.49</v>
      </c>
      <c r="AZ151">
        <v>21.44</v>
      </c>
      <c r="BA151" s="1">
        <v>4.79</v>
      </c>
      <c r="BB151" s="1" t="s">
        <v>96</v>
      </c>
      <c r="BC151">
        <v>172.13</v>
      </c>
      <c r="BD151">
        <v>179.59</v>
      </c>
      <c r="BE151" s="1" t="s">
        <v>96</v>
      </c>
      <c r="BF151" s="1">
        <v>12.55</v>
      </c>
      <c r="BG151">
        <v>23.07</v>
      </c>
      <c r="BH151">
        <v>69.91</v>
      </c>
      <c r="BI151">
        <v>267.56</v>
      </c>
      <c r="BJ151">
        <v>3.48</v>
      </c>
      <c r="BK151" s="1" t="s">
        <v>96</v>
      </c>
      <c r="BL151" s="1" t="s">
        <v>96</v>
      </c>
      <c r="BM151" s="1" t="s">
        <v>96</v>
      </c>
      <c r="BN151" s="1" t="s">
        <v>96</v>
      </c>
      <c r="BO151" s="1">
        <v>20.78</v>
      </c>
      <c r="BP151">
        <v>51.54</v>
      </c>
      <c r="BQ151">
        <v>39.590000000000003</v>
      </c>
      <c r="BR151" s="1" t="s">
        <v>96</v>
      </c>
      <c r="BS151">
        <v>214.79</v>
      </c>
      <c r="BT151">
        <v>136.66999999999999</v>
      </c>
      <c r="BU151" s="1" t="s">
        <v>96</v>
      </c>
      <c r="BV151">
        <v>7.17</v>
      </c>
      <c r="BW151">
        <v>103.68</v>
      </c>
      <c r="BX151" s="1" t="s">
        <v>96</v>
      </c>
    </row>
    <row r="152" spans="1:76">
      <c r="A152">
        <v>16</v>
      </c>
      <c r="B152" t="s">
        <v>143</v>
      </c>
      <c r="D152" t="b">
        <v>1</v>
      </c>
      <c r="E152" t="s">
        <v>144</v>
      </c>
      <c r="G152" t="s">
        <v>145</v>
      </c>
      <c r="H152" s="1" t="s">
        <v>96</v>
      </c>
      <c r="I152" s="1" t="s">
        <v>96</v>
      </c>
      <c r="J152">
        <v>16.71</v>
      </c>
      <c r="K152" s="1" t="s">
        <v>96</v>
      </c>
      <c r="L152" s="1" t="s">
        <v>96</v>
      </c>
      <c r="M152" s="1" t="s">
        <v>96</v>
      </c>
      <c r="N152" s="1" t="s">
        <v>96</v>
      </c>
      <c r="O152" s="1" t="s">
        <v>96</v>
      </c>
      <c r="P152" s="1" t="s">
        <v>96</v>
      </c>
      <c r="Q152" s="1" t="s">
        <v>96</v>
      </c>
      <c r="R152" s="1" t="s">
        <v>96</v>
      </c>
      <c r="S152" s="1" t="s">
        <v>96</v>
      </c>
      <c r="T152">
        <v>1.6</v>
      </c>
      <c r="U152" s="1" t="s">
        <v>96</v>
      </c>
      <c r="V152">
        <v>9.23</v>
      </c>
      <c r="W152" t="s">
        <v>96</v>
      </c>
      <c r="X152">
        <v>85.94</v>
      </c>
      <c r="Y152" s="1" t="s">
        <v>96</v>
      </c>
      <c r="Z152" t="s">
        <v>96</v>
      </c>
      <c r="AA152" t="s">
        <v>96</v>
      </c>
      <c r="AB152">
        <v>302.93</v>
      </c>
      <c r="AC152" s="1" t="s">
        <v>96</v>
      </c>
      <c r="AD152" s="1" t="s">
        <v>96</v>
      </c>
      <c r="AE152" s="1" t="s">
        <v>96</v>
      </c>
      <c r="AF152" s="1" t="s">
        <v>96</v>
      </c>
      <c r="AG152" s="1" t="s">
        <v>96</v>
      </c>
      <c r="AH152" s="1">
        <v>1.41</v>
      </c>
      <c r="AI152" t="s">
        <v>96</v>
      </c>
      <c r="AJ152">
        <v>35.299999999999997</v>
      </c>
      <c r="AK152" s="1">
        <v>1.06</v>
      </c>
      <c r="AL152" s="1" t="s">
        <v>96</v>
      </c>
      <c r="AM152">
        <v>270.72000000000003</v>
      </c>
      <c r="AN152">
        <v>10.119999999999999</v>
      </c>
      <c r="AO152" s="1" t="s">
        <v>96</v>
      </c>
      <c r="AP152" s="1" t="s">
        <v>96</v>
      </c>
      <c r="AQ152" t="s">
        <v>96</v>
      </c>
      <c r="AR152" s="1" t="s">
        <v>96</v>
      </c>
      <c r="AS152">
        <v>243.74</v>
      </c>
      <c r="AT152" t="s">
        <v>96</v>
      </c>
      <c r="AU152">
        <v>18.16</v>
      </c>
      <c r="AV152" s="1" t="s">
        <v>96</v>
      </c>
      <c r="AW152">
        <v>200.39</v>
      </c>
      <c r="AX152" s="1" t="s">
        <v>96</v>
      </c>
      <c r="AY152" s="1" t="s">
        <v>96</v>
      </c>
      <c r="AZ152">
        <v>5.77</v>
      </c>
      <c r="BA152" s="1" t="s">
        <v>96</v>
      </c>
      <c r="BB152" s="1" t="s">
        <v>96</v>
      </c>
      <c r="BC152">
        <v>20.82</v>
      </c>
      <c r="BD152" t="s">
        <v>96</v>
      </c>
      <c r="BE152" s="1" t="s">
        <v>96</v>
      </c>
      <c r="BF152" s="1" t="s">
        <v>96</v>
      </c>
      <c r="BG152" t="s">
        <v>96</v>
      </c>
      <c r="BH152">
        <v>12.54</v>
      </c>
      <c r="BI152" t="s">
        <v>96</v>
      </c>
      <c r="BJ152" t="s">
        <v>96</v>
      </c>
      <c r="BK152" s="1" t="s">
        <v>96</v>
      </c>
      <c r="BL152" s="1" t="s">
        <v>96</v>
      </c>
      <c r="BM152" s="1" t="s">
        <v>96</v>
      </c>
      <c r="BN152" s="1" t="s">
        <v>96</v>
      </c>
      <c r="BO152" s="1" t="s">
        <v>96</v>
      </c>
      <c r="BP152">
        <v>52.61</v>
      </c>
      <c r="BQ152">
        <v>6.55</v>
      </c>
      <c r="BR152" s="1" t="s">
        <v>96</v>
      </c>
      <c r="BS152" t="s">
        <v>96</v>
      </c>
      <c r="BT152" t="s">
        <v>96</v>
      </c>
      <c r="BU152" s="1" t="s">
        <v>96</v>
      </c>
      <c r="BV152">
        <v>17.940000000000001</v>
      </c>
      <c r="BW152" t="s">
        <v>96</v>
      </c>
      <c r="BX152" s="1" t="s">
        <v>96</v>
      </c>
    </row>
    <row r="153" spans="1:76">
      <c r="A153">
        <v>94</v>
      </c>
      <c r="B153" t="s">
        <v>377</v>
      </c>
      <c r="D153" t="b">
        <v>1</v>
      </c>
      <c r="E153" t="s">
        <v>378</v>
      </c>
      <c r="G153" t="s">
        <v>379</v>
      </c>
      <c r="H153" s="1" t="s">
        <v>96</v>
      </c>
      <c r="I153" s="1" t="s">
        <v>96</v>
      </c>
      <c r="J153">
        <v>12.37</v>
      </c>
      <c r="K153" s="1" t="s">
        <v>96</v>
      </c>
      <c r="L153" s="1" t="s">
        <v>96</v>
      </c>
      <c r="M153" s="1">
        <v>8.93</v>
      </c>
      <c r="N153" s="1" t="s">
        <v>96</v>
      </c>
      <c r="O153" s="1" t="s">
        <v>96</v>
      </c>
      <c r="P153" s="1" t="s">
        <v>96</v>
      </c>
      <c r="Q153" s="1" t="s">
        <v>96</v>
      </c>
      <c r="R153" s="1" t="s">
        <v>96</v>
      </c>
      <c r="S153" s="1" t="s">
        <v>96</v>
      </c>
      <c r="T153" t="s">
        <v>96</v>
      </c>
      <c r="U153" s="1" t="s">
        <v>96</v>
      </c>
      <c r="V153" t="s">
        <v>96</v>
      </c>
      <c r="W153">
        <v>16.73</v>
      </c>
      <c r="X153">
        <v>9.09</v>
      </c>
      <c r="Y153" s="1" t="s">
        <v>96</v>
      </c>
      <c r="Z153">
        <v>32.1</v>
      </c>
      <c r="AA153">
        <v>345.77</v>
      </c>
      <c r="AB153">
        <v>9.65</v>
      </c>
      <c r="AC153" s="1">
        <v>3.61</v>
      </c>
      <c r="AD153" s="1">
        <v>4.2699999999999996</v>
      </c>
      <c r="AE153" s="1" t="s">
        <v>96</v>
      </c>
      <c r="AF153" s="1" t="s">
        <v>96</v>
      </c>
      <c r="AG153" s="1" t="s">
        <v>96</v>
      </c>
      <c r="AH153" s="1" t="s">
        <v>96</v>
      </c>
      <c r="AI153">
        <v>257.76</v>
      </c>
      <c r="AJ153">
        <v>55.11</v>
      </c>
      <c r="AK153" s="1" t="s">
        <v>96</v>
      </c>
      <c r="AL153" s="1">
        <v>7.57</v>
      </c>
      <c r="AM153">
        <v>9.39</v>
      </c>
      <c r="AN153" t="s">
        <v>96</v>
      </c>
      <c r="AO153" s="1" t="s">
        <v>96</v>
      </c>
      <c r="AP153" s="1" t="s">
        <v>96</v>
      </c>
      <c r="AQ153">
        <v>9.11</v>
      </c>
      <c r="AR153" s="1" t="s">
        <v>96</v>
      </c>
      <c r="AS153">
        <v>575.85</v>
      </c>
      <c r="AT153">
        <v>724.71</v>
      </c>
      <c r="AU153">
        <v>13.63</v>
      </c>
      <c r="AV153" s="1" t="s">
        <v>96</v>
      </c>
      <c r="AW153">
        <v>130.16999999999999</v>
      </c>
      <c r="AX153" s="1" t="s">
        <v>96</v>
      </c>
      <c r="AY153" s="1">
        <v>7.11</v>
      </c>
      <c r="AZ153">
        <v>2.77</v>
      </c>
      <c r="BA153" s="1" t="s">
        <v>96</v>
      </c>
      <c r="BB153" s="1" t="s">
        <v>96</v>
      </c>
      <c r="BC153">
        <v>84.83</v>
      </c>
      <c r="BD153">
        <v>143.38</v>
      </c>
      <c r="BE153" s="1" t="s">
        <v>96</v>
      </c>
      <c r="BF153" s="1" t="s">
        <v>96</v>
      </c>
      <c r="BG153" t="s">
        <v>96</v>
      </c>
      <c r="BH153">
        <v>21.58</v>
      </c>
      <c r="BI153">
        <v>111.71</v>
      </c>
      <c r="BJ153">
        <v>3.67</v>
      </c>
      <c r="BK153" s="1" t="s">
        <v>96</v>
      </c>
      <c r="BL153" s="1" t="s">
        <v>96</v>
      </c>
      <c r="BM153" s="1" t="s">
        <v>96</v>
      </c>
      <c r="BN153" s="1" t="s">
        <v>96</v>
      </c>
      <c r="BO153" s="1">
        <v>14.67</v>
      </c>
      <c r="BP153">
        <v>22.44</v>
      </c>
      <c r="BQ153">
        <v>7.36</v>
      </c>
      <c r="BR153" s="1" t="s">
        <v>96</v>
      </c>
      <c r="BS153">
        <v>398.55</v>
      </c>
      <c r="BT153">
        <v>27.7</v>
      </c>
      <c r="BU153" s="1" t="s">
        <v>96</v>
      </c>
      <c r="BV153" t="s">
        <v>96</v>
      </c>
      <c r="BW153">
        <v>66.739999999999995</v>
      </c>
      <c r="BX153" s="1" t="s">
        <v>96</v>
      </c>
    </row>
    <row r="154" spans="1:76">
      <c r="A154">
        <v>218</v>
      </c>
      <c r="B154" t="s">
        <v>749</v>
      </c>
      <c r="D154" t="b">
        <v>1</v>
      </c>
      <c r="E154" t="s">
        <v>750</v>
      </c>
      <c r="G154" t="s">
        <v>751</v>
      </c>
      <c r="H154" s="1" t="s">
        <v>96</v>
      </c>
      <c r="I154" s="1" t="s">
        <v>96</v>
      </c>
      <c r="J154">
        <v>17.87</v>
      </c>
      <c r="K154" s="1" t="s">
        <v>96</v>
      </c>
      <c r="L154" s="1" t="s">
        <v>96</v>
      </c>
      <c r="M154" s="1">
        <v>23.07</v>
      </c>
      <c r="N154" s="1" t="s">
        <v>96</v>
      </c>
      <c r="O154" s="1" t="s">
        <v>96</v>
      </c>
      <c r="P154" s="1" t="s">
        <v>96</v>
      </c>
      <c r="Q154" s="1" t="s">
        <v>96</v>
      </c>
      <c r="R154" s="1" t="s">
        <v>96</v>
      </c>
      <c r="S154" s="1" t="s">
        <v>96</v>
      </c>
      <c r="T154">
        <v>1</v>
      </c>
      <c r="U154" s="1" t="s">
        <v>96</v>
      </c>
      <c r="V154">
        <v>1.22</v>
      </c>
      <c r="W154">
        <v>41.15</v>
      </c>
      <c r="X154">
        <v>56.3</v>
      </c>
      <c r="Y154" s="1" t="s">
        <v>96</v>
      </c>
      <c r="Z154">
        <v>90.72</v>
      </c>
      <c r="AA154">
        <v>698.35</v>
      </c>
      <c r="AB154">
        <v>54.56</v>
      </c>
      <c r="AC154" s="1">
        <v>5.54</v>
      </c>
      <c r="AD154" s="1" t="s">
        <v>96</v>
      </c>
      <c r="AE154" s="1" t="s">
        <v>96</v>
      </c>
      <c r="AF154" s="1" t="s">
        <v>96</v>
      </c>
      <c r="AG154" s="1" t="s">
        <v>96</v>
      </c>
      <c r="AH154" s="1" t="s">
        <v>96</v>
      </c>
      <c r="AI154">
        <v>1546.59</v>
      </c>
      <c r="AJ154">
        <v>81.650000000000006</v>
      </c>
      <c r="AK154" s="1" t="s">
        <v>96</v>
      </c>
      <c r="AL154" s="1">
        <v>3.72</v>
      </c>
      <c r="AM154">
        <v>7.39</v>
      </c>
      <c r="AN154" t="s">
        <v>96</v>
      </c>
      <c r="AO154" s="1" t="s">
        <v>96</v>
      </c>
      <c r="AP154" s="1" t="s">
        <v>96</v>
      </c>
      <c r="AQ154">
        <v>7.96</v>
      </c>
      <c r="AR154" s="1" t="s">
        <v>96</v>
      </c>
      <c r="AS154">
        <v>523.22</v>
      </c>
      <c r="AT154">
        <v>310.97000000000003</v>
      </c>
      <c r="AU154">
        <v>26.69</v>
      </c>
      <c r="AV154" s="1" t="s">
        <v>96</v>
      </c>
      <c r="AW154">
        <v>82.09</v>
      </c>
      <c r="AX154" s="1" t="s">
        <v>96</v>
      </c>
      <c r="AY154" s="1">
        <v>4.8</v>
      </c>
      <c r="AZ154">
        <v>5.27</v>
      </c>
      <c r="BA154" s="1" t="s">
        <v>96</v>
      </c>
      <c r="BB154" s="1" t="s">
        <v>96</v>
      </c>
      <c r="BC154">
        <v>58.12</v>
      </c>
      <c r="BD154">
        <v>46.97</v>
      </c>
      <c r="BE154" s="1" t="s">
        <v>96</v>
      </c>
      <c r="BF154" s="1" t="s">
        <v>96</v>
      </c>
      <c r="BG154" t="s">
        <v>96</v>
      </c>
      <c r="BH154">
        <v>9.27</v>
      </c>
      <c r="BI154">
        <v>275.24</v>
      </c>
      <c r="BJ154">
        <v>9.33</v>
      </c>
      <c r="BK154" s="1" t="s">
        <v>96</v>
      </c>
      <c r="BL154" s="1" t="s">
        <v>96</v>
      </c>
      <c r="BM154" s="1" t="s">
        <v>96</v>
      </c>
      <c r="BN154" s="1" t="s">
        <v>96</v>
      </c>
      <c r="BO154" s="1">
        <v>44.07</v>
      </c>
      <c r="BP154">
        <v>48.2</v>
      </c>
      <c r="BQ154">
        <v>7.99</v>
      </c>
      <c r="BR154" s="1" t="s">
        <v>96</v>
      </c>
      <c r="BS154">
        <v>1398.1</v>
      </c>
      <c r="BT154">
        <v>25.31</v>
      </c>
      <c r="BU154" s="1" t="s">
        <v>96</v>
      </c>
      <c r="BV154">
        <v>10.99</v>
      </c>
      <c r="BW154">
        <v>110.67</v>
      </c>
      <c r="BX154" s="1" t="s">
        <v>96</v>
      </c>
    </row>
    <row r="155" spans="1:76">
      <c r="A155">
        <v>111</v>
      </c>
      <c r="B155" t="s">
        <v>428</v>
      </c>
      <c r="D155" t="b">
        <v>1</v>
      </c>
      <c r="E155" t="s">
        <v>429</v>
      </c>
      <c r="G155" t="s">
        <v>430</v>
      </c>
      <c r="H155" s="1" t="s">
        <v>96</v>
      </c>
      <c r="I155" s="1" t="s">
        <v>96</v>
      </c>
      <c r="J155">
        <v>17.04</v>
      </c>
      <c r="K155" s="1" t="s">
        <v>96</v>
      </c>
      <c r="L155" s="1" t="s">
        <v>96</v>
      </c>
      <c r="M155" s="1">
        <v>7.65</v>
      </c>
      <c r="N155" s="1" t="s">
        <v>96</v>
      </c>
      <c r="O155" s="1" t="s">
        <v>96</v>
      </c>
      <c r="P155" s="1" t="s">
        <v>96</v>
      </c>
      <c r="Q155" s="1" t="s">
        <v>96</v>
      </c>
      <c r="R155" s="1" t="s">
        <v>96</v>
      </c>
      <c r="S155" s="1" t="s">
        <v>96</v>
      </c>
      <c r="T155">
        <v>1.31</v>
      </c>
      <c r="U155" s="1" t="s">
        <v>96</v>
      </c>
      <c r="V155">
        <v>6.31</v>
      </c>
      <c r="W155">
        <v>5.54</v>
      </c>
      <c r="X155">
        <v>224.98</v>
      </c>
      <c r="Y155" s="1" t="s">
        <v>96</v>
      </c>
      <c r="Z155">
        <v>13.04</v>
      </c>
      <c r="AA155">
        <v>244.97</v>
      </c>
      <c r="AB155">
        <v>122.4</v>
      </c>
      <c r="AC155" s="1">
        <v>7.57</v>
      </c>
      <c r="AD155" s="1" t="s">
        <v>96</v>
      </c>
      <c r="AE155" s="1" t="s">
        <v>96</v>
      </c>
      <c r="AF155" s="1" t="s">
        <v>96</v>
      </c>
      <c r="AG155" s="1" t="s">
        <v>96</v>
      </c>
      <c r="AH155" s="1" t="s">
        <v>96</v>
      </c>
      <c r="AI155">
        <v>93.42</v>
      </c>
      <c r="AJ155">
        <v>79.06</v>
      </c>
      <c r="AK155" s="1" t="s">
        <v>96</v>
      </c>
      <c r="AL155" s="1" t="s">
        <v>96</v>
      </c>
      <c r="AM155">
        <v>51.01</v>
      </c>
      <c r="AN155">
        <v>7.06</v>
      </c>
      <c r="AO155" s="1" t="s">
        <v>96</v>
      </c>
      <c r="AP155" s="1" t="s">
        <v>96</v>
      </c>
      <c r="AQ155">
        <v>10.23</v>
      </c>
      <c r="AR155" s="1" t="s">
        <v>96</v>
      </c>
      <c r="AS155">
        <v>2020.47</v>
      </c>
      <c r="AT155">
        <v>425.91</v>
      </c>
      <c r="AU155">
        <v>340.75</v>
      </c>
      <c r="AV155" s="1" t="s">
        <v>96</v>
      </c>
      <c r="AW155">
        <v>676.84</v>
      </c>
      <c r="AX155" s="1" t="s">
        <v>96</v>
      </c>
      <c r="AY155" s="1">
        <v>4.79</v>
      </c>
      <c r="AZ155">
        <v>44.14</v>
      </c>
      <c r="BA155" s="1">
        <v>22.65</v>
      </c>
      <c r="BB155" s="1" t="s">
        <v>96</v>
      </c>
      <c r="BC155">
        <v>285.7</v>
      </c>
      <c r="BD155">
        <v>83.09</v>
      </c>
      <c r="BE155" s="1" t="s">
        <v>96</v>
      </c>
      <c r="BF155" s="1">
        <v>12.48</v>
      </c>
      <c r="BG155">
        <v>5.73</v>
      </c>
      <c r="BH155">
        <v>92.62</v>
      </c>
      <c r="BI155">
        <v>105.01</v>
      </c>
      <c r="BJ155">
        <v>6.1</v>
      </c>
      <c r="BK155" s="1" t="s">
        <v>96</v>
      </c>
      <c r="BL155" s="1" t="s">
        <v>96</v>
      </c>
      <c r="BM155" s="1" t="s">
        <v>96</v>
      </c>
      <c r="BN155" s="1" t="s">
        <v>96</v>
      </c>
      <c r="BO155" s="1" t="s">
        <v>96</v>
      </c>
      <c r="BP155">
        <v>120.54</v>
      </c>
      <c r="BQ155">
        <v>30.19</v>
      </c>
      <c r="BR155" s="1" t="s">
        <v>96</v>
      </c>
      <c r="BS155">
        <v>290.32</v>
      </c>
      <c r="BT155">
        <v>15.01</v>
      </c>
      <c r="BU155" s="1" t="s">
        <v>96</v>
      </c>
      <c r="BV155">
        <v>63.15</v>
      </c>
      <c r="BW155">
        <v>47.58</v>
      </c>
      <c r="BX155" s="1" t="s">
        <v>96</v>
      </c>
    </row>
    <row r="156" spans="1:76">
      <c r="A156">
        <v>158</v>
      </c>
      <c r="B156" t="s">
        <v>569</v>
      </c>
      <c r="D156" t="b">
        <v>1</v>
      </c>
      <c r="E156" t="s">
        <v>570</v>
      </c>
      <c r="G156" t="s">
        <v>571</v>
      </c>
      <c r="H156" s="1" t="s">
        <v>96</v>
      </c>
      <c r="I156" s="1" t="s">
        <v>96</v>
      </c>
      <c r="J156">
        <v>29.18</v>
      </c>
      <c r="K156" s="1" t="s">
        <v>96</v>
      </c>
      <c r="L156" s="1" t="s">
        <v>96</v>
      </c>
      <c r="M156" s="1">
        <v>17.38</v>
      </c>
      <c r="N156" s="1" t="s">
        <v>96</v>
      </c>
      <c r="O156" s="1" t="s">
        <v>96</v>
      </c>
      <c r="P156" s="1" t="s">
        <v>96</v>
      </c>
      <c r="Q156" s="1" t="s">
        <v>96</v>
      </c>
      <c r="R156" s="1" t="s">
        <v>96</v>
      </c>
      <c r="S156" s="1" t="s">
        <v>96</v>
      </c>
      <c r="T156" t="s">
        <v>96</v>
      </c>
      <c r="U156" s="1" t="s">
        <v>96</v>
      </c>
      <c r="V156">
        <v>2.15</v>
      </c>
      <c r="W156">
        <v>16.920000000000002</v>
      </c>
      <c r="X156">
        <v>67.61</v>
      </c>
      <c r="Y156" s="1" t="s">
        <v>96</v>
      </c>
      <c r="Z156">
        <v>27.19</v>
      </c>
      <c r="AA156">
        <v>254.9</v>
      </c>
      <c r="AB156">
        <v>75.66</v>
      </c>
      <c r="AC156" s="1">
        <v>3.52</v>
      </c>
      <c r="AD156" s="1" t="s">
        <v>96</v>
      </c>
      <c r="AE156" s="1" t="s">
        <v>96</v>
      </c>
      <c r="AF156" s="1" t="s">
        <v>96</v>
      </c>
      <c r="AG156" s="1" t="s">
        <v>96</v>
      </c>
      <c r="AH156" s="1" t="s">
        <v>96</v>
      </c>
      <c r="AI156">
        <v>94.78</v>
      </c>
      <c r="AJ156">
        <v>46.22</v>
      </c>
      <c r="AK156" s="1" t="s">
        <v>96</v>
      </c>
      <c r="AL156" s="1">
        <v>2.4500000000000002</v>
      </c>
      <c r="AM156">
        <v>72.349999999999994</v>
      </c>
      <c r="AN156">
        <v>5.83</v>
      </c>
      <c r="AO156" s="1" t="s">
        <v>96</v>
      </c>
      <c r="AP156" s="1" t="s">
        <v>96</v>
      </c>
      <c r="AQ156">
        <v>25.56</v>
      </c>
      <c r="AR156" s="1" t="s">
        <v>96</v>
      </c>
      <c r="AS156">
        <v>1940</v>
      </c>
      <c r="AT156">
        <v>661.35</v>
      </c>
      <c r="AU156">
        <v>191.94</v>
      </c>
      <c r="AV156" s="1" t="s">
        <v>96</v>
      </c>
      <c r="AW156">
        <v>445.55</v>
      </c>
      <c r="AX156" s="1" t="s">
        <v>96</v>
      </c>
      <c r="AY156" s="1">
        <v>7.42</v>
      </c>
      <c r="AZ156">
        <v>7.68</v>
      </c>
      <c r="BA156" s="1">
        <v>6.49</v>
      </c>
      <c r="BB156" s="1" t="s">
        <v>96</v>
      </c>
      <c r="BC156">
        <v>114.34</v>
      </c>
      <c r="BD156">
        <v>39.54</v>
      </c>
      <c r="BE156" s="1" t="s">
        <v>96</v>
      </c>
      <c r="BF156" s="1" t="s">
        <v>96</v>
      </c>
      <c r="BG156" t="s">
        <v>96</v>
      </c>
      <c r="BH156">
        <v>28.22</v>
      </c>
      <c r="BI156">
        <v>25.23</v>
      </c>
      <c r="BJ156">
        <v>5.72</v>
      </c>
      <c r="BK156" s="1" t="s">
        <v>96</v>
      </c>
      <c r="BL156" s="1" t="s">
        <v>96</v>
      </c>
      <c r="BM156" s="1" t="s">
        <v>96</v>
      </c>
      <c r="BN156" s="1" t="s">
        <v>96</v>
      </c>
      <c r="BO156" s="1">
        <v>12.46</v>
      </c>
      <c r="BP156">
        <v>41.29</v>
      </c>
      <c r="BQ156" t="s">
        <v>96</v>
      </c>
      <c r="BR156" s="1" t="s">
        <v>96</v>
      </c>
      <c r="BS156">
        <v>354.88</v>
      </c>
      <c r="BT156" t="s">
        <v>96</v>
      </c>
      <c r="BU156" s="1" t="s">
        <v>96</v>
      </c>
      <c r="BV156">
        <v>20.98</v>
      </c>
      <c r="BW156">
        <v>40.28</v>
      </c>
      <c r="BX156" s="1" t="s">
        <v>96</v>
      </c>
    </row>
    <row r="157" spans="1:76">
      <c r="A157">
        <v>225</v>
      </c>
      <c r="B157" t="s">
        <v>770</v>
      </c>
      <c r="D157" t="b">
        <v>1</v>
      </c>
      <c r="E157" t="s">
        <v>771</v>
      </c>
      <c r="G157" t="s">
        <v>772</v>
      </c>
      <c r="H157" s="1" t="s">
        <v>96</v>
      </c>
      <c r="I157" s="1" t="s">
        <v>96</v>
      </c>
      <c r="J157">
        <v>10.18</v>
      </c>
      <c r="K157" s="1" t="s">
        <v>96</v>
      </c>
      <c r="L157" s="1" t="s">
        <v>96</v>
      </c>
      <c r="M157" s="1" t="s">
        <v>96</v>
      </c>
      <c r="N157" s="1" t="s">
        <v>96</v>
      </c>
      <c r="O157" s="1" t="s">
        <v>96</v>
      </c>
      <c r="P157" s="1" t="s">
        <v>96</v>
      </c>
      <c r="Q157" s="1" t="s">
        <v>96</v>
      </c>
      <c r="R157" s="1" t="s">
        <v>96</v>
      </c>
      <c r="S157" s="1" t="s">
        <v>96</v>
      </c>
      <c r="T157" t="s">
        <v>96</v>
      </c>
      <c r="U157" s="1" t="s">
        <v>96</v>
      </c>
      <c r="V157">
        <v>2.35</v>
      </c>
      <c r="W157">
        <v>30.9</v>
      </c>
      <c r="X157">
        <v>17.91</v>
      </c>
      <c r="Y157" s="1" t="s">
        <v>96</v>
      </c>
      <c r="Z157">
        <v>34.18</v>
      </c>
      <c r="AA157">
        <v>412.26</v>
      </c>
      <c r="AB157">
        <v>52.33</v>
      </c>
      <c r="AC157" s="1" t="s">
        <v>96</v>
      </c>
      <c r="AD157" s="1" t="s">
        <v>96</v>
      </c>
      <c r="AE157" s="1" t="s">
        <v>96</v>
      </c>
      <c r="AF157" s="1" t="s">
        <v>96</v>
      </c>
      <c r="AG157" s="1" t="s">
        <v>96</v>
      </c>
      <c r="AH157" s="1" t="s">
        <v>96</v>
      </c>
      <c r="AI157" t="s">
        <v>96</v>
      </c>
      <c r="AJ157">
        <v>44.07</v>
      </c>
      <c r="AK157" s="1" t="s">
        <v>96</v>
      </c>
      <c r="AL157" s="1">
        <v>4.57</v>
      </c>
      <c r="AM157">
        <v>56.57</v>
      </c>
      <c r="AN157" t="s">
        <v>96</v>
      </c>
      <c r="AO157" s="1" t="s">
        <v>96</v>
      </c>
      <c r="AP157" s="1" t="s">
        <v>96</v>
      </c>
      <c r="AQ157" t="s">
        <v>96</v>
      </c>
      <c r="AR157" s="1" t="s">
        <v>96</v>
      </c>
      <c r="AS157">
        <v>110.1</v>
      </c>
      <c r="AT157">
        <v>231.47</v>
      </c>
      <c r="AU157">
        <v>10.35</v>
      </c>
      <c r="AV157" s="1" t="s">
        <v>96</v>
      </c>
      <c r="AW157">
        <v>47.78</v>
      </c>
      <c r="AX157" s="1" t="s">
        <v>96</v>
      </c>
      <c r="AY157" s="1" t="s">
        <v>96</v>
      </c>
      <c r="AZ157" t="s">
        <v>96</v>
      </c>
      <c r="BA157" s="1" t="s">
        <v>96</v>
      </c>
      <c r="BB157" s="1" t="s">
        <v>96</v>
      </c>
      <c r="BC157">
        <v>39.119999999999997</v>
      </c>
      <c r="BD157">
        <v>66.08</v>
      </c>
      <c r="BE157" s="1" t="s">
        <v>96</v>
      </c>
      <c r="BF157" s="1" t="s">
        <v>96</v>
      </c>
      <c r="BG157" t="s">
        <v>96</v>
      </c>
      <c r="BH157">
        <v>11.75</v>
      </c>
      <c r="BI157">
        <v>23.53</v>
      </c>
      <c r="BJ157" t="s">
        <v>96</v>
      </c>
      <c r="BK157" s="1" t="s">
        <v>96</v>
      </c>
      <c r="BL157" s="1" t="s">
        <v>96</v>
      </c>
      <c r="BM157" s="1" t="s">
        <v>96</v>
      </c>
      <c r="BN157" s="1" t="s">
        <v>96</v>
      </c>
      <c r="BO157" s="1">
        <v>30.2</v>
      </c>
      <c r="BP157">
        <v>9.73</v>
      </c>
      <c r="BQ157" t="s">
        <v>96</v>
      </c>
      <c r="BR157" s="1" t="s">
        <v>96</v>
      </c>
      <c r="BS157">
        <v>110.71</v>
      </c>
      <c r="BT157">
        <v>13.47</v>
      </c>
      <c r="BU157" s="1" t="s">
        <v>96</v>
      </c>
      <c r="BV157" t="s">
        <v>96</v>
      </c>
      <c r="BW157">
        <v>30.85</v>
      </c>
      <c r="BX157" s="1" t="s">
        <v>96</v>
      </c>
    </row>
    <row r="158" spans="1:76">
      <c r="A158">
        <v>234</v>
      </c>
      <c r="B158" t="s">
        <v>797</v>
      </c>
      <c r="D158" t="b">
        <v>1</v>
      </c>
      <c r="E158" t="s">
        <v>798</v>
      </c>
      <c r="G158" t="s">
        <v>799</v>
      </c>
      <c r="H158" s="1" t="s">
        <v>96</v>
      </c>
      <c r="I158" s="1" t="s">
        <v>96</v>
      </c>
      <c r="J158">
        <v>23.02</v>
      </c>
      <c r="K158" s="1" t="s">
        <v>96</v>
      </c>
      <c r="L158" s="1" t="s">
        <v>96</v>
      </c>
      <c r="M158" s="1" t="s">
        <v>96</v>
      </c>
      <c r="N158" s="1" t="s">
        <v>96</v>
      </c>
      <c r="O158" s="1" t="s">
        <v>96</v>
      </c>
      <c r="P158" s="1" t="s">
        <v>96</v>
      </c>
      <c r="Q158" s="1" t="s">
        <v>96</v>
      </c>
      <c r="R158" s="1" t="s">
        <v>96</v>
      </c>
      <c r="S158" s="1" t="s">
        <v>96</v>
      </c>
      <c r="T158" t="s">
        <v>96</v>
      </c>
      <c r="U158" s="1" t="s">
        <v>96</v>
      </c>
      <c r="V158">
        <v>3.59</v>
      </c>
      <c r="W158">
        <v>12.22</v>
      </c>
      <c r="X158">
        <v>52.16</v>
      </c>
      <c r="Y158" s="1" t="s">
        <v>96</v>
      </c>
      <c r="Z158">
        <v>8.0299999999999994</v>
      </c>
      <c r="AA158">
        <v>220</v>
      </c>
      <c r="AB158">
        <v>47.29</v>
      </c>
      <c r="AC158" s="1">
        <v>5.18</v>
      </c>
      <c r="AD158" s="1">
        <v>12.63</v>
      </c>
      <c r="AE158" s="1" t="s">
        <v>96</v>
      </c>
      <c r="AF158" s="1" t="s">
        <v>96</v>
      </c>
      <c r="AG158" s="1" t="s">
        <v>96</v>
      </c>
      <c r="AH158" s="1" t="s">
        <v>96</v>
      </c>
      <c r="AI158">
        <v>99.12</v>
      </c>
      <c r="AJ158">
        <v>21</v>
      </c>
      <c r="AK158" s="1" t="s">
        <v>96</v>
      </c>
      <c r="AL158" s="1" t="s">
        <v>96</v>
      </c>
      <c r="AM158">
        <v>78.680000000000007</v>
      </c>
      <c r="AN158">
        <v>10.33</v>
      </c>
      <c r="AO158" s="1" t="s">
        <v>96</v>
      </c>
      <c r="AP158" s="1" t="s">
        <v>96</v>
      </c>
      <c r="AQ158">
        <v>20.68</v>
      </c>
      <c r="AR158" s="1" t="s">
        <v>96</v>
      </c>
      <c r="AS158">
        <v>2362.12</v>
      </c>
      <c r="AT158">
        <v>948.75</v>
      </c>
      <c r="AU158">
        <v>281.94</v>
      </c>
      <c r="AV158" s="1" t="s">
        <v>96</v>
      </c>
      <c r="AW158" t="s">
        <v>133</v>
      </c>
      <c r="AX158" s="1" t="s">
        <v>96</v>
      </c>
      <c r="AY158" s="1">
        <v>3.06</v>
      </c>
      <c r="AZ158">
        <v>71.599999999999994</v>
      </c>
      <c r="BA158" s="1">
        <v>10.43</v>
      </c>
      <c r="BB158" s="1" t="s">
        <v>96</v>
      </c>
      <c r="BC158">
        <v>179.9</v>
      </c>
      <c r="BD158">
        <v>69.5</v>
      </c>
      <c r="BE158" s="1" t="s">
        <v>96</v>
      </c>
      <c r="BF158" s="1">
        <v>5.67</v>
      </c>
      <c r="BG158">
        <v>10.92</v>
      </c>
      <c r="BH158">
        <v>71.180000000000007</v>
      </c>
      <c r="BI158">
        <v>35.950000000000003</v>
      </c>
      <c r="BJ158">
        <v>2.75</v>
      </c>
      <c r="BK158" s="1" t="s">
        <v>96</v>
      </c>
      <c r="BL158" s="1" t="s">
        <v>96</v>
      </c>
      <c r="BM158" s="1" t="s">
        <v>96</v>
      </c>
      <c r="BN158" s="1" t="s">
        <v>96</v>
      </c>
      <c r="BO158" s="1" t="s">
        <v>96</v>
      </c>
      <c r="BP158">
        <v>133.82</v>
      </c>
      <c r="BQ158">
        <v>20.29</v>
      </c>
      <c r="BR158" s="1" t="s">
        <v>96</v>
      </c>
      <c r="BS158">
        <v>402.06</v>
      </c>
      <c r="BT158">
        <v>20.72</v>
      </c>
      <c r="BU158" s="1" t="s">
        <v>96</v>
      </c>
      <c r="BV158">
        <v>20.239999999999998</v>
      </c>
      <c r="BW158">
        <v>142.81</v>
      </c>
      <c r="BX158" s="1" t="s">
        <v>96</v>
      </c>
    </row>
    <row r="159" spans="1:76">
      <c r="A159">
        <v>190</v>
      </c>
      <c r="B159" t="s">
        <v>665</v>
      </c>
      <c r="D159" t="b">
        <v>1</v>
      </c>
      <c r="E159" t="s">
        <v>666</v>
      </c>
      <c r="G159" t="s">
        <v>667</v>
      </c>
      <c r="H159" s="1" t="s">
        <v>96</v>
      </c>
      <c r="I159" s="1" t="s">
        <v>96</v>
      </c>
      <c r="J159">
        <v>28.42</v>
      </c>
      <c r="K159" s="1" t="s">
        <v>96</v>
      </c>
      <c r="L159" s="1" t="s">
        <v>96</v>
      </c>
      <c r="M159" s="1" t="s">
        <v>96</v>
      </c>
      <c r="N159" s="1" t="s">
        <v>96</v>
      </c>
      <c r="O159" s="1" t="s">
        <v>96</v>
      </c>
      <c r="P159" s="1" t="s">
        <v>96</v>
      </c>
      <c r="Q159" s="1" t="s">
        <v>96</v>
      </c>
      <c r="R159" s="1" t="s">
        <v>96</v>
      </c>
      <c r="S159" s="1" t="s">
        <v>96</v>
      </c>
      <c r="T159" t="s">
        <v>96</v>
      </c>
      <c r="U159" s="1" t="s">
        <v>96</v>
      </c>
      <c r="V159" t="s">
        <v>96</v>
      </c>
      <c r="W159">
        <v>2.5</v>
      </c>
      <c r="X159">
        <v>29.22</v>
      </c>
      <c r="Y159" s="1" t="s">
        <v>96</v>
      </c>
      <c r="Z159">
        <v>8.7799999999999994</v>
      </c>
      <c r="AA159">
        <v>77.83</v>
      </c>
      <c r="AB159">
        <v>33.15</v>
      </c>
      <c r="AC159" s="1">
        <v>2.68</v>
      </c>
      <c r="AD159" s="1" t="s">
        <v>96</v>
      </c>
      <c r="AE159" s="1" t="s">
        <v>96</v>
      </c>
      <c r="AF159" s="1" t="s">
        <v>96</v>
      </c>
      <c r="AG159" s="1" t="s">
        <v>96</v>
      </c>
      <c r="AH159" s="1" t="s">
        <v>96</v>
      </c>
      <c r="AI159" t="s">
        <v>96</v>
      </c>
      <c r="AJ159">
        <v>10.56</v>
      </c>
      <c r="AK159" s="1" t="s">
        <v>96</v>
      </c>
      <c r="AL159" s="1" t="s">
        <v>96</v>
      </c>
      <c r="AM159">
        <v>50.75</v>
      </c>
      <c r="AN159">
        <v>4.42</v>
      </c>
      <c r="AO159" s="1" t="s">
        <v>96</v>
      </c>
      <c r="AP159" s="1" t="s">
        <v>96</v>
      </c>
      <c r="AQ159" t="s">
        <v>96</v>
      </c>
      <c r="AR159" s="1" t="s">
        <v>96</v>
      </c>
      <c r="AS159">
        <v>1137.3900000000001</v>
      </c>
      <c r="AT159">
        <v>136.94</v>
      </c>
      <c r="AU159">
        <v>63.48</v>
      </c>
      <c r="AV159" s="1" t="s">
        <v>96</v>
      </c>
      <c r="AW159">
        <v>566.26</v>
      </c>
      <c r="AX159" s="1" t="s">
        <v>96</v>
      </c>
      <c r="AY159" s="1" t="s">
        <v>96</v>
      </c>
      <c r="AZ159">
        <v>104.03</v>
      </c>
      <c r="BA159" s="1" t="s">
        <v>96</v>
      </c>
      <c r="BB159" s="1" t="s">
        <v>96</v>
      </c>
      <c r="BC159">
        <v>51.21</v>
      </c>
      <c r="BD159">
        <v>10.130000000000001</v>
      </c>
      <c r="BE159" s="1" t="s">
        <v>96</v>
      </c>
      <c r="BF159" s="1">
        <v>12.81</v>
      </c>
      <c r="BG159" t="s">
        <v>96</v>
      </c>
      <c r="BH159">
        <v>33.130000000000003</v>
      </c>
      <c r="BI159">
        <v>62.16</v>
      </c>
      <c r="BJ159" t="s">
        <v>96</v>
      </c>
      <c r="BK159" s="1" t="s">
        <v>96</v>
      </c>
      <c r="BL159" s="1" t="s">
        <v>96</v>
      </c>
      <c r="BM159" s="1" t="s">
        <v>96</v>
      </c>
      <c r="BN159" s="1" t="s">
        <v>96</v>
      </c>
      <c r="BO159" s="1">
        <v>7.59</v>
      </c>
      <c r="BP159">
        <v>566.63</v>
      </c>
      <c r="BQ159">
        <v>44.79</v>
      </c>
      <c r="BR159" s="1">
        <v>12.76</v>
      </c>
      <c r="BS159">
        <v>556.01</v>
      </c>
      <c r="BT159">
        <v>26.23</v>
      </c>
      <c r="BU159" s="1" t="s">
        <v>96</v>
      </c>
      <c r="BV159">
        <v>42.58</v>
      </c>
      <c r="BW159">
        <v>227.56</v>
      </c>
      <c r="BX159" s="1" t="s">
        <v>96</v>
      </c>
    </row>
    <row r="160" spans="1:76">
      <c r="A160">
        <v>178</v>
      </c>
      <c r="B160" t="s">
        <v>629</v>
      </c>
      <c r="D160" t="b">
        <v>1</v>
      </c>
      <c r="E160" t="s">
        <v>630</v>
      </c>
      <c r="G160" t="s">
        <v>631</v>
      </c>
      <c r="H160" s="1" t="s">
        <v>96</v>
      </c>
      <c r="I160" s="1" t="s">
        <v>96</v>
      </c>
      <c r="J160">
        <v>18.5</v>
      </c>
      <c r="K160" s="1" t="s">
        <v>96</v>
      </c>
      <c r="L160" s="1" t="s">
        <v>96</v>
      </c>
      <c r="M160" s="1" t="s">
        <v>96</v>
      </c>
      <c r="N160" s="1" t="s">
        <v>96</v>
      </c>
      <c r="O160" s="1" t="s">
        <v>96</v>
      </c>
      <c r="P160" s="1" t="s">
        <v>96</v>
      </c>
      <c r="Q160" s="1" t="s">
        <v>96</v>
      </c>
      <c r="R160" s="1" t="s">
        <v>96</v>
      </c>
      <c r="S160" s="1" t="s">
        <v>96</v>
      </c>
      <c r="T160">
        <v>4.1900000000000004</v>
      </c>
      <c r="U160" s="1" t="s">
        <v>96</v>
      </c>
      <c r="V160">
        <v>24.16</v>
      </c>
      <c r="W160">
        <v>1.79</v>
      </c>
      <c r="X160">
        <v>337.42</v>
      </c>
      <c r="Y160" s="1" t="s">
        <v>96</v>
      </c>
      <c r="Z160">
        <v>6.25</v>
      </c>
      <c r="AA160">
        <v>71.459999999999994</v>
      </c>
      <c r="AB160">
        <v>400.74</v>
      </c>
      <c r="AC160" s="1" t="s">
        <v>96</v>
      </c>
      <c r="AD160" s="1" t="s">
        <v>96</v>
      </c>
      <c r="AE160" s="1" t="s">
        <v>96</v>
      </c>
      <c r="AF160" s="1" t="s">
        <v>96</v>
      </c>
      <c r="AG160" s="1" t="s">
        <v>96</v>
      </c>
      <c r="AH160" s="1">
        <v>3.27</v>
      </c>
      <c r="AI160">
        <v>461.64</v>
      </c>
      <c r="AJ160">
        <v>72.760000000000005</v>
      </c>
      <c r="AK160" s="1">
        <v>1.25</v>
      </c>
      <c r="AL160" s="1" t="s">
        <v>96</v>
      </c>
      <c r="AM160">
        <v>116.36</v>
      </c>
      <c r="AN160">
        <v>19.100000000000001</v>
      </c>
      <c r="AO160" s="1" t="s">
        <v>96</v>
      </c>
      <c r="AP160" s="1" t="s">
        <v>96</v>
      </c>
      <c r="AQ160" t="s">
        <v>96</v>
      </c>
      <c r="AR160" s="1" t="s">
        <v>96</v>
      </c>
      <c r="AS160">
        <v>759.86</v>
      </c>
      <c r="AT160">
        <v>151.62</v>
      </c>
      <c r="AU160">
        <v>150.72999999999999</v>
      </c>
      <c r="AV160" s="1" t="s">
        <v>96</v>
      </c>
      <c r="AW160">
        <v>231.38</v>
      </c>
      <c r="AX160" s="1" t="s">
        <v>96</v>
      </c>
      <c r="AY160" s="1" t="s">
        <v>96</v>
      </c>
      <c r="AZ160">
        <v>28.2</v>
      </c>
      <c r="BA160" s="1">
        <v>7.99</v>
      </c>
      <c r="BB160" s="1" t="s">
        <v>96</v>
      </c>
      <c r="BC160">
        <v>73.260000000000005</v>
      </c>
      <c r="BD160">
        <v>15.65</v>
      </c>
      <c r="BE160" s="1" t="s">
        <v>96</v>
      </c>
      <c r="BF160" s="1">
        <v>4.01</v>
      </c>
      <c r="BG160">
        <v>3.8</v>
      </c>
      <c r="BH160">
        <v>18.13</v>
      </c>
      <c r="BI160">
        <v>12.67</v>
      </c>
      <c r="BJ160" t="s">
        <v>96</v>
      </c>
      <c r="BK160" s="1" t="s">
        <v>96</v>
      </c>
      <c r="BL160" s="1" t="s">
        <v>96</v>
      </c>
      <c r="BM160" s="1" t="s">
        <v>96</v>
      </c>
      <c r="BN160" s="1" t="s">
        <v>96</v>
      </c>
      <c r="BO160" s="1" t="s">
        <v>96</v>
      </c>
      <c r="BP160">
        <v>102.31</v>
      </c>
      <c r="BQ160">
        <v>12.95</v>
      </c>
      <c r="BR160" s="1" t="s">
        <v>96</v>
      </c>
      <c r="BS160">
        <v>67.31</v>
      </c>
      <c r="BT160">
        <v>14.32</v>
      </c>
      <c r="BU160" s="1" t="s">
        <v>96</v>
      </c>
      <c r="BV160">
        <v>71.11</v>
      </c>
      <c r="BW160">
        <v>93.89</v>
      </c>
      <c r="BX160" s="1" t="s">
        <v>96</v>
      </c>
    </row>
    <row r="161" spans="1:76">
      <c r="A161">
        <v>112</v>
      </c>
      <c r="B161" t="s">
        <v>431</v>
      </c>
      <c r="D161" t="b">
        <v>1</v>
      </c>
      <c r="E161" t="s">
        <v>432</v>
      </c>
      <c r="G161" t="s">
        <v>433</v>
      </c>
      <c r="H161" s="1" t="s">
        <v>96</v>
      </c>
      <c r="I161" s="1" t="s">
        <v>96</v>
      </c>
      <c r="J161">
        <v>22.02</v>
      </c>
      <c r="K161" s="1" t="s">
        <v>96</v>
      </c>
      <c r="L161" s="1" t="s">
        <v>96</v>
      </c>
      <c r="M161" s="1" t="s">
        <v>96</v>
      </c>
      <c r="N161" s="1" t="s">
        <v>96</v>
      </c>
      <c r="O161" s="1" t="s">
        <v>96</v>
      </c>
      <c r="P161" s="1" t="s">
        <v>96</v>
      </c>
      <c r="Q161" s="1" t="s">
        <v>96</v>
      </c>
      <c r="R161" s="1" t="s">
        <v>96</v>
      </c>
      <c r="S161" s="1" t="s">
        <v>96</v>
      </c>
      <c r="T161" t="s">
        <v>96</v>
      </c>
      <c r="U161" s="1" t="s">
        <v>96</v>
      </c>
      <c r="V161">
        <v>8.42</v>
      </c>
      <c r="W161">
        <v>1.61</v>
      </c>
      <c r="X161">
        <v>35.119999999999997</v>
      </c>
      <c r="Y161" s="1" t="s">
        <v>96</v>
      </c>
      <c r="Z161" t="s">
        <v>96</v>
      </c>
      <c r="AA161">
        <v>74.73</v>
      </c>
      <c r="AB161">
        <v>146.88999999999999</v>
      </c>
      <c r="AC161" s="1" t="s">
        <v>96</v>
      </c>
      <c r="AD161" s="1" t="s">
        <v>96</v>
      </c>
      <c r="AE161" s="1" t="s">
        <v>96</v>
      </c>
      <c r="AF161" s="1" t="s">
        <v>96</v>
      </c>
      <c r="AG161" s="1" t="s">
        <v>96</v>
      </c>
      <c r="AH161" s="1" t="s">
        <v>96</v>
      </c>
      <c r="AI161">
        <v>39.450000000000003</v>
      </c>
      <c r="AJ161">
        <v>14.15</v>
      </c>
      <c r="AK161" s="1" t="s">
        <v>96</v>
      </c>
      <c r="AL161" s="1" t="s">
        <v>96</v>
      </c>
      <c r="AM161">
        <v>49.38</v>
      </c>
      <c r="AN161">
        <v>11.5</v>
      </c>
      <c r="AO161" s="1" t="s">
        <v>96</v>
      </c>
      <c r="AP161" s="1" t="s">
        <v>96</v>
      </c>
      <c r="AQ161" t="s">
        <v>96</v>
      </c>
      <c r="AR161" s="1" t="s">
        <v>96</v>
      </c>
      <c r="AS161">
        <v>414.36</v>
      </c>
      <c r="AT161">
        <v>44.52</v>
      </c>
      <c r="AU161">
        <v>27.16</v>
      </c>
      <c r="AV161" s="1" t="s">
        <v>96</v>
      </c>
      <c r="AW161">
        <v>110.47</v>
      </c>
      <c r="AX161" s="1" t="s">
        <v>96</v>
      </c>
      <c r="AY161" s="1" t="s">
        <v>96</v>
      </c>
      <c r="AZ161">
        <v>11.72</v>
      </c>
      <c r="BA161" s="1" t="s">
        <v>96</v>
      </c>
      <c r="BB161" s="1" t="s">
        <v>96</v>
      </c>
      <c r="BC161">
        <v>32.619999999999997</v>
      </c>
      <c r="BD161">
        <v>5.35</v>
      </c>
      <c r="BE161" s="1" t="s">
        <v>96</v>
      </c>
      <c r="BF161" s="1" t="s">
        <v>96</v>
      </c>
      <c r="BG161" t="s">
        <v>96</v>
      </c>
      <c r="BH161">
        <v>6.97</v>
      </c>
      <c r="BI161">
        <v>12.94</v>
      </c>
      <c r="BJ161" t="s">
        <v>96</v>
      </c>
      <c r="BK161" s="1" t="s">
        <v>96</v>
      </c>
      <c r="BL161" s="1" t="s">
        <v>96</v>
      </c>
      <c r="BM161" s="1" t="s">
        <v>96</v>
      </c>
      <c r="BN161" s="1" t="s">
        <v>96</v>
      </c>
      <c r="BO161" s="1" t="s">
        <v>96</v>
      </c>
      <c r="BP161">
        <v>43.77</v>
      </c>
      <c r="BQ161">
        <v>6.88</v>
      </c>
      <c r="BR161" s="1" t="s">
        <v>96</v>
      </c>
      <c r="BS161">
        <v>66.510000000000005</v>
      </c>
      <c r="BT161" t="s">
        <v>96</v>
      </c>
      <c r="BU161" s="1" t="s">
        <v>96</v>
      </c>
      <c r="BV161">
        <v>12.21</v>
      </c>
      <c r="BW161">
        <v>9.3800000000000008</v>
      </c>
      <c r="BX161" s="1" t="s">
        <v>96</v>
      </c>
    </row>
    <row r="162" spans="1:76">
      <c r="A162">
        <v>131</v>
      </c>
      <c r="B162" t="s">
        <v>488</v>
      </c>
      <c r="D162" t="b">
        <v>1</v>
      </c>
      <c r="E162" t="s">
        <v>489</v>
      </c>
      <c r="G162" t="s">
        <v>490</v>
      </c>
      <c r="H162" s="1" t="s">
        <v>96</v>
      </c>
      <c r="I162" s="1" t="s">
        <v>96</v>
      </c>
      <c r="J162">
        <v>15.91</v>
      </c>
      <c r="K162" s="1" t="s">
        <v>96</v>
      </c>
      <c r="L162" s="1" t="s">
        <v>96</v>
      </c>
      <c r="M162" s="1" t="s">
        <v>96</v>
      </c>
      <c r="N162" s="1" t="s">
        <v>96</v>
      </c>
      <c r="O162" s="1" t="s">
        <v>96</v>
      </c>
      <c r="P162" s="1" t="s">
        <v>96</v>
      </c>
      <c r="Q162" s="1" t="s">
        <v>96</v>
      </c>
      <c r="R162" s="1" t="s">
        <v>96</v>
      </c>
      <c r="S162" s="1" t="s">
        <v>96</v>
      </c>
      <c r="T162" t="s">
        <v>96</v>
      </c>
      <c r="U162" s="1" t="s">
        <v>96</v>
      </c>
      <c r="V162">
        <v>7.8</v>
      </c>
      <c r="W162">
        <v>1.66</v>
      </c>
      <c r="X162">
        <v>57.14</v>
      </c>
      <c r="Y162" s="1" t="s">
        <v>96</v>
      </c>
      <c r="Z162" t="s">
        <v>96</v>
      </c>
      <c r="AA162">
        <v>61.9</v>
      </c>
      <c r="AB162">
        <v>381.91</v>
      </c>
      <c r="AC162" s="1" t="s">
        <v>96</v>
      </c>
      <c r="AD162" s="1">
        <v>10.09</v>
      </c>
      <c r="AE162" s="1" t="s">
        <v>96</v>
      </c>
      <c r="AF162" s="1" t="s">
        <v>96</v>
      </c>
      <c r="AG162" s="1" t="s">
        <v>96</v>
      </c>
      <c r="AH162" s="1" t="s">
        <v>96</v>
      </c>
      <c r="AI162">
        <v>78.14</v>
      </c>
      <c r="AJ162">
        <v>16.16</v>
      </c>
      <c r="AK162" s="1" t="s">
        <v>96</v>
      </c>
      <c r="AL162" s="1" t="s">
        <v>96</v>
      </c>
      <c r="AM162">
        <v>243.03</v>
      </c>
      <c r="AN162">
        <v>5.39</v>
      </c>
      <c r="AO162" s="1" t="s">
        <v>96</v>
      </c>
      <c r="AP162" s="1" t="s">
        <v>96</v>
      </c>
      <c r="AQ162">
        <v>3.09</v>
      </c>
      <c r="AR162" s="1" t="s">
        <v>96</v>
      </c>
      <c r="AS162">
        <v>1114.1500000000001</v>
      </c>
      <c r="AT162">
        <v>108.19</v>
      </c>
      <c r="AU162">
        <v>73.56</v>
      </c>
      <c r="AV162" s="1" t="s">
        <v>96</v>
      </c>
      <c r="AW162">
        <v>444.62</v>
      </c>
      <c r="AX162" s="1" t="s">
        <v>96</v>
      </c>
      <c r="AY162" s="1" t="s">
        <v>96</v>
      </c>
      <c r="AZ162">
        <v>23.57</v>
      </c>
      <c r="BA162" s="1">
        <v>5.49</v>
      </c>
      <c r="BB162" s="1" t="s">
        <v>96</v>
      </c>
      <c r="BC162">
        <v>168.72</v>
      </c>
      <c r="BD162">
        <v>16.010000000000002</v>
      </c>
      <c r="BE162" s="1" t="s">
        <v>96</v>
      </c>
      <c r="BF162" s="1">
        <v>3.68</v>
      </c>
      <c r="BG162" t="s">
        <v>96</v>
      </c>
      <c r="BH162">
        <v>60.54</v>
      </c>
      <c r="BI162">
        <v>155.33000000000001</v>
      </c>
      <c r="BJ162">
        <v>4.21</v>
      </c>
      <c r="BK162" s="1" t="s">
        <v>96</v>
      </c>
      <c r="BL162" s="1" t="s">
        <v>96</v>
      </c>
      <c r="BM162" s="1" t="s">
        <v>96</v>
      </c>
      <c r="BN162" s="1">
        <v>4.18</v>
      </c>
      <c r="BO162" s="1">
        <v>9.7799999999999994</v>
      </c>
      <c r="BP162">
        <v>562.92999999999995</v>
      </c>
      <c r="BQ162">
        <v>145.21</v>
      </c>
      <c r="BR162" s="1">
        <v>8.61</v>
      </c>
      <c r="BS162">
        <v>624.92999999999995</v>
      </c>
      <c r="BT162">
        <v>45.81</v>
      </c>
      <c r="BU162" s="1">
        <v>14.15</v>
      </c>
      <c r="BV162">
        <v>73.78</v>
      </c>
      <c r="BW162">
        <v>161.22</v>
      </c>
      <c r="BX162" s="1" t="s">
        <v>96</v>
      </c>
    </row>
    <row r="163" spans="1:76">
      <c r="A163">
        <v>142</v>
      </c>
      <c r="B163" t="s">
        <v>521</v>
      </c>
      <c r="D163" t="b">
        <v>1</v>
      </c>
      <c r="E163" t="s">
        <v>522</v>
      </c>
      <c r="G163" t="s">
        <v>523</v>
      </c>
      <c r="H163" s="1" t="s">
        <v>96</v>
      </c>
      <c r="I163" s="1" t="s">
        <v>96</v>
      </c>
      <c r="J163">
        <v>20.57</v>
      </c>
      <c r="K163" s="1" t="s">
        <v>96</v>
      </c>
      <c r="L163" s="1" t="s">
        <v>96</v>
      </c>
      <c r="M163" s="1">
        <v>19.55</v>
      </c>
      <c r="N163" s="1" t="s">
        <v>96</v>
      </c>
      <c r="O163" s="1" t="s">
        <v>96</v>
      </c>
      <c r="P163" s="1" t="s">
        <v>96</v>
      </c>
      <c r="Q163" s="1" t="s">
        <v>96</v>
      </c>
      <c r="R163" s="1" t="s">
        <v>96</v>
      </c>
      <c r="S163" s="1" t="s">
        <v>96</v>
      </c>
      <c r="T163" t="s">
        <v>96</v>
      </c>
      <c r="U163" s="1" t="s">
        <v>96</v>
      </c>
      <c r="V163">
        <v>5.78</v>
      </c>
      <c r="W163">
        <v>15.3</v>
      </c>
      <c r="X163">
        <v>336.5</v>
      </c>
      <c r="Y163" s="1" t="s">
        <v>96</v>
      </c>
      <c r="Z163">
        <v>31.92</v>
      </c>
      <c r="AA163">
        <v>306.73</v>
      </c>
      <c r="AB163">
        <v>586.25</v>
      </c>
      <c r="AC163" s="1">
        <v>2.93</v>
      </c>
      <c r="AD163" s="1">
        <v>1.1100000000000001</v>
      </c>
      <c r="AE163" s="1" t="s">
        <v>96</v>
      </c>
      <c r="AF163" s="1" t="s">
        <v>96</v>
      </c>
      <c r="AG163" s="1" t="s">
        <v>96</v>
      </c>
      <c r="AH163" s="1" t="s">
        <v>96</v>
      </c>
      <c r="AI163">
        <v>293.66000000000003</v>
      </c>
      <c r="AJ163">
        <v>87.19</v>
      </c>
      <c r="AK163" s="1">
        <v>2.16</v>
      </c>
      <c r="AL163" s="1" t="s">
        <v>96</v>
      </c>
      <c r="AM163">
        <v>471.12</v>
      </c>
      <c r="AN163">
        <v>10.98</v>
      </c>
      <c r="AO163" s="1" t="s">
        <v>96</v>
      </c>
      <c r="AP163" s="1" t="s">
        <v>96</v>
      </c>
      <c r="AQ163">
        <v>23.44</v>
      </c>
      <c r="AR163" s="1" t="s">
        <v>96</v>
      </c>
      <c r="AS163">
        <v>1819.39</v>
      </c>
      <c r="AT163">
        <v>503.25</v>
      </c>
      <c r="AU163">
        <v>188.45</v>
      </c>
      <c r="AV163" s="1" t="s">
        <v>96</v>
      </c>
      <c r="AW163">
        <v>449.18</v>
      </c>
      <c r="AX163" s="1" t="s">
        <v>96</v>
      </c>
      <c r="AY163" s="1" t="s">
        <v>96</v>
      </c>
      <c r="AZ163">
        <v>18.87</v>
      </c>
      <c r="BA163" s="1">
        <v>2.68</v>
      </c>
      <c r="BB163" s="1" t="s">
        <v>96</v>
      </c>
      <c r="BC163">
        <v>48.59</v>
      </c>
      <c r="BD163">
        <v>14.15</v>
      </c>
      <c r="BE163" s="1" t="s">
        <v>96</v>
      </c>
      <c r="BF163" s="1" t="s">
        <v>96</v>
      </c>
      <c r="BG163">
        <v>2.71</v>
      </c>
      <c r="BH163">
        <v>12.04</v>
      </c>
      <c r="BI163">
        <v>14.75</v>
      </c>
      <c r="BJ163">
        <v>10.14</v>
      </c>
      <c r="BK163" s="1" t="s">
        <v>96</v>
      </c>
      <c r="BL163" s="1" t="s">
        <v>96</v>
      </c>
      <c r="BM163" s="1" t="s">
        <v>96</v>
      </c>
      <c r="BN163" s="1">
        <v>3.74</v>
      </c>
      <c r="BO163" s="1">
        <v>9.39</v>
      </c>
      <c r="BP163">
        <v>64.150000000000006</v>
      </c>
      <c r="BQ163">
        <v>5.05</v>
      </c>
      <c r="BR163" s="1" t="s">
        <v>96</v>
      </c>
      <c r="BS163">
        <v>453.36</v>
      </c>
      <c r="BT163" t="s">
        <v>96</v>
      </c>
      <c r="BU163" s="1" t="s">
        <v>96</v>
      </c>
      <c r="BV163">
        <v>13.35</v>
      </c>
      <c r="BW163">
        <v>36.89</v>
      </c>
      <c r="BX163" s="1" t="s">
        <v>96</v>
      </c>
    </row>
    <row r="164" spans="1:76">
      <c r="A164">
        <v>56</v>
      </c>
      <c r="B164" t="s">
        <v>263</v>
      </c>
      <c r="D164" t="b">
        <v>1</v>
      </c>
      <c r="E164" t="s">
        <v>264</v>
      </c>
      <c r="G164" t="s">
        <v>265</v>
      </c>
      <c r="H164" s="1" t="s">
        <v>96</v>
      </c>
      <c r="I164" s="1" t="s">
        <v>96</v>
      </c>
      <c r="J164">
        <v>4.8600000000000003</v>
      </c>
      <c r="K164" s="1" t="s">
        <v>96</v>
      </c>
      <c r="L164" s="1" t="s">
        <v>96</v>
      </c>
      <c r="M164" s="1" t="s">
        <v>96</v>
      </c>
      <c r="N164" s="1" t="s">
        <v>96</v>
      </c>
      <c r="O164" s="1" t="s">
        <v>96</v>
      </c>
      <c r="P164" s="1" t="s">
        <v>96</v>
      </c>
      <c r="Q164" s="1" t="s">
        <v>96</v>
      </c>
      <c r="R164" s="1" t="s">
        <v>96</v>
      </c>
      <c r="S164" s="1" t="s">
        <v>96</v>
      </c>
      <c r="T164">
        <v>1.34</v>
      </c>
      <c r="U164" s="1" t="s">
        <v>96</v>
      </c>
      <c r="V164">
        <v>2.89</v>
      </c>
      <c r="W164">
        <v>19.75</v>
      </c>
      <c r="X164">
        <v>71.95</v>
      </c>
      <c r="Y164" s="1" t="s">
        <v>96</v>
      </c>
      <c r="Z164">
        <v>19.86</v>
      </c>
      <c r="AA164">
        <v>309.3</v>
      </c>
      <c r="AB164">
        <v>130.94</v>
      </c>
      <c r="AC164" s="1" t="s">
        <v>96</v>
      </c>
      <c r="AD164" s="1">
        <v>1.2</v>
      </c>
      <c r="AE164" s="1" t="s">
        <v>96</v>
      </c>
      <c r="AF164" s="1" t="s">
        <v>96</v>
      </c>
      <c r="AG164" s="1" t="s">
        <v>96</v>
      </c>
      <c r="AH164" s="1" t="s">
        <v>96</v>
      </c>
      <c r="AI164" t="s">
        <v>96</v>
      </c>
      <c r="AJ164">
        <v>42.17</v>
      </c>
      <c r="AK164" s="1" t="s">
        <v>96</v>
      </c>
      <c r="AL164" s="1">
        <v>1.97</v>
      </c>
      <c r="AM164">
        <v>21.76</v>
      </c>
      <c r="AN164">
        <v>1.06</v>
      </c>
      <c r="AO164" s="1" t="s">
        <v>96</v>
      </c>
      <c r="AP164" s="1" t="s">
        <v>96</v>
      </c>
      <c r="AQ164">
        <v>8.52</v>
      </c>
      <c r="AR164" s="1" t="s">
        <v>96</v>
      </c>
      <c r="AS164">
        <v>809.7</v>
      </c>
      <c r="AT164">
        <v>338.44</v>
      </c>
      <c r="AU164">
        <v>29.65</v>
      </c>
      <c r="AV164" s="1" t="s">
        <v>96</v>
      </c>
      <c r="AW164">
        <v>268.08</v>
      </c>
      <c r="AX164" s="1" t="s">
        <v>96</v>
      </c>
      <c r="AY164" s="1" t="s">
        <v>96</v>
      </c>
      <c r="AZ164">
        <v>2.85</v>
      </c>
      <c r="BA164" s="1" t="s">
        <v>96</v>
      </c>
      <c r="BB164" s="1" t="s">
        <v>96</v>
      </c>
      <c r="BC164">
        <v>40.229999999999997</v>
      </c>
      <c r="BD164">
        <v>23.16</v>
      </c>
      <c r="BE164" s="1" t="s">
        <v>96</v>
      </c>
      <c r="BF164" s="1" t="s">
        <v>96</v>
      </c>
      <c r="BG164" t="s">
        <v>96</v>
      </c>
      <c r="BH164">
        <v>23.02</v>
      </c>
      <c r="BI164">
        <v>29.22</v>
      </c>
      <c r="BJ164">
        <v>2.52</v>
      </c>
      <c r="BK164" s="1" t="s">
        <v>96</v>
      </c>
      <c r="BL164" s="1" t="s">
        <v>96</v>
      </c>
      <c r="BM164" s="1" t="s">
        <v>96</v>
      </c>
      <c r="BN164" s="1" t="s">
        <v>96</v>
      </c>
      <c r="BO164" s="1">
        <v>10.09</v>
      </c>
      <c r="BP164">
        <v>81.97</v>
      </c>
      <c r="BQ164" t="s">
        <v>96</v>
      </c>
      <c r="BR164" s="1" t="s">
        <v>96</v>
      </c>
      <c r="BS164">
        <v>426.26</v>
      </c>
      <c r="BT164">
        <v>7.29</v>
      </c>
      <c r="BU164" s="1" t="s">
        <v>96</v>
      </c>
      <c r="BV164">
        <v>23.08</v>
      </c>
      <c r="BW164">
        <v>78.67</v>
      </c>
      <c r="BX164" s="1" t="s">
        <v>96</v>
      </c>
    </row>
    <row r="165" spans="1:76">
      <c r="A165">
        <v>121</v>
      </c>
      <c r="B165" t="s">
        <v>458</v>
      </c>
      <c r="D165" t="b">
        <v>1</v>
      </c>
      <c r="E165" t="s">
        <v>459</v>
      </c>
      <c r="G165" t="s">
        <v>460</v>
      </c>
      <c r="H165" s="1" t="s">
        <v>96</v>
      </c>
      <c r="I165" s="1" t="s">
        <v>96</v>
      </c>
      <c r="J165">
        <v>15.46</v>
      </c>
      <c r="K165" s="1" t="s">
        <v>96</v>
      </c>
      <c r="L165" s="1" t="s">
        <v>96</v>
      </c>
      <c r="M165" s="1" t="s">
        <v>96</v>
      </c>
      <c r="N165" s="1" t="s">
        <v>96</v>
      </c>
      <c r="O165" s="1">
        <v>14.74</v>
      </c>
      <c r="P165" s="1" t="s">
        <v>96</v>
      </c>
      <c r="Q165" s="1" t="s">
        <v>96</v>
      </c>
      <c r="R165" s="1" t="s">
        <v>96</v>
      </c>
      <c r="S165" s="1" t="s">
        <v>96</v>
      </c>
      <c r="T165">
        <v>3.1</v>
      </c>
      <c r="U165" s="1" t="s">
        <v>96</v>
      </c>
      <c r="V165">
        <v>41.46</v>
      </c>
      <c r="W165">
        <v>13.21</v>
      </c>
      <c r="X165">
        <v>268.31</v>
      </c>
      <c r="Y165" s="1" t="s">
        <v>96</v>
      </c>
      <c r="Z165">
        <v>10.59</v>
      </c>
      <c r="AA165">
        <v>868.14</v>
      </c>
      <c r="AB165" t="s">
        <v>133</v>
      </c>
      <c r="AC165" s="1">
        <v>3.07</v>
      </c>
      <c r="AD165" s="1">
        <v>3.09</v>
      </c>
      <c r="AE165" s="1" t="s">
        <v>96</v>
      </c>
      <c r="AF165" s="1" t="s">
        <v>96</v>
      </c>
      <c r="AG165" s="1" t="s">
        <v>96</v>
      </c>
      <c r="AH165" s="1">
        <v>5</v>
      </c>
      <c r="AI165">
        <v>2298.23</v>
      </c>
      <c r="AJ165">
        <v>334.75</v>
      </c>
      <c r="AK165" s="1" t="s">
        <v>96</v>
      </c>
      <c r="AL165" s="1">
        <v>3.86</v>
      </c>
      <c r="AM165">
        <v>868.36</v>
      </c>
      <c r="AN165">
        <v>16.690000000000001</v>
      </c>
      <c r="AO165" s="1" t="s">
        <v>96</v>
      </c>
      <c r="AP165" s="1" t="s">
        <v>96</v>
      </c>
      <c r="AQ165">
        <v>8.31</v>
      </c>
      <c r="AR165" s="1">
        <v>4.71</v>
      </c>
      <c r="AS165">
        <v>1164.79</v>
      </c>
      <c r="AT165">
        <v>565.96</v>
      </c>
      <c r="AU165">
        <v>390.59</v>
      </c>
      <c r="AV165" s="1" t="s">
        <v>96</v>
      </c>
      <c r="AW165">
        <v>284.79000000000002</v>
      </c>
      <c r="AX165" s="1" t="s">
        <v>96</v>
      </c>
      <c r="AY165" s="1" t="s">
        <v>96</v>
      </c>
      <c r="AZ165">
        <v>8.76</v>
      </c>
      <c r="BA165" s="1">
        <v>5.92</v>
      </c>
      <c r="BB165" s="1" t="s">
        <v>96</v>
      </c>
      <c r="BC165">
        <v>39.58</v>
      </c>
      <c r="BD165">
        <v>22.85</v>
      </c>
      <c r="BE165" s="1" t="s">
        <v>96</v>
      </c>
      <c r="BF165" s="1" t="s">
        <v>96</v>
      </c>
      <c r="BG165" t="s">
        <v>96</v>
      </c>
      <c r="BH165">
        <v>9.77</v>
      </c>
      <c r="BI165">
        <v>42.02</v>
      </c>
      <c r="BJ165">
        <v>22.02</v>
      </c>
      <c r="BK165" s="1" t="s">
        <v>96</v>
      </c>
      <c r="BL165" s="1" t="s">
        <v>96</v>
      </c>
      <c r="BM165" s="1">
        <v>17.579999999999998</v>
      </c>
      <c r="BN165" s="1">
        <v>5.74</v>
      </c>
      <c r="BO165" s="1">
        <v>15.51</v>
      </c>
      <c r="BP165">
        <v>72.319999999999993</v>
      </c>
      <c r="BQ165" t="s">
        <v>96</v>
      </c>
      <c r="BR165" s="1" t="s">
        <v>96</v>
      </c>
      <c r="BS165">
        <v>296.48</v>
      </c>
      <c r="BT165">
        <v>7.43</v>
      </c>
      <c r="BU165" s="1" t="s">
        <v>96</v>
      </c>
      <c r="BV165">
        <v>139.58000000000001</v>
      </c>
      <c r="BW165">
        <v>93.17</v>
      </c>
      <c r="BX165" s="1" t="s">
        <v>96</v>
      </c>
    </row>
    <row r="166" spans="1:76">
      <c r="A166">
        <v>39</v>
      </c>
      <c r="B166" t="s">
        <v>212</v>
      </c>
      <c r="D166" t="b">
        <v>1</v>
      </c>
      <c r="E166" t="s">
        <v>213</v>
      </c>
      <c r="G166" t="s">
        <v>214</v>
      </c>
      <c r="H166" s="1" t="s">
        <v>96</v>
      </c>
      <c r="I166" s="1" t="s">
        <v>96</v>
      </c>
      <c r="J166">
        <v>15.33</v>
      </c>
      <c r="K166" s="1" t="s">
        <v>96</v>
      </c>
      <c r="L166" s="1" t="s">
        <v>96</v>
      </c>
      <c r="M166" s="1" t="s">
        <v>96</v>
      </c>
      <c r="N166" s="1" t="s">
        <v>96</v>
      </c>
      <c r="O166" s="1" t="s">
        <v>96</v>
      </c>
      <c r="P166" s="1" t="s">
        <v>96</v>
      </c>
      <c r="Q166" s="1" t="s">
        <v>96</v>
      </c>
      <c r="R166" s="1" t="s">
        <v>96</v>
      </c>
      <c r="S166" s="1" t="s">
        <v>96</v>
      </c>
      <c r="T166" t="s">
        <v>96</v>
      </c>
      <c r="U166" s="1" t="s">
        <v>96</v>
      </c>
      <c r="V166">
        <v>11.03</v>
      </c>
      <c r="W166">
        <v>46.38</v>
      </c>
      <c r="X166">
        <v>50.22</v>
      </c>
      <c r="Y166" s="1" t="s">
        <v>96</v>
      </c>
      <c r="Z166">
        <v>37.85</v>
      </c>
      <c r="AA166" t="s">
        <v>133</v>
      </c>
      <c r="AB166">
        <v>173.17</v>
      </c>
      <c r="AC166" s="1" t="s">
        <v>96</v>
      </c>
      <c r="AD166" s="1" t="s">
        <v>96</v>
      </c>
      <c r="AE166" s="1" t="s">
        <v>96</v>
      </c>
      <c r="AF166" s="1" t="s">
        <v>96</v>
      </c>
      <c r="AG166" s="1" t="s">
        <v>96</v>
      </c>
      <c r="AH166" s="1" t="s">
        <v>96</v>
      </c>
      <c r="AI166">
        <v>383.25</v>
      </c>
      <c r="AJ166">
        <v>32.979999999999997</v>
      </c>
      <c r="AK166" s="1" t="s">
        <v>96</v>
      </c>
      <c r="AL166" s="1" t="s">
        <v>96</v>
      </c>
      <c r="AM166">
        <v>13.92</v>
      </c>
      <c r="AN166" t="s">
        <v>96</v>
      </c>
      <c r="AO166" s="1" t="s">
        <v>96</v>
      </c>
      <c r="AP166" s="1" t="s">
        <v>96</v>
      </c>
      <c r="AQ166">
        <v>18.920000000000002</v>
      </c>
      <c r="AR166" s="1" t="s">
        <v>96</v>
      </c>
      <c r="AS166">
        <v>705.49</v>
      </c>
      <c r="AT166">
        <v>706.87</v>
      </c>
      <c r="AU166">
        <v>30.88</v>
      </c>
      <c r="AV166" s="1" t="s">
        <v>96</v>
      </c>
      <c r="AW166">
        <v>63.57</v>
      </c>
      <c r="AX166" s="1" t="s">
        <v>96</v>
      </c>
      <c r="AY166" s="1">
        <v>4.63</v>
      </c>
      <c r="AZ166" t="s">
        <v>96</v>
      </c>
      <c r="BA166" s="1" t="s">
        <v>96</v>
      </c>
      <c r="BB166" s="1" t="s">
        <v>96</v>
      </c>
      <c r="BC166">
        <v>23.96</v>
      </c>
      <c r="BD166">
        <v>32.39</v>
      </c>
      <c r="BE166" s="1" t="s">
        <v>96</v>
      </c>
      <c r="BF166" s="1" t="s">
        <v>96</v>
      </c>
      <c r="BG166" t="s">
        <v>96</v>
      </c>
      <c r="BH166">
        <v>4.67</v>
      </c>
      <c r="BI166">
        <v>32.14</v>
      </c>
      <c r="BJ166">
        <v>6.46</v>
      </c>
      <c r="BK166" s="1" t="s">
        <v>96</v>
      </c>
      <c r="BL166" s="1" t="s">
        <v>96</v>
      </c>
      <c r="BM166" s="1" t="s">
        <v>96</v>
      </c>
      <c r="BN166" s="1" t="s">
        <v>96</v>
      </c>
      <c r="BO166" s="1">
        <v>7.53</v>
      </c>
      <c r="BP166">
        <v>16.260000000000002</v>
      </c>
      <c r="BQ166" t="s">
        <v>96</v>
      </c>
      <c r="BR166" s="1" t="s">
        <v>96</v>
      </c>
      <c r="BS166">
        <v>453.22</v>
      </c>
      <c r="BT166" t="s">
        <v>96</v>
      </c>
      <c r="BU166" s="1" t="s">
        <v>96</v>
      </c>
      <c r="BV166">
        <v>10.93</v>
      </c>
      <c r="BW166">
        <v>64.78</v>
      </c>
      <c r="BX166" s="1" t="s">
        <v>96</v>
      </c>
    </row>
    <row r="167" spans="1:76">
      <c r="A167">
        <v>96</v>
      </c>
      <c r="B167" t="s">
        <v>383</v>
      </c>
      <c r="D167" t="b">
        <v>1</v>
      </c>
      <c r="E167" t="s">
        <v>384</v>
      </c>
      <c r="G167" t="s">
        <v>385</v>
      </c>
      <c r="H167" s="1" t="s">
        <v>96</v>
      </c>
      <c r="I167" s="1" t="s">
        <v>96</v>
      </c>
      <c r="J167">
        <v>15.23</v>
      </c>
      <c r="K167" s="1" t="s">
        <v>96</v>
      </c>
      <c r="L167" s="1" t="s">
        <v>96</v>
      </c>
      <c r="M167" s="1" t="s">
        <v>96</v>
      </c>
      <c r="N167" s="1" t="s">
        <v>96</v>
      </c>
      <c r="O167" s="1" t="s">
        <v>96</v>
      </c>
      <c r="P167" s="1" t="s">
        <v>96</v>
      </c>
      <c r="Q167" s="1" t="s">
        <v>96</v>
      </c>
      <c r="R167" s="1" t="s">
        <v>96</v>
      </c>
      <c r="S167" s="1" t="s">
        <v>96</v>
      </c>
      <c r="T167" t="s">
        <v>96</v>
      </c>
      <c r="U167" s="1" t="s">
        <v>96</v>
      </c>
      <c r="V167">
        <v>1.1200000000000001</v>
      </c>
      <c r="W167">
        <v>6.76</v>
      </c>
      <c r="X167">
        <v>52.94</v>
      </c>
      <c r="Y167" s="1" t="s">
        <v>96</v>
      </c>
      <c r="Z167" t="s">
        <v>96</v>
      </c>
      <c r="AA167">
        <v>38.96</v>
      </c>
      <c r="AB167">
        <v>46.64</v>
      </c>
      <c r="AC167" s="1" t="s">
        <v>96</v>
      </c>
      <c r="AD167" s="1">
        <v>1.64</v>
      </c>
      <c r="AE167" s="1" t="s">
        <v>96</v>
      </c>
      <c r="AF167" s="1" t="s">
        <v>96</v>
      </c>
      <c r="AG167" s="1" t="s">
        <v>96</v>
      </c>
      <c r="AH167" s="1" t="s">
        <v>96</v>
      </c>
      <c r="AI167" t="s">
        <v>96</v>
      </c>
      <c r="AJ167">
        <v>10.37</v>
      </c>
      <c r="AK167" s="1" t="s">
        <v>96</v>
      </c>
      <c r="AL167" s="1" t="s">
        <v>96</v>
      </c>
      <c r="AM167">
        <v>75.92</v>
      </c>
      <c r="AN167">
        <v>8.08</v>
      </c>
      <c r="AO167" s="1" t="s">
        <v>96</v>
      </c>
      <c r="AP167" s="1" t="s">
        <v>96</v>
      </c>
      <c r="AQ167" t="s">
        <v>96</v>
      </c>
      <c r="AR167" s="1" t="s">
        <v>96</v>
      </c>
      <c r="AS167">
        <v>874.36</v>
      </c>
      <c r="AT167">
        <v>146.66999999999999</v>
      </c>
      <c r="AU167">
        <v>257.52999999999997</v>
      </c>
      <c r="AV167" s="1" t="s">
        <v>96</v>
      </c>
      <c r="AW167">
        <v>366.63</v>
      </c>
      <c r="AX167" s="1" t="s">
        <v>96</v>
      </c>
      <c r="AY167" s="1" t="s">
        <v>96</v>
      </c>
      <c r="AZ167">
        <v>35.67</v>
      </c>
      <c r="BA167" s="1">
        <v>7.02</v>
      </c>
      <c r="BB167" s="1" t="s">
        <v>96</v>
      </c>
      <c r="BC167">
        <v>41.42</v>
      </c>
      <c r="BD167">
        <v>7.66</v>
      </c>
      <c r="BE167" s="1" t="s">
        <v>96</v>
      </c>
      <c r="BF167" s="1">
        <v>2.76</v>
      </c>
      <c r="BG167">
        <v>3.33</v>
      </c>
      <c r="BH167">
        <v>16.989999999999998</v>
      </c>
      <c r="BI167">
        <v>28.25</v>
      </c>
      <c r="BJ167">
        <v>5.94</v>
      </c>
      <c r="BK167" s="1" t="s">
        <v>96</v>
      </c>
      <c r="BL167" s="1" t="s">
        <v>96</v>
      </c>
      <c r="BM167" s="1" t="s">
        <v>96</v>
      </c>
      <c r="BN167" s="1" t="s">
        <v>96</v>
      </c>
      <c r="BO167" s="1">
        <v>22.71</v>
      </c>
      <c r="BP167">
        <v>159.12</v>
      </c>
      <c r="BQ167">
        <v>19.66</v>
      </c>
      <c r="BR167" s="1" t="s">
        <v>96</v>
      </c>
      <c r="BS167">
        <v>325.73</v>
      </c>
      <c r="BT167">
        <v>7.01</v>
      </c>
      <c r="BU167" s="1" t="s">
        <v>96</v>
      </c>
      <c r="BV167">
        <v>78.42</v>
      </c>
      <c r="BW167">
        <v>80.709999999999994</v>
      </c>
      <c r="BX167" s="1" t="s">
        <v>96</v>
      </c>
    </row>
    <row r="168" spans="1:76">
      <c r="A168">
        <v>38</v>
      </c>
      <c r="B168" t="s">
        <v>209</v>
      </c>
      <c r="D168" t="b">
        <v>1</v>
      </c>
      <c r="E168" t="s">
        <v>210</v>
      </c>
      <c r="G168" t="s">
        <v>211</v>
      </c>
      <c r="H168" s="1" t="s">
        <v>96</v>
      </c>
      <c r="I168" s="1" t="s">
        <v>96</v>
      </c>
      <c r="J168">
        <v>9.5399999999999991</v>
      </c>
      <c r="K168" s="1" t="s">
        <v>96</v>
      </c>
      <c r="L168" s="1" t="s">
        <v>96</v>
      </c>
      <c r="M168" s="1" t="s">
        <v>96</v>
      </c>
      <c r="N168" s="1" t="s">
        <v>96</v>
      </c>
      <c r="O168" s="1" t="s">
        <v>96</v>
      </c>
      <c r="P168" s="1" t="s">
        <v>96</v>
      </c>
      <c r="Q168" s="1" t="s">
        <v>96</v>
      </c>
      <c r="R168" s="1" t="s">
        <v>96</v>
      </c>
      <c r="S168" s="1" t="s">
        <v>96</v>
      </c>
      <c r="T168" t="s">
        <v>96</v>
      </c>
      <c r="U168" s="1" t="s">
        <v>96</v>
      </c>
      <c r="V168">
        <v>2.46</v>
      </c>
      <c r="W168">
        <v>62.45</v>
      </c>
      <c r="X168">
        <v>28.95</v>
      </c>
      <c r="Y168" s="1" t="s">
        <v>96</v>
      </c>
      <c r="Z168">
        <v>35.54</v>
      </c>
      <c r="AA168">
        <v>911.09</v>
      </c>
      <c r="AB168">
        <v>65.8</v>
      </c>
      <c r="AC168" s="1" t="s">
        <v>96</v>
      </c>
      <c r="AD168" s="1" t="s">
        <v>96</v>
      </c>
      <c r="AE168" s="1" t="s">
        <v>96</v>
      </c>
      <c r="AF168" s="1" t="s">
        <v>96</v>
      </c>
      <c r="AG168" s="1" t="s">
        <v>96</v>
      </c>
      <c r="AH168" s="1" t="s">
        <v>96</v>
      </c>
      <c r="AI168">
        <v>118.89</v>
      </c>
      <c r="AJ168">
        <v>38.770000000000003</v>
      </c>
      <c r="AK168" s="1" t="s">
        <v>96</v>
      </c>
      <c r="AL168" s="1">
        <v>1.18</v>
      </c>
      <c r="AM168">
        <v>79.599999999999994</v>
      </c>
      <c r="AN168">
        <v>1.37</v>
      </c>
      <c r="AO168" s="1" t="s">
        <v>96</v>
      </c>
      <c r="AP168" s="1" t="s">
        <v>96</v>
      </c>
      <c r="AQ168">
        <v>32.630000000000003</v>
      </c>
      <c r="AR168" s="1" t="s">
        <v>96</v>
      </c>
      <c r="AS168">
        <v>1207.3599999999999</v>
      </c>
      <c r="AT168">
        <v>1051.4100000000001</v>
      </c>
      <c r="AU168">
        <v>44.78</v>
      </c>
      <c r="AV168" s="1" t="s">
        <v>96</v>
      </c>
      <c r="AW168">
        <v>230.52</v>
      </c>
      <c r="AX168" s="1" t="s">
        <v>96</v>
      </c>
      <c r="AY168" s="1">
        <v>4.68</v>
      </c>
      <c r="AZ168" t="s">
        <v>96</v>
      </c>
      <c r="BA168" s="1" t="s">
        <v>96</v>
      </c>
      <c r="BB168" s="1" t="s">
        <v>96</v>
      </c>
      <c r="BC168">
        <v>47.37</v>
      </c>
      <c r="BD168">
        <v>49.58</v>
      </c>
      <c r="BE168" s="1" t="s">
        <v>96</v>
      </c>
      <c r="BF168" s="1" t="s">
        <v>96</v>
      </c>
      <c r="BG168" t="s">
        <v>96</v>
      </c>
      <c r="BH168">
        <v>12.06</v>
      </c>
      <c r="BI168">
        <v>72.53</v>
      </c>
      <c r="BJ168">
        <v>16.04</v>
      </c>
      <c r="BK168" s="1" t="s">
        <v>96</v>
      </c>
      <c r="BL168" s="1" t="s">
        <v>96</v>
      </c>
      <c r="BM168" s="1">
        <v>6.36</v>
      </c>
      <c r="BN168" s="1" t="s">
        <v>96</v>
      </c>
      <c r="BO168" s="1">
        <v>9.58</v>
      </c>
      <c r="BP168">
        <v>77.13</v>
      </c>
      <c r="BQ168" t="s">
        <v>96</v>
      </c>
      <c r="BR168" s="1" t="s">
        <v>96</v>
      </c>
      <c r="BS168">
        <v>1553.49</v>
      </c>
      <c r="BT168">
        <v>13.35</v>
      </c>
      <c r="BU168" s="1" t="s">
        <v>96</v>
      </c>
      <c r="BV168">
        <v>31.75</v>
      </c>
      <c r="BW168">
        <v>256.69</v>
      </c>
      <c r="BX168" s="1" t="s">
        <v>96</v>
      </c>
    </row>
    <row r="169" spans="1:76">
      <c r="A169">
        <v>68</v>
      </c>
      <c r="B169" t="s">
        <v>299</v>
      </c>
      <c r="D169" t="b">
        <v>1</v>
      </c>
      <c r="E169" t="s">
        <v>300</v>
      </c>
      <c r="G169" t="s">
        <v>301</v>
      </c>
      <c r="H169" s="1" t="s">
        <v>96</v>
      </c>
      <c r="I169" s="1" t="s">
        <v>96</v>
      </c>
      <c r="J169">
        <v>13.36</v>
      </c>
      <c r="K169" s="1" t="s">
        <v>96</v>
      </c>
      <c r="L169" s="1" t="s">
        <v>96</v>
      </c>
      <c r="M169" s="1" t="s">
        <v>96</v>
      </c>
      <c r="N169" s="1" t="s">
        <v>96</v>
      </c>
      <c r="O169" s="1" t="s">
        <v>96</v>
      </c>
      <c r="P169" s="1" t="s">
        <v>96</v>
      </c>
      <c r="Q169" s="1" t="s">
        <v>96</v>
      </c>
      <c r="R169" s="1" t="s">
        <v>96</v>
      </c>
      <c r="S169" s="1" t="s">
        <v>96</v>
      </c>
      <c r="T169">
        <v>2.21</v>
      </c>
      <c r="U169" s="1" t="s">
        <v>96</v>
      </c>
      <c r="V169">
        <v>4.72</v>
      </c>
      <c r="W169">
        <v>13.11</v>
      </c>
      <c r="X169">
        <v>97.08</v>
      </c>
      <c r="Y169" s="1" t="s">
        <v>96</v>
      </c>
      <c r="Z169">
        <v>17.010000000000002</v>
      </c>
      <c r="AA169">
        <v>427.12</v>
      </c>
      <c r="AB169">
        <v>288.26</v>
      </c>
      <c r="AC169" s="1" t="s">
        <v>96</v>
      </c>
      <c r="AD169" s="1" t="s">
        <v>96</v>
      </c>
      <c r="AE169" s="1" t="s">
        <v>96</v>
      </c>
      <c r="AF169" s="1" t="s">
        <v>96</v>
      </c>
      <c r="AG169" s="1" t="s">
        <v>96</v>
      </c>
      <c r="AH169" s="1" t="s">
        <v>96</v>
      </c>
      <c r="AI169">
        <v>215.22</v>
      </c>
      <c r="AJ169">
        <v>49.19</v>
      </c>
      <c r="AK169" s="1" t="s">
        <v>96</v>
      </c>
      <c r="AL169" s="1" t="s">
        <v>96</v>
      </c>
      <c r="AM169">
        <v>109.02</v>
      </c>
      <c r="AN169">
        <v>4.84</v>
      </c>
      <c r="AO169" s="1" t="s">
        <v>96</v>
      </c>
      <c r="AP169" s="1" t="s">
        <v>96</v>
      </c>
      <c r="AQ169">
        <v>15.08</v>
      </c>
      <c r="AR169" s="1" t="s">
        <v>96</v>
      </c>
      <c r="AS169">
        <v>2489.0700000000002</v>
      </c>
      <c r="AT169">
        <v>1117.07</v>
      </c>
      <c r="AU169">
        <v>192.73</v>
      </c>
      <c r="AV169" s="1" t="s">
        <v>96</v>
      </c>
      <c r="AW169" t="s">
        <v>133</v>
      </c>
      <c r="AX169" s="1" t="s">
        <v>96</v>
      </c>
      <c r="AY169" s="1">
        <v>3.05</v>
      </c>
      <c r="AZ169">
        <v>34.19</v>
      </c>
      <c r="BA169" s="1">
        <v>11.39</v>
      </c>
      <c r="BB169" s="1" t="s">
        <v>96</v>
      </c>
      <c r="BC169">
        <v>264.39</v>
      </c>
      <c r="BD169">
        <v>140.76</v>
      </c>
      <c r="BE169" s="1" t="s">
        <v>96</v>
      </c>
      <c r="BF169" s="1">
        <v>7.01</v>
      </c>
      <c r="BG169">
        <v>3.51</v>
      </c>
      <c r="BH169">
        <v>209.42</v>
      </c>
      <c r="BI169">
        <v>29.98</v>
      </c>
      <c r="BJ169">
        <v>2.62</v>
      </c>
      <c r="BK169" s="1" t="s">
        <v>96</v>
      </c>
      <c r="BL169" s="1" t="s">
        <v>96</v>
      </c>
      <c r="BM169" s="1" t="s">
        <v>96</v>
      </c>
      <c r="BN169" s="1" t="s">
        <v>96</v>
      </c>
      <c r="BO169" s="1" t="s">
        <v>96</v>
      </c>
      <c r="BP169">
        <v>76.31</v>
      </c>
      <c r="BQ169">
        <v>8.9</v>
      </c>
      <c r="BR169" s="1" t="s">
        <v>96</v>
      </c>
      <c r="BS169">
        <v>220.15</v>
      </c>
      <c r="BT169">
        <v>25.62</v>
      </c>
      <c r="BU169" s="1" t="s">
        <v>96</v>
      </c>
      <c r="BV169">
        <v>27.98</v>
      </c>
      <c r="BW169">
        <v>125.96</v>
      </c>
      <c r="BX169" s="1" t="s">
        <v>96</v>
      </c>
    </row>
    <row r="170" spans="1:76">
      <c r="A170">
        <v>49</v>
      </c>
      <c r="B170" t="s">
        <v>242</v>
      </c>
      <c r="D170" t="b">
        <v>1</v>
      </c>
      <c r="E170" t="s">
        <v>243</v>
      </c>
      <c r="G170" t="s">
        <v>244</v>
      </c>
      <c r="H170" s="1" t="s">
        <v>96</v>
      </c>
      <c r="I170" s="1" t="s">
        <v>96</v>
      </c>
      <c r="J170">
        <v>17.37</v>
      </c>
      <c r="K170" s="1" t="s">
        <v>96</v>
      </c>
      <c r="L170" s="1" t="s">
        <v>96</v>
      </c>
      <c r="M170" s="1" t="s">
        <v>96</v>
      </c>
      <c r="N170" s="1" t="s">
        <v>96</v>
      </c>
      <c r="O170" s="1" t="s">
        <v>96</v>
      </c>
      <c r="P170" s="1" t="s">
        <v>96</v>
      </c>
      <c r="Q170" s="1" t="s">
        <v>96</v>
      </c>
      <c r="R170" s="1" t="s">
        <v>96</v>
      </c>
      <c r="S170" s="1" t="s">
        <v>96</v>
      </c>
      <c r="T170" t="s">
        <v>96</v>
      </c>
      <c r="U170" s="1" t="s">
        <v>96</v>
      </c>
      <c r="V170">
        <v>6.57</v>
      </c>
      <c r="W170" t="s">
        <v>96</v>
      </c>
      <c r="X170">
        <v>5.22</v>
      </c>
      <c r="Y170" s="1" t="s">
        <v>96</v>
      </c>
      <c r="Z170" t="s">
        <v>96</v>
      </c>
      <c r="AA170" t="s">
        <v>96</v>
      </c>
      <c r="AB170">
        <v>258.64</v>
      </c>
      <c r="AC170" s="1" t="s">
        <v>96</v>
      </c>
      <c r="AD170" s="1" t="s">
        <v>96</v>
      </c>
      <c r="AE170" s="1" t="s">
        <v>96</v>
      </c>
      <c r="AF170" s="1" t="s">
        <v>96</v>
      </c>
      <c r="AG170" s="1" t="s">
        <v>96</v>
      </c>
      <c r="AH170" s="1">
        <v>1.52</v>
      </c>
      <c r="AI170">
        <v>329.16</v>
      </c>
      <c r="AJ170">
        <v>3.7</v>
      </c>
      <c r="AK170" s="1" t="s">
        <v>96</v>
      </c>
      <c r="AL170" s="1">
        <v>1.2</v>
      </c>
      <c r="AM170">
        <v>396.43</v>
      </c>
      <c r="AN170">
        <v>17.559999999999999</v>
      </c>
      <c r="AO170" s="1" t="s">
        <v>96</v>
      </c>
      <c r="AP170" s="1" t="s">
        <v>96</v>
      </c>
      <c r="AQ170" t="s">
        <v>96</v>
      </c>
      <c r="AR170" s="1" t="s">
        <v>96</v>
      </c>
      <c r="AS170" t="s">
        <v>133</v>
      </c>
      <c r="AT170">
        <v>4.38</v>
      </c>
      <c r="AU170">
        <v>52.82</v>
      </c>
      <c r="AV170" s="1" t="s">
        <v>96</v>
      </c>
      <c r="AW170" t="s">
        <v>133</v>
      </c>
      <c r="AX170" s="1" t="s">
        <v>96</v>
      </c>
      <c r="AY170" s="1" t="s">
        <v>96</v>
      </c>
      <c r="AZ170">
        <v>58.26</v>
      </c>
      <c r="BA170" s="1" t="s">
        <v>96</v>
      </c>
      <c r="BB170" s="1" t="s">
        <v>96</v>
      </c>
      <c r="BC170">
        <v>93.5</v>
      </c>
      <c r="BD170" t="s">
        <v>96</v>
      </c>
      <c r="BE170" s="1" t="s">
        <v>96</v>
      </c>
      <c r="BF170" s="1" t="s">
        <v>96</v>
      </c>
      <c r="BG170" t="s">
        <v>96</v>
      </c>
      <c r="BH170">
        <v>133.33000000000001</v>
      </c>
      <c r="BI170" t="s">
        <v>96</v>
      </c>
      <c r="BJ170" t="s">
        <v>96</v>
      </c>
      <c r="BK170" s="1" t="s">
        <v>96</v>
      </c>
      <c r="BL170" s="1" t="s">
        <v>96</v>
      </c>
      <c r="BM170" s="1" t="s">
        <v>96</v>
      </c>
      <c r="BN170" s="1" t="s">
        <v>96</v>
      </c>
      <c r="BO170" s="1" t="s">
        <v>96</v>
      </c>
      <c r="BP170">
        <v>161.44999999999999</v>
      </c>
      <c r="BQ170" t="s">
        <v>96</v>
      </c>
      <c r="BR170" s="1">
        <v>8.56</v>
      </c>
      <c r="BS170">
        <v>8.5399999999999991</v>
      </c>
      <c r="BT170" t="s">
        <v>96</v>
      </c>
      <c r="BU170" s="1" t="s">
        <v>96</v>
      </c>
      <c r="BV170">
        <v>10.55</v>
      </c>
      <c r="BW170" t="s">
        <v>96</v>
      </c>
      <c r="BX170" s="1" t="s">
        <v>96</v>
      </c>
    </row>
    <row r="171" spans="1:76">
      <c r="A171">
        <v>34</v>
      </c>
      <c r="B171" t="s">
        <v>197</v>
      </c>
      <c r="D171" t="b">
        <v>1</v>
      </c>
      <c r="E171" t="s">
        <v>198</v>
      </c>
      <c r="G171" t="s">
        <v>199</v>
      </c>
      <c r="H171" s="1" t="s">
        <v>96</v>
      </c>
      <c r="I171" s="1" t="s">
        <v>96</v>
      </c>
      <c r="J171">
        <v>14.6</v>
      </c>
      <c r="K171" s="1" t="s">
        <v>96</v>
      </c>
      <c r="L171" s="1" t="s">
        <v>96</v>
      </c>
      <c r="M171" s="1" t="s">
        <v>96</v>
      </c>
      <c r="N171" s="1" t="s">
        <v>96</v>
      </c>
      <c r="O171" s="1" t="s">
        <v>96</v>
      </c>
      <c r="P171" s="1" t="s">
        <v>96</v>
      </c>
      <c r="Q171" s="1" t="s">
        <v>96</v>
      </c>
      <c r="R171" s="1" t="s">
        <v>96</v>
      </c>
      <c r="S171" s="1" t="s">
        <v>96</v>
      </c>
      <c r="T171" t="s">
        <v>96</v>
      </c>
      <c r="U171" s="1" t="s">
        <v>96</v>
      </c>
      <c r="V171">
        <v>2.7</v>
      </c>
      <c r="W171">
        <v>24.62</v>
      </c>
      <c r="X171">
        <v>48.92</v>
      </c>
      <c r="Y171" s="1" t="s">
        <v>96</v>
      </c>
      <c r="Z171">
        <v>15.96</v>
      </c>
      <c r="AA171">
        <v>406.69</v>
      </c>
      <c r="AB171">
        <v>39.25</v>
      </c>
      <c r="AC171" s="1" t="s">
        <v>96</v>
      </c>
      <c r="AD171" s="1" t="s">
        <v>96</v>
      </c>
      <c r="AE171" s="1" t="s">
        <v>96</v>
      </c>
      <c r="AF171" s="1" t="s">
        <v>96</v>
      </c>
      <c r="AG171" s="1" t="s">
        <v>96</v>
      </c>
      <c r="AH171" s="1" t="s">
        <v>96</v>
      </c>
      <c r="AI171">
        <v>34.130000000000003</v>
      </c>
      <c r="AJ171">
        <v>22.82</v>
      </c>
      <c r="AK171" s="1" t="s">
        <v>96</v>
      </c>
      <c r="AL171" s="1" t="s">
        <v>96</v>
      </c>
      <c r="AM171">
        <v>12.69</v>
      </c>
      <c r="AN171" t="s">
        <v>96</v>
      </c>
      <c r="AO171" s="1" t="s">
        <v>96</v>
      </c>
      <c r="AP171" s="1" t="s">
        <v>96</v>
      </c>
      <c r="AQ171">
        <v>17.579999999999998</v>
      </c>
      <c r="AR171" s="1" t="s">
        <v>96</v>
      </c>
      <c r="AS171">
        <v>1195.44</v>
      </c>
      <c r="AT171">
        <v>509.86</v>
      </c>
      <c r="AU171">
        <v>41.24</v>
      </c>
      <c r="AV171" s="1" t="s">
        <v>96</v>
      </c>
      <c r="AW171">
        <v>232.47</v>
      </c>
      <c r="AX171" s="1" t="s">
        <v>96</v>
      </c>
      <c r="AY171" s="1">
        <v>2.79</v>
      </c>
      <c r="AZ171">
        <v>3.51</v>
      </c>
      <c r="BA171" s="1" t="s">
        <v>96</v>
      </c>
      <c r="BB171" s="1" t="s">
        <v>96</v>
      </c>
      <c r="BC171">
        <v>58.33</v>
      </c>
      <c r="BD171">
        <v>31.73</v>
      </c>
      <c r="BE171" s="1" t="s">
        <v>96</v>
      </c>
      <c r="BF171" s="1" t="s">
        <v>96</v>
      </c>
      <c r="BG171" t="s">
        <v>96</v>
      </c>
      <c r="BH171">
        <v>11.98</v>
      </c>
      <c r="BI171">
        <v>30.54</v>
      </c>
      <c r="BJ171">
        <v>6.81</v>
      </c>
      <c r="BK171" s="1" t="s">
        <v>96</v>
      </c>
      <c r="BL171" s="1" t="s">
        <v>96</v>
      </c>
      <c r="BM171" s="1" t="s">
        <v>96</v>
      </c>
      <c r="BN171" s="1" t="s">
        <v>96</v>
      </c>
      <c r="BO171" s="1">
        <v>10.82</v>
      </c>
      <c r="BP171">
        <v>96.93</v>
      </c>
      <c r="BQ171" t="s">
        <v>96</v>
      </c>
      <c r="BR171" s="1" t="s">
        <v>96</v>
      </c>
      <c r="BS171">
        <v>912.62</v>
      </c>
      <c r="BT171">
        <v>8.2100000000000009</v>
      </c>
      <c r="BU171" s="1" t="s">
        <v>96</v>
      </c>
      <c r="BV171">
        <v>52.27</v>
      </c>
      <c r="BW171">
        <v>125.82</v>
      </c>
      <c r="BX171" s="1" t="s">
        <v>96</v>
      </c>
    </row>
    <row r="172" spans="1:76">
      <c r="A172">
        <v>97</v>
      </c>
      <c r="B172" t="s">
        <v>386</v>
      </c>
      <c r="D172" t="b">
        <v>1</v>
      </c>
      <c r="E172" t="s">
        <v>387</v>
      </c>
      <c r="G172" t="s">
        <v>388</v>
      </c>
      <c r="H172" s="1" t="s">
        <v>96</v>
      </c>
      <c r="I172" s="1" t="s">
        <v>96</v>
      </c>
      <c r="J172">
        <v>27.06</v>
      </c>
      <c r="K172" s="1" t="s">
        <v>96</v>
      </c>
      <c r="L172" s="1" t="s">
        <v>96</v>
      </c>
      <c r="M172" s="1" t="s">
        <v>96</v>
      </c>
      <c r="N172" s="1" t="s">
        <v>96</v>
      </c>
      <c r="O172" s="1" t="s">
        <v>96</v>
      </c>
      <c r="P172" s="1" t="s">
        <v>96</v>
      </c>
      <c r="Q172" s="1" t="s">
        <v>96</v>
      </c>
      <c r="R172" s="1" t="s">
        <v>96</v>
      </c>
      <c r="S172" s="1" t="s">
        <v>96</v>
      </c>
      <c r="T172">
        <v>1.19</v>
      </c>
      <c r="U172" s="1" t="s">
        <v>96</v>
      </c>
      <c r="V172">
        <v>38.15</v>
      </c>
      <c r="W172">
        <v>16.73</v>
      </c>
      <c r="X172">
        <v>56.57</v>
      </c>
      <c r="Y172" s="1" t="s">
        <v>96</v>
      </c>
      <c r="Z172">
        <v>5.8</v>
      </c>
      <c r="AA172">
        <v>559.23</v>
      </c>
      <c r="AB172" t="s">
        <v>133</v>
      </c>
      <c r="AC172" s="1">
        <v>3.81</v>
      </c>
      <c r="AD172" s="1">
        <v>1.5</v>
      </c>
      <c r="AE172" s="1" t="s">
        <v>96</v>
      </c>
      <c r="AF172" s="1" t="s">
        <v>96</v>
      </c>
      <c r="AG172" s="1" t="s">
        <v>96</v>
      </c>
      <c r="AH172" s="1">
        <v>6.01</v>
      </c>
      <c r="AI172" t="s">
        <v>133</v>
      </c>
      <c r="AJ172">
        <v>284.29000000000002</v>
      </c>
      <c r="AK172" s="1" t="s">
        <v>96</v>
      </c>
      <c r="AL172" s="1">
        <v>6.07</v>
      </c>
      <c r="AM172" t="s">
        <v>133</v>
      </c>
      <c r="AN172">
        <v>88.94</v>
      </c>
      <c r="AO172" s="1">
        <v>3.01</v>
      </c>
      <c r="AP172" s="1" t="s">
        <v>96</v>
      </c>
      <c r="AQ172" t="s">
        <v>96</v>
      </c>
      <c r="AR172" s="1" t="s">
        <v>96</v>
      </c>
      <c r="AS172">
        <v>607.69000000000005</v>
      </c>
      <c r="AT172">
        <v>108.06</v>
      </c>
      <c r="AU172">
        <v>140.44999999999999</v>
      </c>
      <c r="AV172" s="1" t="s">
        <v>96</v>
      </c>
      <c r="AW172">
        <v>131.28</v>
      </c>
      <c r="AX172" s="1" t="s">
        <v>96</v>
      </c>
      <c r="AY172" s="1" t="s">
        <v>96</v>
      </c>
      <c r="AZ172">
        <v>9.59</v>
      </c>
      <c r="BA172" s="1">
        <v>3.79</v>
      </c>
      <c r="BB172" s="1" t="s">
        <v>96</v>
      </c>
      <c r="BC172">
        <v>22.54</v>
      </c>
      <c r="BD172">
        <v>3.11</v>
      </c>
      <c r="BE172" s="1" t="s">
        <v>96</v>
      </c>
      <c r="BF172" s="1" t="s">
        <v>96</v>
      </c>
      <c r="BG172">
        <v>3.76</v>
      </c>
      <c r="BH172">
        <v>7.6</v>
      </c>
      <c r="BI172">
        <v>13.97</v>
      </c>
      <c r="BJ172">
        <v>59.59</v>
      </c>
      <c r="BK172" s="1" t="s">
        <v>96</v>
      </c>
      <c r="BL172" s="1" t="s">
        <v>96</v>
      </c>
      <c r="BM172" s="1">
        <v>40.1</v>
      </c>
      <c r="BN172" s="1">
        <v>17.309999999999999</v>
      </c>
      <c r="BO172" s="1">
        <v>28.56</v>
      </c>
      <c r="BP172">
        <v>52.36</v>
      </c>
      <c r="BQ172">
        <v>11.85</v>
      </c>
      <c r="BR172" s="1" t="s">
        <v>96</v>
      </c>
      <c r="BS172">
        <v>189.45</v>
      </c>
      <c r="BT172" t="s">
        <v>96</v>
      </c>
      <c r="BU172" s="1" t="s">
        <v>96</v>
      </c>
      <c r="BV172">
        <v>53.24</v>
      </c>
      <c r="BW172">
        <v>28.57</v>
      </c>
      <c r="BX172" s="1" t="s">
        <v>96</v>
      </c>
    </row>
    <row r="173" spans="1:76">
      <c r="A173">
        <v>37</v>
      </c>
      <c r="B173" t="s">
        <v>206</v>
      </c>
      <c r="D173" t="b">
        <v>1</v>
      </c>
      <c r="E173" t="s">
        <v>207</v>
      </c>
      <c r="G173" t="s">
        <v>208</v>
      </c>
      <c r="H173" s="1" t="s">
        <v>96</v>
      </c>
      <c r="I173" s="1" t="s">
        <v>96</v>
      </c>
      <c r="J173">
        <v>12.17</v>
      </c>
      <c r="K173" s="1" t="s">
        <v>96</v>
      </c>
      <c r="L173" s="1" t="s">
        <v>96</v>
      </c>
      <c r="M173" s="1">
        <v>5.01</v>
      </c>
      <c r="N173" s="1" t="s">
        <v>96</v>
      </c>
      <c r="O173" s="1" t="s">
        <v>96</v>
      </c>
      <c r="P173" s="1" t="s">
        <v>96</v>
      </c>
      <c r="Q173" s="1" t="s">
        <v>96</v>
      </c>
      <c r="R173" s="1" t="s">
        <v>96</v>
      </c>
      <c r="S173" s="1" t="s">
        <v>96</v>
      </c>
      <c r="T173" t="s">
        <v>96</v>
      </c>
      <c r="U173" s="1" t="s">
        <v>96</v>
      </c>
      <c r="V173">
        <v>2.68</v>
      </c>
      <c r="W173">
        <v>48.53</v>
      </c>
      <c r="X173">
        <v>29.03</v>
      </c>
      <c r="Y173" s="1" t="s">
        <v>96</v>
      </c>
      <c r="Z173">
        <v>21.28</v>
      </c>
      <c r="AA173">
        <v>669.73</v>
      </c>
      <c r="AB173">
        <v>39.340000000000003</v>
      </c>
      <c r="AC173" s="1" t="s">
        <v>96</v>
      </c>
      <c r="AD173" s="1" t="s">
        <v>96</v>
      </c>
      <c r="AE173" s="1" t="s">
        <v>96</v>
      </c>
      <c r="AF173" s="1" t="s">
        <v>96</v>
      </c>
      <c r="AG173" s="1" t="s">
        <v>96</v>
      </c>
      <c r="AH173" s="1">
        <v>1.03</v>
      </c>
      <c r="AI173" t="s">
        <v>96</v>
      </c>
      <c r="AJ173">
        <v>38.28</v>
      </c>
      <c r="AK173" s="1" t="s">
        <v>96</v>
      </c>
      <c r="AL173" s="1" t="s">
        <v>96</v>
      </c>
      <c r="AM173">
        <v>15.73</v>
      </c>
      <c r="AN173" t="s">
        <v>96</v>
      </c>
      <c r="AO173" s="1" t="s">
        <v>96</v>
      </c>
      <c r="AP173" s="1" t="s">
        <v>96</v>
      </c>
      <c r="AQ173">
        <v>29.52</v>
      </c>
      <c r="AR173" s="1" t="s">
        <v>96</v>
      </c>
      <c r="AS173">
        <v>1080.3399999999999</v>
      </c>
      <c r="AT173">
        <v>576.95000000000005</v>
      </c>
      <c r="AU173">
        <v>35.700000000000003</v>
      </c>
      <c r="AV173" s="1" t="s">
        <v>96</v>
      </c>
      <c r="AW173">
        <v>214.07</v>
      </c>
      <c r="AX173" s="1" t="s">
        <v>96</v>
      </c>
      <c r="AY173" s="1">
        <v>4.42</v>
      </c>
      <c r="AZ173">
        <v>2.65</v>
      </c>
      <c r="BA173" s="1" t="s">
        <v>96</v>
      </c>
      <c r="BB173" s="1" t="s">
        <v>96</v>
      </c>
      <c r="BC173">
        <v>48.34</v>
      </c>
      <c r="BD173">
        <v>31.25</v>
      </c>
      <c r="BE173" s="1" t="s">
        <v>96</v>
      </c>
      <c r="BF173" s="1" t="s">
        <v>96</v>
      </c>
      <c r="BG173" t="s">
        <v>96</v>
      </c>
      <c r="BH173">
        <v>14.37</v>
      </c>
      <c r="BI173">
        <v>68.64</v>
      </c>
      <c r="BJ173">
        <v>9</v>
      </c>
      <c r="BK173" s="1" t="s">
        <v>96</v>
      </c>
      <c r="BL173" s="1" t="s">
        <v>96</v>
      </c>
      <c r="BM173" s="1" t="s">
        <v>96</v>
      </c>
      <c r="BN173" s="1" t="s">
        <v>96</v>
      </c>
      <c r="BO173" s="1">
        <v>23.49</v>
      </c>
      <c r="BP173">
        <v>64.06</v>
      </c>
      <c r="BQ173" t="s">
        <v>96</v>
      </c>
      <c r="BR173" s="1" t="s">
        <v>96</v>
      </c>
      <c r="BS173">
        <v>1369.83</v>
      </c>
      <c r="BT173">
        <v>8.1</v>
      </c>
      <c r="BU173" s="1" t="s">
        <v>96</v>
      </c>
      <c r="BV173">
        <v>36.97</v>
      </c>
      <c r="BW173">
        <v>101.1</v>
      </c>
      <c r="BX173" s="1" t="s">
        <v>96</v>
      </c>
    </row>
    <row r="174" spans="1:76">
      <c r="A174">
        <v>99</v>
      </c>
      <c r="B174" t="s">
        <v>392</v>
      </c>
      <c r="D174" t="b">
        <v>1</v>
      </c>
      <c r="E174" t="s">
        <v>393</v>
      </c>
      <c r="G174" t="s">
        <v>394</v>
      </c>
      <c r="H174" s="1" t="s">
        <v>96</v>
      </c>
      <c r="I174" s="1" t="s">
        <v>96</v>
      </c>
      <c r="J174">
        <v>15.55</v>
      </c>
      <c r="K174" s="1" t="s">
        <v>96</v>
      </c>
      <c r="L174" s="1" t="s">
        <v>96</v>
      </c>
      <c r="M174" s="1" t="s">
        <v>96</v>
      </c>
      <c r="N174" s="1" t="s">
        <v>96</v>
      </c>
      <c r="O174" s="1" t="s">
        <v>96</v>
      </c>
      <c r="P174" s="1" t="s">
        <v>96</v>
      </c>
      <c r="Q174" s="1" t="s">
        <v>96</v>
      </c>
      <c r="R174" s="1" t="s">
        <v>96</v>
      </c>
      <c r="S174" s="1" t="s">
        <v>96</v>
      </c>
      <c r="T174" t="s">
        <v>96</v>
      </c>
      <c r="U174" s="1" t="s">
        <v>96</v>
      </c>
      <c r="V174" t="s">
        <v>96</v>
      </c>
      <c r="W174" t="s">
        <v>96</v>
      </c>
      <c r="X174">
        <v>23.7</v>
      </c>
      <c r="Y174" s="1" t="s">
        <v>96</v>
      </c>
      <c r="Z174" t="s">
        <v>96</v>
      </c>
      <c r="AA174">
        <v>29.81</v>
      </c>
      <c r="AB174">
        <v>85.64</v>
      </c>
      <c r="AC174" s="1" t="s">
        <v>96</v>
      </c>
      <c r="AD174" s="1">
        <v>1.65</v>
      </c>
      <c r="AE174" s="1" t="s">
        <v>96</v>
      </c>
      <c r="AF174" s="1" t="s">
        <v>96</v>
      </c>
      <c r="AG174" s="1" t="s">
        <v>96</v>
      </c>
      <c r="AH174" s="1" t="s">
        <v>96</v>
      </c>
      <c r="AI174" t="s">
        <v>96</v>
      </c>
      <c r="AJ174">
        <v>10.93</v>
      </c>
      <c r="AK174" s="1" t="s">
        <v>96</v>
      </c>
      <c r="AL174" s="1">
        <v>1.03</v>
      </c>
      <c r="AM174">
        <v>95.99</v>
      </c>
      <c r="AN174">
        <v>8.51</v>
      </c>
      <c r="AO174" s="1" t="s">
        <v>96</v>
      </c>
      <c r="AP174" s="1" t="s">
        <v>96</v>
      </c>
      <c r="AQ174" t="s">
        <v>96</v>
      </c>
      <c r="AR174" s="1" t="s">
        <v>96</v>
      </c>
      <c r="AS174">
        <v>1504.21</v>
      </c>
      <c r="AT174">
        <v>257.02</v>
      </c>
      <c r="AU174">
        <v>269.25</v>
      </c>
      <c r="AV174" s="1" t="s">
        <v>96</v>
      </c>
      <c r="AW174">
        <v>520.77</v>
      </c>
      <c r="AX174" s="1" t="s">
        <v>96</v>
      </c>
      <c r="AY174" s="1" t="s">
        <v>96</v>
      </c>
      <c r="AZ174">
        <v>22.39</v>
      </c>
      <c r="BA174" s="1">
        <v>7.56</v>
      </c>
      <c r="BB174" s="1" t="s">
        <v>96</v>
      </c>
      <c r="BC174">
        <v>72.03</v>
      </c>
      <c r="BD174">
        <v>14.65</v>
      </c>
      <c r="BE174" s="1" t="s">
        <v>96</v>
      </c>
      <c r="BF174" s="1" t="s">
        <v>96</v>
      </c>
      <c r="BG174" t="s">
        <v>96</v>
      </c>
      <c r="BH174">
        <v>19.41</v>
      </c>
      <c r="BI174">
        <v>27.34</v>
      </c>
      <c r="BJ174">
        <v>3.47</v>
      </c>
      <c r="BK174" s="1" t="s">
        <v>96</v>
      </c>
      <c r="BL174" s="1" t="s">
        <v>96</v>
      </c>
      <c r="BM174" s="1" t="s">
        <v>96</v>
      </c>
      <c r="BN174" s="1" t="s">
        <v>96</v>
      </c>
      <c r="BO174" s="1">
        <v>6.69</v>
      </c>
      <c r="BP174">
        <v>97.16</v>
      </c>
      <c r="BQ174">
        <v>8</v>
      </c>
      <c r="BR174" s="1" t="s">
        <v>96</v>
      </c>
      <c r="BS174">
        <v>166.58</v>
      </c>
      <c r="BT174">
        <v>6.05</v>
      </c>
      <c r="BU174" s="1" t="s">
        <v>96</v>
      </c>
      <c r="BV174">
        <v>72.06</v>
      </c>
      <c r="BW174">
        <v>88.9</v>
      </c>
      <c r="BX174" s="1" t="s">
        <v>96</v>
      </c>
    </row>
    <row r="175" spans="1:76">
      <c r="A175">
        <v>71</v>
      </c>
      <c r="B175" t="s">
        <v>308</v>
      </c>
      <c r="D175" t="b">
        <v>1</v>
      </c>
      <c r="E175" t="s">
        <v>309</v>
      </c>
      <c r="G175" t="s">
        <v>310</v>
      </c>
      <c r="H175" s="1" t="s">
        <v>96</v>
      </c>
      <c r="I175" s="1" t="s">
        <v>96</v>
      </c>
      <c r="J175">
        <v>17.29</v>
      </c>
      <c r="K175" s="1" t="s">
        <v>96</v>
      </c>
      <c r="L175" s="1">
        <v>10.86</v>
      </c>
      <c r="M175" s="1">
        <v>8.9499999999999993</v>
      </c>
      <c r="N175" s="1" t="s">
        <v>96</v>
      </c>
      <c r="O175" s="1" t="s">
        <v>96</v>
      </c>
      <c r="P175" s="1" t="s">
        <v>96</v>
      </c>
      <c r="Q175" s="1" t="s">
        <v>96</v>
      </c>
      <c r="R175" s="1" t="s">
        <v>96</v>
      </c>
      <c r="S175" s="1" t="s">
        <v>96</v>
      </c>
      <c r="T175">
        <v>3.69</v>
      </c>
      <c r="U175" s="1" t="s">
        <v>96</v>
      </c>
      <c r="V175">
        <v>11.39</v>
      </c>
      <c r="W175">
        <v>33.299999999999997</v>
      </c>
      <c r="X175">
        <v>150.77000000000001</v>
      </c>
      <c r="Y175" s="1" t="s">
        <v>96</v>
      </c>
      <c r="Z175">
        <v>35.799999999999997</v>
      </c>
      <c r="AA175">
        <v>702.61</v>
      </c>
      <c r="AB175">
        <v>168.02</v>
      </c>
      <c r="AC175" s="1">
        <v>3.48</v>
      </c>
      <c r="AD175" s="1">
        <v>1.53</v>
      </c>
      <c r="AE175" s="1" t="s">
        <v>96</v>
      </c>
      <c r="AF175" s="1" t="s">
        <v>96</v>
      </c>
      <c r="AG175" s="1" t="s">
        <v>96</v>
      </c>
      <c r="AH175" s="1">
        <v>1.18</v>
      </c>
      <c r="AI175">
        <v>416.42</v>
      </c>
      <c r="AJ175">
        <v>58.1</v>
      </c>
      <c r="AK175" s="1" t="s">
        <v>96</v>
      </c>
      <c r="AL175" s="1">
        <v>1.52</v>
      </c>
      <c r="AM175">
        <v>67.33</v>
      </c>
      <c r="AN175">
        <v>5.35</v>
      </c>
      <c r="AO175" s="1" t="s">
        <v>96</v>
      </c>
      <c r="AP175" s="1" t="s">
        <v>96</v>
      </c>
      <c r="AQ175">
        <v>28.24</v>
      </c>
      <c r="AR175" s="1" t="s">
        <v>96</v>
      </c>
      <c r="AS175" t="s">
        <v>133</v>
      </c>
      <c r="AT175">
        <v>2042.35</v>
      </c>
      <c r="AU175">
        <v>227.5</v>
      </c>
      <c r="AV175" s="1" t="s">
        <v>96</v>
      </c>
      <c r="AW175" t="s">
        <v>133</v>
      </c>
      <c r="AX175" s="1" t="s">
        <v>96</v>
      </c>
      <c r="AY175" s="1">
        <v>7.49</v>
      </c>
      <c r="AZ175">
        <v>20.82</v>
      </c>
      <c r="BA175" s="1">
        <v>15.91</v>
      </c>
      <c r="BB175" s="1" t="s">
        <v>96</v>
      </c>
      <c r="BC175">
        <v>316.44</v>
      </c>
      <c r="BD175">
        <v>272.18</v>
      </c>
      <c r="BE175" s="1" t="s">
        <v>96</v>
      </c>
      <c r="BF175" s="1">
        <v>3.09</v>
      </c>
      <c r="BG175">
        <v>3.79</v>
      </c>
      <c r="BH175">
        <v>220.75</v>
      </c>
      <c r="BI175">
        <v>74.599999999999994</v>
      </c>
      <c r="BJ175">
        <v>8.0299999999999994</v>
      </c>
      <c r="BK175" s="1" t="s">
        <v>96</v>
      </c>
      <c r="BL175" s="1" t="s">
        <v>96</v>
      </c>
      <c r="BM175" s="1">
        <v>7.27</v>
      </c>
      <c r="BN175" s="1" t="s">
        <v>96</v>
      </c>
      <c r="BO175" s="1">
        <v>15.74</v>
      </c>
      <c r="BP175">
        <v>75.02</v>
      </c>
      <c r="BQ175">
        <v>8.82</v>
      </c>
      <c r="BR175" s="1" t="s">
        <v>96</v>
      </c>
      <c r="BS175">
        <v>550.76</v>
      </c>
      <c r="BT175">
        <v>35.89</v>
      </c>
      <c r="BU175" s="1" t="s">
        <v>96</v>
      </c>
      <c r="BV175">
        <v>41.9</v>
      </c>
      <c r="BW175">
        <v>192.02</v>
      </c>
      <c r="BX175" s="1" t="s">
        <v>96</v>
      </c>
    </row>
    <row r="176" spans="1:76">
      <c r="A176">
        <v>101</v>
      </c>
      <c r="B176" t="s">
        <v>398</v>
      </c>
      <c r="D176" t="b">
        <v>1</v>
      </c>
      <c r="E176" t="s">
        <v>399</v>
      </c>
      <c r="G176" t="s">
        <v>400</v>
      </c>
      <c r="H176" s="1" t="s">
        <v>96</v>
      </c>
      <c r="I176" s="1" t="s">
        <v>96</v>
      </c>
      <c r="J176">
        <v>26.67</v>
      </c>
      <c r="K176" s="1" t="s">
        <v>96</v>
      </c>
      <c r="L176" s="1" t="s">
        <v>96</v>
      </c>
      <c r="M176" s="1" t="s">
        <v>96</v>
      </c>
      <c r="N176" s="1" t="s">
        <v>96</v>
      </c>
      <c r="O176" s="1" t="s">
        <v>96</v>
      </c>
      <c r="P176" s="1" t="s">
        <v>96</v>
      </c>
      <c r="Q176" s="1" t="s">
        <v>96</v>
      </c>
      <c r="R176" s="1" t="s">
        <v>96</v>
      </c>
      <c r="S176" s="1" t="s">
        <v>96</v>
      </c>
      <c r="T176" t="s">
        <v>96</v>
      </c>
      <c r="U176" s="1" t="s">
        <v>96</v>
      </c>
      <c r="V176">
        <v>75.55</v>
      </c>
      <c r="W176">
        <v>11.06</v>
      </c>
      <c r="X176">
        <v>41.76</v>
      </c>
      <c r="Y176" s="1" t="s">
        <v>96</v>
      </c>
      <c r="Z176" t="s">
        <v>96</v>
      </c>
      <c r="AA176">
        <v>631.72</v>
      </c>
      <c r="AB176" t="s">
        <v>133</v>
      </c>
      <c r="AC176" s="1" t="s">
        <v>96</v>
      </c>
      <c r="AD176" s="1">
        <v>2.14</v>
      </c>
      <c r="AE176" s="1" t="s">
        <v>96</v>
      </c>
      <c r="AF176" s="1" t="s">
        <v>96</v>
      </c>
      <c r="AG176" s="1" t="s">
        <v>96</v>
      </c>
      <c r="AH176" s="1">
        <v>6.81</v>
      </c>
      <c r="AI176">
        <v>2150.5100000000002</v>
      </c>
      <c r="AJ176">
        <v>261.69</v>
      </c>
      <c r="AK176" s="1" t="s">
        <v>96</v>
      </c>
      <c r="AL176" s="1">
        <v>5.09</v>
      </c>
      <c r="AM176" t="s">
        <v>133</v>
      </c>
      <c r="AN176">
        <v>95.3</v>
      </c>
      <c r="AO176" s="1">
        <v>2.2000000000000002</v>
      </c>
      <c r="AP176" s="1" t="s">
        <v>96</v>
      </c>
      <c r="AQ176" t="s">
        <v>96</v>
      </c>
      <c r="AR176" s="1" t="s">
        <v>96</v>
      </c>
      <c r="AS176">
        <v>1287.8599999999999</v>
      </c>
      <c r="AT176">
        <v>243.55</v>
      </c>
      <c r="AU176">
        <v>222.51</v>
      </c>
      <c r="AV176" s="1" t="s">
        <v>96</v>
      </c>
      <c r="AW176">
        <v>577.45000000000005</v>
      </c>
      <c r="AX176" s="1" t="s">
        <v>96</v>
      </c>
      <c r="AY176" s="1" t="s">
        <v>96</v>
      </c>
      <c r="AZ176">
        <v>23.27</v>
      </c>
      <c r="BA176" s="1">
        <v>9.3000000000000007</v>
      </c>
      <c r="BB176" s="1" t="s">
        <v>96</v>
      </c>
      <c r="BC176">
        <v>105.25</v>
      </c>
      <c r="BD176">
        <v>21.15</v>
      </c>
      <c r="BE176" s="1" t="s">
        <v>96</v>
      </c>
      <c r="BF176" s="1">
        <v>3.55</v>
      </c>
      <c r="BG176">
        <v>7.46</v>
      </c>
      <c r="BH176">
        <v>39.97</v>
      </c>
      <c r="BI176">
        <v>47.82</v>
      </c>
      <c r="BJ176">
        <v>31.42</v>
      </c>
      <c r="BK176" s="1" t="s">
        <v>96</v>
      </c>
      <c r="BL176" s="1" t="s">
        <v>96</v>
      </c>
      <c r="BM176" s="1">
        <v>28.71</v>
      </c>
      <c r="BN176" s="1">
        <v>17.55</v>
      </c>
      <c r="BO176" s="1">
        <v>13.14</v>
      </c>
      <c r="BP176">
        <v>69.33</v>
      </c>
      <c r="BQ176">
        <v>17.66</v>
      </c>
      <c r="BR176" s="1" t="s">
        <v>96</v>
      </c>
      <c r="BS176">
        <v>125.19</v>
      </c>
      <c r="BT176">
        <v>11.81</v>
      </c>
      <c r="BU176" s="1" t="s">
        <v>96</v>
      </c>
      <c r="BV176">
        <v>41.85</v>
      </c>
      <c r="BW176">
        <v>34.32</v>
      </c>
      <c r="BX176" s="1" t="s">
        <v>96</v>
      </c>
    </row>
    <row r="177" spans="1:76">
      <c r="A177">
        <v>66</v>
      </c>
      <c r="B177" t="s">
        <v>293</v>
      </c>
      <c r="D177" t="b">
        <v>1</v>
      </c>
      <c r="E177" t="s">
        <v>294</v>
      </c>
      <c r="G177" t="s">
        <v>295</v>
      </c>
      <c r="H177" s="1" t="s">
        <v>96</v>
      </c>
      <c r="I177" s="1" t="s">
        <v>96</v>
      </c>
      <c r="J177">
        <v>10.55</v>
      </c>
      <c r="K177" s="1" t="s">
        <v>96</v>
      </c>
      <c r="L177" s="1" t="s">
        <v>96</v>
      </c>
      <c r="M177" s="1" t="s">
        <v>96</v>
      </c>
      <c r="N177" s="1" t="s">
        <v>96</v>
      </c>
      <c r="O177" s="1" t="s">
        <v>96</v>
      </c>
      <c r="P177" s="1" t="s">
        <v>96</v>
      </c>
      <c r="Q177" s="1" t="s">
        <v>96</v>
      </c>
      <c r="R177" s="1" t="s">
        <v>96</v>
      </c>
      <c r="S177" s="1" t="s">
        <v>96</v>
      </c>
      <c r="T177" t="s">
        <v>96</v>
      </c>
      <c r="U177" s="1" t="s">
        <v>96</v>
      </c>
      <c r="V177">
        <v>3.86</v>
      </c>
      <c r="W177">
        <v>20.84</v>
      </c>
      <c r="X177">
        <v>137.41999999999999</v>
      </c>
      <c r="Y177" s="1" t="s">
        <v>96</v>
      </c>
      <c r="Z177">
        <v>24.78</v>
      </c>
      <c r="AA177">
        <v>483.83</v>
      </c>
      <c r="AB177">
        <v>117.28</v>
      </c>
      <c r="AC177" s="1" t="s">
        <v>96</v>
      </c>
      <c r="AD177" s="1" t="s">
        <v>96</v>
      </c>
      <c r="AE177" s="1" t="s">
        <v>96</v>
      </c>
      <c r="AF177" s="1" t="s">
        <v>96</v>
      </c>
      <c r="AG177" s="1" t="s">
        <v>96</v>
      </c>
      <c r="AH177" s="1" t="s">
        <v>96</v>
      </c>
      <c r="AI177">
        <v>408.57</v>
      </c>
      <c r="AJ177">
        <v>43.86</v>
      </c>
      <c r="AK177" s="1" t="s">
        <v>96</v>
      </c>
      <c r="AL177" s="1" t="s">
        <v>96</v>
      </c>
      <c r="AM177">
        <v>32.869999999999997</v>
      </c>
      <c r="AN177">
        <v>1.89</v>
      </c>
      <c r="AO177" s="1" t="s">
        <v>96</v>
      </c>
      <c r="AP177" s="1" t="s">
        <v>96</v>
      </c>
      <c r="AQ177">
        <v>27.8</v>
      </c>
      <c r="AR177" s="1" t="s">
        <v>96</v>
      </c>
      <c r="AS177">
        <v>1715.95</v>
      </c>
      <c r="AT177">
        <v>1079.2</v>
      </c>
      <c r="AU177">
        <v>174.44</v>
      </c>
      <c r="AV177" s="1" t="s">
        <v>96</v>
      </c>
      <c r="AW177">
        <v>950.67</v>
      </c>
      <c r="AX177" s="1" t="s">
        <v>96</v>
      </c>
      <c r="AY177" s="1">
        <v>7.18</v>
      </c>
      <c r="AZ177">
        <v>16.03</v>
      </c>
      <c r="BA177" s="1">
        <v>9.98</v>
      </c>
      <c r="BB177" s="1" t="s">
        <v>96</v>
      </c>
      <c r="BC177">
        <v>171.56</v>
      </c>
      <c r="BD177">
        <v>143.38</v>
      </c>
      <c r="BE177" s="1" t="s">
        <v>96</v>
      </c>
      <c r="BF177" s="1" t="s">
        <v>96</v>
      </c>
      <c r="BG177">
        <v>3.13</v>
      </c>
      <c r="BH177">
        <v>105.81</v>
      </c>
      <c r="BI177">
        <v>93.86</v>
      </c>
      <c r="BJ177">
        <v>4.2</v>
      </c>
      <c r="BK177" s="1" t="s">
        <v>96</v>
      </c>
      <c r="BL177" s="1" t="s">
        <v>96</v>
      </c>
      <c r="BM177" s="1" t="s">
        <v>96</v>
      </c>
      <c r="BN177" s="1" t="s">
        <v>96</v>
      </c>
      <c r="BO177" s="1">
        <v>12.76</v>
      </c>
      <c r="BP177">
        <v>80.75</v>
      </c>
      <c r="BQ177">
        <v>8.77</v>
      </c>
      <c r="BR177" s="1" t="s">
        <v>96</v>
      </c>
      <c r="BS177">
        <v>535.82000000000005</v>
      </c>
      <c r="BT177">
        <v>24.9</v>
      </c>
      <c r="BU177" s="1" t="s">
        <v>96</v>
      </c>
      <c r="BV177">
        <v>31.65</v>
      </c>
      <c r="BW177">
        <v>142.51</v>
      </c>
      <c r="BX177" s="1" t="s">
        <v>96</v>
      </c>
    </row>
    <row r="178" spans="1:76">
      <c r="A178">
        <v>45</v>
      </c>
      <c r="B178" t="s">
        <v>230</v>
      </c>
      <c r="D178" t="b">
        <v>1</v>
      </c>
      <c r="E178" t="s">
        <v>231</v>
      </c>
      <c r="G178" t="s">
        <v>232</v>
      </c>
      <c r="H178" s="1" t="s">
        <v>96</v>
      </c>
      <c r="I178" s="1" t="s">
        <v>96</v>
      </c>
      <c r="J178">
        <v>10.57</v>
      </c>
      <c r="K178" s="1" t="s">
        <v>96</v>
      </c>
      <c r="L178" s="1" t="s">
        <v>96</v>
      </c>
      <c r="M178" s="1" t="s">
        <v>96</v>
      </c>
      <c r="N178" s="1" t="s">
        <v>96</v>
      </c>
      <c r="O178" s="1" t="s">
        <v>96</v>
      </c>
      <c r="P178" s="1" t="s">
        <v>96</v>
      </c>
      <c r="Q178" s="1" t="s">
        <v>96</v>
      </c>
      <c r="R178" s="1" t="s">
        <v>96</v>
      </c>
      <c r="S178" s="1" t="s">
        <v>96</v>
      </c>
      <c r="T178" t="s">
        <v>96</v>
      </c>
      <c r="U178" s="1" t="s">
        <v>96</v>
      </c>
      <c r="V178" t="s">
        <v>96</v>
      </c>
      <c r="W178" t="s">
        <v>96</v>
      </c>
      <c r="X178">
        <v>3.75</v>
      </c>
      <c r="Y178" s="1" t="s">
        <v>96</v>
      </c>
      <c r="Z178" t="s">
        <v>96</v>
      </c>
      <c r="AA178" t="s">
        <v>96</v>
      </c>
      <c r="AB178">
        <v>63.07</v>
      </c>
      <c r="AC178" s="1" t="s">
        <v>96</v>
      </c>
      <c r="AD178" s="1" t="s">
        <v>96</v>
      </c>
      <c r="AE178" s="1" t="s">
        <v>96</v>
      </c>
      <c r="AF178" s="1" t="s">
        <v>96</v>
      </c>
      <c r="AG178" s="1" t="s">
        <v>96</v>
      </c>
      <c r="AH178" s="1" t="s">
        <v>96</v>
      </c>
      <c r="AI178" t="s">
        <v>96</v>
      </c>
      <c r="AJ178">
        <v>1.32</v>
      </c>
      <c r="AK178" s="1" t="s">
        <v>96</v>
      </c>
      <c r="AL178" s="1" t="s">
        <v>96</v>
      </c>
      <c r="AM178">
        <v>62.53</v>
      </c>
      <c r="AN178" t="s">
        <v>96</v>
      </c>
      <c r="AO178" s="1" t="s">
        <v>96</v>
      </c>
      <c r="AP178" s="1" t="s">
        <v>96</v>
      </c>
      <c r="AQ178" t="s">
        <v>96</v>
      </c>
      <c r="AR178" s="1" t="s">
        <v>96</v>
      </c>
      <c r="AS178" t="s">
        <v>133</v>
      </c>
      <c r="AT178" t="s">
        <v>96</v>
      </c>
      <c r="AU178">
        <v>23.33</v>
      </c>
      <c r="AV178" s="1" t="s">
        <v>96</v>
      </c>
      <c r="AW178" t="s">
        <v>133</v>
      </c>
      <c r="AX178" s="1" t="s">
        <v>96</v>
      </c>
      <c r="AY178" s="1" t="s">
        <v>96</v>
      </c>
      <c r="AZ178">
        <v>23.11</v>
      </c>
      <c r="BA178" s="1" t="s">
        <v>96</v>
      </c>
      <c r="BB178" s="1" t="s">
        <v>96</v>
      </c>
      <c r="BC178">
        <v>37.26</v>
      </c>
      <c r="BD178" t="s">
        <v>96</v>
      </c>
      <c r="BE178" s="1" t="s">
        <v>96</v>
      </c>
      <c r="BF178" s="1" t="s">
        <v>96</v>
      </c>
      <c r="BG178" t="s">
        <v>96</v>
      </c>
      <c r="BH178">
        <v>41.63</v>
      </c>
      <c r="BI178" t="s">
        <v>96</v>
      </c>
      <c r="BJ178" t="s">
        <v>96</v>
      </c>
      <c r="BK178" s="1" t="s">
        <v>96</v>
      </c>
      <c r="BL178" s="1" t="s">
        <v>96</v>
      </c>
      <c r="BM178" s="1" t="s">
        <v>96</v>
      </c>
      <c r="BN178" s="1" t="s">
        <v>96</v>
      </c>
      <c r="BO178" s="1" t="s">
        <v>96</v>
      </c>
      <c r="BP178">
        <v>97.54</v>
      </c>
      <c r="BQ178" t="s">
        <v>96</v>
      </c>
      <c r="BR178" s="1">
        <v>5.69</v>
      </c>
      <c r="BS178" t="s">
        <v>96</v>
      </c>
      <c r="BT178" t="s">
        <v>96</v>
      </c>
      <c r="BU178" s="1" t="s">
        <v>96</v>
      </c>
      <c r="BV178">
        <v>6.27</v>
      </c>
      <c r="BW178" t="s">
        <v>96</v>
      </c>
      <c r="BX178" s="1" t="s">
        <v>96</v>
      </c>
    </row>
    <row r="179" spans="1:76">
      <c r="A179">
        <v>129</v>
      </c>
      <c r="B179" t="s">
        <v>482</v>
      </c>
      <c r="D179" t="b">
        <v>1</v>
      </c>
      <c r="E179" t="s">
        <v>483</v>
      </c>
      <c r="G179" t="s">
        <v>484</v>
      </c>
      <c r="H179" s="1" t="s">
        <v>96</v>
      </c>
      <c r="I179" s="1" t="s">
        <v>96</v>
      </c>
      <c r="J179">
        <v>8.8000000000000007</v>
      </c>
      <c r="K179" s="1" t="s">
        <v>96</v>
      </c>
      <c r="L179" s="1">
        <v>14.68</v>
      </c>
      <c r="M179" s="1">
        <v>9.84</v>
      </c>
      <c r="N179" s="1" t="s">
        <v>96</v>
      </c>
      <c r="O179" s="1" t="s">
        <v>96</v>
      </c>
      <c r="P179" s="1" t="s">
        <v>96</v>
      </c>
      <c r="Q179" s="1" t="s">
        <v>96</v>
      </c>
      <c r="R179" s="1" t="s">
        <v>96</v>
      </c>
      <c r="S179" s="1" t="s">
        <v>96</v>
      </c>
      <c r="T179" t="s">
        <v>96</v>
      </c>
      <c r="U179" s="1" t="s">
        <v>96</v>
      </c>
      <c r="V179">
        <v>15.61</v>
      </c>
      <c r="W179">
        <v>42.52</v>
      </c>
      <c r="X179">
        <v>38.159999999999997</v>
      </c>
      <c r="Y179" s="1" t="s">
        <v>96</v>
      </c>
      <c r="Z179">
        <v>43.8</v>
      </c>
      <c r="AA179">
        <v>618.66999999999996</v>
      </c>
      <c r="AB179">
        <v>279.35000000000002</v>
      </c>
      <c r="AC179" s="1" t="s">
        <v>96</v>
      </c>
      <c r="AD179" s="1">
        <v>7.3</v>
      </c>
      <c r="AE179" s="1" t="s">
        <v>96</v>
      </c>
      <c r="AF179" s="1" t="s">
        <v>96</v>
      </c>
      <c r="AG179" s="1" t="s">
        <v>96</v>
      </c>
      <c r="AH179" s="1">
        <v>1.25</v>
      </c>
      <c r="AI179">
        <v>1057.1300000000001</v>
      </c>
      <c r="AJ179">
        <v>31.48</v>
      </c>
      <c r="AK179" s="1" t="s">
        <v>96</v>
      </c>
      <c r="AL179" s="1">
        <v>2.33</v>
      </c>
      <c r="AM179">
        <v>261.49</v>
      </c>
      <c r="AN179">
        <v>11.68</v>
      </c>
      <c r="AO179" s="1" t="s">
        <v>96</v>
      </c>
      <c r="AP179" s="1" t="s">
        <v>96</v>
      </c>
      <c r="AQ179">
        <v>8.98</v>
      </c>
      <c r="AR179" s="1" t="s">
        <v>96</v>
      </c>
      <c r="AS179">
        <v>1462.81</v>
      </c>
      <c r="AT179">
        <v>1007.1</v>
      </c>
      <c r="AU179">
        <v>52.62</v>
      </c>
      <c r="AV179" s="1" t="s">
        <v>96</v>
      </c>
      <c r="AW179">
        <v>864.47</v>
      </c>
      <c r="AX179" s="1" t="s">
        <v>96</v>
      </c>
      <c r="AY179" s="1">
        <v>2.69</v>
      </c>
      <c r="AZ179">
        <v>4.88</v>
      </c>
      <c r="BA179" s="1">
        <v>4.0599999999999996</v>
      </c>
      <c r="BB179" s="1" t="s">
        <v>96</v>
      </c>
      <c r="BC179">
        <v>151.31</v>
      </c>
      <c r="BD179">
        <v>66.08</v>
      </c>
      <c r="BE179" s="1" t="s">
        <v>96</v>
      </c>
      <c r="BF179" s="1" t="s">
        <v>96</v>
      </c>
      <c r="BG179" t="s">
        <v>96</v>
      </c>
      <c r="BH179">
        <v>111.51</v>
      </c>
      <c r="BI179">
        <v>23.83</v>
      </c>
      <c r="BJ179">
        <v>50.52</v>
      </c>
      <c r="BK179" s="1" t="s">
        <v>96</v>
      </c>
      <c r="BL179" s="1" t="s">
        <v>96</v>
      </c>
      <c r="BM179" s="1">
        <v>19.84</v>
      </c>
      <c r="BN179" s="1">
        <v>6.52</v>
      </c>
      <c r="BO179" s="1">
        <v>32.770000000000003</v>
      </c>
      <c r="BP179">
        <v>68.72</v>
      </c>
      <c r="BQ179">
        <v>8.7100000000000009</v>
      </c>
      <c r="BR179" s="1" t="s">
        <v>96</v>
      </c>
      <c r="BS179">
        <v>479.68</v>
      </c>
      <c r="BT179">
        <v>9.08</v>
      </c>
      <c r="BU179" s="1" t="s">
        <v>96</v>
      </c>
      <c r="BV179">
        <v>25.2</v>
      </c>
      <c r="BW179">
        <v>86.5</v>
      </c>
      <c r="BX179" s="1" t="s">
        <v>96</v>
      </c>
    </row>
    <row r="180" spans="1:76">
      <c r="A180">
        <v>69</v>
      </c>
      <c r="B180" t="s">
        <v>302</v>
      </c>
      <c r="D180" t="b">
        <v>1</v>
      </c>
      <c r="E180" t="s">
        <v>303</v>
      </c>
      <c r="G180" t="s">
        <v>304</v>
      </c>
      <c r="H180" s="1" t="s">
        <v>96</v>
      </c>
      <c r="I180" s="1" t="s">
        <v>96</v>
      </c>
      <c r="J180">
        <v>9.76</v>
      </c>
      <c r="K180" s="1" t="s">
        <v>96</v>
      </c>
      <c r="L180" s="1" t="s">
        <v>96</v>
      </c>
      <c r="M180" s="1" t="s">
        <v>96</v>
      </c>
      <c r="N180" s="1" t="s">
        <v>96</v>
      </c>
      <c r="O180" s="1" t="s">
        <v>96</v>
      </c>
      <c r="P180" s="1" t="s">
        <v>96</v>
      </c>
      <c r="Q180" s="1" t="s">
        <v>96</v>
      </c>
      <c r="R180" s="1" t="s">
        <v>96</v>
      </c>
      <c r="S180" s="1" t="s">
        <v>96</v>
      </c>
      <c r="T180" t="s">
        <v>96</v>
      </c>
      <c r="U180" s="1" t="s">
        <v>96</v>
      </c>
      <c r="V180">
        <v>5.12</v>
      </c>
      <c r="W180">
        <v>11.2</v>
      </c>
      <c r="X180">
        <v>88.14</v>
      </c>
      <c r="Y180" s="1" t="s">
        <v>96</v>
      </c>
      <c r="Z180">
        <v>20.25</v>
      </c>
      <c r="AA180">
        <v>378.28</v>
      </c>
      <c r="AB180">
        <v>237.4</v>
      </c>
      <c r="AC180" s="1" t="s">
        <v>96</v>
      </c>
      <c r="AD180" s="1">
        <v>1.32</v>
      </c>
      <c r="AE180" s="1" t="s">
        <v>96</v>
      </c>
      <c r="AF180" s="1" t="s">
        <v>96</v>
      </c>
      <c r="AG180" s="1" t="s">
        <v>96</v>
      </c>
      <c r="AH180" s="1" t="s">
        <v>96</v>
      </c>
      <c r="AI180">
        <v>155.91999999999999</v>
      </c>
      <c r="AJ180">
        <v>41.77</v>
      </c>
      <c r="AK180" s="1" t="s">
        <v>96</v>
      </c>
      <c r="AL180" s="1">
        <v>1.32</v>
      </c>
      <c r="AM180">
        <v>270.33</v>
      </c>
      <c r="AN180">
        <v>6.43</v>
      </c>
      <c r="AO180" s="1" t="s">
        <v>96</v>
      </c>
      <c r="AP180" s="1" t="s">
        <v>96</v>
      </c>
      <c r="AQ180">
        <v>9.25</v>
      </c>
      <c r="AR180" s="1" t="s">
        <v>96</v>
      </c>
      <c r="AS180">
        <v>1579.18</v>
      </c>
      <c r="AT180">
        <v>639.16</v>
      </c>
      <c r="AU180">
        <v>165.88</v>
      </c>
      <c r="AV180" s="1" t="s">
        <v>96</v>
      </c>
      <c r="AW180">
        <v>931.63</v>
      </c>
      <c r="AX180" s="1" t="s">
        <v>96</v>
      </c>
      <c r="AY180" s="1" t="s">
        <v>96</v>
      </c>
      <c r="AZ180">
        <v>27.93</v>
      </c>
      <c r="BA180" s="1">
        <v>7.33</v>
      </c>
      <c r="BB180" s="1" t="s">
        <v>96</v>
      </c>
      <c r="BC180">
        <v>136.66999999999999</v>
      </c>
      <c r="BD180">
        <v>80.010000000000005</v>
      </c>
      <c r="BE180" s="1" t="s">
        <v>96</v>
      </c>
      <c r="BF180" s="1" t="s">
        <v>96</v>
      </c>
      <c r="BG180">
        <v>3.29</v>
      </c>
      <c r="BH180">
        <v>100.58</v>
      </c>
      <c r="BI180">
        <v>59.1</v>
      </c>
      <c r="BJ180">
        <v>2.63</v>
      </c>
      <c r="BK180" s="1" t="s">
        <v>96</v>
      </c>
      <c r="BL180" s="1" t="s">
        <v>96</v>
      </c>
      <c r="BM180" s="1" t="s">
        <v>96</v>
      </c>
      <c r="BN180" s="1" t="s">
        <v>96</v>
      </c>
      <c r="BO180" s="1">
        <v>11.22</v>
      </c>
      <c r="BP180">
        <v>196.04</v>
      </c>
      <c r="BQ180">
        <v>21.95</v>
      </c>
      <c r="BR180" s="1" t="s">
        <v>96</v>
      </c>
      <c r="BS180">
        <v>399.59</v>
      </c>
      <c r="BT180">
        <v>39.64</v>
      </c>
      <c r="BU180" s="1" t="s">
        <v>96</v>
      </c>
      <c r="BV180">
        <v>70.650000000000006</v>
      </c>
      <c r="BW180">
        <v>226.31</v>
      </c>
      <c r="BX180" s="1" t="s">
        <v>96</v>
      </c>
    </row>
    <row r="181" spans="1:76">
      <c r="A181">
        <v>127</v>
      </c>
      <c r="B181" t="s">
        <v>476</v>
      </c>
      <c r="D181" t="b">
        <v>1</v>
      </c>
      <c r="E181" t="s">
        <v>477</v>
      </c>
      <c r="G181" t="s">
        <v>478</v>
      </c>
      <c r="H181" s="1" t="s">
        <v>96</v>
      </c>
      <c r="I181" s="1" t="s">
        <v>96</v>
      </c>
      <c r="J181">
        <v>9.83</v>
      </c>
      <c r="K181" s="1" t="s">
        <v>96</v>
      </c>
      <c r="L181" s="1" t="s">
        <v>96</v>
      </c>
      <c r="M181" s="1" t="s">
        <v>96</v>
      </c>
      <c r="N181" s="1" t="s">
        <v>96</v>
      </c>
      <c r="O181" s="1" t="s">
        <v>96</v>
      </c>
      <c r="P181" s="1" t="s">
        <v>96</v>
      </c>
      <c r="Q181" s="1" t="s">
        <v>96</v>
      </c>
      <c r="R181" s="1" t="s">
        <v>96</v>
      </c>
      <c r="S181" s="1" t="s">
        <v>96</v>
      </c>
      <c r="T181" t="s">
        <v>96</v>
      </c>
      <c r="U181" s="1" t="s">
        <v>96</v>
      </c>
      <c r="V181">
        <v>7.67</v>
      </c>
      <c r="W181">
        <v>19.809999999999999</v>
      </c>
      <c r="X181">
        <v>62.49</v>
      </c>
      <c r="Y181" s="1" t="s">
        <v>96</v>
      </c>
      <c r="Z181">
        <v>10.07</v>
      </c>
      <c r="AA181">
        <v>294.94</v>
      </c>
      <c r="AB181">
        <v>187.05</v>
      </c>
      <c r="AC181" s="1" t="s">
        <v>96</v>
      </c>
      <c r="AD181" s="1">
        <v>6.67</v>
      </c>
      <c r="AE181" s="1" t="s">
        <v>96</v>
      </c>
      <c r="AF181" s="1" t="s">
        <v>96</v>
      </c>
      <c r="AG181" s="1" t="s">
        <v>96</v>
      </c>
      <c r="AH181" s="1" t="s">
        <v>96</v>
      </c>
      <c r="AI181">
        <v>125.71</v>
      </c>
      <c r="AJ181">
        <v>19.54</v>
      </c>
      <c r="AK181" s="1" t="s">
        <v>96</v>
      </c>
      <c r="AL181" s="1" t="s">
        <v>96</v>
      </c>
      <c r="AM181">
        <v>191.57</v>
      </c>
      <c r="AN181">
        <v>6.9</v>
      </c>
      <c r="AO181" s="1" t="s">
        <v>96</v>
      </c>
      <c r="AP181" s="1" t="s">
        <v>96</v>
      </c>
      <c r="AQ181">
        <v>4.3600000000000003</v>
      </c>
      <c r="AR181" s="1" t="s">
        <v>96</v>
      </c>
      <c r="AS181">
        <v>1199.98</v>
      </c>
      <c r="AT181">
        <v>933.85</v>
      </c>
      <c r="AU181">
        <v>69.319999999999993</v>
      </c>
      <c r="AV181" s="1" t="s">
        <v>96</v>
      </c>
      <c r="AW181" t="s">
        <v>133</v>
      </c>
      <c r="AX181" s="1" t="s">
        <v>96</v>
      </c>
      <c r="AY181" s="1">
        <v>4.1100000000000003</v>
      </c>
      <c r="AZ181">
        <v>6.9</v>
      </c>
      <c r="BA181" s="1">
        <v>7.97</v>
      </c>
      <c r="BB181" s="1" t="s">
        <v>96</v>
      </c>
      <c r="BC181">
        <v>256.92</v>
      </c>
      <c r="BD181">
        <v>148.22</v>
      </c>
      <c r="BE181" s="1" t="s">
        <v>96</v>
      </c>
      <c r="BF181" s="1" t="s">
        <v>96</v>
      </c>
      <c r="BG181" t="s">
        <v>96</v>
      </c>
      <c r="BH181">
        <v>210.19</v>
      </c>
      <c r="BI181">
        <v>113.27</v>
      </c>
      <c r="BJ181">
        <v>21.4</v>
      </c>
      <c r="BK181" s="1" t="s">
        <v>96</v>
      </c>
      <c r="BL181" s="1" t="s">
        <v>96</v>
      </c>
      <c r="BM181" s="1">
        <v>13.49</v>
      </c>
      <c r="BN181" s="1">
        <v>4.17</v>
      </c>
      <c r="BO181" s="1">
        <v>15.43</v>
      </c>
      <c r="BP181">
        <v>162.52000000000001</v>
      </c>
      <c r="BQ181">
        <v>21.43</v>
      </c>
      <c r="BR181" s="1" t="s">
        <v>96</v>
      </c>
      <c r="BS181">
        <v>525.91999999999996</v>
      </c>
      <c r="BT181">
        <v>23.25</v>
      </c>
      <c r="BU181" s="1" t="s">
        <v>96</v>
      </c>
      <c r="BV181">
        <v>35.520000000000003</v>
      </c>
      <c r="BW181">
        <v>171.49</v>
      </c>
      <c r="BX181" s="1" t="s">
        <v>96</v>
      </c>
    </row>
    <row r="182" spans="1:76">
      <c r="A182">
        <v>67</v>
      </c>
      <c r="B182" t="s">
        <v>296</v>
      </c>
      <c r="D182" t="b">
        <v>1</v>
      </c>
      <c r="E182" t="s">
        <v>297</v>
      </c>
      <c r="G182" t="s">
        <v>298</v>
      </c>
      <c r="H182" s="1" t="s">
        <v>96</v>
      </c>
      <c r="I182" s="1" t="s">
        <v>96</v>
      </c>
      <c r="J182">
        <v>14.85</v>
      </c>
      <c r="K182" s="1" t="s">
        <v>96</v>
      </c>
      <c r="L182" s="1" t="s">
        <v>96</v>
      </c>
      <c r="M182" s="1" t="s">
        <v>96</v>
      </c>
      <c r="N182" s="1" t="s">
        <v>96</v>
      </c>
      <c r="O182" s="1" t="s">
        <v>96</v>
      </c>
      <c r="P182" s="1" t="s">
        <v>96</v>
      </c>
      <c r="Q182" s="1" t="s">
        <v>96</v>
      </c>
      <c r="R182" s="1" t="s">
        <v>96</v>
      </c>
      <c r="S182" s="1" t="s">
        <v>96</v>
      </c>
      <c r="T182">
        <v>1.1200000000000001</v>
      </c>
      <c r="U182" s="1" t="s">
        <v>96</v>
      </c>
      <c r="V182">
        <v>8.11</v>
      </c>
      <c r="W182">
        <v>18.98</v>
      </c>
      <c r="X182">
        <v>61.53</v>
      </c>
      <c r="Y182" s="1" t="s">
        <v>96</v>
      </c>
      <c r="Z182">
        <v>15.16</v>
      </c>
      <c r="AA182">
        <v>724.56</v>
      </c>
      <c r="AB182">
        <v>380.8</v>
      </c>
      <c r="AC182" s="1">
        <v>3.16</v>
      </c>
      <c r="AD182" s="1">
        <v>1.5</v>
      </c>
      <c r="AE182" s="1" t="s">
        <v>96</v>
      </c>
      <c r="AF182" s="1" t="s">
        <v>96</v>
      </c>
      <c r="AG182" s="1" t="s">
        <v>96</v>
      </c>
      <c r="AH182" s="1" t="s">
        <v>96</v>
      </c>
      <c r="AI182">
        <v>432.51</v>
      </c>
      <c r="AJ182">
        <v>62.33</v>
      </c>
      <c r="AK182" s="1" t="s">
        <v>96</v>
      </c>
      <c r="AL182" s="1" t="s">
        <v>96</v>
      </c>
      <c r="AM182">
        <v>60.76</v>
      </c>
      <c r="AN182">
        <v>9.59</v>
      </c>
      <c r="AO182" s="1" t="s">
        <v>96</v>
      </c>
      <c r="AP182" s="1" t="s">
        <v>96</v>
      </c>
      <c r="AQ182">
        <v>8.19</v>
      </c>
      <c r="AR182" s="1" t="s">
        <v>96</v>
      </c>
      <c r="AS182">
        <v>506.78</v>
      </c>
      <c r="AT182">
        <v>246.59</v>
      </c>
      <c r="AU182">
        <v>34.74</v>
      </c>
      <c r="AV182" s="1" t="s">
        <v>96</v>
      </c>
      <c r="AW182">
        <v>184.48</v>
      </c>
      <c r="AX182" s="1" t="s">
        <v>96</v>
      </c>
      <c r="AY182" s="1">
        <v>2.56</v>
      </c>
      <c r="AZ182">
        <v>6.43</v>
      </c>
      <c r="BA182" s="1" t="s">
        <v>96</v>
      </c>
      <c r="BB182" s="1" t="s">
        <v>96</v>
      </c>
      <c r="BC182">
        <v>90.07</v>
      </c>
      <c r="BD182">
        <v>56.31</v>
      </c>
      <c r="BE182" s="1" t="s">
        <v>96</v>
      </c>
      <c r="BF182" s="1" t="s">
        <v>96</v>
      </c>
      <c r="BG182" t="s">
        <v>96</v>
      </c>
      <c r="BH182">
        <v>32.68</v>
      </c>
      <c r="BI182">
        <v>45.26</v>
      </c>
      <c r="BJ182">
        <v>8.91</v>
      </c>
      <c r="BK182" s="1" t="s">
        <v>96</v>
      </c>
      <c r="BL182" s="1" t="s">
        <v>96</v>
      </c>
      <c r="BM182" s="1">
        <v>5.71</v>
      </c>
      <c r="BN182" s="1" t="s">
        <v>96</v>
      </c>
      <c r="BO182" s="1">
        <v>10.66</v>
      </c>
      <c r="BP182">
        <v>26.6</v>
      </c>
      <c r="BQ182">
        <v>5.98</v>
      </c>
      <c r="BR182" s="1" t="s">
        <v>96</v>
      </c>
      <c r="BS182">
        <v>203.38</v>
      </c>
      <c r="BT182">
        <v>17.7</v>
      </c>
      <c r="BU182" s="1" t="s">
        <v>96</v>
      </c>
      <c r="BV182">
        <v>17.25</v>
      </c>
      <c r="BW182">
        <v>50.74</v>
      </c>
      <c r="BX182" s="1" t="s">
        <v>96</v>
      </c>
    </row>
    <row r="183" spans="1:76">
      <c r="A183">
        <v>102</v>
      </c>
      <c r="B183" t="s">
        <v>401</v>
      </c>
      <c r="D183" t="b">
        <v>1</v>
      </c>
      <c r="E183" t="s">
        <v>402</v>
      </c>
      <c r="G183" t="s">
        <v>403</v>
      </c>
      <c r="H183" s="1" t="s">
        <v>96</v>
      </c>
      <c r="I183" s="1" t="s">
        <v>96</v>
      </c>
      <c r="J183">
        <v>19.95</v>
      </c>
      <c r="K183" s="1" t="s">
        <v>96</v>
      </c>
      <c r="L183" s="1" t="s">
        <v>96</v>
      </c>
      <c r="M183" s="1" t="s">
        <v>96</v>
      </c>
      <c r="N183" s="1" t="s">
        <v>96</v>
      </c>
      <c r="O183" s="1" t="s">
        <v>96</v>
      </c>
      <c r="P183" s="1" t="s">
        <v>96</v>
      </c>
      <c r="Q183" s="1" t="s">
        <v>96</v>
      </c>
      <c r="R183" s="1" t="s">
        <v>96</v>
      </c>
      <c r="S183" s="1" t="s">
        <v>96</v>
      </c>
      <c r="T183" t="s">
        <v>96</v>
      </c>
      <c r="U183" s="1" t="s">
        <v>96</v>
      </c>
      <c r="V183">
        <v>1.66</v>
      </c>
      <c r="W183" t="s">
        <v>96</v>
      </c>
      <c r="X183">
        <v>22.23</v>
      </c>
      <c r="Y183" s="1" t="s">
        <v>96</v>
      </c>
      <c r="Z183" t="s">
        <v>96</v>
      </c>
      <c r="AA183">
        <v>10.41</v>
      </c>
      <c r="AB183">
        <v>40.520000000000003</v>
      </c>
      <c r="AC183" s="1" t="s">
        <v>96</v>
      </c>
      <c r="AD183" s="1" t="s">
        <v>96</v>
      </c>
      <c r="AE183" s="1" t="s">
        <v>96</v>
      </c>
      <c r="AF183" s="1" t="s">
        <v>96</v>
      </c>
      <c r="AG183" s="1" t="s">
        <v>96</v>
      </c>
      <c r="AH183" s="1" t="s">
        <v>96</v>
      </c>
      <c r="AI183" t="s">
        <v>96</v>
      </c>
      <c r="AJ183">
        <v>5.17</v>
      </c>
      <c r="AK183" s="1" t="s">
        <v>96</v>
      </c>
      <c r="AL183" s="1" t="s">
        <v>96</v>
      </c>
      <c r="AM183">
        <v>54.32</v>
      </c>
      <c r="AN183">
        <v>3.22</v>
      </c>
      <c r="AO183" s="1" t="s">
        <v>96</v>
      </c>
      <c r="AP183" s="1" t="s">
        <v>96</v>
      </c>
      <c r="AQ183" t="s">
        <v>96</v>
      </c>
      <c r="AR183" s="1" t="s">
        <v>96</v>
      </c>
      <c r="AS183" t="s">
        <v>133</v>
      </c>
      <c r="AT183">
        <v>373.83</v>
      </c>
      <c r="AU183">
        <v>231.85</v>
      </c>
      <c r="AV183" s="1" t="s">
        <v>96</v>
      </c>
      <c r="AW183" t="s">
        <v>133</v>
      </c>
      <c r="AX183" s="1" t="s">
        <v>96</v>
      </c>
      <c r="AY183" s="1">
        <v>3.19</v>
      </c>
      <c r="AZ183">
        <v>51.68</v>
      </c>
      <c r="BA183" s="1">
        <v>22.98</v>
      </c>
      <c r="BB183" s="1" t="s">
        <v>96</v>
      </c>
      <c r="BC183">
        <v>682.16</v>
      </c>
      <c r="BD183">
        <v>93.07</v>
      </c>
      <c r="BE183" s="1" t="s">
        <v>96</v>
      </c>
      <c r="BF183" s="1">
        <v>14.2</v>
      </c>
      <c r="BG183">
        <v>32.74</v>
      </c>
      <c r="BH183">
        <v>289.52</v>
      </c>
      <c r="BI183">
        <v>93.67</v>
      </c>
      <c r="BJ183" t="s">
        <v>96</v>
      </c>
      <c r="BK183" s="1" t="s">
        <v>96</v>
      </c>
      <c r="BL183" s="1" t="s">
        <v>96</v>
      </c>
      <c r="BM183" s="1" t="s">
        <v>96</v>
      </c>
      <c r="BN183" s="1" t="s">
        <v>96</v>
      </c>
      <c r="BO183" s="1" t="s">
        <v>96</v>
      </c>
      <c r="BP183">
        <v>244.49</v>
      </c>
      <c r="BQ183">
        <v>58.42</v>
      </c>
      <c r="BR183" s="1">
        <v>6.7</v>
      </c>
      <c r="BS183">
        <v>190.1</v>
      </c>
      <c r="BT183">
        <v>24.59</v>
      </c>
      <c r="BU183" s="1">
        <v>15</v>
      </c>
      <c r="BV183">
        <v>64.849999999999994</v>
      </c>
      <c r="BW183">
        <v>76.59</v>
      </c>
      <c r="BX183" s="1" t="s">
        <v>96</v>
      </c>
    </row>
    <row r="184" spans="1:76">
      <c r="A184">
        <v>128</v>
      </c>
      <c r="B184" t="s">
        <v>479</v>
      </c>
      <c r="D184" t="b">
        <v>1</v>
      </c>
      <c r="E184" t="s">
        <v>480</v>
      </c>
      <c r="G184" t="s">
        <v>481</v>
      </c>
      <c r="H184" s="1" t="s">
        <v>96</v>
      </c>
      <c r="I184" s="1" t="s">
        <v>96</v>
      </c>
      <c r="J184">
        <v>10.89</v>
      </c>
      <c r="K184" s="1" t="s">
        <v>96</v>
      </c>
      <c r="L184" s="1">
        <v>10.3</v>
      </c>
      <c r="M184" s="1" t="s">
        <v>96</v>
      </c>
      <c r="N184" s="1" t="s">
        <v>96</v>
      </c>
      <c r="O184" s="1" t="s">
        <v>96</v>
      </c>
      <c r="P184" s="1" t="s">
        <v>96</v>
      </c>
      <c r="Q184" s="1" t="s">
        <v>96</v>
      </c>
      <c r="R184" s="1" t="s">
        <v>96</v>
      </c>
      <c r="S184" s="1" t="s">
        <v>96</v>
      </c>
      <c r="T184" t="s">
        <v>96</v>
      </c>
      <c r="U184" s="1" t="s">
        <v>96</v>
      </c>
      <c r="V184">
        <v>19.37</v>
      </c>
      <c r="W184">
        <v>27.5</v>
      </c>
      <c r="X184">
        <v>75.900000000000006</v>
      </c>
      <c r="Y184" s="1" t="s">
        <v>96</v>
      </c>
      <c r="Z184">
        <v>17.440000000000001</v>
      </c>
      <c r="AA184">
        <v>455.05</v>
      </c>
      <c r="AB184">
        <v>330.67</v>
      </c>
      <c r="AC184" s="1" t="s">
        <v>96</v>
      </c>
      <c r="AD184" s="1">
        <v>6.71</v>
      </c>
      <c r="AE184" s="1" t="s">
        <v>96</v>
      </c>
      <c r="AF184" s="1" t="s">
        <v>96</v>
      </c>
      <c r="AG184" s="1" t="s">
        <v>96</v>
      </c>
      <c r="AH184" s="1" t="s">
        <v>96</v>
      </c>
      <c r="AI184">
        <v>113.82</v>
      </c>
      <c r="AJ184">
        <v>34.83</v>
      </c>
      <c r="AK184" s="1" t="s">
        <v>96</v>
      </c>
      <c r="AL184" s="1" t="s">
        <v>96</v>
      </c>
      <c r="AM184">
        <v>189.31</v>
      </c>
      <c r="AN184">
        <v>8.82</v>
      </c>
      <c r="AO184" s="1" t="s">
        <v>96</v>
      </c>
      <c r="AP184" s="1" t="s">
        <v>96</v>
      </c>
      <c r="AQ184">
        <v>5.28</v>
      </c>
      <c r="AR184" s="1" t="s">
        <v>96</v>
      </c>
      <c r="AS184">
        <v>1200.21</v>
      </c>
      <c r="AT184">
        <v>838.73</v>
      </c>
      <c r="AU184">
        <v>107.91</v>
      </c>
      <c r="AV184" s="1" t="s">
        <v>96</v>
      </c>
      <c r="AW184" t="s">
        <v>133</v>
      </c>
      <c r="AX184" s="1" t="s">
        <v>96</v>
      </c>
      <c r="AY184" s="1">
        <v>3.92</v>
      </c>
      <c r="AZ184">
        <v>13.48</v>
      </c>
      <c r="BA184" s="1">
        <v>8.1300000000000008</v>
      </c>
      <c r="BB184" s="1" t="s">
        <v>96</v>
      </c>
      <c r="BC184">
        <v>158.87</v>
      </c>
      <c r="BD184">
        <v>99.19</v>
      </c>
      <c r="BE184" s="1" t="s">
        <v>96</v>
      </c>
      <c r="BF184" s="1" t="s">
        <v>96</v>
      </c>
      <c r="BG184" t="s">
        <v>96</v>
      </c>
      <c r="BH184">
        <v>141.82</v>
      </c>
      <c r="BI184">
        <v>100.33</v>
      </c>
      <c r="BJ184">
        <v>38.67</v>
      </c>
      <c r="BK184" s="1" t="s">
        <v>96</v>
      </c>
      <c r="BL184" s="1" t="s">
        <v>96</v>
      </c>
      <c r="BM184" s="1">
        <v>16.829999999999998</v>
      </c>
      <c r="BN184" s="1">
        <v>5.83</v>
      </c>
      <c r="BO184" s="1">
        <v>26.41</v>
      </c>
      <c r="BP184">
        <v>165.94</v>
      </c>
      <c r="BQ184">
        <v>17.399999999999999</v>
      </c>
      <c r="BR184" s="1" t="s">
        <v>96</v>
      </c>
      <c r="BS184">
        <v>610.95000000000005</v>
      </c>
      <c r="BT184">
        <v>19.45</v>
      </c>
      <c r="BU184" s="1" t="s">
        <v>96</v>
      </c>
      <c r="BV184">
        <v>54.49</v>
      </c>
      <c r="BW184">
        <v>160.21</v>
      </c>
      <c r="BX184" s="1" t="s">
        <v>96</v>
      </c>
    </row>
    <row r="185" spans="1:76">
      <c r="A185">
        <v>241</v>
      </c>
      <c r="B185" t="s">
        <v>818</v>
      </c>
      <c r="D185" t="b">
        <v>1</v>
      </c>
      <c r="E185" t="s">
        <v>819</v>
      </c>
      <c r="G185" t="s">
        <v>820</v>
      </c>
      <c r="H185" s="1" t="s">
        <v>96</v>
      </c>
      <c r="I185" s="1" t="s">
        <v>96</v>
      </c>
      <c r="J185">
        <v>17.71</v>
      </c>
      <c r="K185" s="1" t="s">
        <v>96</v>
      </c>
      <c r="L185" s="1" t="s">
        <v>96</v>
      </c>
      <c r="M185" s="1">
        <v>47.15</v>
      </c>
      <c r="N185" s="1" t="s">
        <v>96</v>
      </c>
      <c r="O185" s="1" t="s">
        <v>96</v>
      </c>
      <c r="P185" s="1" t="s">
        <v>96</v>
      </c>
      <c r="Q185" s="1" t="s">
        <v>96</v>
      </c>
      <c r="R185" s="1" t="s">
        <v>96</v>
      </c>
      <c r="S185" s="1" t="s">
        <v>96</v>
      </c>
      <c r="T185" t="s">
        <v>96</v>
      </c>
      <c r="U185" s="1" t="s">
        <v>96</v>
      </c>
      <c r="V185">
        <v>1.03</v>
      </c>
      <c r="W185">
        <v>34.81</v>
      </c>
      <c r="X185">
        <v>92.65</v>
      </c>
      <c r="Y185" s="1" t="s">
        <v>96</v>
      </c>
      <c r="Z185">
        <v>183.49</v>
      </c>
      <c r="AA185">
        <v>652.84</v>
      </c>
      <c r="AB185">
        <v>151.63999999999999</v>
      </c>
      <c r="AC185" s="1" t="s">
        <v>96</v>
      </c>
      <c r="AD185" s="1" t="s">
        <v>96</v>
      </c>
      <c r="AE185" s="1" t="s">
        <v>96</v>
      </c>
      <c r="AF185" s="1" t="s">
        <v>96</v>
      </c>
      <c r="AG185" s="1" t="s">
        <v>96</v>
      </c>
      <c r="AH185" s="1" t="s">
        <v>96</v>
      </c>
      <c r="AI185" t="s">
        <v>96</v>
      </c>
      <c r="AJ185">
        <v>65.95</v>
      </c>
      <c r="AK185" s="1" t="s">
        <v>96</v>
      </c>
      <c r="AL185" s="1" t="s">
        <v>96</v>
      </c>
      <c r="AM185">
        <v>27.8</v>
      </c>
      <c r="AN185">
        <v>1.81</v>
      </c>
      <c r="AO185" s="1" t="s">
        <v>96</v>
      </c>
      <c r="AP185" s="1" t="s">
        <v>96</v>
      </c>
      <c r="AQ185">
        <v>46.26</v>
      </c>
      <c r="AR185" s="1" t="s">
        <v>96</v>
      </c>
      <c r="AS185">
        <v>774.9</v>
      </c>
      <c r="AT185">
        <v>436.84</v>
      </c>
      <c r="AU185">
        <v>45.09</v>
      </c>
      <c r="AV185" s="1" t="s">
        <v>96</v>
      </c>
      <c r="AW185">
        <v>159.59</v>
      </c>
      <c r="AX185" s="1" t="s">
        <v>96</v>
      </c>
      <c r="AY185" s="1">
        <v>18.12</v>
      </c>
      <c r="AZ185">
        <v>7.05</v>
      </c>
      <c r="BA185" s="1">
        <v>2.78</v>
      </c>
      <c r="BB185" s="1" t="s">
        <v>96</v>
      </c>
      <c r="BC185">
        <v>118.93</v>
      </c>
      <c r="BD185">
        <v>83.52</v>
      </c>
      <c r="BE185" s="1" t="s">
        <v>96</v>
      </c>
      <c r="BF185" s="1" t="s">
        <v>96</v>
      </c>
      <c r="BG185">
        <v>7.31</v>
      </c>
      <c r="BH185">
        <v>34.479999999999997</v>
      </c>
      <c r="BI185">
        <v>211.98</v>
      </c>
      <c r="BJ185">
        <v>9.01</v>
      </c>
      <c r="BK185" s="1" t="s">
        <v>96</v>
      </c>
      <c r="BL185" s="1" t="s">
        <v>96</v>
      </c>
      <c r="BM185" s="1" t="s">
        <v>96</v>
      </c>
      <c r="BN185" s="1" t="s">
        <v>96</v>
      </c>
      <c r="BO185" s="1">
        <v>92.62</v>
      </c>
      <c r="BP185">
        <v>100.08</v>
      </c>
      <c r="BQ185">
        <v>17.05</v>
      </c>
      <c r="BR185" s="1" t="s">
        <v>96</v>
      </c>
      <c r="BS185">
        <v>1294.31</v>
      </c>
      <c r="BT185">
        <v>44.94</v>
      </c>
      <c r="BU185" s="1" t="s">
        <v>96</v>
      </c>
      <c r="BV185">
        <v>40.869999999999997</v>
      </c>
      <c r="BW185">
        <v>183.54</v>
      </c>
      <c r="BX185" s="1" t="s">
        <v>96</v>
      </c>
    </row>
    <row r="186" spans="1:76">
      <c r="A186">
        <v>33</v>
      </c>
      <c r="B186" t="s">
        <v>194</v>
      </c>
      <c r="D186" t="b">
        <v>1</v>
      </c>
      <c r="E186" t="s">
        <v>195</v>
      </c>
      <c r="G186" t="s">
        <v>196</v>
      </c>
      <c r="H186" s="1" t="s">
        <v>96</v>
      </c>
      <c r="I186" s="1" t="s">
        <v>96</v>
      </c>
      <c r="J186">
        <v>10.58</v>
      </c>
      <c r="K186" s="1" t="s">
        <v>96</v>
      </c>
      <c r="L186" s="1" t="s">
        <v>96</v>
      </c>
      <c r="M186" s="1">
        <v>8.18</v>
      </c>
      <c r="N186" s="1" t="s">
        <v>96</v>
      </c>
      <c r="O186" s="1" t="s">
        <v>96</v>
      </c>
      <c r="P186" s="1" t="s">
        <v>96</v>
      </c>
      <c r="Q186" s="1" t="s">
        <v>96</v>
      </c>
      <c r="R186" s="1" t="s">
        <v>96</v>
      </c>
      <c r="S186" s="1" t="s">
        <v>96</v>
      </c>
      <c r="T186" t="s">
        <v>96</v>
      </c>
      <c r="U186" s="1" t="s">
        <v>96</v>
      </c>
      <c r="V186">
        <v>4.07</v>
      </c>
      <c r="W186">
        <v>72.39</v>
      </c>
      <c r="X186">
        <v>82.55</v>
      </c>
      <c r="Y186" s="1" t="s">
        <v>96</v>
      </c>
      <c r="Z186">
        <v>43.14</v>
      </c>
      <c r="AA186">
        <v>867.28</v>
      </c>
      <c r="AB186">
        <v>28.82</v>
      </c>
      <c r="AC186" s="1" t="s">
        <v>96</v>
      </c>
      <c r="AD186" s="1" t="s">
        <v>96</v>
      </c>
      <c r="AE186" s="1" t="s">
        <v>96</v>
      </c>
      <c r="AF186" s="1" t="s">
        <v>96</v>
      </c>
      <c r="AG186" s="1" t="s">
        <v>96</v>
      </c>
      <c r="AH186" s="1" t="s">
        <v>96</v>
      </c>
      <c r="AI186">
        <v>213.27</v>
      </c>
      <c r="AJ186">
        <v>52.25</v>
      </c>
      <c r="AK186" s="1" t="s">
        <v>96</v>
      </c>
      <c r="AL186" s="1" t="s">
        <v>96</v>
      </c>
      <c r="AM186">
        <v>4.6100000000000003</v>
      </c>
      <c r="AN186" t="s">
        <v>96</v>
      </c>
      <c r="AO186" s="1" t="s">
        <v>96</v>
      </c>
      <c r="AP186" s="1" t="s">
        <v>96</v>
      </c>
      <c r="AQ186">
        <v>36.299999999999997</v>
      </c>
      <c r="AR186" s="1" t="s">
        <v>96</v>
      </c>
      <c r="AS186">
        <v>634.20000000000005</v>
      </c>
      <c r="AT186">
        <v>516.24</v>
      </c>
      <c r="AU186">
        <v>31.56</v>
      </c>
      <c r="AV186" s="1" t="s">
        <v>96</v>
      </c>
      <c r="AW186">
        <v>65.45</v>
      </c>
      <c r="AX186" s="1" t="s">
        <v>96</v>
      </c>
      <c r="AY186" s="1">
        <v>7.52</v>
      </c>
      <c r="AZ186" t="s">
        <v>96</v>
      </c>
      <c r="BA186" s="1" t="s">
        <v>96</v>
      </c>
      <c r="BB186" s="1" t="s">
        <v>96</v>
      </c>
      <c r="BC186">
        <v>36.31</v>
      </c>
      <c r="BD186">
        <v>33.32</v>
      </c>
      <c r="BE186" s="1" t="s">
        <v>96</v>
      </c>
      <c r="BF186" s="1" t="s">
        <v>96</v>
      </c>
      <c r="BG186" t="s">
        <v>96</v>
      </c>
      <c r="BH186">
        <v>5.4</v>
      </c>
      <c r="BI186">
        <v>57.9</v>
      </c>
      <c r="BJ186">
        <v>8.65</v>
      </c>
      <c r="BK186" s="1" t="s">
        <v>96</v>
      </c>
      <c r="BL186" s="1" t="s">
        <v>96</v>
      </c>
      <c r="BM186" s="1" t="s">
        <v>96</v>
      </c>
      <c r="BN186" s="1" t="s">
        <v>96</v>
      </c>
      <c r="BO186" s="1">
        <v>49.39</v>
      </c>
      <c r="BP186">
        <v>28.22</v>
      </c>
      <c r="BQ186" t="s">
        <v>96</v>
      </c>
      <c r="BR186" s="1" t="s">
        <v>96</v>
      </c>
      <c r="BS186">
        <v>1088.19</v>
      </c>
      <c r="BT186">
        <v>7.26</v>
      </c>
      <c r="BU186" s="1" t="s">
        <v>96</v>
      </c>
      <c r="BV186">
        <v>26.35</v>
      </c>
      <c r="BW186">
        <v>83.76</v>
      </c>
      <c r="BX186" s="1" t="s">
        <v>96</v>
      </c>
    </row>
    <row r="187" spans="1:76">
      <c r="A187">
        <v>130</v>
      </c>
      <c r="B187" t="s">
        <v>485</v>
      </c>
      <c r="D187" t="b">
        <v>1</v>
      </c>
      <c r="E187" t="s">
        <v>486</v>
      </c>
      <c r="G187" t="s">
        <v>487</v>
      </c>
      <c r="H187" s="1" t="s">
        <v>96</v>
      </c>
      <c r="I187" s="1" t="s">
        <v>96</v>
      </c>
      <c r="J187">
        <v>7.03</v>
      </c>
      <c r="K187" s="1">
        <v>14.5</v>
      </c>
      <c r="L187" s="1">
        <v>15.37</v>
      </c>
      <c r="M187" s="1">
        <v>5.45</v>
      </c>
      <c r="N187" s="1" t="s">
        <v>96</v>
      </c>
      <c r="O187" s="1" t="s">
        <v>96</v>
      </c>
      <c r="P187" s="1" t="s">
        <v>96</v>
      </c>
      <c r="Q187" s="1" t="s">
        <v>96</v>
      </c>
      <c r="R187" s="1" t="s">
        <v>96</v>
      </c>
      <c r="S187" s="1" t="s">
        <v>96</v>
      </c>
      <c r="T187" t="s">
        <v>96</v>
      </c>
      <c r="U187" s="1" t="s">
        <v>96</v>
      </c>
      <c r="V187">
        <v>1.21</v>
      </c>
      <c r="W187">
        <v>27.39</v>
      </c>
      <c r="X187">
        <v>9.06</v>
      </c>
      <c r="Y187" s="1" t="s">
        <v>96</v>
      </c>
      <c r="Z187">
        <v>11.36</v>
      </c>
      <c r="AA187">
        <v>145.93</v>
      </c>
      <c r="AB187">
        <v>8.76</v>
      </c>
      <c r="AC187" s="1">
        <v>3.52</v>
      </c>
      <c r="AD187" s="1">
        <v>6.32</v>
      </c>
      <c r="AE187" s="1" t="s">
        <v>96</v>
      </c>
      <c r="AF187" s="1" t="s">
        <v>96</v>
      </c>
      <c r="AG187" s="1">
        <v>7.19</v>
      </c>
      <c r="AH187" s="1" t="s">
        <v>96</v>
      </c>
      <c r="AI187">
        <v>56.84</v>
      </c>
      <c r="AJ187">
        <v>6.74</v>
      </c>
      <c r="AK187" s="1" t="s">
        <v>96</v>
      </c>
      <c r="AL187" s="1">
        <v>4.7300000000000004</v>
      </c>
      <c r="AM187">
        <v>6.07</v>
      </c>
      <c r="AN187" t="s">
        <v>96</v>
      </c>
      <c r="AO187" s="1" t="s">
        <v>96</v>
      </c>
      <c r="AP187" s="1" t="s">
        <v>96</v>
      </c>
      <c r="AQ187">
        <v>3.71</v>
      </c>
      <c r="AR187" s="1" t="s">
        <v>96</v>
      </c>
      <c r="AS187">
        <v>731.24</v>
      </c>
      <c r="AT187">
        <v>624.77</v>
      </c>
      <c r="AU187">
        <v>26.1</v>
      </c>
      <c r="AV187" s="1" t="s">
        <v>96</v>
      </c>
      <c r="AW187">
        <v>573.99</v>
      </c>
      <c r="AX187" s="1" t="s">
        <v>96</v>
      </c>
      <c r="AY187" s="1">
        <v>11.42</v>
      </c>
      <c r="AZ187">
        <v>5.92</v>
      </c>
      <c r="BA187" s="1">
        <v>9.27</v>
      </c>
      <c r="BB187" s="1" t="s">
        <v>96</v>
      </c>
      <c r="BC187">
        <v>374.63</v>
      </c>
      <c r="BD187">
        <v>405.72</v>
      </c>
      <c r="BE187" s="1" t="s">
        <v>96</v>
      </c>
      <c r="BF187" s="1" t="s">
        <v>96</v>
      </c>
      <c r="BG187" t="s">
        <v>96</v>
      </c>
      <c r="BH187">
        <v>310.39</v>
      </c>
      <c r="BI187">
        <v>522.82000000000005</v>
      </c>
      <c r="BJ187">
        <v>18.05</v>
      </c>
      <c r="BK187" s="1" t="s">
        <v>96</v>
      </c>
      <c r="BL187" s="1" t="s">
        <v>96</v>
      </c>
      <c r="BM187" s="1">
        <v>6.46</v>
      </c>
      <c r="BN187" s="1" t="s">
        <v>96</v>
      </c>
      <c r="BO187" s="1">
        <v>42.92</v>
      </c>
      <c r="BP187">
        <v>240.13</v>
      </c>
      <c r="BQ187">
        <v>71.62</v>
      </c>
      <c r="BR187" s="1">
        <v>6.17</v>
      </c>
      <c r="BS187">
        <v>1131.3399999999999</v>
      </c>
      <c r="BT187">
        <v>230.21</v>
      </c>
      <c r="BU187" s="1">
        <v>15.33</v>
      </c>
      <c r="BV187">
        <v>49.34</v>
      </c>
      <c r="BW187">
        <v>432.28</v>
      </c>
      <c r="BX187" s="1" t="s">
        <v>96</v>
      </c>
    </row>
    <row r="188" spans="1:76">
      <c r="A188">
        <v>242</v>
      </c>
      <c r="B188" t="s">
        <v>821</v>
      </c>
      <c r="D188" t="b">
        <v>1</v>
      </c>
      <c r="E188" t="s">
        <v>822</v>
      </c>
      <c r="G188" t="s">
        <v>823</v>
      </c>
      <c r="H188" s="1" t="s">
        <v>96</v>
      </c>
      <c r="I188" s="1" t="s">
        <v>96</v>
      </c>
      <c r="J188">
        <v>22.45</v>
      </c>
      <c r="K188" s="1" t="s">
        <v>96</v>
      </c>
      <c r="L188" s="1" t="s">
        <v>96</v>
      </c>
      <c r="M188" s="1">
        <v>16.489999999999998</v>
      </c>
      <c r="N188" s="1" t="s">
        <v>96</v>
      </c>
      <c r="O188" s="1" t="s">
        <v>96</v>
      </c>
      <c r="P188" s="1" t="s">
        <v>96</v>
      </c>
      <c r="Q188" s="1" t="s">
        <v>96</v>
      </c>
      <c r="R188" s="1" t="s">
        <v>96</v>
      </c>
      <c r="S188" s="1" t="s">
        <v>96</v>
      </c>
      <c r="T188">
        <v>2.2400000000000002</v>
      </c>
      <c r="U188" s="1" t="s">
        <v>96</v>
      </c>
      <c r="V188">
        <v>4.7</v>
      </c>
      <c r="W188">
        <v>27.79</v>
      </c>
      <c r="X188">
        <v>228.07</v>
      </c>
      <c r="Y188" s="1" t="s">
        <v>96</v>
      </c>
      <c r="Z188">
        <v>115.78</v>
      </c>
      <c r="AA188">
        <v>644.25</v>
      </c>
      <c r="AB188">
        <v>305.22000000000003</v>
      </c>
      <c r="AC188" s="1" t="s">
        <v>96</v>
      </c>
      <c r="AD188" s="1" t="s">
        <v>96</v>
      </c>
      <c r="AE188" s="1" t="s">
        <v>96</v>
      </c>
      <c r="AF188" s="1" t="s">
        <v>96</v>
      </c>
      <c r="AG188" s="1" t="s">
        <v>96</v>
      </c>
      <c r="AH188" s="1" t="s">
        <v>96</v>
      </c>
      <c r="AI188" t="s">
        <v>96</v>
      </c>
      <c r="AJ188">
        <v>83.45</v>
      </c>
      <c r="AK188" s="1" t="s">
        <v>96</v>
      </c>
      <c r="AL188" s="1" t="s">
        <v>96</v>
      </c>
      <c r="AM188">
        <v>26.66</v>
      </c>
      <c r="AN188">
        <v>3.73</v>
      </c>
      <c r="AO188" s="1" t="s">
        <v>96</v>
      </c>
      <c r="AP188" s="1" t="s">
        <v>96</v>
      </c>
      <c r="AQ188">
        <v>22.62</v>
      </c>
      <c r="AR188" s="1">
        <v>2.75</v>
      </c>
      <c r="AS188">
        <v>1403.93</v>
      </c>
      <c r="AT188">
        <v>859.75</v>
      </c>
      <c r="AU188">
        <v>71.62</v>
      </c>
      <c r="AV188" s="1" t="s">
        <v>96</v>
      </c>
      <c r="AW188">
        <v>519.6</v>
      </c>
      <c r="AX188" s="1" t="s">
        <v>96</v>
      </c>
      <c r="AY188" s="1">
        <v>12.75</v>
      </c>
      <c r="AZ188">
        <v>13.46</v>
      </c>
      <c r="BA188" s="1">
        <v>7.91</v>
      </c>
      <c r="BB188" s="1" t="s">
        <v>96</v>
      </c>
      <c r="BC188">
        <v>373.44</v>
      </c>
      <c r="BD188">
        <v>226.29</v>
      </c>
      <c r="BE188" s="1" t="s">
        <v>96</v>
      </c>
      <c r="BF188" s="1">
        <v>3.53</v>
      </c>
      <c r="BG188">
        <v>30.81</v>
      </c>
      <c r="BH188">
        <v>214.65</v>
      </c>
      <c r="BI188">
        <v>267.02999999999997</v>
      </c>
      <c r="BJ188">
        <v>5.32</v>
      </c>
      <c r="BK188" s="1" t="s">
        <v>96</v>
      </c>
      <c r="BL188" s="1" t="s">
        <v>96</v>
      </c>
      <c r="BM188" s="1" t="s">
        <v>96</v>
      </c>
      <c r="BN188" s="1" t="s">
        <v>96</v>
      </c>
      <c r="BO188" s="1">
        <v>50.69</v>
      </c>
      <c r="BP188">
        <v>129.38999999999999</v>
      </c>
      <c r="BQ188">
        <v>31.12</v>
      </c>
      <c r="BR188" s="1" t="s">
        <v>96</v>
      </c>
      <c r="BS188">
        <v>950.96</v>
      </c>
      <c r="BT188">
        <v>117.43</v>
      </c>
      <c r="BU188" s="1">
        <v>15.65</v>
      </c>
      <c r="BV188">
        <v>49.95</v>
      </c>
      <c r="BW188">
        <v>338.69</v>
      </c>
      <c r="BX188" s="1" t="s">
        <v>96</v>
      </c>
    </row>
    <row r="189" spans="1:76">
      <c r="A189">
        <v>70</v>
      </c>
      <c r="B189" t="s">
        <v>305</v>
      </c>
      <c r="D189" t="b">
        <v>1</v>
      </c>
      <c r="E189" t="s">
        <v>306</v>
      </c>
      <c r="G189" t="s">
        <v>307</v>
      </c>
      <c r="H189" s="1" t="s">
        <v>96</v>
      </c>
      <c r="I189" s="1" t="s">
        <v>96</v>
      </c>
      <c r="J189">
        <v>21.85</v>
      </c>
      <c r="K189" s="1" t="s">
        <v>96</v>
      </c>
      <c r="L189" s="1" t="s">
        <v>96</v>
      </c>
      <c r="M189" s="1">
        <v>10.31</v>
      </c>
      <c r="N189" s="1" t="s">
        <v>96</v>
      </c>
      <c r="O189" s="1" t="s">
        <v>96</v>
      </c>
      <c r="P189" s="1">
        <v>49.85</v>
      </c>
      <c r="Q189" s="1" t="s">
        <v>96</v>
      </c>
      <c r="R189" s="1" t="s">
        <v>96</v>
      </c>
      <c r="S189" s="1" t="s">
        <v>96</v>
      </c>
      <c r="T189">
        <v>1.07</v>
      </c>
      <c r="U189" s="1" t="s">
        <v>96</v>
      </c>
      <c r="V189">
        <v>5.12</v>
      </c>
      <c r="W189">
        <v>16.260000000000002</v>
      </c>
      <c r="X189">
        <v>291.70999999999998</v>
      </c>
      <c r="Y189" s="1" t="s">
        <v>96</v>
      </c>
      <c r="Z189">
        <v>77.739999999999995</v>
      </c>
      <c r="AA189">
        <v>751.41</v>
      </c>
      <c r="AB189">
        <v>113.4</v>
      </c>
      <c r="AC189" s="1">
        <v>5.26</v>
      </c>
      <c r="AD189" s="1">
        <v>3.95</v>
      </c>
      <c r="AE189" s="1" t="s">
        <v>96</v>
      </c>
      <c r="AF189" s="1">
        <v>3.21</v>
      </c>
      <c r="AG189" s="1" t="s">
        <v>96</v>
      </c>
      <c r="AH189" s="1" t="s">
        <v>96</v>
      </c>
      <c r="AI189">
        <v>328.97</v>
      </c>
      <c r="AJ189">
        <v>84.41</v>
      </c>
      <c r="AK189" s="1">
        <v>2.31</v>
      </c>
      <c r="AL189" s="1">
        <v>2.67</v>
      </c>
      <c r="AM189">
        <v>23.95</v>
      </c>
      <c r="AN189">
        <v>6.84</v>
      </c>
      <c r="AO189" s="1" t="s">
        <v>96</v>
      </c>
      <c r="AP189" s="1" t="s">
        <v>96</v>
      </c>
      <c r="AQ189">
        <v>29.76</v>
      </c>
      <c r="AR189" s="1">
        <v>2.94</v>
      </c>
      <c r="AS189" t="s">
        <v>133</v>
      </c>
      <c r="AT189">
        <v>1910.24</v>
      </c>
      <c r="AU189">
        <v>376.68</v>
      </c>
      <c r="AV189" s="1" t="s">
        <v>96</v>
      </c>
      <c r="AW189" t="s">
        <v>133</v>
      </c>
      <c r="AX189" s="1" t="s">
        <v>96</v>
      </c>
      <c r="AY189" s="1">
        <v>15</v>
      </c>
      <c r="AZ189">
        <v>40.42</v>
      </c>
      <c r="BA189" s="1">
        <v>39.9</v>
      </c>
      <c r="BB189" s="1" t="s">
        <v>96</v>
      </c>
      <c r="BC189">
        <v>548.29999999999995</v>
      </c>
      <c r="BD189">
        <v>469.51</v>
      </c>
      <c r="BE189" s="1" t="s">
        <v>96</v>
      </c>
      <c r="BF189" s="1">
        <v>14.55</v>
      </c>
      <c r="BG189">
        <v>26.1</v>
      </c>
      <c r="BH189">
        <v>474.79</v>
      </c>
      <c r="BI189">
        <v>159.46</v>
      </c>
      <c r="BJ189">
        <v>9.4700000000000006</v>
      </c>
      <c r="BK189" s="1" t="s">
        <v>96</v>
      </c>
      <c r="BL189" s="1" t="s">
        <v>96</v>
      </c>
      <c r="BM189" s="1" t="s">
        <v>96</v>
      </c>
      <c r="BN189" s="1" t="s">
        <v>96</v>
      </c>
      <c r="BO189" s="1">
        <v>16.059999999999999</v>
      </c>
      <c r="BP189">
        <v>85.28</v>
      </c>
      <c r="BQ189">
        <v>25.47</v>
      </c>
      <c r="BR189" s="1" t="s">
        <v>96</v>
      </c>
      <c r="BS189">
        <v>429.71</v>
      </c>
      <c r="BT189">
        <v>50.96</v>
      </c>
      <c r="BU189" s="1" t="s">
        <v>96</v>
      </c>
      <c r="BV189">
        <v>40.340000000000003</v>
      </c>
      <c r="BW189">
        <v>115.5</v>
      </c>
      <c r="BX189" s="1" t="s">
        <v>96</v>
      </c>
    </row>
    <row r="190" spans="1:76">
      <c r="A190">
        <v>240</v>
      </c>
      <c r="B190" t="s">
        <v>815</v>
      </c>
      <c r="D190" t="b">
        <v>1</v>
      </c>
      <c r="E190" t="s">
        <v>816</v>
      </c>
      <c r="G190" t="s">
        <v>817</v>
      </c>
      <c r="H190" s="1" t="s">
        <v>96</v>
      </c>
      <c r="I190" s="1" t="s">
        <v>96</v>
      </c>
      <c r="J190">
        <v>17.059999999999999</v>
      </c>
      <c r="K190" s="1" t="s">
        <v>96</v>
      </c>
      <c r="L190" s="1" t="s">
        <v>96</v>
      </c>
      <c r="M190" s="1">
        <v>8.4600000000000009</v>
      </c>
      <c r="N190" s="1" t="s">
        <v>96</v>
      </c>
      <c r="O190" s="1" t="s">
        <v>96</v>
      </c>
      <c r="P190" s="1" t="s">
        <v>96</v>
      </c>
      <c r="Q190" s="1" t="s">
        <v>96</v>
      </c>
      <c r="R190" s="1" t="s">
        <v>96</v>
      </c>
      <c r="S190" s="1" t="s">
        <v>96</v>
      </c>
      <c r="T190" t="s">
        <v>96</v>
      </c>
      <c r="U190" s="1" t="s">
        <v>96</v>
      </c>
      <c r="V190">
        <v>1.47</v>
      </c>
      <c r="W190">
        <v>12.44</v>
      </c>
      <c r="X190">
        <v>73.010000000000005</v>
      </c>
      <c r="Y190" s="1" t="s">
        <v>96</v>
      </c>
      <c r="Z190">
        <v>32.79</v>
      </c>
      <c r="AA190">
        <v>188.27</v>
      </c>
      <c r="AB190">
        <v>117.66</v>
      </c>
      <c r="AC190" s="1" t="s">
        <v>96</v>
      </c>
      <c r="AD190" s="1" t="s">
        <v>96</v>
      </c>
      <c r="AE190" s="1" t="s">
        <v>96</v>
      </c>
      <c r="AF190" s="1" t="s">
        <v>96</v>
      </c>
      <c r="AG190" s="1" t="s">
        <v>96</v>
      </c>
      <c r="AH190" s="1" t="s">
        <v>96</v>
      </c>
      <c r="AI190" t="s">
        <v>96</v>
      </c>
      <c r="AJ190">
        <v>24.4</v>
      </c>
      <c r="AK190" s="1" t="s">
        <v>96</v>
      </c>
      <c r="AL190" s="1" t="s">
        <v>96</v>
      </c>
      <c r="AM190">
        <v>34.85</v>
      </c>
      <c r="AN190">
        <v>2.09</v>
      </c>
      <c r="AO190" s="1" t="s">
        <v>96</v>
      </c>
      <c r="AP190" s="1" t="s">
        <v>96</v>
      </c>
      <c r="AQ190">
        <v>22.49</v>
      </c>
      <c r="AR190" s="1">
        <v>3.61</v>
      </c>
      <c r="AS190" t="s">
        <v>133</v>
      </c>
      <c r="AT190">
        <v>982.63</v>
      </c>
      <c r="AU190">
        <v>79.599999999999994</v>
      </c>
      <c r="AV190" s="1" t="s">
        <v>96</v>
      </c>
      <c r="AW190" t="s">
        <v>133</v>
      </c>
      <c r="AX190" s="1" t="s">
        <v>96</v>
      </c>
      <c r="AY190" s="1">
        <v>21.09</v>
      </c>
      <c r="AZ190">
        <v>16.93</v>
      </c>
      <c r="BA190" s="1">
        <v>9.39</v>
      </c>
      <c r="BB190" s="1" t="s">
        <v>96</v>
      </c>
      <c r="BC190">
        <v>674.78</v>
      </c>
      <c r="BD190">
        <v>232.16</v>
      </c>
      <c r="BE190" s="1" t="s">
        <v>96</v>
      </c>
      <c r="BF190" s="1">
        <v>4.55</v>
      </c>
      <c r="BG190">
        <v>24.75</v>
      </c>
      <c r="BH190">
        <v>371.78</v>
      </c>
      <c r="BI190">
        <v>259.02999999999997</v>
      </c>
      <c r="BJ190">
        <v>4.93</v>
      </c>
      <c r="BK190" s="1" t="s">
        <v>96</v>
      </c>
      <c r="BL190" s="1" t="s">
        <v>96</v>
      </c>
      <c r="BM190" s="1" t="s">
        <v>96</v>
      </c>
      <c r="BN190" s="1" t="s">
        <v>96</v>
      </c>
      <c r="BO190" s="1">
        <v>23.62</v>
      </c>
      <c r="BP190">
        <v>131.87</v>
      </c>
      <c r="BQ190">
        <v>27.39</v>
      </c>
      <c r="BR190" s="1" t="s">
        <v>96</v>
      </c>
      <c r="BS190">
        <v>857.24</v>
      </c>
      <c r="BT190">
        <v>43.69</v>
      </c>
      <c r="BU190" s="1" t="s">
        <v>96</v>
      </c>
      <c r="BV190">
        <v>22.44</v>
      </c>
      <c r="BW190">
        <v>149.94999999999999</v>
      </c>
      <c r="BX190" s="1" t="s">
        <v>96</v>
      </c>
    </row>
    <row r="191" spans="1:76">
      <c r="A191">
        <v>36</v>
      </c>
      <c r="B191" t="s">
        <v>203</v>
      </c>
      <c r="D191" t="b">
        <v>1</v>
      </c>
      <c r="E191" t="s">
        <v>204</v>
      </c>
      <c r="G191" t="s">
        <v>205</v>
      </c>
      <c r="H191" s="1" t="s">
        <v>96</v>
      </c>
      <c r="I191" s="1" t="s">
        <v>96</v>
      </c>
      <c r="J191">
        <v>13.38</v>
      </c>
      <c r="K191" s="1" t="s">
        <v>96</v>
      </c>
      <c r="L191" s="1" t="s">
        <v>96</v>
      </c>
      <c r="M191" s="1">
        <v>8.1</v>
      </c>
      <c r="N191" s="1" t="s">
        <v>96</v>
      </c>
      <c r="O191" s="1" t="s">
        <v>96</v>
      </c>
      <c r="P191" s="1" t="s">
        <v>96</v>
      </c>
      <c r="Q191" s="1" t="s">
        <v>96</v>
      </c>
      <c r="R191" s="1" t="s">
        <v>96</v>
      </c>
      <c r="S191" s="1" t="s">
        <v>96</v>
      </c>
      <c r="T191" t="s">
        <v>96</v>
      </c>
      <c r="U191" s="1" t="s">
        <v>96</v>
      </c>
      <c r="V191">
        <v>2.15</v>
      </c>
      <c r="W191">
        <v>65.16</v>
      </c>
      <c r="X191">
        <v>34.11</v>
      </c>
      <c r="Y191" s="1" t="s">
        <v>96</v>
      </c>
      <c r="Z191">
        <v>50.65</v>
      </c>
      <c r="AA191">
        <v>809.03</v>
      </c>
      <c r="AB191">
        <v>22.13</v>
      </c>
      <c r="AC191" s="1" t="s">
        <v>96</v>
      </c>
      <c r="AD191" s="1" t="s">
        <v>96</v>
      </c>
      <c r="AE191" s="1" t="s">
        <v>96</v>
      </c>
      <c r="AF191" s="1" t="s">
        <v>96</v>
      </c>
      <c r="AG191" s="1" t="s">
        <v>96</v>
      </c>
      <c r="AH191" s="1" t="s">
        <v>96</v>
      </c>
      <c r="AI191">
        <v>199.75</v>
      </c>
      <c r="AJ191">
        <v>35.65</v>
      </c>
      <c r="AK191" s="1" t="s">
        <v>96</v>
      </c>
      <c r="AL191" s="1" t="s">
        <v>96</v>
      </c>
      <c r="AM191">
        <v>3.75</v>
      </c>
      <c r="AN191" t="s">
        <v>96</v>
      </c>
      <c r="AO191" s="1" t="s">
        <v>96</v>
      </c>
      <c r="AP191" s="1" t="s">
        <v>96</v>
      </c>
      <c r="AQ191">
        <v>37.950000000000003</v>
      </c>
      <c r="AR191" s="1" t="s">
        <v>96</v>
      </c>
      <c r="AS191">
        <v>626.05999999999995</v>
      </c>
      <c r="AT191">
        <v>567</v>
      </c>
      <c r="AU191">
        <v>15.7</v>
      </c>
      <c r="AV191" s="1" t="s">
        <v>96</v>
      </c>
      <c r="AW191">
        <v>74.11</v>
      </c>
      <c r="AX191" s="1" t="s">
        <v>96</v>
      </c>
      <c r="AY191" s="1">
        <v>6.71</v>
      </c>
      <c r="AZ191" t="s">
        <v>96</v>
      </c>
      <c r="BA191" s="1" t="s">
        <v>96</v>
      </c>
      <c r="BB191" s="1" t="s">
        <v>96</v>
      </c>
      <c r="BC191">
        <v>34.92</v>
      </c>
      <c r="BD191">
        <v>36.380000000000003</v>
      </c>
      <c r="BE191" s="1" t="s">
        <v>96</v>
      </c>
      <c r="BF191" s="1" t="s">
        <v>96</v>
      </c>
      <c r="BG191" t="s">
        <v>96</v>
      </c>
      <c r="BH191">
        <v>5.23</v>
      </c>
      <c r="BI191">
        <v>45.08</v>
      </c>
      <c r="BJ191">
        <v>12.65</v>
      </c>
      <c r="BK191" s="1" t="s">
        <v>96</v>
      </c>
      <c r="BL191" s="1" t="s">
        <v>96</v>
      </c>
      <c r="BM191" s="1" t="s">
        <v>96</v>
      </c>
      <c r="BN191" s="1" t="s">
        <v>96</v>
      </c>
      <c r="BO191" s="1">
        <v>50.34</v>
      </c>
      <c r="BP191">
        <v>32.64</v>
      </c>
      <c r="BQ191" t="s">
        <v>96</v>
      </c>
      <c r="BR191" s="1" t="s">
        <v>96</v>
      </c>
      <c r="BS191">
        <v>982.25</v>
      </c>
      <c r="BT191">
        <v>7.67</v>
      </c>
      <c r="BU191" s="1" t="s">
        <v>96</v>
      </c>
      <c r="BV191">
        <v>14.67</v>
      </c>
      <c r="BW191">
        <v>102.44</v>
      </c>
      <c r="BX191" s="1" t="s">
        <v>96</v>
      </c>
    </row>
    <row r="192" spans="1:76">
      <c r="A192">
        <v>196</v>
      </c>
      <c r="B192" t="s">
        <v>683</v>
      </c>
      <c r="D192" t="b">
        <v>1</v>
      </c>
      <c r="E192" t="s">
        <v>684</v>
      </c>
      <c r="G192" t="s">
        <v>685</v>
      </c>
      <c r="H192" s="1" t="s">
        <v>96</v>
      </c>
      <c r="I192" s="1" t="s">
        <v>96</v>
      </c>
      <c r="J192">
        <v>25.78</v>
      </c>
      <c r="K192" s="1" t="s">
        <v>96</v>
      </c>
      <c r="L192" s="1" t="s">
        <v>96</v>
      </c>
      <c r="M192" s="1" t="s">
        <v>96</v>
      </c>
      <c r="N192" s="1" t="s">
        <v>96</v>
      </c>
      <c r="O192" s="1" t="s">
        <v>96</v>
      </c>
      <c r="P192" s="1" t="s">
        <v>96</v>
      </c>
      <c r="Q192" s="1" t="s">
        <v>96</v>
      </c>
      <c r="R192" s="1" t="s">
        <v>96</v>
      </c>
      <c r="S192" s="1" t="s">
        <v>96</v>
      </c>
      <c r="T192" t="s">
        <v>96</v>
      </c>
      <c r="U192" s="1" t="s">
        <v>96</v>
      </c>
      <c r="V192">
        <v>4.3499999999999996</v>
      </c>
      <c r="W192">
        <v>3.22</v>
      </c>
      <c r="X192">
        <v>25.1</v>
      </c>
      <c r="Y192" s="1" t="s">
        <v>96</v>
      </c>
      <c r="Z192">
        <v>10.220000000000001</v>
      </c>
      <c r="AA192">
        <v>68.400000000000006</v>
      </c>
      <c r="AB192">
        <v>48.67</v>
      </c>
      <c r="AC192" s="1" t="s">
        <v>96</v>
      </c>
      <c r="AD192" s="1">
        <v>1.28</v>
      </c>
      <c r="AE192" s="1" t="s">
        <v>96</v>
      </c>
      <c r="AF192" s="1" t="s">
        <v>96</v>
      </c>
      <c r="AG192" s="1" t="s">
        <v>96</v>
      </c>
      <c r="AH192" s="1" t="s">
        <v>96</v>
      </c>
      <c r="AI192" t="s">
        <v>96</v>
      </c>
      <c r="AJ192">
        <v>19.690000000000001</v>
      </c>
      <c r="AK192" s="1" t="s">
        <v>96</v>
      </c>
      <c r="AL192" s="1" t="s">
        <v>96</v>
      </c>
      <c r="AM192">
        <v>8.4499999999999993</v>
      </c>
      <c r="AN192">
        <v>1.82</v>
      </c>
      <c r="AO192" s="1" t="s">
        <v>96</v>
      </c>
      <c r="AP192" s="1" t="s">
        <v>96</v>
      </c>
      <c r="AQ192" t="s">
        <v>96</v>
      </c>
      <c r="AR192" s="1" t="s">
        <v>96</v>
      </c>
      <c r="AS192">
        <v>524.76</v>
      </c>
      <c r="AT192">
        <v>67.099999999999994</v>
      </c>
      <c r="AU192">
        <v>17.04</v>
      </c>
      <c r="AV192" s="1" t="s">
        <v>96</v>
      </c>
      <c r="AW192">
        <v>75.569999999999993</v>
      </c>
      <c r="AX192" s="1" t="s">
        <v>96</v>
      </c>
      <c r="AY192" s="1" t="s">
        <v>96</v>
      </c>
      <c r="AZ192">
        <v>8.92</v>
      </c>
      <c r="BA192" s="1" t="s">
        <v>96</v>
      </c>
      <c r="BB192" s="1" t="s">
        <v>96</v>
      </c>
      <c r="BC192">
        <v>80.81</v>
      </c>
      <c r="BD192">
        <v>18.38</v>
      </c>
      <c r="BE192" s="1" t="s">
        <v>96</v>
      </c>
      <c r="BF192" s="1" t="s">
        <v>96</v>
      </c>
      <c r="BG192" t="s">
        <v>96</v>
      </c>
      <c r="BH192">
        <v>23.23</v>
      </c>
      <c r="BI192">
        <v>45.01</v>
      </c>
      <c r="BJ192" t="s">
        <v>96</v>
      </c>
      <c r="BK192" s="1" t="s">
        <v>96</v>
      </c>
      <c r="BL192" s="1" t="s">
        <v>96</v>
      </c>
      <c r="BM192" s="1" t="s">
        <v>96</v>
      </c>
      <c r="BN192" s="1" t="s">
        <v>96</v>
      </c>
      <c r="BO192" s="1" t="s">
        <v>96</v>
      </c>
      <c r="BP192">
        <v>78.930000000000007</v>
      </c>
      <c r="BQ192">
        <v>16.89</v>
      </c>
      <c r="BR192" s="1" t="s">
        <v>96</v>
      </c>
      <c r="BS192">
        <v>123.13</v>
      </c>
      <c r="BT192">
        <v>15.75</v>
      </c>
      <c r="BU192" s="1" t="s">
        <v>96</v>
      </c>
      <c r="BV192">
        <v>16.75</v>
      </c>
      <c r="BW192">
        <v>40.89</v>
      </c>
      <c r="BX192" s="1" t="s">
        <v>96</v>
      </c>
    </row>
    <row r="193" spans="1:76">
      <c r="A193">
        <v>243</v>
      </c>
      <c r="B193" t="s">
        <v>824</v>
      </c>
      <c r="D193" t="b">
        <v>1</v>
      </c>
      <c r="E193" t="s">
        <v>825</v>
      </c>
      <c r="G193" t="s">
        <v>826</v>
      </c>
      <c r="H193" s="1" t="s">
        <v>96</v>
      </c>
      <c r="I193" s="1" t="s">
        <v>96</v>
      </c>
      <c r="J193">
        <v>22.39</v>
      </c>
      <c r="K193" s="1" t="s">
        <v>96</v>
      </c>
      <c r="L193" s="1" t="s">
        <v>96</v>
      </c>
      <c r="M193" s="1">
        <v>20.93</v>
      </c>
      <c r="N193" s="1" t="s">
        <v>96</v>
      </c>
      <c r="O193" s="1" t="s">
        <v>96</v>
      </c>
      <c r="P193" s="1" t="s">
        <v>96</v>
      </c>
      <c r="Q193" s="1" t="s">
        <v>96</v>
      </c>
      <c r="R193" s="1" t="s">
        <v>96</v>
      </c>
      <c r="S193" s="1" t="s">
        <v>96</v>
      </c>
      <c r="T193">
        <v>1.1599999999999999</v>
      </c>
      <c r="U193" s="1" t="s">
        <v>96</v>
      </c>
      <c r="V193">
        <v>3.35</v>
      </c>
      <c r="W193">
        <v>26.56</v>
      </c>
      <c r="X193">
        <v>220.07</v>
      </c>
      <c r="Y193" s="1" t="s">
        <v>96</v>
      </c>
      <c r="Z193">
        <v>96.74</v>
      </c>
      <c r="AA193">
        <v>526.70000000000005</v>
      </c>
      <c r="AB193">
        <v>211.03</v>
      </c>
      <c r="AC193" s="1" t="s">
        <v>96</v>
      </c>
      <c r="AD193" s="1" t="s">
        <v>96</v>
      </c>
      <c r="AE193" s="1" t="s">
        <v>96</v>
      </c>
      <c r="AF193" s="1" t="s">
        <v>96</v>
      </c>
      <c r="AG193" s="1" t="s">
        <v>96</v>
      </c>
      <c r="AH193" s="1" t="s">
        <v>96</v>
      </c>
      <c r="AI193" t="s">
        <v>96</v>
      </c>
      <c r="AJ193">
        <v>61.17</v>
      </c>
      <c r="AK193" s="1" t="s">
        <v>96</v>
      </c>
      <c r="AL193" s="1" t="s">
        <v>96</v>
      </c>
      <c r="AM193">
        <v>54.03</v>
      </c>
      <c r="AN193">
        <v>4.8899999999999997</v>
      </c>
      <c r="AO193" s="1" t="s">
        <v>96</v>
      </c>
      <c r="AP193" s="1" t="s">
        <v>96</v>
      </c>
      <c r="AQ193">
        <v>17.350000000000001</v>
      </c>
      <c r="AR193" s="1">
        <v>2.5499999999999998</v>
      </c>
      <c r="AS193">
        <v>914.87</v>
      </c>
      <c r="AT193">
        <v>430.8</v>
      </c>
      <c r="AU193">
        <v>60.48</v>
      </c>
      <c r="AV193" s="1" t="s">
        <v>96</v>
      </c>
      <c r="AW193">
        <v>215.71</v>
      </c>
      <c r="AX193" s="1" t="s">
        <v>96</v>
      </c>
      <c r="AY193" s="1">
        <v>9.08</v>
      </c>
      <c r="AZ193">
        <v>11</v>
      </c>
      <c r="BA193" s="1">
        <v>2.96</v>
      </c>
      <c r="BB193" s="1" t="s">
        <v>96</v>
      </c>
      <c r="BC193">
        <v>108.3</v>
      </c>
      <c r="BD193">
        <v>57.71</v>
      </c>
      <c r="BE193" s="1" t="s">
        <v>96</v>
      </c>
      <c r="BF193" s="1" t="s">
        <v>96</v>
      </c>
      <c r="BG193">
        <v>6.72</v>
      </c>
      <c r="BH193">
        <v>35.51</v>
      </c>
      <c r="BI193">
        <v>174.6</v>
      </c>
      <c r="BJ193">
        <v>6.3</v>
      </c>
      <c r="BK193" s="1" t="s">
        <v>96</v>
      </c>
      <c r="BL193" s="1" t="s">
        <v>96</v>
      </c>
      <c r="BM193" s="1" t="s">
        <v>96</v>
      </c>
      <c r="BN193" s="1" t="s">
        <v>96</v>
      </c>
      <c r="BO193" s="1">
        <v>42.92</v>
      </c>
      <c r="BP193">
        <v>95.91</v>
      </c>
      <c r="BQ193">
        <v>14.78</v>
      </c>
      <c r="BR193" s="1" t="s">
        <v>96</v>
      </c>
      <c r="BS193">
        <v>1038.3599999999999</v>
      </c>
      <c r="BT193">
        <v>32.08</v>
      </c>
      <c r="BU193" s="1" t="s">
        <v>96</v>
      </c>
      <c r="BV193">
        <v>27.54</v>
      </c>
      <c r="BW193">
        <v>147.28</v>
      </c>
      <c r="BX193" s="1" t="s">
        <v>96</v>
      </c>
    </row>
    <row r="194" spans="1:76">
      <c r="A194">
        <v>151</v>
      </c>
      <c r="B194" t="s">
        <v>548</v>
      </c>
      <c r="D194" t="b">
        <v>1</v>
      </c>
      <c r="E194" t="s">
        <v>549</v>
      </c>
      <c r="G194" t="s">
        <v>550</v>
      </c>
      <c r="H194" s="1" t="s">
        <v>96</v>
      </c>
      <c r="I194" s="1" t="s">
        <v>96</v>
      </c>
      <c r="J194">
        <v>24.49</v>
      </c>
      <c r="K194" s="1" t="s">
        <v>96</v>
      </c>
      <c r="L194" s="1" t="s">
        <v>96</v>
      </c>
      <c r="M194" s="1" t="s">
        <v>96</v>
      </c>
      <c r="N194" s="1" t="s">
        <v>96</v>
      </c>
      <c r="O194" s="1" t="s">
        <v>96</v>
      </c>
      <c r="P194" s="1" t="s">
        <v>96</v>
      </c>
      <c r="Q194" s="1" t="s">
        <v>96</v>
      </c>
      <c r="R194" s="1" t="s">
        <v>96</v>
      </c>
      <c r="S194" s="1" t="s">
        <v>96</v>
      </c>
      <c r="T194">
        <v>2.2599999999999998</v>
      </c>
      <c r="U194" s="1" t="s">
        <v>96</v>
      </c>
      <c r="V194">
        <v>35.119999999999997</v>
      </c>
      <c r="W194" t="s">
        <v>96</v>
      </c>
      <c r="X194">
        <v>143.82</v>
      </c>
      <c r="Y194" s="1" t="s">
        <v>96</v>
      </c>
      <c r="Z194" t="s">
        <v>96</v>
      </c>
      <c r="AA194" t="s">
        <v>96</v>
      </c>
      <c r="AB194" t="s">
        <v>133</v>
      </c>
      <c r="AC194" s="1" t="s">
        <v>96</v>
      </c>
      <c r="AD194" s="1" t="s">
        <v>96</v>
      </c>
      <c r="AE194" s="1" t="s">
        <v>96</v>
      </c>
      <c r="AF194" s="1" t="s">
        <v>96</v>
      </c>
      <c r="AG194" s="1" t="s">
        <v>96</v>
      </c>
      <c r="AH194" s="1">
        <v>2.56</v>
      </c>
      <c r="AI194">
        <v>643.94000000000005</v>
      </c>
      <c r="AJ194">
        <v>181.14</v>
      </c>
      <c r="AK194" s="1" t="s">
        <v>96</v>
      </c>
      <c r="AL194" s="1">
        <v>4.2699999999999996</v>
      </c>
      <c r="AM194" t="s">
        <v>133</v>
      </c>
      <c r="AN194">
        <v>29.84</v>
      </c>
      <c r="AO194" s="1" t="s">
        <v>96</v>
      </c>
      <c r="AP194" s="1" t="s">
        <v>96</v>
      </c>
      <c r="AQ194" t="s">
        <v>96</v>
      </c>
      <c r="AR194" s="1" t="s">
        <v>96</v>
      </c>
      <c r="AS194">
        <v>1576.5</v>
      </c>
      <c r="AT194" t="s">
        <v>96</v>
      </c>
      <c r="AU194">
        <v>269.94</v>
      </c>
      <c r="AV194" s="1" t="s">
        <v>96</v>
      </c>
      <c r="AW194">
        <v>618.21</v>
      </c>
      <c r="AX194" s="1" t="s">
        <v>96</v>
      </c>
      <c r="AY194" s="1" t="s">
        <v>96</v>
      </c>
      <c r="AZ194">
        <v>25.44</v>
      </c>
      <c r="BA194" s="1">
        <v>11.07</v>
      </c>
      <c r="BB194" s="1" t="s">
        <v>96</v>
      </c>
      <c r="BC194">
        <v>134.56</v>
      </c>
      <c r="BD194" t="s">
        <v>96</v>
      </c>
      <c r="BE194" s="1" t="s">
        <v>96</v>
      </c>
      <c r="BF194" s="1">
        <v>3.1</v>
      </c>
      <c r="BG194" t="s">
        <v>96</v>
      </c>
      <c r="BH194">
        <v>49.61</v>
      </c>
      <c r="BI194" t="s">
        <v>96</v>
      </c>
      <c r="BJ194" t="s">
        <v>96</v>
      </c>
      <c r="BK194" s="1" t="s">
        <v>96</v>
      </c>
      <c r="BL194" s="1" t="s">
        <v>96</v>
      </c>
      <c r="BM194" s="1" t="s">
        <v>96</v>
      </c>
      <c r="BN194" s="1">
        <v>7.33</v>
      </c>
      <c r="BO194" s="1">
        <v>5.57</v>
      </c>
      <c r="BP194">
        <v>219.25</v>
      </c>
      <c r="BQ194">
        <v>28.44</v>
      </c>
      <c r="BR194" s="1">
        <v>5.7</v>
      </c>
      <c r="BS194" t="s">
        <v>96</v>
      </c>
      <c r="BT194" t="s">
        <v>96</v>
      </c>
      <c r="BU194" s="1">
        <v>10.24</v>
      </c>
      <c r="BV194">
        <v>109.88</v>
      </c>
      <c r="BW194" t="s">
        <v>96</v>
      </c>
      <c r="BX194" s="1" t="s">
        <v>96</v>
      </c>
    </row>
    <row r="195" spans="1:76">
      <c r="A195">
        <v>149</v>
      </c>
      <c r="B195" t="s">
        <v>542</v>
      </c>
      <c r="D195" t="b">
        <v>1</v>
      </c>
      <c r="E195" t="s">
        <v>543</v>
      </c>
      <c r="G195" t="s">
        <v>544</v>
      </c>
      <c r="H195" s="1" t="s">
        <v>96</v>
      </c>
      <c r="I195" s="1" t="s">
        <v>96</v>
      </c>
      <c r="J195">
        <v>13.66</v>
      </c>
      <c r="K195" s="1" t="s">
        <v>96</v>
      </c>
      <c r="L195" s="1" t="s">
        <v>96</v>
      </c>
      <c r="M195" s="1" t="s">
        <v>96</v>
      </c>
      <c r="N195" s="1" t="s">
        <v>96</v>
      </c>
      <c r="O195" s="1" t="s">
        <v>96</v>
      </c>
      <c r="P195" s="1" t="s">
        <v>96</v>
      </c>
      <c r="Q195" s="1" t="s">
        <v>96</v>
      </c>
      <c r="R195" s="1" t="s">
        <v>96</v>
      </c>
      <c r="S195" s="1" t="s">
        <v>96</v>
      </c>
      <c r="T195" t="s">
        <v>96</v>
      </c>
      <c r="U195" s="1" t="s">
        <v>96</v>
      </c>
      <c r="V195">
        <v>20.75</v>
      </c>
      <c r="W195" t="s">
        <v>96</v>
      </c>
      <c r="X195">
        <v>97.16</v>
      </c>
      <c r="Y195" s="1" t="s">
        <v>96</v>
      </c>
      <c r="Z195" t="s">
        <v>96</v>
      </c>
      <c r="AA195">
        <v>2.12</v>
      </c>
      <c r="AB195" t="s">
        <v>133</v>
      </c>
      <c r="AC195" s="1" t="s">
        <v>96</v>
      </c>
      <c r="AD195" s="1" t="s">
        <v>96</v>
      </c>
      <c r="AE195" s="1" t="s">
        <v>96</v>
      </c>
      <c r="AF195" s="1" t="s">
        <v>96</v>
      </c>
      <c r="AG195" s="1" t="s">
        <v>96</v>
      </c>
      <c r="AH195" s="1">
        <v>2.06</v>
      </c>
      <c r="AI195">
        <v>596.04999999999995</v>
      </c>
      <c r="AJ195">
        <v>298.61</v>
      </c>
      <c r="AK195" s="1" t="s">
        <v>96</v>
      </c>
      <c r="AL195" s="1">
        <v>1.65</v>
      </c>
      <c r="AM195" t="s">
        <v>133</v>
      </c>
      <c r="AN195">
        <v>27.63</v>
      </c>
      <c r="AO195" s="1" t="s">
        <v>96</v>
      </c>
      <c r="AP195" s="1" t="s">
        <v>96</v>
      </c>
      <c r="AQ195" t="s">
        <v>96</v>
      </c>
      <c r="AR195" s="1" t="s">
        <v>96</v>
      </c>
      <c r="AS195" t="s">
        <v>133</v>
      </c>
      <c r="AT195">
        <v>2.94</v>
      </c>
      <c r="AU195">
        <v>303.70999999999998</v>
      </c>
      <c r="AV195" s="1" t="s">
        <v>96</v>
      </c>
      <c r="AW195">
        <v>996.11</v>
      </c>
      <c r="AX195" s="1" t="s">
        <v>96</v>
      </c>
      <c r="AY195" s="1" t="s">
        <v>96</v>
      </c>
      <c r="AZ195">
        <v>13.65</v>
      </c>
      <c r="BA195" s="1">
        <v>15.07</v>
      </c>
      <c r="BB195" s="1" t="s">
        <v>96</v>
      </c>
      <c r="BC195">
        <v>270.95</v>
      </c>
      <c r="BD195" t="s">
        <v>96</v>
      </c>
      <c r="BE195" s="1" t="s">
        <v>96</v>
      </c>
      <c r="BF195" s="1" t="s">
        <v>96</v>
      </c>
      <c r="BG195" t="s">
        <v>96</v>
      </c>
      <c r="BH195">
        <v>101.89</v>
      </c>
      <c r="BI195" t="s">
        <v>96</v>
      </c>
      <c r="BJ195" t="s">
        <v>96</v>
      </c>
      <c r="BK195" s="1" t="s">
        <v>96</v>
      </c>
      <c r="BL195" s="1" t="s">
        <v>96</v>
      </c>
      <c r="BM195" s="1" t="s">
        <v>96</v>
      </c>
      <c r="BN195" s="1">
        <v>8.5500000000000007</v>
      </c>
      <c r="BO195" s="1">
        <v>6.9</v>
      </c>
      <c r="BP195">
        <v>81.12</v>
      </c>
      <c r="BQ195">
        <v>10.09</v>
      </c>
      <c r="BR195" s="1" t="s">
        <v>96</v>
      </c>
      <c r="BS195" t="s">
        <v>96</v>
      </c>
      <c r="BT195" t="s">
        <v>96</v>
      </c>
      <c r="BU195" s="1" t="s">
        <v>96</v>
      </c>
      <c r="BV195">
        <v>50.08</v>
      </c>
      <c r="BW195" t="s">
        <v>96</v>
      </c>
      <c r="BX195" s="1" t="s">
        <v>96</v>
      </c>
    </row>
    <row r="196" spans="1:76">
      <c r="A196">
        <v>245</v>
      </c>
      <c r="B196" t="s">
        <v>830</v>
      </c>
      <c r="D196" t="b">
        <v>1</v>
      </c>
      <c r="E196" t="s">
        <v>831</v>
      </c>
      <c r="G196" t="s">
        <v>832</v>
      </c>
      <c r="H196" s="1" t="s">
        <v>96</v>
      </c>
      <c r="I196" s="1" t="s">
        <v>96</v>
      </c>
      <c r="J196">
        <v>11.27</v>
      </c>
      <c r="K196" s="1" t="s">
        <v>96</v>
      </c>
      <c r="L196" s="1" t="s">
        <v>96</v>
      </c>
      <c r="M196" s="1" t="s">
        <v>96</v>
      </c>
      <c r="N196" s="1" t="s">
        <v>96</v>
      </c>
      <c r="O196" s="1" t="s">
        <v>96</v>
      </c>
      <c r="P196" s="1" t="s">
        <v>96</v>
      </c>
      <c r="Q196" s="1" t="s">
        <v>96</v>
      </c>
      <c r="R196" s="1" t="s">
        <v>96</v>
      </c>
      <c r="S196" s="1" t="s">
        <v>96</v>
      </c>
      <c r="T196">
        <v>1.65</v>
      </c>
      <c r="U196" s="1" t="s">
        <v>96</v>
      </c>
      <c r="V196">
        <v>12.74</v>
      </c>
      <c r="W196">
        <v>9.0299999999999994</v>
      </c>
      <c r="X196" t="s">
        <v>133</v>
      </c>
      <c r="Y196" s="1" t="s">
        <v>96</v>
      </c>
      <c r="Z196">
        <v>59.35</v>
      </c>
      <c r="AA196">
        <v>752.38</v>
      </c>
      <c r="AB196">
        <v>86.84</v>
      </c>
      <c r="AC196" s="1" t="s">
        <v>96</v>
      </c>
      <c r="AD196" s="1" t="s">
        <v>96</v>
      </c>
      <c r="AE196" s="1" t="s">
        <v>96</v>
      </c>
      <c r="AF196" s="1" t="s">
        <v>96</v>
      </c>
      <c r="AG196" s="1" t="s">
        <v>96</v>
      </c>
      <c r="AH196" s="1">
        <v>1.6</v>
      </c>
      <c r="AI196">
        <v>704.77</v>
      </c>
      <c r="AJ196">
        <v>226.34</v>
      </c>
      <c r="AK196" s="1" t="s">
        <v>96</v>
      </c>
      <c r="AL196" s="1" t="s">
        <v>96</v>
      </c>
      <c r="AM196">
        <v>36.299999999999997</v>
      </c>
      <c r="AN196">
        <v>3.71</v>
      </c>
      <c r="AO196" s="1" t="s">
        <v>96</v>
      </c>
      <c r="AP196" s="1" t="s">
        <v>96</v>
      </c>
      <c r="AQ196">
        <v>6.51</v>
      </c>
      <c r="AR196" s="1" t="s">
        <v>96</v>
      </c>
      <c r="AS196">
        <v>759.96</v>
      </c>
      <c r="AT196">
        <v>483.85</v>
      </c>
      <c r="AU196">
        <v>210.89</v>
      </c>
      <c r="AV196" s="1" t="s">
        <v>96</v>
      </c>
      <c r="AW196">
        <v>265.17</v>
      </c>
      <c r="AX196" s="1" t="s">
        <v>96</v>
      </c>
      <c r="AY196" s="1">
        <v>3.29</v>
      </c>
      <c r="AZ196">
        <v>4.42</v>
      </c>
      <c r="BA196" s="1">
        <v>15.84</v>
      </c>
      <c r="BB196" s="1" t="s">
        <v>96</v>
      </c>
      <c r="BC196">
        <v>119.82</v>
      </c>
      <c r="BD196">
        <v>129.85</v>
      </c>
      <c r="BE196" s="1" t="s">
        <v>96</v>
      </c>
      <c r="BF196" s="1" t="s">
        <v>96</v>
      </c>
      <c r="BG196">
        <v>3.62</v>
      </c>
      <c r="BH196">
        <v>51.57</v>
      </c>
      <c r="BI196">
        <v>101.9</v>
      </c>
      <c r="BJ196">
        <v>3.94</v>
      </c>
      <c r="BK196" s="1" t="s">
        <v>96</v>
      </c>
      <c r="BL196" s="1" t="s">
        <v>96</v>
      </c>
      <c r="BM196" s="1" t="s">
        <v>96</v>
      </c>
      <c r="BN196" s="1" t="s">
        <v>96</v>
      </c>
      <c r="BO196" s="1" t="s">
        <v>96</v>
      </c>
      <c r="BP196">
        <v>63.55</v>
      </c>
      <c r="BQ196">
        <v>17.079999999999998</v>
      </c>
      <c r="BR196" s="1" t="s">
        <v>96</v>
      </c>
      <c r="BS196">
        <v>302.45</v>
      </c>
      <c r="BT196">
        <v>66.67</v>
      </c>
      <c r="BU196" s="1">
        <v>13.2</v>
      </c>
      <c r="BV196">
        <v>104.5</v>
      </c>
      <c r="BW196">
        <v>135.08000000000001</v>
      </c>
      <c r="BX196" s="1" t="s">
        <v>96</v>
      </c>
    </row>
    <row r="197" spans="1:76">
      <c r="A197">
        <v>126</v>
      </c>
      <c r="B197" t="s">
        <v>473</v>
      </c>
      <c r="D197" t="b">
        <v>1</v>
      </c>
      <c r="E197" t="s">
        <v>474</v>
      </c>
      <c r="G197" t="s">
        <v>475</v>
      </c>
      <c r="H197" s="1" t="s">
        <v>96</v>
      </c>
      <c r="I197" s="1" t="s">
        <v>96</v>
      </c>
      <c r="J197">
        <v>8.81</v>
      </c>
      <c r="K197" s="1" t="s">
        <v>96</v>
      </c>
      <c r="L197" s="1" t="s">
        <v>96</v>
      </c>
      <c r="M197" s="1" t="s">
        <v>96</v>
      </c>
      <c r="N197" s="1" t="s">
        <v>96</v>
      </c>
      <c r="O197" s="1" t="s">
        <v>96</v>
      </c>
      <c r="P197" s="1" t="s">
        <v>96</v>
      </c>
      <c r="Q197" s="1" t="s">
        <v>96</v>
      </c>
      <c r="R197" s="1" t="s">
        <v>96</v>
      </c>
      <c r="S197" s="1" t="s">
        <v>96</v>
      </c>
      <c r="T197" t="s">
        <v>96</v>
      </c>
      <c r="U197" s="1" t="s">
        <v>96</v>
      </c>
      <c r="V197">
        <v>6.42</v>
      </c>
      <c r="W197">
        <v>17.170000000000002</v>
      </c>
      <c r="X197">
        <v>114.69</v>
      </c>
      <c r="Y197" s="1" t="s">
        <v>96</v>
      </c>
      <c r="Z197">
        <v>5.82</v>
      </c>
      <c r="AA197">
        <v>402.76</v>
      </c>
      <c r="AB197">
        <v>773.9</v>
      </c>
      <c r="AC197" s="1" t="s">
        <v>96</v>
      </c>
      <c r="AD197" s="1">
        <v>5.84</v>
      </c>
      <c r="AE197" s="1" t="s">
        <v>96</v>
      </c>
      <c r="AF197" s="1" t="s">
        <v>96</v>
      </c>
      <c r="AG197" s="1" t="s">
        <v>96</v>
      </c>
      <c r="AH197" s="1" t="s">
        <v>96</v>
      </c>
      <c r="AI197">
        <v>45.02</v>
      </c>
      <c r="AJ197">
        <v>95.18</v>
      </c>
      <c r="AK197" s="1" t="s">
        <v>96</v>
      </c>
      <c r="AL197" s="1" t="s">
        <v>96</v>
      </c>
      <c r="AM197">
        <v>350</v>
      </c>
      <c r="AN197">
        <v>6.95</v>
      </c>
      <c r="AO197" s="1" t="s">
        <v>96</v>
      </c>
      <c r="AP197" s="1" t="s">
        <v>96</v>
      </c>
      <c r="AQ197">
        <v>3.49</v>
      </c>
      <c r="AR197" s="1" t="s">
        <v>96</v>
      </c>
      <c r="AS197">
        <v>1237.01</v>
      </c>
      <c r="AT197">
        <v>401.76</v>
      </c>
      <c r="AU197">
        <v>138.44999999999999</v>
      </c>
      <c r="AV197" s="1" t="s">
        <v>96</v>
      </c>
      <c r="AW197">
        <v>538.08000000000004</v>
      </c>
      <c r="AX197" s="1" t="s">
        <v>96</v>
      </c>
      <c r="AY197" s="1" t="s">
        <v>96</v>
      </c>
      <c r="AZ197">
        <v>5.96</v>
      </c>
      <c r="BA197" s="1">
        <v>9.42</v>
      </c>
      <c r="BB197" s="1" t="s">
        <v>96</v>
      </c>
      <c r="BC197">
        <v>166.92</v>
      </c>
      <c r="BD197">
        <v>38.28</v>
      </c>
      <c r="BE197" s="1" t="s">
        <v>96</v>
      </c>
      <c r="BF197" s="1" t="s">
        <v>96</v>
      </c>
      <c r="BG197" t="s">
        <v>96</v>
      </c>
      <c r="BH197">
        <v>108.45</v>
      </c>
      <c r="BI197">
        <v>18.63</v>
      </c>
      <c r="BJ197">
        <v>10.02</v>
      </c>
      <c r="BK197" s="1" t="s">
        <v>96</v>
      </c>
      <c r="BL197" s="1" t="s">
        <v>96</v>
      </c>
      <c r="BM197" s="1">
        <v>7.64</v>
      </c>
      <c r="BN197" s="1">
        <v>5.43</v>
      </c>
      <c r="BO197" s="1">
        <v>12.12</v>
      </c>
      <c r="BP197">
        <v>89.98</v>
      </c>
      <c r="BQ197">
        <v>8.74</v>
      </c>
      <c r="BR197" s="1" t="s">
        <v>96</v>
      </c>
      <c r="BS197">
        <v>218.73</v>
      </c>
      <c r="BT197">
        <v>6.95</v>
      </c>
      <c r="BU197" s="1" t="s">
        <v>96</v>
      </c>
      <c r="BV197">
        <v>68.75</v>
      </c>
      <c r="BW197">
        <v>50.47</v>
      </c>
      <c r="BX197" s="1" t="s">
        <v>96</v>
      </c>
    </row>
    <row r="198" spans="1:76">
      <c r="A198">
        <v>147</v>
      </c>
      <c r="B198" t="s">
        <v>536</v>
      </c>
      <c r="D198" t="b">
        <v>1</v>
      </c>
      <c r="E198" t="s">
        <v>537</v>
      </c>
      <c r="G198" t="s">
        <v>538</v>
      </c>
      <c r="H198" s="1" t="s">
        <v>96</v>
      </c>
      <c r="I198" s="1" t="s">
        <v>96</v>
      </c>
      <c r="J198">
        <v>16.559999999999999</v>
      </c>
      <c r="K198" s="1" t="s">
        <v>96</v>
      </c>
      <c r="L198" s="1" t="s">
        <v>96</v>
      </c>
      <c r="M198" s="1" t="s">
        <v>96</v>
      </c>
      <c r="N198" s="1" t="s">
        <v>96</v>
      </c>
      <c r="O198" s="1" t="s">
        <v>96</v>
      </c>
      <c r="P198" s="1" t="s">
        <v>96</v>
      </c>
      <c r="Q198" s="1" t="s">
        <v>96</v>
      </c>
      <c r="R198" s="1" t="s">
        <v>96</v>
      </c>
      <c r="S198" s="1" t="s">
        <v>96</v>
      </c>
      <c r="T198">
        <v>2.6</v>
      </c>
      <c r="U198" s="1" t="s">
        <v>96</v>
      </c>
      <c r="V198">
        <v>7.27</v>
      </c>
      <c r="W198" t="s">
        <v>96</v>
      </c>
      <c r="X198">
        <v>86.98</v>
      </c>
      <c r="Y198" s="1" t="s">
        <v>96</v>
      </c>
      <c r="Z198" t="s">
        <v>96</v>
      </c>
      <c r="AA198" t="s">
        <v>96</v>
      </c>
      <c r="AB198">
        <v>633.52</v>
      </c>
      <c r="AC198" s="1" t="s">
        <v>96</v>
      </c>
      <c r="AD198" s="1" t="s">
        <v>96</v>
      </c>
      <c r="AE198" s="1" t="s">
        <v>96</v>
      </c>
      <c r="AF198" s="1" t="s">
        <v>96</v>
      </c>
      <c r="AG198" s="1" t="s">
        <v>96</v>
      </c>
      <c r="AH198" s="1">
        <v>2.7</v>
      </c>
      <c r="AI198">
        <v>61.18</v>
      </c>
      <c r="AJ198">
        <v>69.709999999999994</v>
      </c>
      <c r="AK198" s="1" t="s">
        <v>96</v>
      </c>
      <c r="AL198" s="1" t="s">
        <v>96</v>
      </c>
      <c r="AM198">
        <v>172.66</v>
      </c>
      <c r="AN198">
        <v>14.65</v>
      </c>
      <c r="AO198" s="1" t="s">
        <v>96</v>
      </c>
      <c r="AP198" s="1" t="s">
        <v>96</v>
      </c>
      <c r="AQ198" t="s">
        <v>96</v>
      </c>
      <c r="AR198" s="1" t="s">
        <v>96</v>
      </c>
      <c r="AS198" t="s">
        <v>133</v>
      </c>
      <c r="AT198">
        <v>3.91</v>
      </c>
      <c r="AU198">
        <v>281.74</v>
      </c>
      <c r="AV198" s="1" t="s">
        <v>96</v>
      </c>
      <c r="AW198" t="s">
        <v>133</v>
      </c>
      <c r="AX198" s="1" t="s">
        <v>96</v>
      </c>
      <c r="AY198" s="1" t="s">
        <v>96</v>
      </c>
      <c r="AZ198">
        <v>16.559999999999999</v>
      </c>
      <c r="BA198" s="1">
        <v>16.190000000000001</v>
      </c>
      <c r="BB198" s="1" t="s">
        <v>96</v>
      </c>
      <c r="BC198">
        <v>333.27</v>
      </c>
      <c r="BD198" t="s">
        <v>96</v>
      </c>
      <c r="BE198" s="1" t="s">
        <v>96</v>
      </c>
      <c r="BF198" s="1">
        <v>2.79</v>
      </c>
      <c r="BG198" t="s">
        <v>96</v>
      </c>
      <c r="BH198">
        <v>95.37</v>
      </c>
      <c r="BI198" t="s">
        <v>96</v>
      </c>
      <c r="BJ198" t="s">
        <v>96</v>
      </c>
      <c r="BK198" s="1" t="s">
        <v>96</v>
      </c>
      <c r="BL198" s="1" t="s">
        <v>96</v>
      </c>
      <c r="BM198" s="1" t="s">
        <v>96</v>
      </c>
      <c r="BN198" s="1">
        <v>3.06</v>
      </c>
      <c r="BO198" s="1" t="s">
        <v>96</v>
      </c>
      <c r="BP198">
        <v>140.44999999999999</v>
      </c>
      <c r="BQ198">
        <v>18.98</v>
      </c>
      <c r="BR198" s="1" t="s">
        <v>96</v>
      </c>
      <c r="BS198" t="s">
        <v>96</v>
      </c>
      <c r="BT198" t="s">
        <v>96</v>
      </c>
      <c r="BU198" s="1" t="s">
        <v>96</v>
      </c>
      <c r="BV198">
        <v>55.7</v>
      </c>
      <c r="BW198" t="s">
        <v>96</v>
      </c>
      <c r="BX198" s="1" t="s">
        <v>96</v>
      </c>
    </row>
    <row r="199" spans="1:76">
      <c r="A199">
        <v>248</v>
      </c>
      <c r="B199" t="s">
        <v>839</v>
      </c>
      <c r="D199" t="b">
        <v>1</v>
      </c>
      <c r="E199" t="s">
        <v>840</v>
      </c>
      <c r="G199" t="s">
        <v>841</v>
      </c>
      <c r="H199" s="1" t="s">
        <v>96</v>
      </c>
      <c r="I199" s="1" t="s">
        <v>96</v>
      </c>
      <c r="J199">
        <v>8.34</v>
      </c>
      <c r="K199" s="1" t="s">
        <v>96</v>
      </c>
      <c r="L199" s="1" t="s">
        <v>96</v>
      </c>
      <c r="M199" s="1" t="s">
        <v>96</v>
      </c>
      <c r="N199" s="1" t="s">
        <v>96</v>
      </c>
      <c r="O199" s="1" t="s">
        <v>96</v>
      </c>
      <c r="P199" s="1" t="s">
        <v>96</v>
      </c>
      <c r="Q199" s="1" t="s">
        <v>96</v>
      </c>
      <c r="R199" s="1" t="s">
        <v>96</v>
      </c>
      <c r="S199" s="1" t="s">
        <v>96</v>
      </c>
      <c r="T199" t="s">
        <v>96</v>
      </c>
      <c r="U199" s="1" t="s">
        <v>96</v>
      </c>
      <c r="V199">
        <v>2.62</v>
      </c>
      <c r="W199">
        <v>5.41</v>
      </c>
      <c r="X199">
        <v>352.53</v>
      </c>
      <c r="Y199" s="1" t="s">
        <v>96</v>
      </c>
      <c r="Z199">
        <v>30.77</v>
      </c>
      <c r="AA199">
        <v>365.56</v>
      </c>
      <c r="AB199">
        <v>19.97</v>
      </c>
      <c r="AC199" s="1" t="s">
        <v>96</v>
      </c>
      <c r="AD199" s="1">
        <v>1.18</v>
      </c>
      <c r="AE199" s="1" t="s">
        <v>96</v>
      </c>
      <c r="AF199" s="1" t="s">
        <v>96</v>
      </c>
      <c r="AG199" s="1" t="s">
        <v>96</v>
      </c>
      <c r="AH199" s="1" t="s">
        <v>96</v>
      </c>
      <c r="AI199">
        <v>106.57</v>
      </c>
      <c r="AJ199">
        <v>52.97</v>
      </c>
      <c r="AK199" s="1" t="s">
        <v>96</v>
      </c>
      <c r="AL199" s="1" t="s">
        <v>96</v>
      </c>
      <c r="AM199">
        <v>13.03</v>
      </c>
      <c r="AN199">
        <v>1.84</v>
      </c>
      <c r="AO199" s="1" t="s">
        <v>96</v>
      </c>
      <c r="AP199" s="1" t="s">
        <v>96</v>
      </c>
      <c r="AQ199">
        <v>7.52</v>
      </c>
      <c r="AR199" s="1" t="s">
        <v>96</v>
      </c>
      <c r="AS199">
        <v>403.53</v>
      </c>
      <c r="AT199">
        <v>268.97000000000003</v>
      </c>
      <c r="AU199">
        <v>149.88999999999999</v>
      </c>
      <c r="AV199" s="1" t="s">
        <v>96</v>
      </c>
      <c r="AW199">
        <v>124.23</v>
      </c>
      <c r="AX199" s="1" t="s">
        <v>96</v>
      </c>
      <c r="AY199" s="1" t="s">
        <v>96</v>
      </c>
      <c r="AZ199">
        <v>4.58</v>
      </c>
      <c r="BA199" s="1">
        <v>5.46</v>
      </c>
      <c r="BB199" s="1" t="s">
        <v>96</v>
      </c>
      <c r="BC199">
        <v>42.2</v>
      </c>
      <c r="BD199">
        <v>36.450000000000003</v>
      </c>
      <c r="BE199" s="1" t="s">
        <v>96</v>
      </c>
      <c r="BF199" s="1" t="s">
        <v>96</v>
      </c>
      <c r="BG199" t="s">
        <v>96</v>
      </c>
      <c r="BH199">
        <v>15.27</v>
      </c>
      <c r="BI199">
        <v>53.16</v>
      </c>
      <c r="BJ199">
        <v>2.98</v>
      </c>
      <c r="BK199" s="1" t="s">
        <v>96</v>
      </c>
      <c r="BL199" s="1" t="s">
        <v>96</v>
      </c>
      <c r="BM199" s="1" t="s">
        <v>96</v>
      </c>
      <c r="BN199" s="1" t="s">
        <v>96</v>
      </c>
      <c r="BO199" s="1" t="s">
        <v>96</v>
      </c>
      <c r="BP199">
        <v>65.349999999999994</v>
      </c>
      <c r="BQ199">
        <v>11.95</v>
      </c>
      <c r="BR199" s="1" t="s">
        <v>96</v>
      </c>
      <c r="BS199">
        <v>286.83999999999997</v>
      </c>
      <c r="BT199">
        <v>35.11</v>
      </c>
      <c r="BU199" s="1">
        <v>14.41</v>
      </c>
      <c r="BV199">
        <v>81.67</v>
      </c>
      <c r="BW199">
        <v>132.91999999999999</v>
      </c>
      <c r="BX199" s="1" t="s">
        <v>96</v>
      </c>
    </row>
    <row r="200" spans="1:76">
      <c r="A200">
        <v>247</v>
      </c>
      <c r="B200" t="s">
        <v>836</v>
      </c>
      <c r="D200" t="b">
        <v>1</v>
      </c>
      <c r="E200" t="s">
        <v>837</v>
      </c>
      <c r="G200" t="s">
        <v>838</v>
      </c>
      <c r="H200" s="1" t="s">
        <v>96</v>
      </c>
      <c r="I200" s="1" t="s">
        <v>96</v>
      </c>
      <c r="J200">
        <v>9.86</v>
      </c>
      <c r="K200" s="1" t="s">
        <v>96</v>
      </c>
      <c r="L200" s="1" t="s">
        <v>96</v>
      </c>
      <c r="M200" s="1" t="s">
        <v>96</v>
      </c>
      <c r="N200" s="1" t="s">
        <v>96</v>
      </c>
      <c r="O200" s="1" t="s">
        <v>96</v>
      </c>
      <c r="P200" s="1" t="s">
        <v>96</v>
      </c>
      <c r="Q200" s="1" t="s">
        <v>96</v>
      </c>
      <c r="R200" s="1" t="s">
        <v>96</v>
      </c>
      <c r="S200" s="1" t="s">
        <v>96</v>
      </c>
      <c r="T200">
        <v>1.1399999999999999</v>
      </c>
      <c r="U200" s="1" t="s">
        <v>96</v>
      </c>
      <c r="V200">
        <v>12.24</v>
      </c>
      <c r="W200">
        <v>7.98</v>
      </c>
      <c r="X200">
        <v>609.62</v>
      </c>
      <c r="Y200" s="1" t="s">
        <v>96</v>
      </c>
      <c r="Z200">
        <v>32.83</v>
      </c>
      <c r="AA200">
        <v>529.19000000000005</v>
      </c>
      <c r="AB200">
        <v>64.290000000000006</v>
      </c>
      <c r="AC200" s="1" t="s">
        <v>96</v>
      </c>
      <c r="AD200" s="1" t="s">
        <v>96</v>
      </c>
      <c r="AE200" s="1" t="s">
        <v>96</v>
      </c>
      <c r="AF200" s="1" t="s">
        <v>96</v>
      </c>
      <c r="AG200" s="1" t="s">
        <v>96</v>
      </c>
      <c r="AH200" s="1" t="s">
        <v>96</v>
      </c>
      <c r="AI200">
        <v>825.35</v>
      </c>
      <c r="AJ200">
        <v>164.48</v>
      </c>
      <c r="AK200" s="1" t="s">
        <v>96</v>
      </c>
      <c r="AL200" s="1" t="s">
        <v>96</v>
      </c>
      <c r="AM200">
        <v>10.89</v>
      </c>
      <c r="AN200">
        <v>4.62</v>
      </c>
      <c r="AO200" s="1" t="s">
        <v>96</v>
      </c>
      <c r="AP200" s="1" t="s">
        <v>96</v>
      </c>
      <c r="AQ200">
        <v>3.62</v>
      </c>
      <c r="AR200" s="1" t="s">
        <v>96</v>
      </c>
      <c r="AS200">
        <v>124</v>
      </c>
      <c r="AT200">
        <v>149.04</v>
      </c>
      <c r="AU200">
        <v>69</v>
      </c>
      <c r="AV200" s="1" t="s">
        <v>96</v>
      </c>
      <c r="AW200">
        <v>20.91</v>
      </c>
      <c r="AX200" s="1" t="s">
        <v>96</v>
      </c>
      <c r="AY200" s="1">
        <v>2.78</v>
      </c>
      <c r="AZ200">
        <v>3.26</v>
      </c>
      <c r="BA200" s="1">
        <v>4.76</v>
      </c>
      <c r="BB200" s="1" t="s">
        <v>96</v>
      </c>
      <c r="BC200">
        <v>19.91</v>
      </c>
      <c r="BD200">
        <v>26.26</v>
      </c>
      <c r="BE200" s="1" t="s">
        <v>96</v>
      </c>
      <c r="BF200" s="1" t="s">
        <v>96</v>
      </c>
      <c r="BG200">
        <v>2.67</v>
      </c>
      <c r="BH200">
        <v>4.08</v>
      </c>
      <c r="BI200">
        <v>131.07</v>
      </c>
      <c r="BJ200">
        <v>5.77</v>
      </c>
      <c r="BK200" s="1" t="s">
        <v>96</v>
      </c>
      <c r="BL200" s="1" t="s">
        <v>96</v>
      </c>
      <c r="BM200" s="1">
        <v>5.0599999999999996</v>
      </c>
      <c r="BN200" s="1" t="s">
        <v>96</v>
      </c>
      <c r="BO200" s="1" t="s">
        <v>96</v>
      </c>
      <c r="BP200">
        <v>54.17</v>
      </c>
      <c r="BQ200">
        <v>14.2</v>
      </c>
      <c r="BR200" s="1" t="s">
        <v>96</v>
      </c>
      <c r="BS200">
        <v>315.74</v>
      </c>
      <c r="BT200">
        <v>48.21</v>
      </c>
      <c r="BU200" s="1">
        <v>19.079999999999998</v>
      </c>
      <c r="BV200">
        <v>95.37</v>
      </c>
      <c r="BW200">
        <v>123.85</v>
      </c>
      <c r="BX200" s="1" t="s">
        <v>96</v>
      </c>
    </row>
    <row r="201" spans="1:76">
      <c r="A201">
        <v>195</v>
      </c>
      <c r="B201" t="s">
        <v>680</v>
      </c>
      <c r="D201" t="b">
        <v>1</v>
      </c>
      <c r="E201" t="s">
        <v>681</v>
      </c>
      <c r="G201" t="s">
        <v>682</v>
      </c>
      <c r="H201" s="1" t="s">
        <v>96</v>
      </c>
      <c r="I201" s="1" t="s">
        <v>96</v>
      </c>
      <c r="J201">
        <v>28.22</v>
      </c>
      <c r="K201" s="1" t="s">
        <v>96</v>
      </c>
      <c r="L201" s="1" t="s">
        <v>96</v>
      </c>
      <c r="M201" s="1" t="s">
        <v>96</v>
      </c>
      <c r="N201" s="1" t="s">
        <v>96</v>
      </c>
      <c r="O201" s="1" t="s">
        <v>96</v>
      </c>
      <c r="P201" s="1" t="s">
        <v>96</v>
      </c>
      <c r="Q201" s="1" t="s">
        <v>96</v>
      </c>
      <c r="R201" s="1" t="s">
        <v>96</v>
      </c>
      <c r="S201" s="1" t="s">
        <v>96</v>
      </c>
      <c r="T201" t="s">
        <v>96</v>
      </c>
      <c r="U201" s="1" t="s">
        <v>96</v>
      </c>
      <c r="V201">
        <v>3.48</v>
      </c>
      <c r="W201">
        <v>2.58</v>
      </c>
      <c r="X201">
        <v>38.83</v>
      </c>
      <c r="Y201" s="1" t="s">
        <v>96</v>
      </c>
      <c r="Z201">
        <v>11.14</v>
      </c>
      <c r="AA201">
        <v>128.66</v>
      </c>
      <c r="AB201">
        <v>60.96</v>
      </c>
      <c r="AC201" s="1" t="s">
        <v>96</v>
      </c>
      <c r="AD201" s="1">
        <v>2.41</v>
      </c>
      <c r="AE201" s="1" t="s">
        <v>96</v>
      </c>
      <c r="AF201" s="1" t="s">
        <v>96</v>
      </c>
      <c r="AG201" s="1" t="s">
        <v>96</v>
      </c>
      <c r="AH201" s="1" t="s">
        <v>96</v>
      </c>
      <c r="AI201">
        <v>49.65</v>
      </c>
      <c r="AJ201">
        <v>12.58</v>
      </c>
      <c r="AK201" s="1" t="s">
        <v>96</v>
      </c>
      <c r="AL201" s="1">
        <v>2.58</v>
      </c>
      <c r="AM201">
        <v>19.670000000000002</v>
      </c>
      <c r="AN201">
        <v>4.17</v>
      </c>
      <c r="AO201" s="1" t="s">
        <v>96</v>
      </c>
      <c r="AP201" s="1" t="s">
        <v>96</v>
      </c>
      <c r="AQ201">
        <v>7.02</v>
      </c>
      <c r="AR201" s="1" t="s">
        <v>96</v>
      </c>
      <c r="AS201">
        <v>1163.4100000000001</v>
      </c>
      <c r="AT201">
        <v>265.83999999999997</v>
      </c>
      <c r="AU201">
        <v>26.64</v>
      </c>
      <c r="AV201" s="1" t="s">
        <v>96</v>
      </c>
      <c r="AW201">
        <v>226.6</v>
      </c>
      <c r="AX201" s="1" t="s">
        <v>96</v>
      </c>
      <c r="AY201" s="1">
        <v>4.5199999999999996</v>
      </c>
      <c r="AZ201">
        <v>28.47</v>
      </c>
      <c r="BA201" s="1" t="s">
        <v>96</v>
      </c>
      <c r="BB201" s="1" t="s">
        <v>96</v>
      </c>
      <c r="BC201">
        <v>156.97999999999999</v>
      </c>
      <c r="BD201">
        <v>49.23</v>
      </c>
      <c r="BE201" s="1" t="s">
        <v>96</v>
      </c>
      <c r="BF201" s="1">
        <v>6.43</v>
      </c>
      <c r="BG201">
        <v>3.17</v>
      </c>
      <c r="BH201">
        <v>47.4</v>
      </c>
      <c r="BI201">
        <v>101.06</v>
      </c>
      <c r="BJ201">
        <v>2.74</v>
      </c>
      <c r="BK201" s="1" t="s">
        <v>96</v>
      </c>
      <c r="BL201" s="1" t="s">
        <v>96</v>
      </c>
      <c r="BM201" s="1" t="s">
        <v>96</v>
      </c>
      <c r="BN201" s="1" t="s">
        <v>96</v>
      </c>
      <c r="BO201" s="1">
        <v>8.02</v>
      </c>
      <c r="BP201">
        <v>103.92</v>
      </c>
      <c r="BQ201">
        <v>19.7</v>
      </c>
      <c r="BR201" s="1" t="s">
        <v>96</v>
      </c>
      <c r="BS201">
        <v>511.99</v>
      </c>
      <c r="BT201">
        <v>21.47</v>
      </c>
      <c r="BU201" s="1" t="s">
        <v>96</v>
      </c>
      <c r="BV201">
        <v>7.88</v>
      </c>
      <c r="BW201">
        <v>71.25</v>
      </c>
      <c r="BX201" s="1" t="s">
        <v>96</v>
      </c>
    </row>
    <row r="202" spans="1:76">
      <c r="A202">
        <v>148</v>
      </c>
      <c r="B202" t="s">
        <v>539</v>
      </c>
      <c r="D202" t="b">
        <v>1</v>
      </c>
      <c r="E202" t="s">
        <v>540</v>
      </c>
      <c r="G202" t="s">
        <v>541</v>
      </c>
      <c r="H202" s="1" t="s">
        <v>96</v>
      </c>
      <c r="I202" s="1" t="s">
        <v>96</v>
      </c>
      <c r="J202">
        <v>20.49</v>
      </c>
      <c r="K202" s="1" t="s">
        <v>96</v>
      </c>
      <c r="L202" s="1" t="s">
        <v>96</v>
      </c>
      <c r="M202" s="1" t="s">
        <v>96</v>
      </c>
      <c r="N202" s="1" t="s">
        <v>96</v>
      </c>
      <c r="O202" s="1" t="s">
        <v>96</v>
      </c>
      <c r="P202" s="1" t="s">
        <v>96</v>
      </c>
      <c r="Q202" s="1" t="s">
        <v>96</v>
      </c>
      <c r="R202" s="1" t="s">
        <v>96</v>
      </c>
      <c r="S202" s="1" t="s">
        <v>96</v>
      </c>
      <c r="T202" t="s">
        <v>96</v>
      </c>
      <c r="U202" s="1" t="s">
        <v>96</v>
      </c>
      <c r="V202">
        <v>2.71</v>
      </c>
      <c r="W202" t="s">
        <v>96</v>
      </c>
      <c r="X202">
        <v>23.09</v>
      </c>
      <c r="Y202" s="1" t="s">
        <v>96</v>
      </c>
      <c r="Z202" t="s">
        <v>96</v>
      </c>
      <c r="AA202" t="s">
        <v>96</v>
      </c>
      <c r="AB202">
        <v>271.33</v>
      </c>
      <c r="AC202" s="1" t="s">
        <v>96</v>
      </c>
      <c r="AD202" s="1" t="s">
        <v>96</v>
      </c>
      <c r="AE202" s="1" t="s">
        <v>96</v>
      </c>
      <c r="AF202" s="1" t="s">
        <v>96</v>
      </c>
      <c r="AG202" s="1" t="s">
        <v>96</v>
      </c>
      <c r="AH202" s="1" t="s">
        <v>96</v>
      </c>
      <c r="AI202">
        <v>42.85</v>
      </c>
      <c r="AJ202">
        <v>41.83</v>
      </c>
      <c r="AK202" s="1" t="s">
        <v>96</v>
      </c>
      <c r="AL202" s="1" t="s">
        <v>96</v>
      </c>
      <c r="AM202">
        <v>113.65</v>
      </c>
      <c r="AN202">
        <v>19.84</v>
      </c>
      <c r="AO202" s="1" t="s">
        <v>96</v>
      </c>
      <c r="AP202" s="1" t="s">
        <v>96</v>
      </c>
      <c r="AQ202" t="s">
        <v>96</v>
      </c>
      <c r="AR202" s="1" t="s">
        <v>96</v>
      </c>
      <c r="AS202" t="s">
        <v>133</v>
      </c>
      <c r="AT202">
        <v>2.71</v>
      </c>
      <c r="AU202">
        <v>295.70999999999998</v>
      </c>
      <c r="AV202" s="1" t="s">
        <v>96</v>
      </c>
      <c r="AW202" t="s">
        <v>133</v>
      </c>
      <c r="AX202" s="1" t="s">
        <v>96</v>
      </c>
      <c r="AY202" s="1" t="s">
        <v>96</v>
      </c>
      <c r="AZ202">
        <v>34.94</v>
      </c>
      <c r="BA202" s="1">
        <v>23.03</v>
      </c>
      <c r="BB202" s="1" t="s">
        <v>96</v>
      </c>
      <c r="BC202">
        <v>488.9</v>
      </c>
      <c r="BD202" t="s">
        <v>96</v>
      </c>
      <c r="BE202" s="1" t="s">
        <v>96</v>
      </c>
      <c r="BF202" s="1">
        <v>6.6</v>
      </c>
      <c r="BG202" t="s">
        <v>96</v>
      </c>
      <c r="BH202">
        <v>175.68</v>
      </c>
      <c r="BI202" t="s">
        <v>96</v>
      </c>
      <c r="BJ202" t="s">
        <v>96</v>
      </c>
      <c r="BK202" s="1" t="s">
        <v>96</v>
      </c>
      <c r="BL202" s="1" t="s">
        <v>96</v>
      </c>
      <c r="BM202" s="1" t="s">
        <v>96</v>
      </c>
      <c r="BN202" s="1" t="s">
        <v>96</v>
      </c>
      <c r="BO202" s="1" t="s">
        <v>96</v>
      </c>
      <c r="BP202">
        <v>190.34</v>
      </c>
      <c r="BQ202">
        <v>42.11</v>
      </c>
      <c r="BR202" s="1">
        <v>5.19</v>
      </c>
      <c r="BS202" t="s">
        <v>96</v>
      </c>
      <c r="BT202" t="s">
        <v>96</v>
      </c>
      <c r="BU202" s="1">
        <v>11.83</v>
      </c>
      <c r="BV202">
        <v>70.45</v>
      </c>
      <c r="BW202" t="s">
        <v>96</v>
      </c>
      <c r="BX202" s="1" t="s">
        <v>96</v>
      </c>
    </row>
    <row r="203" spans="1:76">
      <c r="A203">
        <v>246</v>
      </c>
      <c r="B203" t="s">
        <v>833</v>
      </c>
      <c r="D203" t="b">
        <v>1</v>
      </c>
      <c r="E203" t="s">
        <v>834</v>
      </c>
      <c r="G203" t="s">
        <v>835</v>
      </c>
      <c r="H203" s="1" t="s">
        <v>96</v>
      </c>
      <c r="I203" s="1" t="s">
        <v>96</v>
      </c>
      <c r="J203">
        <v>11.85</v>
      </c>
      <c r="K203" s="1" t="s">
        <v>96</v>
      </c>
      <c r="L203" s="1" t="s">
        <v>96</v>
      </c>
      <c r="M203" s="1" t="s">
        <v>96</v>
      </c>
      <c r="N203" s="1" t="s">
        <v>96</v>
      </c>
      <c r="O203" s="1" t="s">
        <v>96</v>
      </c>
      <c r="P203" s="1" t="s">
        <v>96</v>
      </c>
      <c r="Q203" s="1" t="s">
        <v>96</v>
      </c>
      <c r="R203" s="1" t="s">
        <v>96</v>
      </c>
      <c r="S203" s="1" t="s">
        <v>96</v>
      </c>
      <c r="T203" t="s">
        <v>96</v>
      </c>
      <c r="U203" s="1" t="s">
        <v>96</v>
      </c>
      <c r="V203">
        <v>1.39</v>
      </c>
      <c r="W203">
        <v>1.71</v>
      </c>
      <c r="X203">
        <v>191.04</v>
      </c>
      <c r="Y203" s="1" t="s">
        <v>96</v>
      </c>
      <c r="Z203">
        <v>5.28</v>
      </c>
      <c r="AA203">
        <v>192.96</v>
      </c>
      <c r="AB203">
        <v>27.03</v>
      </c>
      <c r="AC203" s="1" t="s">
        <v>96</v>
      </c>
      <c r="AD203" s="1" t="s">
        <v>96</v>
      </c>
      <c r="AE203" s="1" t="s">
        <v>96</v>
      </c>
      <c r="AF203" s="1" t="s">
        <v>96</v>
      </c>
      <c r="AG203" s="1" t="s">
        <v>96</v>
      </c>
      <c r="AH203" s="1" t="s">
        <v>96</v>
      </c>
      <c r="AI203">
        <v>179.03</v>
      </c>
      <c r="AJ203">
        <v>41.83</v>
      </c>
      <c r="AK203" s="1" t="s">
        <v>96</v>
      </c>
      <c r="AL203" s="1" t="s">
        <v>96</v>
      </c>
      <c r="AM203">
        <v>30.13</v>
      </c>
      <c r="AN203">
        <v>1.62</v>
      </c>
      <c r="AO203" s="1" t="s">
        <v>96</v>
      </c>
      <c r="AP203" s="1" t="s">
        <v>96</v>
      </c>
      <c r="AQ203">
        <v>2.57</v>
      </c>
      <c r="AR203" s="1" t="s">
        <v>96</v>
      </c>
      <c r="AS203">
        <v>1308.0899999999999</v>
      </c>
      <c r="AT203">
        <v>613.74</v>
      </c>
      <c r="AU203">
        <v>349.25</v>
      </c>
      <c r="AV203" s="1" t="s">
        <v>96</v>
      </c>
      <c r="AW203">
        <v>475.05</v>
      </c>
      <c r="AX203" s="1" t="s">
        <v>96</v>
      </c>
      <c r="AY203" s="1" t="s">
        <v>96</v>
      </c>
      <c r="AZ203">
        <v>9.64</v>
      </c>
      <c r="BA203" s="1">
        <v>20.27</v>
      </c>
      <c r="BB203" s="1" t="s">
        <v>96</v>
      </c>
      <c r="BC203">
        <v>202.04</v>
      </c>
      <c r="BD203">
        <v>121.84</v>
      </c>
      <c r="BE203" s="1" t="s">
        <v>96</v>
      </c>
      <c r="BF203" s="1" t="s">
        <v>96</v>
      </c>
      <c r="BG203">
        <v>6.24</v>
      </c>
      <c r="BH203">
        <v>72.3</v>
      </c>
      <c r="BI203">
        <v>32.07</v>
      </c>
      <c r="BJ203" t="s">
        <v>96</v>
      </c>
      <c r="BK203" s="1" t="s">
        <v>96</v>
      </c>
      <c r="BL203" s="1" t="s">
        <v>96</v>
      </c>
      <c r="BM203" s="1" t="s">
        <v>96</v>
      </c>
      <c r="BN203" s="1" t="s">
        <v>96</v>
      </c>
      <c r="BO203" s="1" t="s">
        <v>96</v>
      </c>
      <c r="BP203">
        <v>107.44</v>
      </c>
      <c r="BQ203">
        <v>23.98</v>
      </c>
      <c r="BR203" s="1" t="s">
        <v>96</v>
      </c>
      <c r="BS203">
        <v>145.28</v>
      </c>
      <c r="BT203">
        <v>50</v>
      </c>
      <c r="BU203" s="1">
        <v>19.149999999999999</v>
      </c>
      <c r="BV203">
        <v>139.56</v>
      </c>
      <c r="BW203">
        <v>142.02000000000001</v>
      </c>
      <c r="BX203" s="1" t="s">
        <v>96</v>
      </c>
    </row>
    <row r="204" spans="1:76">
      <c r="A204">
        <v>150</v>
      </c>
      <c r="B204" t="s">
        <v>545</v>
      </c>
      <c r="D204" t="b">
        <v>1</v>
      </c>
      <c r="E204" t="s">
        <v>546</v>
      </c>
      <c r="G204" t="s">
        <v>547</v>
      </c>
      <c r="H204" s="1" t="s">
        <v>96</v>
      </c>
      <c r="I204" s="1" t="s">
        <v>96</v>
      </c>
      <c r="J204">
        <v>24.91</v>
      </c>
      <c r="K204" s="1" t="s">
        <v>96</v>
      </c>
      <c r="L204" s="1" t="s">
        <v>96</v>
      </c>
      <c r="M204" s="1" t="s">
        <v>96</v>
      </c>
      <c r="N204" s="1" t="s">
        <v>96</v>
      </c>
      <c r="O204" s="1" t="s">
        <v>96</v>
      </c>
      <c r="P204" s="1" t="s">
        <v>96</v>
      </c>
      <c r="Q204" s="1" t="s">
        <v>96</v>
      </c>
      <c r="R204" s="1" t="s">
        <v>96</v>
      </c>
      <c r="S204" s="1" t="s">
        <v>96</v>
      </c>
      <c r="T204">
        <v>2.95</v>
      </c>
      <c r="U204" s="1" t="s">
        <v>96</v>
      </c>
      <c r="V204">
        <v>3.84</v>
      </c>
      <c r="W204" t="s">
        <v>96</v>
      </c>
      <c r="X204">
        <v>108.83</v>
      </c>
      <c r="Y204" s="1" t="s">
        <v>96</v>
      </c>
      <c r="Z204" t="s">
        <v>96</v>
      </c>
      <c r="AA204">
        <v>1.33</v>
      </c>
      <c r="AB204">
        <v>316.89999999999998</v>
      </c>
      <c r="AC204" s="1" t="s">
        <v>96</v>
      </c>
      <c r="AD204" s="1" t="s">
        <v>96</v>
      </c>
      <c r="AE204" s="1" t="s">
        <v>96</v>
      </c>
      <c r="AF204" s="1" t="s">
        <v>96</v>
      </c>
      <c r="AG204" s="1" t="s">
        <v>96</v>
      </c>
      <c r="AH204" s="1">
        <v>1.6</v>
      </c>
      <c r="AI204" t="s">
        <v>96</v>
      </c>
      <c r="AJ204">
        <v>49.2</v>
      </c>
      <c r="AK204" s="1" t="s">
        <v>96</v>
      </c>
      <c r="AL204" s="1" t="s">
        <v>96</v>
      </c>
      <c r="AM204">
        <v>77.099999999999994</v>
      </c>
      <c r="AN204">
        <v>22.68</v>
      </c>
      <c r="AO204" s="1" t="s">
        <v>96</v>
      </c>
      <c r="AP204" s="1" t="s">
        <v>96</v>
      </c>
      <c r="AQ204" t="s">
        <v>96</v>
      </c>
      <c r="AR204" s="1" t="s">
        <v>96</v>
      </c>
      <c r="AS204" t="s">
        <v>133</v>
      </c>
      <c r="AT204" t="s">
        <v>96</v>
      </c>
      <c r="AU204">
        <v>163.75</v>
      </c>
      <c r="AV204" s="1" t="s">
        <v>96</v>
      </c>
      <c r="AW204">
        <v>430.22</v>
      </c>
      <c r="AX204" s="1" t="s">
        <v>96</v>
      </c>
      <c r="AY204" s="1" t="s">
        <v>96</v>
      </c>
      <c r="AZ204">
        <v>28.19</v>
      </c>
      <c r="BA204" s="1">
        <v>7.8</v>
      </c>
      <c r="BB204" s="1" t="s">
        <v>96</v>
      </c>
      <c r="BC204">
        <v>290.42</v>
      </c>
      <c r="BD204" t="s">
        <v>96</v>
      </c>
      <c r="BE204" s="1" t="s">
        <v>96</v>
      </c>
      <c r="BF204" s="1">
        <v>3.54</v>
      </c>
      <c r="BG204" t="s">
        <v>96</v>
      </c>
      <c r="BH204">
        <v>47.58</v>
      </c>
      <c r="BI204" t="s">
        <v>96</v>
      </c>
      <c r="BJ204" t="s">
        <v>96</v>
      </c>
      <c r="BK204" s="1" t="s">
        <v>96</v>
      </c>
      <c r="BL204" s="1" t="s">
        <v>96</v>
      </c>
      <c r="BM204" s="1" t="s">
        <v>96</v>
      </c>
      <c r="BN204" s="1">
        <v>6.86</v>
      </c>
      <c r="BO204" s="1" t="s">
        <v>96</v>
      </c>
      <c r="BP204">
        <v>242.52</v>
      </c>
      <c r="BQ204">
        <v>57.99</v>
      </c>
      <c r="BR204" s="1" t="s">
        <v>96</v>
      </c>
      <c r="BS204">
        <v>8.2799999999999994</v>
      </c>
      <c r="BT204" t="s">
        <v>96</v>
      </c>
      <c r="BU204" s="1" t="s">
        <v>96</v>
      </c>
      <c r="BV204">
        <v>33.47</v>
      </c>
      <c r="BW204" t="s">
        <v>96</v>
      </c>
      <c r="BX204" s="1" t="s">
        <v>96</v>
      </c>
    </row>
    <row r="205" spans="1:76">
      <c r="A205">
        <v>251</v>
      </c>
      <c r="B205" t="s">
        <v>848</v>
      </c>
      <c r="D205" t="b">
        <v>1</v>
      </c>
      <c r="E205" t="s">
        <v>849</v>
      </c>
      <c r="G205" t="s">
        <v>850</v>
      </c>
      <c r="H205" s="1" t="s">
        <v>96</v>
      </c>
      <c r="I205" s="1" t="s">
        <v>96</v>
      </c>
      <c r="J205">
        <v>10.06</v>
      </c>
      <c r="K205" s="1" t="s">
        <v>96</v>
      </c>
      <c r="L205" s="1" t="s">
        <v>96</v>
      </c>
      <c r="M205" s="1" t="s">
        <v>96</v>
      </c>
      <c r="N205" s="1" t="s">
        <v>96</v>
      </c>
      <c r="O205" s="1" t="s">
        <v>96</v>
      </c>
      <c r="P205" s="1" t="s">
        <v>96</v>
      </c>
      <c r="Q205" s="1" t="s">
        <v>96</v>
      </c>
      <c r="R205" s="1" t="s">
        <v>96</v>
      </c>
      <c r="S205" s="1" t="s">
        <v>96</v>
      </c>
      <c r="T205" t="s">
        <v>96</v>
      </c>
      <c r="U205" s="1" t="s">
        <v>96</v>
      </c>
      <c r="V205">
        <v>3.06</v>
      </c>
      <c r="W205">
        <v>3.97</v>
      </c>
      <c r="X205">
        <v>348.39</v>
      </c>
      <c r="Y205" s="1" t="s">
        <v>96</v>
      </c>
      <c r="Z205">
        <v>13.6</v>
      </c>
      <c r="AA205">
        <v>302.97000000000003</v>
      </c>
      <c r="AB205">
        <v>18.989999999999998</v>
      </c>
      <c r="AC205" s="1" t="s">
        <v>96</v>
      </c>
      <c r="AD205" s="1">
        <v>1.69</v>
      </c>
      <c r="AE205" s="1" t="s">
        <v>96</v>
      </c>
      <c r="AF205" s="1" t="s">
        <v>96</v>
      </c>
      <c r="AG205" s="1" t="s">
        <v>96</v>
      </c>
      <c r="AH205" s="1" t="s">
        <v>96</v>
      </c>
      <c r="AI205">
        <v>461.96</v>
      </c>
      <c r="AJ205">
        <v>68.400000000000006</v>
      </c>
      <c r="AK205" s="1" t="s">
        <v>96</v>
      </c>
      <c r="AL205" s="1" t="s">
        <v>96</v>
      </c>
      <c r="AM205">
        <v>23.11</v>
      </c>
      <c r="AN205">
        <v>3.31</v>
      </c>
      <c r="AO205" s="1" t="s">
        <v>96</v>
      </c>
      <c r="AP205" s="1" t="s">
        <v>96</v>
      </c>
      <c r="AQ205">
        <v>6.4</v>
      </c>
      <c r="AR205" s="1" t="s">
        <v>96</v>
      </c>
      <c r="AS205">
        <v>865.28</v>
      </c>
      <c r="AT205">
        <v>706.71</v>
      </c>
      <c r="AU205">
        <v>324.86</v>
      </c>
      <c r="AV205" s="1" t="s">
        <v>96</v>
      </c>
      <c r="AW205">
        <v>358.49</v>
      </c>
      <c r="AX205" s="1" t="s">
        <v>96</v>
      </c>
      <c r="AY205" s="1">
        <v>4.71</v>
      </c>
      <c r="AZ205">
        <v>7.56</v>
      </c>
      <c r="BA205" s="1">
        <v>34.69</v>
      </c>
      <c r="BB205" s="1" t="s">
        <v>96</v>
      </c>
      <c r="BC205">
        <v>178.61</v>
      </c>
      <c r="BD205">
        <v>185.82</v>
      </c>
      <c r="BE205" s="1" t="s">
        <v>96</v>
      </c>
      <c r="BF205" s="1" t="s">
        <v>96</v>
      </c>
      <c r="BG205">
        <v>3.86</v>
      </c>
      <c r="BH205">
        <v>82.52</v>
      </c>
      <c r="BI205">
        <v>58.79</v>
      </c>
      <c r="BJ205">
        <v>3.5</v>
      </c>
      <c r="BK205" s="1" t="s">
        <v>96</v>
      </c>
      <c r="BL205" s="1" t="s">
        <v>96</v>
      </c>
      <c r="BM205" s="1" t="s">
        <v>96</v>
      </c>
      <c r="BN205" s="1" t="s">
        <v>96</v>
      </c>
      <c r="BO205" s="1" t="s">
        <v>96</v>
      </c>
      <c r="BP205">
        <v>29.03</v>
      </c>
      <c r="BQ205">
        <v>8.5299999999999994</v>
      </c>
      <c r="BR205" s="1" t="s">
        <v>96</v>
      </c>
      <c r="BS205">
        <v>156.33000000000001</v>
      </c>
      <c r="BT205">
        <v>32.619999999999997</v>
      </c>
      <c r="BU205" s="1" t="s">
        <v>96</v>
      </c>
      <c r="BV205">
        <v>54.9</v>
      </c>
      <c r="BW205">
        <v>59.29</v>
      </c>
      <c r="BX205" s="1" t="s">
        <v>96</v>
      </c>
    </row>
    <row r="206" spans="1:76">
      <c r="A206">
        <v>168</v>
      </c>
      <c r="B206" t="s">
        <v>599</v>
      </c>
      <c r="D206" t="b">
        <v>1</v>
      </c>
      <c r="E206" t="s">
        <v>600</v>
      </c>
      <c r="G206" t="s">
        <v>601</v>
      </c>
      <c r="H206" s="1" t="s">
        <v>96</v>
      </c>
      <c r="I206" s="1" t="s">
        <v>96</v>
      </c>
      <c r="J206">
        <v>10.9</v>
      </c>
      <c r="K206" s="1" t="s">
        <v>96</v>
      </c>
      <c r="L206" s="1" t="s">
        <v>96</v>
      </c>
      <c r="M206" s="1">
        <v>6.14</v>
      </c>
      <c r="N206" s="1" t="s">
        <v>96</v>
      </c>
      <c r="O206" s="1" t="s">
        <v>96</v>
      </c>
      <c r="P206" s="1" t="s">
        <v>96</v>
      </c>
      <c r="Q206" s="1" t="s">
        <v>96</v>
      </c>
      <c r="R206" s="1" t="s">
        <v>96</v>
      </c>
      <c r="S206" s="1" t="s">
        <v>96</v>
      </c>
      <c r="T206">
        <v>5.63</v>
      </c>
      <c r="U206" s="1" t="s">
        <v>96</v>
      </c>
      <c r="V206">
        <v>27.41</v>
      </c>
      <c r="W206">
        <v>12.96</v>
      </c>
      <c r="X206">
        <v>264.91000000000003</v>
      </c>
      <c r="Y206" s="1" t="s">
        <v>96</v>
      </c>
      <c r="Z206">
        <v>63.77</v>
      </c>
      <c r="AA206">
        <v>580.25</v>
      </c>
      <c r="AB206">
        <v>416.61</v>
      </c>
      <c r="AC206" s="1" t="s">
        <v>96</v>
      </c>
      <c r="AD206" s="1">
        <v>1.79</v>
      </c>
      <c r="AE206" s="1" t="s">
        <v>96</v>
      </c>
      <c r="AF206" s="1" t="s">
        <v>96</v>
      </c>
      <c r="AG206" s="1" t="s">
        <v>96</v>
      </c>
      <c r="AH206" s="1">
        <v>2.2999999999999998</v>
      </c>
      <c r="AI206">
        <v>127.68</v>
      </c>
      <c r="AJ206">
        <v>43.34</v>
      </c>
      <c r="AK206" s="1" t="s">
        <v>96</v>
      </c>
      <c r="AL206" s="1" t="s">
        <v>96</v>
      </c>
      <c r="AM206">
        <v>37.58</v>
      </c>
      <c r="AN206">
        <v>3.81</v>
      </c>
      <c r="AO206" s="1" t="s">
        <v>96</v>
      </c>
      <c r="AP206" s="1" t="s">
        <v>96</v>
      </c>
      <c r="AQ206">
        <v>10.35</v>
      </c>
      <c r="AR206" s="1" t="s">
        <v>96</v>
      </c>
      <c r="AS206">
        <v>1326.33</v>
      </c>
      <c r="AT206">
        <v>714.22</v>
      </c>
      <c r="AU206">
        <v>70.84</v>
      </c>
      <c r="AV206" s="1" t="s">
        <v>96</v>
      </c>
      <c r="AW206">
        <v>784.19</v>
      </c>
      <c r="AX206" s="1" t="s">
        <v>96</v>
      </c>
      <c r="AY206" s="1">
        <v>13.81</v>
      </c>
      <c r="AZ206">
        <v>11.17</v>
      </c>
      <c r="BA206" s="1">
        <v>17.62</v>
      </c>
      <c r="BB206" s="1" t="s">
        <v>96</v>
      </c>
      <c r="BC206">
        <v>536.25</v>
      </c>
      <c r="BD206">
        <v>405.13</v>
      </c>
      <c r="BE206" s="1" t="s">
        <v>96</v>
      </c>
      <c r="BF206" s="1">
        <v>3.97</v>
      </c>
      <c r="BG206">
        <v>3.97</v>
      </c>
      <c r="BH206">
        <v>565.20000000000005</v>
      </c>
      <c r="BI206">
        <v>257.85000000000002</v>
      </c>
      <c r="BJ206">
        <v>2.56</v>
      </c>
      <c r="BK206" s="1" t="s">
        <v>96</v>
      </c>
      <c r="BL206" s="1" t="s">
        <v>96</v>
      </c>
      <c r="BM206" s="1" t="s">
        <v>96</v>
      </c>
      <c r="BN206" s="1" t="s">
        <v>96</v>
      </c>
      <c r="BO206" s="1">
        <v>29.62</v>
      </c>
      <c r="BP206">
        <v>110.36</v>
      </c>
      <c r="BQ206">
        <v>49.1</v>
      </c>
      <c r="BR206" s="1" t="s">
        <v>96</v>
      </c>
      <c r="BS206">
        <v>260.13</v>
      </c>
      <c r="BT206">
        <v>85.76</v>
      </c>
      <c r="BU206" s="1" t="s">
        <v>96</v>
      </c>
      <c r="BV206">
        <v>21.48</v>
      </c>
      <c r="BW206">
        <v>122.95</v>
      </c>
      <c r="BX206" s="1" t="s">
        <v>96</v>
      </c>
    </row>
    <row r="207" spans="1:76">
      <c r="A207">
        <v>169</v>
      </c>
      <c r="B207" t="s">
        <v>602</v>
      </c>
      <c r="D207" t="b">
        <v>1</v>
      </c>
      <c r="E207" t="s">
        <v>603</v>
      </c>
      <c r="G207" t="s">
        <v>604</v>
      </c>
      <c r="H207" s="1" t="s">
        <v>96</v>
      </c>
      <c r="I207" s="1" t="s">
        <v>96</v>
      </c>
      <c r="J207">
        <v>9.4600000000000009</v>
      </c>
      <c r="K207" s="1" t="s">
        <v>96</v>
      </c>
      <c r="L207" s="1" t="s">
        <v>96</v>
      </c>
      <c r="M207" s="1" t="s">
        <v>96</v>
      </c>
      <c r="N207" s="1" t="s">
        <v>96</v>
      </c>
      <c r="O207" s="1" t="s">
        <v>96</v>
      </c>
      <c r="P207" s="1" t="s">
        <v>96</v>
      </c>
      <c r="Q207" s="1" t="s">
        <v>96</v>
      </c>
      <c r="R207" s="1" t="s">
        <v>96</v>
      </c>
      <c r="S207" s="1" t="s">
        <v>96</v>
      </c>
      <c r="T207" t="s">
        <v>96</v>
      </c>
      <c r="U207" s="1" t="s">
        <v>96</v>
      </c>
      <c r="V207">
        <v>3.58</v>
      </c>
      <c r="W207">
        <v>9.2200000000000006</v>
      </c>
      <c r="X207">
        <v>112.5</v>
      </c>
      <c r="Y207" s="1" t="s">
        <v>96</v>
      </c>
      <c r="Z207">
        <v>22.11</v>
      </c>
      <c r="AA207">
        <v>341.6</v>
      </c>
      <c r="AB207">
        <v>68.92</v>
      </c>
      <c r="AC207" s="1">
        <v>4.0599999999999996</v>
      </c>
      <c r="AD207" s="1">
        <v>1.54</v>
      </c>
      <c r="AE207" s="1" t="s">
        <v>96</v>
      </c>
      <c r="AF207" s="1" t="s">
        <v>96</v>
      </c>
      <c r="AG207" s="1" t="s">
        <v>96</v>
      </c>
      <c r="AH207" s="1" t="s">
        <v>96</v>
      </c>
      <c r="AI207" t="s">
        <v>96</v>
      </c>
      <c r="AJ207">
        <v>30.18</v>
      </c>
      <c r="AK207" s="1" t="s">
        <v>96</v>
      </c>
      <c r="AL207" s="1">
        <v>1.06</v>
      </c>
      <c r="AM207">
        <v>28.74</v>
      </c>
      <c r="AN207">
        <v>2.98</v>
      </c>
      <c r="AO207" s="1" t="s">
        <v>96</v>
      </c>
      <c r="AP207" s="1" t="s">
        <v>96</v>
      </c>
      <c r="AQ207">
        <v>3.36</v>
      </c>
      <c r="AR207" s="1" t="s">
        <v>96</v>
      </c>
      <c r="AS207">
        <v>362.35</v>
      </c>
      <c r="AT207">
        <v>213.79</v>
      </c>
      <c r="AU207">
        <v>31.35</v>
      </c>
      <c r="AV207" s="1" t="s">
        <v>96</v>
      </c>
      <c r="AW207">
        <v>68.95</v>
      </c>
      <c r="AX207" s="1" t="s">
        <v>96</v>
      </c>
      <c r="AY207" s="1">
        <v>8.3800000000000008</v>
      </c>
      <c r="AZ207">
        <v>4.03</v>
      </c>
      <c r="BA207" s="1">
        <v>2.5299999999999998</v>
      </c>
      <c r="BB207" s="1" t="s">
        <v>96</v>
      </c>
      <c r="BC207">
        <v>64.72</v>
      </c>
      <c r="BD207">
        <v>59.34</v>
      </c>
      <c r="BE207" s="1" t="s">
        <v>96</v>
      </c>
      <c r="BF207" s="1" t="s">
        <v>96</v>
      </c>
      <c r="BG207" t="s">
        <v>96</v>
      </c>
      <c r="BH207">
        <v>29.49</v>
      </c>
      <c r="BI207">
        <v>239.76</v>
      </c>
      <c r="BJ207" t="s">
        <v>96</v>
      </c>
      <c r="BK207" s="1" t="s">
        <v>96</v>
      </c>
      <c r="BL207" s="1" t="s">
        <v>96</v>
      </c>
      <c r="BM207" s="1" t="s">
        <v>96</v>
      </c>
      <c r="BN207" s="1" t="s">
        <v>96</v>
      </c>
      <c r="BO207" s="1">
        <v>13.09</v>
      </c>
      <c r="BP207">
        <v>62.98</v>
      </c>
      <c r="BQ207">
        <v>15.15</v>
      </c>
      <c r="BR207" s="1" t="s">
        <v>96</v>
      </c>
      <c r="BS207">
        <v>284.77999999999997</v>
      </c>
      <c r="BT207">
        <v>27.26</v>
      </c>
      <c r="BU207" s="1" t="s">
        <v>96</v>
      </c>
      <c r="BV207">
        <v>16.899999999999999</v>
      </c>
      <c r="BW207">
        <v>50.57</v>
      </c>
      <c r="BX207" s="1" t="s">
        <v>96</v>
      </c>
    </row>
    <row r="208" spans="1:76">
      <c r="A208">
        <v>250</v>
      </c>
      <c r="B208" t="s">
        <v>845</v>
      </c>
      <c r="D208" t="b">
        <v>1</v>
      </c>
      <c r="E208" t="s">
        <v>846</v>
      </c>
      <c r="G208" t="s">
        <v>847</v>
      </c>
      <c r="H208" s="1" t="s">
        <v>96</v>
      </c>
      <c r="I208" s="1" t="s">
        <v>96</v>
      </c>
      <c r="J208">
        <v>12.48</v>
      </c>
      <c r="K208" s="1" t="s">
        <v>96</v>
      </c>
      <c r="L208" s="1" t="s">
        <v>96</v>
      </c>
      <c r="M208" s="1" t="s">
        <v>96</v>
      </c>
      <c r="N208" s="1" t="s">
        <v>96</v>
      </c>
      <c r="O208" s="1" t="s">
        <v>96</v>
      </c>
      <c r="P208" s="1" t="s">
        <v>96</v>
      </c>
      <c r="Q208" s="1" t="s">
        <v>96</v>
      </c>
      <c r="R208" s="1" t="s">
        <v>96</v>
      </c>
      <c r="S208" s="1" t="s">
        <v>96</v>
      </c>
      <c r="T208" t="s">
        <v>96</v>
      </c>
      <c r="U208" s="1" t="s">
        <v>96</v>
      </c>
      <c r="V208">
        <v>4.42</v>
      </c>
      <c r="W208">
        <v>3.15</v>
      </c>
      <c r="X208">
        <v>301.16000000000003</v>
      </c>
      <c r="Y208" s="1" t="s">
        <v>96</v>
      </c>
      <c r="Z208">
        <v>22.9</v>
      </c>
      <c r="AA208">
        <v>338.5</v>
      </c>
      <c r="AB208">
        <v>31.74</v>
      </c>
      <c r="AC208" s="1" t="s">
        <v>96</v>
      </c>
      <c r="AD208" s="1">
        <v>1.29</v>
      </c>
      <c r="AE208" s="1" t="s">
        <v>96</v>
      </c>
      <c r="AF208" s="1" t="s">
        <v>96</v>
      </c>
      <c r="AG208" s="1" t="s">
        <v>96</v>
      </c>
      <c r="AH208" s="1" t="s">
        <v>96</v>
      </c>
      <c r="AI208">
        <v>37.89</v>
      </c>
      <c r="AJ208">
        <v>86.67</v>
      </c>
      <c r="AK208" s="1" t="s">
        <v>96</v>
      </c>
      <c r="AL208" s="1" t="s">
        <v>96</v>
      </c>
      <c r="AM208">
        <v>11.68</v>
      </c>
      <c r="AN208">
        <v>5.22</v>
      </c>
      <c r="AO208" s="1" t="s">
        <v>96</v>
      </c>
      <c r="AP208" s="1" t="s">
        <v>96</v>
      </c>
      <c r="AQ208">
        <v>15.85</v>
      </c>
      <c r="AR208" s="1" t="s">
        <v>96</v>
      </c>
      <c r="AS208">
        <v>890.67</v>
      </c>
      <c r="AT208">
        <v>513.73</v>
      </c>
      <c r="AU208">
        <v>325.99</v>
      </c>
      <c r="AV208" s="1" t="s">
        <v>96</v>
      </c>
      <c r="AW208">
        <v>189.2</v>
      </c>
      <c r="AX208" s="1" t="s">
        <v>96</v>
      </c>
      <c r="AY208" s="1">
        <v>8.7200000000000006</v>
      </c>
      <c r="AZ208">
        <v>11.52</v>
      </c>
      <c r="BA208" s="1">
        <v>26.15</v>
      </c>
      <c r="BB208" s="1" t="s">
        <v>96</v>
      </c>
      <c r="BC208">
        <v>150</v>
      </c>
      <c r="BD208">
        <v>124.33</v>
      </c>
      <c r="BE208" s="1" t="s">
        <v>96</v>
      </c>
      <c r="BF208" s="1">
        <v>2.71</v>
      </c>
      <c r="BG208">
        <v>9.74</v>
      </c>
      <c r="BH208">
        <v>40.909999999999997</v>
      </c>
      <c r="BI208">
        <v>240.99</v>
      </c>
      <c r="BJ208">
        <v>9.74</v>
      </c>
      <c r="BK208" s="1" t="s">
        <v>96</v>
      </c>
      <c r="BL208" s="1" t="s">
        <v>96</v>
      </c>
      <c r="BM208" s="1" t="s">
        <v>96</v>
      </c>
      <c r="BN208" s="1" t="s">
        <v>96</v>
      </c>
      <c r="BO208" s="1" t="s">
        <v>96</v>
      </c>
      <c r="BP208">
        <v>65.3</v>
      </c>
      <c r="BQ208">
        <v>15.55</v>
      </c>
      <c r="BR208" s="1" t="s">
        <v>96</v>
      </c>
      <c r="BS208">
        <v>907.15</v>
      </c>
      <c r="BT208">
        <v>52.27</v>
      </c>
      <c r="BU208" s="1">
        <v>16.84</v>
      </c>
      <c r="BV208">
        <v>119.29</v>
      </c>
      <c r="BW208">
        <v>133.22</v>
      </c>
      <c r="BX208" s="1" t="s">
        <v>96</v>
      </c>
    </row>
    <row r="209" spans="1:76">
      <c r="A209">
        <v>170</v>
      </c>
      <c r="B209" t="s">
        <v>605</v>
      </c>
      <c r="D209" t="b">
        <v>1</v>
      </c>
      <c r="E209" t="s">
        <v>606</v>
      </c>
      <c r="G209" t="s">
        <v>607</v>
      </c>
      <c r="H209" s="1" t="s">
        <v>96</v>
      </c>
      <c r="I209" s="1" t="s">
        <v>96</v>
      </c>
      <c r="J209">
        <v>9.51</v>
      </c>
      <c r="K209" s="1" t="s">
        <v>96</v>
      </c>
      <c r="L209" s="1" t="s">
        <v>96</v>
      </c>
      <c r="M209" s="1" t="s">
        <v>96</v>
      </c>
      <c r="N209" s="1" t="s">
        <v>96</v>
      </c>
      <c r="O209" s="1" t="s">
        <v>96</v>
      </c>
      <c r="P209" s="1" t="s">
        <v>96</v>
      </c>
      <c r="Q209" s="1" t="s">
        <v>96</v>
      </c>
      <c r="R209" s="1" t="s">
        <v>96</v>
      </c>
      <c r="S209" s="1" t="s">
        <v>96</v>
      </c>
      <c r="T209">
        <v>2.0299999999999998</v>
      </c>
      <c r="U209" s="1" t="s">
        <v>96</v>
      </c>
      <c r="V209">
        <v>7.53</v>
      </c>
      <c r="W209">
        <v>7.72</v>
      </c>
      <c r="X209">
        <v>240.13</v>
      </c>
      <c r="Y209" s="1" t="s">
        <v>96</v>
      </c>
      <c r="Z209">
        <v>19.34</v>
      </c>
      <c r="AA209">
        <v>306.32</v>
      </c>
      <c r="AB209">
        <v>124.96</v>
      </c>
      <c r="AC209" s="1" t="s">
        <v>96</v>
      </c>
      <c r="AD209" s="1" t="s">
        <v>96</v>
      </c>
      <c r="AE209" s="1" t="s">
        <v>96</v>
      </c>
      <c r="AF209" s="1" t="s">
        <v>96</v>
      </c>
      <c r="AG209" s="1" t="s">
        <v>96</v>
      </c>
      <c r="AH209" s="1" t="s">
        <v>96</v>
      </c>
      <c r="AI209" t="s">
        <v>96</v>
      </c>
      <c r="AJ209">
        <v>51.43</v>
      </c>
      <c r="AK209" s="1" t="s">
        <v>96</v>
      </c>
      <c r="AL209" s="1" t="s">
        <v>96</v>
      </c>
      <c r="AM209">
        <v>29.72</v>
      </c>
      <c r="AN209">
        <v>2.73</v>
      </c>
      <c r="AO209" s="1" t="s">
        <v>96</v>
      </c>
      <c r="AP209" s="1" t="s">
        <v>96</v>
      </c>
      <c r="AQ209">
        <v>7.52</v>
      </c>
      <c r="AR209" s="1" t="s">
        <v>96</v>
      </c>
      <c r="AS209">
        <v>859.73</v>
      </c>
      <c r="AT209">
        <v>312.89</v>
      </c>
      <c r="AU209">
        <v>95.07</v>
      </c>
      <c r="AV209" s="1" t="s">
        <v>96</v>
      </c>
      <c r="AW209">
        <v>242.93</v>
      </c>
      <c r="AX209" s="1" t="s">
        <v>96</v>
      </c>
      <c r="AY209" s="1">
        <v>5.13</v>
      </c>
      <c r="AZ209">
        <v>7.82</v>
      </c>
      <c r="BA209" s="1">
        <v>9.57</v>
      </c>
      <c r="BB209" s="1" t="s">
        <v>96</v>
      </c>
      <c r="BC209">
        <v>173.55</v>
      </c>
      <c r="BD209">
        <v>97.21</v>
      </c>
      <c r="BE209" s="1" t="s">
        <v>96</v>
      </c>
      <c r="BF209" s="1" t="s">
        <v>96</v>
      </c>
      <c r="BG209" t="s">
        <v>96</v>
      </c>
      <c r="BH209">
        <v>86.47</v>
      </c>
      <c r="BI209">
        <v>48.79</v>
      </c>
      <c r="BJ209" t="s">
        <v>96</v>
      </c>
      <c r="BK209" s="1" t="s">
        <v>96</v>
      </c>
      <c r="BL209" s="1" t="s">
        <v>96</v>
      </c>
      <c r="BM209" s="1" t="s">
        <v>96</v>
      </c>
      <c r="BN209" s="1" t="s">
        <v>96</v>
      </c>
      <c r="BO209" s="1">
        <v>6.11</v>
      </c>
      <c r="BP209">
        <v>64.290000000000006</v>
      </c>
      <c r="BQ209">
        <v>21.92</v>
      </c>
      <c r="BR209" s="1" t="s">
        <v>96</v>
      </c>
      <c r="BS209">
        <v>106</v>
      </c>
      <c r="BT209">
        <v>27.23</v>
      </c>
      <c r="BU209" s="1" t="s">
        <v>96</v>
      </c>
      <c r="BV209">
        <v>23.32</v>
      </c>
      <c r="BW209">
        <v>53.82</v>
      </c>
      <c r="BX209" s="1" t="s">
        <v>96</v>
      </c>
    </row>
    <row r="210" spans="1:76">
      <c r="A210">
        <v>239</v>
      </c>
      <c r="B210" t="s">
        <v>812</v>
      </c>
      <c r="D210" t="b">
        <v>1</v>
      </c>
      <c r="E210" t="s">
        <v>813</v>
      </c>
      <c r="G210" t="s">
        <v>814</v>
      </c>
      <c r="H210" s="1" t="s">
        <v>96</v>
      </c>
      <c r="I210" s="1" t="s">
        <v>96</v>
      </c>
      <c r="J210">
        <v>11.95</v>
      </c>
      <c r="K210" s="1" t="s">
        <v>96</v>
      </c>
      <c r="L210" s="1" t="s">
        <v>96</v>
      </c>
      <c r="M210" s="1">
        <v>10.41</v>
      </c>
      <c r="N210" s="1" t="s">
        <v>96</v>
      </c>
      <c r="O210" s="1" t="s">
        <v>96</v>
      </c>
      <c r="P210" s="1" t="s">
        <v>96</v>
      </c>
      <c r="Q210" s="1" t="s">
        <v>96</v>
      </c>
      <c r="R210" s="1" t="s">
        <v>96</v>
      </c>
      <c r="S210" s="1" t="s">
        <v>96</v>
      </c>
      <c r="T210">
        <v>1.29</v>
      </c>
      <c r="U210" s="1" t="s">
        <v>96</v>
      </c>
      <c r="V210">
        <v>9.5299999999999994</v>
      </c>
      <c r="W210">
        <v>38.53</v>
      </c>
      <c r="X210">
        <v>233.6</v>
      </c>
      <c r="Y210" s="1" t="s">
        <v>96</v>
      </c>
      <c r="Z210">
        <v>115.86</v>
      </c>
      <c r="AA210" t="s">
        <v>133</v>
      </c>
      <c r="AB210">
        <v>135.32</v>
      </c>
      <c r="AC210" s="1">
        <v>2.99</v>
      </c>
      <c r="AD210" s="1" t="s">
        <v>96</v>
      </c>
      <c r="AE210" s="1" t="s">
        <v>96</v>
      </c>
      <c r="AF210" s="1" t="s">
        <v>96</v>
      </c>
      <c r="AG210" s="1" t="s">
        <v>96</v>
      </c>
      <c r="AH210" s="1" t="s">
        <v>96</v>
      </c>
      <c r="AI210">
        <v>62.5</v>
      </c>
      <c r="AJ210">
        <v>57.89</v>
      </c>
      <c r="AK210" s="1" t="s">
        <v>96</v>
      </c>
      <c r="AL210" s="1" t="s">
        <v>96</v>
      </c>
      <c r="AM210">
        <v>23.05</v>
      </c>
      <c r="AN210">
        <v>4.24</v>
      </c>
      <c r="AO210" s="1" t="s">
        <v>96</v>
      </c>
      <c r="AP210" s="1" t="s">
        <v>96</v>
      </c>
      <c r="AQ210">
        <v>43.64</v>
      </c>
      <c r="AR210" s="1">
        <v>2.58</v>
      </c>
      <c r="AS210">
        <v>1590.55</v>
      </c>
      <c r="AT210">
        <v>1319.33</v>
      </c>
      <c r="AU210">
        <v>120.9</v>
      </c>
      <c r="AV210" s="1" t="s">
        <v>96</v>
      </c>
      <c r="AW210">
        <v>415.94</v>
      </c>
      <c r="AX210" s="1" t="s">
        <v>96</v>
      </c>
      <c r="AY210" s="1">
        <v>22.6</v>
      </c>
      <c r="AZ210">
        <v>15.11</v>
      </c>
      <c r="BA210" s="1">
        <v>18.420000000000002</v>
      </c>
      <c r="BB210" s="1" t="s">
        <v>96</v>
      </c>
      <c r="BC210">
        <v>387.72</v>
      </c>
      <c r="BD210">
        <v>436.27</v>
      </c>
      <c r="BE210" s="1" t="s">
        <v>96</v>
      </c>
      <c r="BF210" s="1">
        <v>5.0199999999999996</v>
      </c>
      <c r="BG210">
        <v>17.13</v>
      </c>
      <c r="BH210">
        <v>145.91999999999999</v>
      </c>
      <c r="BI210">
        <v>455.9</v>
      </c>
      <c r="BJ210">
        <v>8.66</v>
      </c>
      <c r="BK210" s="1" t="s">
        <v>96</v>
      </c>
      <c r="BL210" s="1" t="s">
        <v>96</v>
      </c>
      <c r="BM210" s="1" t="s">
        <v>96</v>
      </c>
      <c r="BN210" s="1" t="s">
        <v>96</v>
      </c>
      <c r="BO210" s="1">
        <v>39.82</v>
      </c>
      <c r="BP210">
        <v>63.57</v>
      </c>
      <c r="BQ210">
        <v>19.72</v>
      </c>
      <c r="BR210" s="1" t="s">
        <v>96</v>
      </c>
      <c r="BS210">
        <v>1125.74</v>
      </c>
      <c r="BT210">
        <v>175.95</v>
      </c>
      <c r="BU210" s="1" t="s">
        <v>96</v>
      </c>
      <c r="BV210">
        <v>33.58</v>
      </c>
      <c r="BW210">
        <v>261.58999999999997</v>
      </c>
      <c r="BX210" s="1" t="s">
        <v>96</v>
      </c>
    </row>
    <row r="211" spans="1:76">
      <c r="A211">
        <v>167</v>
      </c>
      <c r="B211" t="s">
        <v>596</v>
      </c>
      <c r="D211" t="b">
        <v>1</v>
      </c>
      <c r="E211" t="s">
        <v>597</v>
      </c>
      <c r="G211" t="s">
        <v>598</v>
      </c>
      <c r="H211" s="1" t="s">
        <v>96</v>
      </c>
      <c r="I211" s="1" t="s">
        <v>96</v>
      </c>
      <c r="J211">
        <v>13.68</v>
      </c>
      <c r="K211" s="1" t="s">
        <v>96</v>
      </c>
      <c r="L211" s="1" t="s">
        <v>96</v>
      </c>
      <c r="M211" s="1" t="s">
        <v>96</v>
      </c>
      <c r="N211" s="1" t="s">
        <v>96</v>
      </c>
      <c r="O211" s="1" t="s">
        <v>96</v>
      </c>
      <c r="P211" s="1" t="s">
        <v>96</v>
      </c>
      <c r="Q211" s="1" t="s">
        <v>96</v>
      </c>
      <c r="R211" s="1" t="s">
        <v>96</v>
      </c>
      <c r="S211" s="1" t="s">
        <v>96</v>
      </c>
      <c r="T211" t="s">
        <v>96</v>
      </c>
      <c r="U211" s="1" t="s">
        <v>96</v>
      </c>
      <c r="V211">
        <v>6.31</v>
      </c>
      <c r="W211">
        <v>11.8</v>
      </c>
      <c r="X211">
        <v>213.01</v>
      </c>
      <c r="Y211" s="1" t="s">
        <v>96</v>
      </c>
      <c r="Z211">
        <v>29.23</v>
      </c>
      <c r="AA211">
        <v>499.75</v>
      </c>
      <c r="AB211">
        <v>126.8</v>
      </c>
      <c r="AC211" s="1" t="s">
        <v>96</v>
      </c>
      <c r="AD211" s="1">
        <v>2.4900000000000002</v>
      </c>
      <c r="AE211" s="1" t="s">
        <v>96</v>
      </c>
      <c r="AF211" s="1" t="s">
        <v>96</v>
      </c>
      <c r="AG211" s="1" t="s">
        <v>96</v>
      </c>
      <c r="AH211" s="1">
        <v>1.52</v>
      </c>
      <c r="AI211">
        <v>53.1</v>
      </c>
      <c r="AJ211">
        <v>52.71</v>
      </c>
      <c r="AK211" s="1" t="s">
        <v>96</v>
      </c>
      <c r="AL211" s="1" t="s">
        <v>96</v>
      </c>
      <c r="AM211">
        <v>29.44</v>
      </c>
      <c r="AN211">
        <v>4.91</v>
      </c>
      <c r="AO211" s="1" t="s">
        <v>96</v>
      </c>
      <c r="AP211" s="1" t="s">
        <v>96</v>
      </c>
      <c r="AQ211">
        <v>26.35</v>
      </c>
      <c r="AR211" s="1" t="s">
        <v>96</v>
      </c>
      <c r="AS211" t="s">
        <v>133</v>
      </c>
      <c r="AT211">
        <v>1576.1</v>
      </c>
      <c r="AU211">
        <v>267.51</v>
      </c>
      <c r="AV211" s="1" t="s">
        <v>96</v>
      </c>
      <c r="AW211" t="s">
        <v>133</v>
      </c>
      <c r="AX211" s="1" t="s">
        <v>96</v>
      </c>
      <c r="AY211" s="1">
        <v>20.28</v>
      </c>
      <c r="AZ211">
        <v>9.91</v>
      </c>
      <c r="BA211" s="1">
        <v>61.34</v>
      </c>
      <c r="BB211" s="1" t="s">
        <v>96</v>
      </c>
      <c r="BC211">
        <v>1177.3499999999999</v>
      </c>
      <c r="BD211">
        <v>716.92</v>
      </c>
      <c r="BE211" s="1" t="s">
        <v>96</v>
      </c>
      <c r="BF211" s="1">
        <v>6.22</v>
      </c>
      <c r="BG211">
        <v>4.66</v>
      </c>
      <c r="BH211">
        <v>694.86</v>
      </c>
      <c r="BI211">
        <v>159.69</v>
      </c>
      <c r="BJ211">
        <v>3.24</v>
      </c>
      <c r="BK211" s="1" t="s">
        <v>96</v>
      </c>
      <c r="BL211" s="1" t="s">
        <v>96</v>
      </c>
      <c r="BM211" s="1" t="s">
        <v>96</v>
      </c>
      <c r="BN211" s="1" t="s">
        <v>96</v>
      </c>
      <c r="BO211" s="1">
        <v>12.21</v>
      </c>
      <c r="BP211">
        <v>47.23</v>
      </c>
      <c r="BQ211">
        <v>22.52</v>
      </c>
      <c r="BR211" s="1" t="s">
        <v>96</v>
      </c>
      <c r="BS211">
        <v>368.85</v>
      </c>
      <c r="BT211">
        <v>40.270000000000003</v>
      </c>
      <c r="BU211" s="1">
        <v>10.78</v>
      </c>
      <c r="BV211">
        <v>28.24</v>
      </c>
      <c r="BW211">
        <v>64.05</v>
      </c>
      <c r="BX211" s="1" t="s">
        <v>96</v>
      </c>
    </row>
    <row r="212" spans="1:76">
      <c r="A212">
        <v>171</v>
      </c>
      <c r="B212" t="s">
        <v>608</v>
      </c>
      <c r="D212" t="b">
        <v>1</v>
      </c>
      <c r="E212" t="s">
        <v>609</v>
      </c>
      <c r="G212" t="s">
        <v>610</v>
      </c>
      <c r="H212" s="1" t="s">
        <v>96</v>
      </c>
      <c r="I212" s="1" t="s">
        <v>96</v>
      </c>
      <c r="J212">
        <v>12.56</v>
      </c>
      <c r="K212" s="1" t="s">
        <v>96</v>
      </c>
      <c r="L212" s="1" t="s">
        <v>96</v>
      </c>
      <c r="M212" s="1" t="s">
        <v>96</v>
      </c>
      <c r="N212" s="1" t="s">
        <v>96</v>
      </c>
      <c r="O212" s="1" t="s">
        <v>96</v>
      </c>
      <c r="P212" s="1" t="s">
        <v>96</v>
      </c>
      <c r="Q212" s="1" t="s">
        <v>96</v>
      </c>
      <c r="R212" s="1" t="s">
        <v>96</v>
      </c>
      <c r="S212" s="1" t="s">
        <v>96</v>
      </c>
      <c r="T212">
        <v>1.34</v>
      </c>
      <c r="U212" s="1" t="s">
        <v>96</v>
      </c>
      <c r="V212">
        <v>8.9600000000000009</v>
      </c>
      <c r="W212">
        <v>13.19</v>
      </c>
      <c r="X212">
        <v>122.08</v>
      </c>
      <c r="Y212" s="1" t="s">
        <v>96</v>
      </c>
      <c r="Z212">
        <v>18.760000000000002</v>
      </c>
      <c r="AA212">
        <v>924.66</v>
      </c>
      <c r="AB212">
        <v>885.16</v>
      </c>
      <c r="AC212" s="1" t="s">
        <v>96</v>
      </c>
      <c r="AD212" s="1">
        <v>6.24</v>
      </c>
      <c r="AE212" s="1" t="s">
        <v>96</v>
      </c>
      <c r="AF212" s="1" t="s">
        <v>96</v>
      </c>
      <c r="AG212" s="1" t="s">
        <v>96</v>
      </c>
      <c r="AH212" s="1">
        <v>1.23</v>
      </c>
      <c r="AI212">
        <v>67.73</v>
      </c>
      <c r="AJ212">
        <v>78.91</v>
      </c>
      <c r="AK212" s="1" t="s">
        <v>96</v>
      </c>
      <c r="AL212" s="1" t="s">
        <v>96</v>
      </c>
      <c r="AM212">
        <v>637.77</v>
      </c>
      <c r="AN212">
        <v>14.2</v>
      </c>
      <c r="AO212" s="1" t="s">
        <v>96</v>
      </c>
      <c r="AP212" s="1" t="s">
        <v>96</v>
      </c>
      <c r="AQ212">
        <v>22.55</v>
      </c>
      <c r="AR212" s="1" t="s">
        <v>96</v>
      </c>
      <c r="AS212">
        <v>2036.46</v>
      </c>
      <c r="AT212">
        <v>1164.5</v>
      </c>
      <c r="AU212">
        <v>143.78</v>
      </c>
      <c r="AV212" s="1" t="s">
        <v>96</v>
      </c>
      <c r="AW212">
        <v>703.18</v>
      </c>
      <c r="AX212" s="1" t="s">
        <v>96</v>
      </c>
      <c r="AY212" s="1">
        <v>16.71</v>
      </c>
      <c r="AZ212">
        <v>8.1999999999999993</v>
      </c>
      <c r="BA212" s="1">
        <v>29.09</v>
      </c>
      <c r="BB212" s="1" t="s">
        <v>96</v>
      </c>
      <c r="BC212">
        <v>687.16</v>
      </c>
      <c r="BD212">
        <v>515.54999999999995</v>
      </c>
      <c r="BE212" s="1" t="s">
        <v>96</v>
      </c>
      <c r="BF212" s="1">
        <v>4.24</v>
      </c>
      <c r="BG212">
        <v>3.06</v>
      </c>
      <c r="BH212">
        <v>365.35</v>
      </c>
      <c r="BI212">
        <v>138.04</v>
      </c>
      <c r="BJ212">
        <v>4.09</v>
      </c>
      <c r="BK212" s="1" t="s">
        <v>96</v>
      </c>
      <c r="BL212" s="1" t="s">
        <v>96</v>
      </c>
      <c r="BM212" s="1">
        <v>5.13</v>
      </c>
      <c r="BN212" s="1" t="s">
        <v>96</v>
      </c>
      <c r="BO212" s="1">
        <v>10.32</v>
      </c>
      <c r="BP212">
        <v>75.77</v>
      </c>
      <c r="BQ212">
        <v>28.84</v>
      </c>
      <c r="BR212" s="1" t="s">
        <v>96</v>
      </c>
      <c r="BS212">
        <v>343.13</v>
      </c>
      <c r="BT212">
        <v>54.03</v>
      </c>
      <c r="BU212" s="1">
        <v>26.08</v>
      </c>
      <c r="BV212">
        <v>26.59</v>
      </c>
      <c r="BW212">
        <v>85.61</v>
      </c>
      <c r="BX212" s="1" t="s">
        <v>96</v>
      </c>
    </row>
    <row r="213" spans="1:76">
      <c r="A213">
        <v>85</v>
      </c>
      <c r="B213" t="s">
        <v>350</v>
      </c>
      <c r="D213" t="b">
        <v>1</v>
      </c>
      <c r="E213" t="s">
        <v>351</v>
      </c>
      <c r="G213" t="s">
        <v>352</v>
      </c>
      <c r="H213" s="1" t="s">
        <v>96</v>
      </c>
      <c r="I213" s="1" t="s">
        <v>96</v>
      </c>
      <c r="J213">
        <v>14.8</v>
      </c>
      <c r="K213" s="1" t="s">
        <v>96</v>
      </c>
      <c r="L213" s="1" t="s">
        <v>96</v>
      </c>
      <c r="M213" s="1" t="s">
        <v>96</v>
      </c>
      <c r="N213" s="1" t="s">
        <v>96</v>
      </c>
      <c r="O213" s="1" t="s">
        <v>96</v>
      </c>
      <c r="P213" s="1" t="s">
        <v>96</v>
      </c>
      <c r="Q213" s="1" t="s">
        <v>96</v>
      </c>
      <c r="R213" s="1" t="s">
        <v>96</v>
      </c>
      <c r="S213" s="1" t="s">
        <v>96</v>
      </c>
      <c r="T213">
        <v>1.19</v>
      </c>
      <c r="U213" s="1" t="s">
        <v>96</v>
      </c>
      <c r="V213">
        <v>12.59</v>
      </c>
      <c r="W213">
        <v>1.98</v>
      </c>
      <c r="X213">
        <v>296.86</v>
      </c>
      <c r="Y213" s="1" t="s">
        <v>96</v>
      </c>
      <c r="Z213">
        <v>8.1999999999999993</v>
      </c>
      <c r="AA213">
        <v>144.4</v>
      </c>
      <c r="AB213">
        <v>179.31</v>
      </c>
      <c r="AC213" s="1" t="s">
        <v>96</v>
      </c>
      <c r="AD213" s="1" t="s">
        <v>96</v>
      </c>
      <c r="AE213" s="1" t="s">
        <v>96</v>
      </c>
      <c r="AF213" s="1" t="s">
        <v>96</v>
      </c>
      <c r="AG213" s="1" t="s">
        <v>96</v>
      </c>
      <c r="AH213" s="1" t="s">
        <v>96</v>
      </c>
      <c r="AI213">
        <v>61.93</v>
      </c>
      <c r="AJ213">
        <v>106.05</v>
      </c>
      <c r="AK213" s="1" t="s">
        <v>96</v>
      </c>
      <c r="AL213" s="1" t="s">
        <v>96</v>
      </c>
      <c r="AM213">
        <v>79.849999999999994</v>
      </c>
      <c r="AN213">
        <v>9.52</v>
      </c>
      <c r="AO213" s="1" t="s">
        <v>96</v>
      </c>
      <c r="AP213" s="1" t="s">
        <v>96</v>
      </c>
      <c r="AQ213" t="s">
        <v>96</v>
      </c>
      <c r="AR213" s="1" t="s">
        <v>96</v>
      </c>
      <c r="AS213">
        <v>478.41</v>
      </c>
      <c r="AT213">
        <v>113.99</v>
      </c>
      <c r="AU213">
        <v>133.86000000000001</v>
      </c>
      <c r="AV213" s="1" t="s">
        <v>96</v>
      </c>
      <c r="AW213">
        <v>168.36</v>
      </c>
      <c r="AX213" s="1" t="s">
        <v>96</v>
      </c>
      <c r="AY213" s="1" t="s">
        <v>96</v>
      </c>
      <c r="AZ213">
        <v>10.65</v>
      </c>
      <c r="BA213" s="1">
        <v>4.47</v>
      </c>
      <c r="BB213" s="1" t="s">
        <v>96</v>
      </c>
      <c r="BC213">
        <v>53.36</v>
      </c>
      <c r="BD213">
        <v>15.29</v>
      </c>
      <c r="BE213" s="1" t="s">
        <v>96</v>
      </c>
      <c r="BF213" s="1" t="s">
        <v>96</v>
      </c>
      <c r="BG213" t="s">
        <v>96</v>
      </c>
      <c r="BH213">
        <v>21.6</v>
      </c>
      <c r="BI213">
        <v>25.03</v>
      </c>
      <c r="BJ213">
        <v>2.64</v>
      </c>
      <c r="BK213" s="1" t="s">
        <v>96</v>
      </c>
      <c r="BL213" s="1" t="s">
        <v>96</v>
      </c>
      <c r="BM213" s="1" t="s">
        <v>96</v>
      </c>
      <c r="BN213" s="1" t="s">
        <v>96</v>
      </c>
      <c r="BO213" s="1">
        <v>5.21</v>
      </c>
      <c r="BP213">
        <v>50.71</v>
      </c>
      <c r="BQ213">
        <v>15.19</v>
      </c>
      <c r="BR213" s="1" t="s">
        <v>96</v>
      </c>
      <c r="BS213">
        <v>100.03</v>
      </c>
      <c r="BT213">
        <v>12.64</v>
      </c>
      <c r="BU213" s="1" t="s">
        <v>96</v>
      </c>
      <c r="BV213">
        <v>34.11</v>
      </c>
      <c r="BW213">
        <v>33.130000000000003</v>
      </c>
      <c r="BX213" s="1" t="s">
        <v>96</v>
      </c>
    </row>
    <row r="214" spans="1:76">
      <c r="A214">
        <v>81</v>
      </c>
      <c r="B214" t="s">
        <v>338</v>
      </c>
      <c r="D214" t="b">
        <v>1</v>
      </c>
      <c r="E214" t="s">
        <v>339</v>
      </c>
      <c r="G214" t="s">
        <v>340</v>
      </c>
      <c r="H214" s="1" t="s">
        <v>96</v>
      </c>
      <c r="I214" s="1" t="s">
        <v>96</v>
      </c>
      <c r="J214">
        <v>16.98</v>
      </c>
      <c r="K214" s="1" t="s">
        <v>96</v>
      </c>
      <c r="L214" s="1" t="s">
        <v>96</v>
      </c>
      <c r="M214" s="1" t="s">
        <v>96</v>
      </c>
      <c r="N214" s="1" t="s">
        <v>96</v>
      </c>
      <c r="O214" s="1" t="s">
        <v>96</v>
      </c>
      <c r="P214" s="1" t="s">
        <v>96</v>
      </c>
      <c r="Q214" s="1" t="s">
        <v>96</v>
      </c>
      <c r="R214" s="1" t="s">
        <v>96</v>
      </c>
      <c r="S214" s="1" t="s">
        <v>96</v>
      </c>
      <c r="T214" t="s">
        <v>96</v>
      </c>
      <c r="U214" s="1" t="s">
        <v>96</v>
      </c>
      <c r="V214">
        <v>6.48</v>
      </c>
      <c r="W214">
        <v>1.55</v>
      </c>
      <c r="X214">
        <v>18.739999999999998</v>
      </c>
      <c r="Y214" s="1" t="s">
        <v>96</v>
      </c>
      <c r="Z214" t="s">
        <v>96</v>
      </c>
      <c r="AA214">
        <v>46.56</v>
      </c>
      <c r="AB214">
        <v>116.08</v>
      </c>
      <c r="AC214" s="1" t="s">
        <v>96</v>
      </c>
      <c r="AD214" s="1" t="s">
        <v>96</v>
      </c>
      <c r="AE214" s="1" t="s">
        <v>96</v>
      </c>
      <c r="AF214" s="1" t="s">
        <v>96</v>
      </c>
      <c r="AG214" s="1" t="s">
        <v>96</v>
      </c>
      <c r="AH214" s="1" t="s">
        <v>96</v>
      </c>
      <c r="AI214">
        <v>42.79</v>
      </c>
      <c r="AJ214">
        <v>13.62</v>
      </c>
      <c r="AK214" s="1" t="s">
        <v>96</v>
      </c>
      <c r="AL214" s="1" t="s">
        <v>96</v>
      </c>
      <c r="AM214">
        <v>42.54</v>
      </c>
      <c r="AN214">
        <v>7.3</v>
      </c>
      <c r="AO214" s="1" t="s">
        <v>96</v>
      </c>
      <c r="AP214" s="1" t="s">
        <v>96</v>
      </c>
      <c r="AQ214" t="s">
        <v>96</v>
      </c>
      <c r="AR214" s="1" t="s">
        <v>96</v>
      </c>
      <c r="AS214">
        <v>1214.82</v>
      </c>
      <c r="AT214">
        <v>249.13</v>
      </c>
      <c r="AU214">
        <v>148.38</v>
      </c>
      <c r="AV214" s="1" t="s">
        <v>96</v>
      </c>
      <c r="AW214">
        <v>567.84</v>
      </c>
      <c r="AX214" s="1" t="s">
        <v>96</v>
      </c>
      <c r="AY214" s="1" t="s">
        <v>96</v>
      </c>
      <c r="AZ214">
        <v>42.47</v>
      </c>
      <c r="BA214" s="1">
        <v>9.65</v>
      </c>
      <c r="BB214" s="1" t="s">
        <v>96</v>
      </c>
      <c r="BC214">
        <v>165.82</v>
      </c>
      <c r="BD214">
        <v>39.5</v>
      </c>
      <c r="BE214" s="1" t="s">
        <v>96</v>
      </c>
      <c r="BF214" s="1">
        <v>6.02</v>
      </c>
      <c r="BG214">
        <v>4.1500000000000004</v>
      </c>
      <c r="BH214">
        <v>61.21</v>
      </c>
      <c r="BI214">
        <v>26.88</v>
      </c>
      <c r="BJ214">
        <v>3.3</v>
      </c>
      <c r="BK214" s="1" t="s">
        <v>96</v>
      </c>
      <c r="BL214" s="1" t="s">
        <v>96</v>
      </c>
      <c r="BM214" s="1" t="s">
        <v>96</v>
      </c>
      <c r="BN214" s="1" t="s">
        <v>96</v>
      </c>
      <c r="BO214" s="1" t="s">
        <v>96</v>
      </c>
      <c r="BP214">
        <v>157.77000000000001</v>
      </c>
      <c r="BQ214">
        <v>47.64</v>
      </c>
      <c r="BR214" s="1" t="s">
        <v>96</v>
      </c>
      <c r="BS214">
        <v>194.85</v>
      </c>
      <c r="BT214">
        <v>19.23</v>
      </c>
      <c r="BU214" s="1" t="s">
        <v>96</v>
      </c>
      <c r="BV214">
        <v>27.32</v>
      </c>
      <c r="BW214">
        <v>77.77</v>
      </c>
      <c r="BX214" s="1" t="s">
        <v>96</v>
      </c>
    </row>
    <row r="215" spans="1:76">
      <c r="A215">
        <v>82</v>
      </c>
      <c r="B215" t="s">
        <v>341</v>
      </c>
      <c r="D215" t="b">
        <v>1</v>
      </c>
      <c r="E215" t="s">
        <v>342</v>
      </c>
      <c r="G215" t="s">
        <v>343</v>
      </c>
      <c r="H215" s="1" t="s">
        <v>96</v>
      </c>
      <c r="I215" s="1" t="s">
        <v>96</v>
      </c>
      <c r="J215">
        <v>15.82</v>
      </c>
      <c r="K215" s="1" t="s">
        <v>96</v>
      </c>
      <c r="L215" s="1" t="s">
        <v>96</v>
      </c>
      <c r="M215" s="1" t="s">
        <v>96</v>
      </c>
      <c r="N215" s="1" t="s">
        <v>96</v>
      </c>
      <c r="O215" s="1" t="s">
        <v>96</v>
      </c>
      <c r="P215" s="1" t="s">
        <v>96</v>
      </c>
      <c r="Q215" s="1" t="s">
        <v>96</v>
      </c>
      <c r="R215" s="1" t="s">
        <v>96</v>
      </c>
      <c r="S215" s="1" t="s">
        <v>96</v>
      </c>
      <c r="T215" t="s">
        <v>96</v>
      </c>
      <c r="U215" s="1" t="s">
        <v>96</v>
      </c>
      <c r="V215">
        <v>1.52</v>
      </c>
      <c r="W215" t="s">
        <v>96</v>
      </c>
      <c r="X215">
        <v>13.9</v>
      </c>
      <c r="Y215" s="1" t="s">
        <v>96</v>
      </c>
      <c r="Z215" t="s">
        <v>96</v>
      </c>
      <c r="AA215">
        <v>17.11</v>
      </c>
      <c r="AB215">
        <v>61.69</v>
      </c>
      <c r="AC215" s="1" t="s">
        <v>96</v>
      </c>
      <c r="AD215" s="1">
        <v>1.27</v>
      </c>
      <c r="AE215" s="1" t="s">
        <v>96</v>
      </c>
      <c r="AF215" s="1" t="s">
        <v>96</v>
      </c>
      <c r="AG215" s="1" t="s">
        <v>96</v>
      </c>
      <c r="AH215" s="1" t="s">
        <v>96</v>
      </c>
      <c r="AI215" t="s">
        <v>96</v>
      </c>
      <c r="AJ215">
        <v>5.47</v>
      </c>
      <c r="AK215" s="1" t="s">
        <v>96</v>
      </c>
      <c r="AL215" s="1" t="s">
        <v>96</v>
      </c>
      <c r="AM215">
        <v>31.73</v>
      </c>
      <c r="AN215">
        <v>3.77</v>
      </c>
      <c r="AO215" s="1" t="s">
        <v>96</v>
      </c>
      <c r="AP215" s="1" t="s">
        <v>96</v>
      </c>
      <c r="AQ215" t="s">
        <v>96</v>
      </c>
      <c r="AR215" s="1" t="s">
        <v>96</v>
      </c>
      <c r="AS215" t="s">
        <v>133</v>
      </c>
      <c r="AT215">
        <v>353.45</v>
      </c>
      <c r="AU215">
        <v>117.73</v>
      </c>
      <c r="AV215" s="1" t="s">
        <v>96</v>
      </c>
      <c r="AW215">
        <v>974.17</v>
      </c>
      <c r="AX215" s="1" t="s">
        <v>96</v>
      </c>
      <c r="AY215" s="1">
        <v>2.76</v>
      </c>
      <c r="AZ215">
        <v>24.75</v>
      </c>
      <c r="BA215" s="1">
        <v>15.46</v>
      </c>
      <c r="BB215" s="1" t="s">
        <v>96</v>
      </c>
      <c r="BC215">
        <v>682.45</v>
      </c>
      <c r="BD215">
        <v>107.94</v>
      </c>
      <c r="BE215" s="1" t="s">
        <v>96</v>
      </c>
      <c r="BF215" s="1">
        <v>9.77</v>
      </c>
      <c r="BG215">
        <v>2.69</v>
      </c>
      <c r="BH215">
        <v>239.18</v>
      </c>
      <c r="BI215">
        <v>39.520000000000003</v>
      </c>
      <c r="BJ215" t="s">
        <v>96</v>
      </c>
      <c r="BK215" s="1" t="s">
        <v>96</v>
      </c>
      <c r="BL215" s="1" t="s">
        <v>96</v>
      </c>
      <c r="BM215" s="1" t="s">
        <v>96</v>
      </c>
      <c r="BN215" s="1" t="s">
        <v>96</v>
      </c>
      <c r="BO215" s="1" t="s">
        <v>96</v>
      </c>
      <c r="BP215">
        <v>115.46</v>
      </c>
      <c r="BQ215">
        <v>28.19</v>
      </c>
      <c r="BR215" s="1" t="s">
        <v>96</v>
      </c>
      <c r="BS215">
        <v>82.78</v>
      </c>
      <c r="BT215">
        <v>13.17</v>
      </c>
      <c r="BU215" s="1" t="s">
        <v>96</v>
      </c>
      <c r="BV215">
        <v>11.23</v>
      </c>
      <c r="BW215">
        <v>28.52</v>
      </c>
      <c r="BX215" s="1" t="s">
        <v>96</v>
      </c>
    </row>
    <row r="216" spans="1:76">
      <c r="A216">
        <v>86</v>
      </c>
      <c r="B216" t="s">
        <v>353</v>
      </c>
      <c r="D216" t="b">
        <v>1</v>
      </c>
      <c r="E216" t="s">
        <v>354</v>
      </c>
      <c r="G216" t="s">
        <v>355</v>
      </c>
      <c r="H216" s="1" t="s">
        <v>96</v>
      </c>
      <c r="I216" s="1" t="s">
        <v>96</v>
      </c>
      <c r="J216">
        <v>9.25</v>
      </c>
      <c r="K216" s="1" t="s">
        <v>96</v>
      </c>
      <c r="L216" s="1" t="s">
        <v>96</v>
      </c>
      <c r="M216" s="1" t="s">
        <v>96</v>
      </c>
      <c r="N216" s="1" t="s">
        <v>96</v>
      </c>
      <c r="O216" s="1" t="s">
        <v>96</v>
      </c>
      <c r="P216" s="1" t="s">
        <v>96</v>
      </c>
      <c r="Q216" s="1" t="s">
        <v>96</v>
      </c>
      <c r="R216" s="1" t="s">
        <v>96</v>
      </c>
      <c r="S216" s="1" t="s">
        <v>96</v>
      </c>
      <c r="T216" t="s">
        <v>96</v>
      </c>
      <c r="U216" s="1" t="s">
        <v>96</v>
      </c>
      <c r="V216">
        <v>10.74</v>
      </c>
      <c r="W216" t="s">
        <v>96</v>
      </c>
      <c r="X216">
        <v>22.29</v>
      </c>
      <c r="Y216" s="1" t="s">
        <v>96</v>
      </c>
      <c r="Z216" t="s">
        <v>96</v>
      </c>
      <c r="AA216">
        <v>87.58</v>
      </c>
      <c r="AB216">
        <v>452.65</v>
      </c>
      <c r="AC216" s="1" t="s">
        <v>96</v>
      </c>
      <c r="AD216" s="1" t="s">
        <v>96</v>
      </c>
      <c r="AE216" s="1" t="s">
        <v>96</v>
      </c>
      <c r="AF216" s="1" t="s">
        <v>96</v>
      </c>
      <c r="AG216" s="1" t="s">
        <v>96</v>
      </c>
      <c r="AH216" s="1" t="s">
        <v>96</v>
      </c>
      <c r="AI216">
        <v>64.23</v>
      </c>
      <c r="AJ216">
        <v>13.67</v>
      </c>
      <c r="AK216" s="1" t="s">
        <v>96</v>
      </c>
      <c r="AL216" s="1" t="s">
        <v>96</v>
      </c>
      <c r="AM216">
        <v>270.92</v>
      </c>
      <c r="AN216">
        <v>11.93</v>
      </c>
      <c r="AO216" s="1" t="s">
        <v>96</v>
      </c>
      <c r="AP216" s="1" t="s">
        <v>96</v>
      </c>
      <c r="AQ216" t="s">
        <v>96</v>
      </c>
      <c r="AR216" s="1" t="s">
        <v>96</v>
      </c>
      <c r="AS216">
        <v>964.24</v>
      </c>
      <c r="AT216">
        <v>118.98</v>
      </c>
      <c r="AU216">
        <v>41.18</v>
      </c>
      <c r="AV216" s="1" t="s">
        <v>96</v>
      </c>
      <c r="AW216">
        <v>290.02</v>
      </c>
      <c r="AX216" s="1" t="s">
        <v>96</v>
      </c>
      <c r="AY216" s="1" t="s">
        <v>96</v>
      </c>
      <c r="AZ216">
        <v>19.39</v>
      </c>
      <c r="BA216" s="1" t="s">
        <v>96</v>
      </c>
      <c r="BB216" s="1" t="s">
        <v>96</v>
      </c>
      <c r="BC216">
        <v>145.81</v>
      </c>
      <c r="BD216">
        <v>20.18</v>
      </c>
      <c r="BE216" s="1" t="s">
        <v>96</v>
      </c>
      <c r="BF216" s="1">
        <v>3.28</v>
      </c>
      <c r="BG216" t="s">
        <v>96</v>
      </c>
      <c r="BH216">
        <v>58.6</v>
      </c>
      <c r="BI216">
        <v>28.25</v>
      </c>
      <c r="BJ216" t="s">
        <v>96</v>
      </c>
      <c r="BK216" s="1" t="s">
        <v>96</v>
      </c>
      <c r="BL216" s="1" t="s">
        <v>96</v>
      </c>
      <c r="BM216" s="1" t="s">
        <v>96</v>
      </c>
      <c r="BN216" s="1" t="s">
        <v>96</v>
      </c>
      <c r="BO216" s="1" t="s">
        <v>96</v>
      </c>
      <c r="BP216">
        <v>135.55000000000001</v>
      </c>
      <c r="BQ216">
        <v>29.73</v>
      </c>
      <c r="BR216" s="1" t="s">
        <v>96</v>
      </c>
      <c r="BS216">
        <v>122.62</v>
      </c>
      <c r="BT216">
        <v>13.15</v>
      </c>
      <c r="BU216" s="1" t="s">
        <v>96</v>
      </c>
      <c r="BV216">
        <v>9.36</v>
      </c>
      <c r="BW216">
        <v>47.85</v>
      </c>
      <c r="BX216" s="1" t="s">
        <v>96</v>
      </c>
    </row>
    <row r="217" spans="1:76">
      <c r="A217">
        <v>153</v>
      </c>
      <c r="B217" t="s">
        <v>554</v>
      </c>
      <c r="D217" t="b">
        <v>1</v>
      </c>
      <c r="E217" t="s">
        <v>555</v>
      </c>
      <c r="G217" t="s">
        <v>556</v>
      </c>
      <c r="H217" s="1" t="s">
        <v>96</v>
      </c>
      <c r="I217" s="1" t="s">
        <v>96</v>
      </c>
      <c r="J217">
        <v>20.64</v>
      </c>
      <c r="K217" s="1" t="s">
        <v>96</v>
      </c>
      <c r="L217" s="1" t="s">
        <v>96</v>
      </c>
      <c r="M217" s="1" t="s">
        <v>96</v>
      </c>
      <c r="N217" s="1" t="s">
        <v>96</v>
      </c>
      <c r="O217" s="1" t="s">
        <v>96</v>
      </c>
      <c r="P217" s="1" t="s">
        <v>96</v>
      </c>
      <c r="Q217" s="1" t="s">
        <v>96</v>
      </c>
      <c r="R217" s="1" t="s">
        <v>96</v>
      </c>
      <c r="S217" s="1" t="s">
        <v>96</v>
      </c>
      <c r="T217">
        <v>1.1100000000000001</v>
      </c>
      <c r="U217" s="1" t="s">
        <v>96</v>
      </c>
      <c r="V217">
        <v>9.33</v>
      </c>
      <c r="W217">
        <v>4.18</v>
      </c>
      <c r="X217">
        <v>390.94</v>
      </c>
      <c r="Y217" s="1" t="s">
        <v>96</v>
      </c>
      <c r="Z217">
        <v>20.96</v>
      </c>
      <c r="AA217">
        <v>376.36</v>
      </c>
      <c r="AB217">
        <v>605.01</v>
      </c>
      <c r="AC217" s="1" t="s">
        <v>96</v>
      </c>
      <c r="AD217" s="1" t="s">
        <v>96</v>
      </c>
      <c r="AE217" s="1" t="s">
        <v>96</v>
      </c>
      <c r="AF217" s="1" t="s">
        <v>96</v>
      </c>
      <c r="AG217" s="1" t="s">
        <v>96</v>
      </c>
      <c r="AH217" s="1">
        <v>1.26</v>
      </c>
      <c r="AI217">
        <v>97.36</v>
      </c>
      <c r="AJ217">
        <v>94.67</v>
      </c>
      <c r="AK217" s="1">
        <v>1.9</v>
      </c>
      <c r="AL217" s="1" t="s">
        <v>96</v>
      </c>
      <c r="AM217">
        <v>442.22</v>
      </c>
      <c r="AN217">
        <v>9.32</v>
      </c>
      <c r="AO217" s="1" t="s">
        <v>96</v>
      </c>
      <c r="AP217" s="1" t="s">
        <v>96</v>
      </c>
      <c r="AQ217">
        <v>9.57</v>
      </c>
      <c r="AR217" s="1" t="s">
        <v>96</v>
      </c>
      <c r="AS217">
        <v>1229.3599999999999</v>
      </c>
      <c r="AT217">
        <v>275.54000000000002</v>
      </c>
      <c r="AU217">
        <v>97.51</v>
      </c>
      <c r="AV217" s="1" t="s">
        <v>96</v>
      </c>
      <c r="AW217">
        <v>307.5</v>
      </c>
      <c r="AX217" s="1" t="s">
        <v>96</v>
      </c>
      <c r="AY217" s="1">
        <v>2.88</v>
      </c>
      <c r="AZ217">
        <v>7.06</v>
      </c>
      <c r="BA217" s="1">
        <v>10.62</v>
      </c>
      <c r="BB217" s="1" t="s">
        <v>96</v>
      </c>
      <c r="BC217">
        <v>250.66</v>
      </c>
      <c r="BD217">
        <v>60.11</v>
      </c>
      <c r="BE217" s="1" t="s">
        <v>96</v>
      </c>
      <c r="BF217" s="1" t="s">
        <v>96</v>
      </c>
      <c r="BG217">
        <v>3.76</v>
      </c>
      <c r="BH217">
        <v>84.26</v>
      </c>
      <c r="BI217">
        <v>34.89</v>
      </c>
      <c r="BJ217" t="s">
        <v>96</v>
      </c>
      <c r="BK217" s="1" t="s">
        <v>96</v>
      </c>
      <c r="BL217" s="1" t="s">
        <v>96</v>
      </c>
      <c r="BM217" s="1" t="s">
        <v>96</v>
      </c>
      <c r="BN217" s="1" t="s">
        <v>96</v>
      </c>
      <c r="BO217" s="1" t="s">
        <v>96</v>
      </c>
      <c r="BP217">
        <v>67.989999999999995</v>
      </c>
      <c r="BQ217">
        <v>12.73</v>
      </c>
      <c r="BR217" s="1" t="s">
        <v>96</v>
      </c>
      <c r="BS217">
        <v>167.13</v>
      </c>
      <c r="BT217">
        <v>36.590000000000003</v>
      </c>
      <c r="BU217" s="1" t="s">
        <v>96</v>
      </c>
      <c r="BV217">
        <v>26.04</v>
      </c>
      <c r="BW217">
        <v>95.35</v>
      </c>
      <c r="BX217" s="1" t="s">
        <v>96</v>
      </c>
    </row>
    <row r="218" spans="1:76">
      <c r="A218">
        <v>172</v>
      </c>
      <c r="B218" t="s">
        <v>611</v>
      </c>
      <c r="D218" t="b">
        <v>1</v>
      </c>
      <c r="E218" t="s">
        <v>612</v>
      </c>
      <c r="G218" t="s">
        <v>613</v>
      </c>
      <c r="H218" s="1" t="s">
        <v>96</v>
      </c>
      <c r="I218" s="1" t="s">
        <v>96</v>
      </c>
      <c r="J218">
        <v>14.32</v>
      </c>
      <c r="K218" s="1" t="s">
        <v>96</v>
      </c>
      <c r="L218" s="1" t="s">
        <v>96</v>
      </c>
      <c r="M218" s="1" t="s">
        <v>96</v>
      </c>
      <c r="N218" s="1" t="s">
        <v>96</v>
      </c>
      <c r="O218" s="1" t="s">
        <v>96</v>
      </c>
      <c r="P218" s="1" t="s">
        <v>96</v>
      </c>
      <c r="Q218" s="1" t="s">
        <v>96</v>
      </c>
      <c r="R218" s="1" t="s">
        <v>96</v>
      </c>
      <c r="S218" s="1" t="s">
        <v>96</v>
      </c>
      <c r="T218" t="s">
        <v>96</v>
      </c>
      <c r="U218" s="1" t="s">
        <v>96</v>
      </c>
      <c r="V218">
        <v>1.78</v>
      </c>
      <c r="W218">
        <v>4.5599999999999996</v>
      </c>
      <c r="X218">
        <v>202.05</v>
      </c>
      <c r="Y218" s="1" t="s">
        <v>96</v>
      </c>
      <c r="Z218">
        <v>12.09</v>
      </c>
      <c r="AA218">
        <v>235.16</v>
      </c>
      <c r="AB218">
        <v>191.55</v>
      </c>
      <c r="AC218" s="1" t="s">
        <v>96</v>
      </c>
      <c r="AD218" s="1">
        <v>1.4</v>
      </c>
      <c r="AE218" s="1" t="s">
        <v>96</v>
      </c>
      <c r="AF218" s="1" t="s">
        <v>96</v>
      </c>
      <c r="AG218" s="1" t="s">
        <v>96</v>
      </c>
      <c r="AH218" s="1" t="s">
        <v>96</v>
      </c>
      <c r="AI218" t="s">
        <v>96</v>
      </c>
      <c r="AJ218">
        <v>29.68</v>
      </c>
      <c r="AK218" s="1" t="s">
        <v>96</v>
      </c>
      <c r="AL218" s="1" t="s">
        <v>96</v>
      </c>
      <c r="AM218">
        <v>185.12</v>
      </c>
      <c r="AN218">
        <v>5.28</v>
      </c>
      <c r="AO218" s="1" t="s">
        <v>96</v>
      </c>
      <c r="AP218" s="1" t="s">
        <v>96</v>
      </c>
      <c r="AQ218" t="s">
        <v>96</v>
      </c>
      <c r="AR218" s="1" t="s">
        <v>96</v>
      </c>
      <c r="AS218">
        <v>1002.68</v>
      </c>
      <c r="AT218">
        <v>571.64</v>
      </c>
      <c r="AU218">
        <v>115.66</v>
      </c>
      <c r="AV218" s="1" t="s">
        <v>96</v>
      </c>
      <c r="AW218">
        <v>342.88</v>
      </c>
      <c r="AX218" s="1" t="s">
        <v>96</v>
      </c>
      <c r="AY218" s="1">
        <v>6.15</v>
      </c>
      <c r="AZ218">
        <v>9.94</v>
      </c>
      <c r="BA218" s="1">
        <v>17.93</v>
      </c>
      <c r="BB218" s="1" t="s">
        <v>96</v>
      </c>
      <c r="BC218">
        <v>318.06</v>
      </c>
      <c r="BD218">
        <v>188.03</v>
      </c>
      <c r="BE218" s="1" t="s">
        <v>96</v>
      </c>
      <c r="BF218" s="1" t="s">
        <v>96</v>
      </c>
      <c r="BG218">
        <v>2.52</v>
      </c>
      <c r="BH218">
        <v>150.30000000000001</v>
      </c>
      <c r="BI218">
        <v>275.02</v>
      </c>
      <c r="BJ218" t="s">
        <v>96</v>
      </c>
      <c r="BK218" s="1" t="s">
        <v>96</v>
      </c>
      <c r="BL218" s="1" t="s">
        <v>96</v>
      </c>
      <c r="BM218" s="1" t="s">
        <v>96</v>
      </c>
      <c r="BN218" s="1" t="s">
        <v>96</v>
      </c>
      <c r="BO218" s="1">
        <v>8.09</v>
      </c>
      <c r="BP218">
        <v>121.42</v>
      </c>
      <c r="BQ218">
        <v>33.229999999999997</v>
      </c>
      <c r="BR218" s="1" t="s">
        <v>96</v>
      </c>
      <c r="BS218">
        <v>424.35</v>
      </c>
      <c r="BT218">
        <v>42.01</v>
      </c>
      <c r="BU218" s="1" t="s">
        <v>96</v>
      </c>
      <c r="BV218">
        <v>33.909999999999997</v>
      </c>
      <c r="BW218">
        <v>126.88</v>
      </c>
      <c r="BX218" s="1" t="s">
        <v>96</v>
      </c>
    </row>
    <row r="219" spans="1:76">
      <c r="A219">
        <v>83</v>
      </c>
      <c r="B219" t="s">
        <v>344</v>
      </c>
      <c r="D219" t="b">
        <v>1</v>
      </c>
      <c r="E219" t="s">
        <v>345</v>
      </c>
      <c r="G219" t="s">
        <v>346</v>
      </c>
      <c r="H219" s="1" t="s">
        <v>96</v>
      </c>
      <c r="I219" s="1" t="s">
        <v>96</v>
      </c>
      <c r="J219">
        <v>13.58</v>
      </c>
      <c r="K219" s="1" t="s">
        <v>96</v>
      </c>
      <c r="L219" s="1" t="s">
        <v>96</v>
      </c>
      <c r="M219" s="1" t="s">
        <v>96</v>
      </c>
      <c r="N219" s="1" t="s">
        <v>96</v>
      </c>
      <c r="O219" s="1" t="s">
        <v>96</v>
      </c>
      <c r="P219" s="1" t="s">
        <v>96</v>
      </c>
      <c r="Q219" s="1" t="s">
        <v>96</v>
      </c>
      <c r="R219" s="1" t="s">
        <v>96</v>
      </c>
      <c r="S219" s="1" t="s">
        <v>96</v>
      </c>
      <c r="T219" t="s">
        <v>96</v>
      </c>
      <c r="U219" s="1" t="s">
        <v>96</v>
      </c>
      <c r="V219">
        <v>1.18</v>
      </c>
      <c r="W219" t="s">
        <v>96</v>
      </c>
      <c r="X219">
        <v>24.85</v>
      </c>
      <c r="Y219" s="1" t="s">
        <v>96</v>
      </c>
      <c r="Z219" t="s">
        <v>96</v>
      </c>
      <c r="AA219">
        <v>24.72</v>
      </c>
      <c r="AB219">
        <v>113.99</v>
      </c>
      <c r="AC219" s="1" t="s">
        <v>96</v>
      </c>
      <c r="AD219" s="1" t="s">
        <v>96</v>
      </c>
      <c r="AE219" s="1" t="s">
        <v>96</v>
      </c>
      <c r="AF219" s="1" t="s">
        <v>96</v>
      </c>
      <c r="AG219" s="1" t="s">
        <v>96</v>
      </c>
      <c r="AH219" s="1" t="s">
        <v>96</v>
      </c>
      <c r="AI219" t="s">
        <v>96</v>
      </c>
      <c r="AJ219">
        <v>10.27</v>
      </c>
      <c r="AK219" s="1" t="s">
        <v>96</v>
      </c>
      <c r="AL219" s="1" t="s">
        <v>96</v>
      </c>
      <c r="AM219">
        <v>87.25</v>
      </c>
      <c r="AN219">
        <v>2.86</v>
      </c>
      <c r="AO219" s="1" t="s">
        <v>96</v>
      </c>
      <c r="AP219" s="1" t="s">
        <v>96</v>
      </c>
      <c r="AQ219" t="s">
        <v>96</v>
      </c>
      <c r="AR219" s="1" t="s">
        <v>96</v>
      </c>
      <c r="AS219">
        <v>628.82000000000005</v>
      </c>
      <c r="AT219">
        <v>52.98</v>
      </c>
      <c r="AU219">
        <v>107.9</v>
      </c>
      <c r="AV219" s="1" t="s">
        <v>96</v>
      </c>
      <c r="AW219">
        <v>228.21</v>
      </c>
      <c r="AX219" s="1" t="s">
        <v>96</v>
      </c>
      <c r="AY219" s="1" t="s">
        <v>96</v>
      </c>
      <c r="AZ219">
        <v>16.600000000000001</v>
      </c>
      <c r="BA219" s="1">
        <v>7.4</v>
      </c>
      <c r="BB219" s="1" t="s">
        <v>96</v>
      </c>
      <c r="BC219">
        <v>98.27</v>
      </c>
      <c r="BD219">
        <v>9.73</v>
      </c>
      <c r="BE219" s="1" t="s">
        <v>96</v>
      </c>
      <c r="BF219" s="1">
        <v>2.79</v>
      </c>
      <c r="BG219" t="s">
        <v>96</v>
      </c>
      <c r="BH219">
        <v>25.74</v>
      </c>
      <c r="BI219">
        <v>31.46</v>
      </c>
      <c r="BJ219" t="s">
        <v>96</v>
      </c>
      <c r="BK219" s="1" t="s">
        <v>96</v>
      </c>
      <c r="BL219" s="1" t="s">
        <v>96</v>
      </c>
      <c r="BM219" s="1" t="s">
        <v>96</v>
      </c>
      <c r="BN219" s="1" t="s">
        <v>96</v>
      </c>
      <c r="BO219" s="1" t="s">
        <v>96</v>
      </c>
      <c r="BP219">
        <v>208.8</v>
      </c>
      <c r="BQ219">
        <v>40.08</v>
      </c>
      <c r="BR219" s="1" t="s">
        <v>96</v>
      </c>
      <c r="BS219">
        <v>180.19</v>
      </c>
      <c r="BT219">
        <v>16.239999999999998</v>
      </c>
      <c r="BU219" s="1" t="s">
        <v>96</v>
      </c>
      <c r="BV219">
        <v>37.57</v>
      </c>
      <c r="BW219">
        <v>66.42</v>
      </c>
      <c r="BX219" s="1" t="s">
        <v>96</v>
      </c>
    </row>
    <row r="220" spans="1:76">
      <c r="A220">
        <v>35</v>
      </c>
      <c r="B220" t="s">
        <v>200</v>
      </c>
      <c r="D220" t="b">
        <v>1</v>
      </c>
      <c r="E220" t="s">
        <v>201</v>
      </c>
      <c r="G220" t="s">
        <v>202</v>
      </c>
      <c r="H220" s="1" t="s">
        <v>96</v>
      </c>
      <c r="I220" s="1" t="s">
        <v>96</v>
      </c>
      <c r="J220">
        <v>9.51</v>
      </c>
      <c r="K220" s="1" t="s">
        <v>96</v>
      </c>
      <c r="L220" s="1" t="s">
        <v>96</v>
      </c>
      <c r="M220" s="1">
        <v>9.5299999999999994</v>
      </c>
      <c r="N220" s="1" t="s">
        <v>96</v>
      </c>
      <c r="O220" s="1" t="s">
        <v>96</v>
      </c>
      <c r="P220" s="1" t="s">
        <v>96</v>
      </c>
      <c r="Q220" s="1" t="s">
        <v>96</v>
      </c>
      <c r="R220" s="1" t="s">
        <v>96</v>
      </c>
      <c r="S220" s="1" t="s">
        <v>96</v>
      </c>
      <c r="T220" t="s">
        <v>96</v>
      </c>
      <c r="U220" s="1" t="s">
        <v>96</v>
      </c>
      <c r="V220">
        <v>1.75</v>
      </c>
      <c r="W220">
        <v>50.67</v>
      </c>
      <c r="X220">
        <v>23.88</v>
      </c>
      <c r="Y220" s="1" t="s">
        <v>96</v>
      </c>
      <c r="Z220">
        <v>49.54</v>
      </c>
      <c r="AA220">
        <v>775.79</v>
      </c>
      <c r="AB220">
        <v>34.020000000000003</v>
      </c>
      <c r="AC220" s="1" t="s">
        <v>96</v>
      </c>
      <c r="AD220" s="1" t="s">
        <v>96</v>
      </c>
      <c r="AE220" s="1" t="s">
        <v>96</v>
      </c>
      <c r="AF220" s="1" t="s">
        <v>96</v>
      </c>
      <c r="AG220" s="1" t="s">
        <v>96</v>
      </c>
      <c r="AH220" s="1" t="s">
        <v>96</v>
      </c>
      <c r="AI220">
        <v>417.06</v>
      </c>
      <c r="AJ220">
        <v>34.770000000000003</v>
      </c>
      <c r="AK220" s="1" t="s">
        <v>96</v>
      </c>
      <c r="AL220" s="1">
        <v>2.02</v>
      </c>
      <c r="AM220">
        <v>11.9</v>
      </c>
      <c r="AN220" t="s">
        <v>96</v>
      </c>
      <c r="AO220" s="1" t="s">
        <v>96</v>
      </c>
      <c r="AP220" s="1" t="s">
        <v>96</v>
      </c>
      <c r="AQ220">
        <v>14.56</v>
      </c>
      <c r="AR220" s="1" t="s">
        <v>96</v>
      </c>
      <c r="AS220">
        <v>700.74</v>
      </c>
      <c r="AT220">
        <v>754.88</v>
      </c>
      <c r="AU220">
        <v>18.38</v>
      </c>
      <c r="AV220" s="1" t="s">
        <v>96</v>
      </c>
      <c r="AW220">
        <v>160.76</v>
      </c>
      <c r="AX220" s="1" t="s">
        <v>96</v>
      </c>
      <c r="AY220" s="1">
        <v>5.05</v>
      </c>
      <c r="AZ220" t="s">
        <v>96</v>
      </c>
      <c r="BA220" s="1" t="s">
        <v>96</v>
      </c>
      <c r="BB220" s="1" t="s">
        <v>96</v>
      </c>
      <c r="BC220">
        <v>66.16</v>
      </c>
      <c r="BD220">
        <v>87.45</v>
      </c>
      <c r="BE220" s="1" t="s">
        <v>96</v>
      </c>
      <c r="BF220" s="1" t="s">
        <v>96</v>
      </c>
      <c r="BG220" t="s">
        <v>96</v>
      </c>
      <c r="BH220">
        <v>19.84</v>
      </c>
      <c r="BI220">
        <v>97.46</v>
      </c>
      <c r="BJ220">
        <v>7.47</v>
      </c>
      <c r="BK220" s="1" t="s">
        <v>96</v>
      </c>
      <c r="BL220" s="1" t="s">
        <v>96</v>
      </c>
      <c r="BM220" s="1" t="s">
        <v>96</v>
      </c>
      <c r="BN220" s="1" t="s">
        <v>96</v>
      </c>
      <c r="BO220" s="1">
        <v>70.06</v>
      </c>
      <c r="BP220">
        <v>34.909999999999997</v>
      </c>
      <c r="BQ220" t="s">
        <v>96</v>
      </c>
      <c r="BR220" s="1" t="s">
        <v>96</v>
      </c>
      <c r="BS220">
        <v>778.73</v>
      </c>
      <c r="BT220">
        <v>16.89</v>
      </c>
      <c r="BU220" s="1" t="s">
        <v>96</v>
      </c>
      <c r="BV220">
        <v>11.36</v>
      </c>
      <c r="BW220">
        <v>123.65</v>
      </c>
      <c r="BX220" s="1" t="s">
        <v>96</v>
      </c>
    </row>
    <row r="221" spans="1:76">
      <c r="A221">
        <v>59</v>
      </c>
      <c r="B221" t="s">
        <v>272</v>
      </c>
      <c r="D221" t="b">
        <v>1</v>
      </c>
      <c r="E221" t="s">
        <v>273</v>
      </c>
      <c r="G221" t="s">
        <v>274</v>
      </c>
      <c r="H221" s="1" t="s">
        <v>96</v>
      </c>
      <c r="I221" s="1" t="s">
        <v>96</v>
      </c>
      <c r="J221">
        <v>8.86</v>
      </c>
      <c r="K221" s="1" t="s">
        <v>96</v>
      </c>
      <c r="L221" s="1" t="s">
        <v>96</v>
      </c>
      <c r="M221" s="1" t="s">
        <v>96</v>
      </c>
      <c r="N221" s="1" t="s">
        <v>96</v>
      </c>
      <c r="O221" s="1" t="s">
        <v>96</v>
      </c>
      <c r="P221" s="1" t="s">
        <v>96</v>
      </c>
      <c r="Q221" s="1" t="s">
        <v>96</v>
      </c>
      <c r="R221" s="1" t="s">
        <v>96</v>
      </c>
      <c r="S221" s="1" t="s">
        <v>96</v>
      </c>
      <c r="T221" t="s">
        <v>96</v>
      </c>
      <c r="U221" s="1" t="s">
        <v>96</v>
      </c>
      <c r="V221">
        <v>1.99</v>
      </c>
      <c r="W221" t="s">
        <v>96</v>
      </c>
      <c r="X221">
        <v>146.91</v>
      </c>
      <c r="Y221" s="1" t="s">
        <v>96</v>
      </c>
      <c r="Z221" t="s">
        <v>96</v>
      </c>
      <c r="AA221" t="s">
        <v>96</v>
      </c>
      <c r="AB221">
        <v>79.72</v>
      </c>
      <c r="AC221" s="1" t="s">
        <v>96</v>
      </c>
      <c r="AD221" s="1" t="s">
        <v>96</v>
      </c>
      <c r="AE221" s="1" t="s">
        <v>96</v>
      </c>
      <c r="AF221" s="1" t="s">
        <v>96</v>
      </c>
      <c r="AG221" s="1" t="s">
        <v>96</v>
      </c>
      <c r="AH221" s="1">
        <v>2.29</v>
      </c>
      <c r="AI221">
        <v>104.77</v>
      </c>
      <c r="AJ221">
        <v>37.83</v>
      </c>
      <c r="AK221" s="1" t="s">
        <v>96</v>
      </c>
      <c r="AL221" s="1" t="s">
        <v>96</v>
      </c>
      <c r="AM221">
        <v>74.89</v>
      </c>
      <c r="AN221">
        <v>1.37</v>
      </c>
      <c r="AO221" s="1" t="s">
        <v>96</v>
      </c>
      <c r="AP221" s="1" t="s">
        <v>96</v>
      </c>
      <c r="AQ221" t="s">
        <v>96</v>
      </c>
      <c r="AR221" s="1" t="s">
        <v>96</v>
      </c>
      <c r="AS221">
        <v>1877.72</v>
      </c>
      <c r="AT221" t="s">
        <v>96</v>
      </c>
      <c r="AU221">
        <v>331.38</v>
      </c>
      <c r="AV221" s="1" t="s">
        <v>96</v>
      </c>
      <c r="AW221">
        <v>648.49</v>
      </c>
      <c r="AX221" s="1" t="s">
        <v>96</v>
      </c>
      <c r="AY221" s="1" t="s">
        <v>96</v>
      </c>
      <c r="AZ221">
        <v>8.17</v>
      </c>
      <c r="BA221" s="1" t="s">
        <v>96</v>
      </c>
      <c r="BB221" s="1" t="s">
        <v>96</v>
      </c>
      <c r="BC221">
        <v>10.32</v>
      </c>
      <c r="BD221" t="s">
        <v>96</v>
      </c>
      <c r="BE221" s="1" t="s">
        <v>96</v>
      </c>
      <c r="BF221" s="1" t="s">
        <v>96</v>
      </c>
      <c r="BG221" t="s">
        <v>96</v>
      </c>
      <c r="BH221">
        <v>3.24</v>
      </c>
      <c r="BI221" t="s">
        <v>96</v>
      </c>
      <c r="BJ221" t="s">
        <v>96</v>
      </c>
      <c r="BK221" s="1" t="s">
        <v>96</v>
      </c>
      <c r="BL221" s="1" t="s">
        <v>96</v>
      </c>
      <c r="BM221" s="1" t="s">
        <v>96</v>
      </c>
      <c r="BN221" s="1" t="s">
        <v>96</v>
      </c>
      <c r="BO221" s="1" t="s">
        <v>96</v>
      </c>
      <c r="BP221">
        <v>70.5</v>
      </c>
      <c r="BQ221" t="s">
        <v>96</v>
      </c>
      <c r="BR221" s="1" t="s">
        <v>96</v>
      </c>
      <c r="BS221" t="s">
        <v>96</v>
      </c>
      <c r="BT221" t="s">
        <v>96</v>
      </c>
      <c r="BU221" s="1" t="s">
        <v>96</v>
      </c>
      <c r="BV221">
        <v>84.96</v>
      </c>
      <c r="BW221" t="s">
        <v>96</v>
      </c>
      <c r="BX221" s="1" t="s">
        <v>96</v>
      </c>
    </row>
    <row r="222" spans="1:76">
      <c r="A222">
        <v>60</v>
      </c>
      <c r="B222" t="s">
        <v>275</v>
      </c>
      <c r="D222" t="b">
        <v>1</v>
      </c>
      <c r="E222" t="s">
        <v>276</v>
      </c>
      <c r="G222" t="s">
        <v>277</v>
      </c>
      <c r="H222" s="1" t="s">
        <v>96</v>
      </c>
      <c r="I222" s="1" t="s">
        <v>96</v>
      </c>
      <c r="J222">
        <v>6.98</v>
      </c>
      <c r="K222" s="1" t="s">
        <v>96</v>
      </c>
      <c r="L222" s="1" t="s">
        <v>96</v>
      </c>
      <c r="M222" s="1" t="s">
        <v>96</v>
      </c>
      <c r="N222" s="1" t="s">
        <v>96</v>
      </c>
      <c r="O222" s="1" t="s">
        <v>96</v>
      </c>
      <c r="P222" s="1" t="s">
        <v>96</v>
      </c>
      <c r="Q222" s="1" t="s">
        <v>96</v>
      </c>
      <c r="R222" s="1" t="s">
        <v>96</v>
      </c>
      <c r="S222" s="1" t="s">
        <v>96</v>
      </c>
      <c r="T222">
        <v>1.89</v>
      </c>
      <c r="U222" s="1" t="s">
        <v>96</v>
      </c>
      <c r="V222">
        <v>8.1</v>
      </c>
      <c r="W222" t="s">
        <v>96</v>
      </c>
      <c r="X222">
        <v>194.03</v>
      </c>
      <c r="Y222" s="1" t="s">
        <v>96</v>
      </c>
      <c r="Z222" t="s">
        <v>96</v>
      </c>
      <c r="AA222" t="s">
        <v>96</v>
      </c>
      <c r="AB222" t="s">
        <v>133</v>
      </c>
      <c r="AC222" s="1" t="s">
        <v>96</v>
      </c>
      <c r="AD222" s="1" t="s">
        <v>96</v>
      </c>
      <c r="AE222" s="1" t="s">
        <v>96</v>
      </c>
      <c r="AF222" s="1" t="s">
        <v>96</v>
      </c>
      <c r="AG222" s="1" t="s">
        <v>96</v>
      </c>
      <c r="AH222" s="1">
        <v>2.2400000000000002</v>
      </c>
      <c r="AI222">
        <v>116.01</v>
      </c>
      <c r="AJ222">
        <v>126.93</v>
      </c>
      <c r="AK222" s="1" t="s">
        <v>96</v>
      </c>
      <c r="AL222" s="1" t="s">
        <v>96</v>
      </c>
      <c r="AM222">
        <v>269.91000000000003</v>
      </c>
      <c r="AN222">
        <v>10.220000000000001</v>
      </c>
      <c r="AO222" s="1" t="s">
        <v>96</v>
      </c>
      <c r="AP222" s="1" t="s">
        <v>96</v>
      </c>
      <c r="AQ222" t="s">
        <v>96</v>
      </c>
      <c r="AR222" s="1">
        <v>2.68</v>
      </c>
      <c r="AS222">
        <v>2129.4299999999998</v>
      </c>
      <c r="AT222" t="s">
        <v>96</v>
      </c>
      <c r="AU222">
        <v>183.75</v>
      </c>
      <c r="AV222" s="1" t="s">
        <v>96</v>
      </c>
      <c r="AW222">
        <v>438.46</v>
      </c>
      <c r="AX222" s="1" t="s">
        <v>96</v>
      </c>
      <c r="AY222" s="1" t="s">
        <v>96</v>
      </c>
      <c r="AZ222">
        <v>9.76</v>
      </c>
      <c r="BA222" s="1" t="s">
        <v>96</v>
      </c>
      <c r="BB222" s="1" t="s">
        <v>96</v>
      </c>
      <c r="BC222">
        <v>6.53</v>
      </c>
      <c r="BD222" t="s">
        <v>96</v>
      </c>
      <c r="BE222" s="1" t="s">
        <v>96</v>
      </c>
      <c r="BF222" s="1" t="s">
        <v>96</v>
      </c>
      <c r="BG222" t="s">
        <v>96</v>
      </c>
      <c r="BH222" t="s">
        <v>96</v>
      </c>
      <c r="BI222" t="s">
        <v>96</v>
      </c>
      <c r="BJ222" t="s">
        <v>96</v>
      </c>
      <c r="BK222" s="1" t="s">
        <v>96</v>
      </c>
      <c r="BL222" s="1" t="s">
        <v>96</v>
      </c>
      <c r="BM222" s="1" t="s">
        <v>96</v>
      </c>
      <c r="BN222" s="1">
        <v>7.86</v>
      </c>
      <c r="BO222" s="1">
        <v>5.82</v>
      </c>
      <c r="BP222">
        <v>64.97</v>
      </c>
      <c r="BQ222" t="s">
        <v>96</v>
      </c>
      <c r="BR222" s="1" t="s">
        <v>96</v>
      </c>
      <c r="BS222" t="s">
        <v>96</v>
      </c>
      <c r="BT222" t="s">
        <v>96</v>
      </c>
      <c r="BU222" s="1" t="s">
        <v>96</v>
      </c>
      <c r="BV222">
        <v>41.51</v>
      </c>
      <c r="BW222" t="s">
        <v>96</v>
      </c>
      <c r="BX222" s="1" t="s">
        <v>96</v>
      </c>
    </row>
    <row r="223" spans="1:76">
      <c r="A223">
        <v>65</v>
      </c>
      <c r="B223" t="s">
        <v>290</v>
      </c>
      <c r="D223" t="b">
        <v>1</v>
      </c>
      <c r="E223" t="s">
        <v>291</v>
      </c>
      <c r="G223" t="s">
        <v>292</v>
      </c>
      <c r="H223" s="1" t="s">
        <v>96</v>
      </c>
      <c r="I223" s="1" t="s">
        <v>96</v>
      </c>
      <c r="J223">
        <v>10.72</v>
      </c>
      <c r="K223" s="1" t="s">
        <v>96</v>
      </c>
      <c r="L223" s="1" t="s">
        <v>96</v>
      </c>
      <c r="M223" s="1" t="s">
        <v>96</v>
      </c>
      <c r="N223" s="1" t="s">
        <v>96</v>
      </c>
      <c r="O223" s="1" t="s">
        <v>96</v>
      </c>
      <c r="P223" s="1">
        <v>18.29</v>
      </c>
      <c r="Q223" s="1" t="s">
        <v>96</v>
      </c>
      <c r="R223" s="1" t="s">
        <v>96</v>
      </c>
      <c r="S223" s="1" t="s">
        <v>96</v>
      </c>
      <c r="T223" t="s">
        <v>96</v>
      </c>
      <c r="U223" s="1" t="s">
        <v>96</v>
      </c>
      <c r="V223" t="s">
        <v>96</v>
      </c>
      <c r="W223" t="s">
        <v>96</v>
      </c>
      <c r="X223">
        <v>135.91</v>
      </c>
      <c r="Y223" s="1" t="s">
        <v>96</v>
      </c>
      <c r="Z223" t="s">
        <v>96</v>
      </c>
      <c r="AA223">
        <v>38.130000000000003</v>
      </c>
      <c r="AB223">
        <v>12.72</v>
      </c>
      <c r="AC223" s="1" t="s">
        <v>96</v>
      </c>
      <c r="AD223" s="1" t="s">
        <v>96</v>
      </c>
      <c r="AE223" s="1" t="s">
        <v>96</v>
      </c>
      <c r="AF223" s="1">
        <v>1.54</v>
      </c>
      <c r="AG223" s="1" t="s">
        <v>96</v>
      </c>
      <c r="AH223" s="1" t="s">
        <v>96</v>
      </c>
      <c r="AI223">
        <v>247.02</v>
      </c>
      <c r="AJ223">
        <v>5.66</v>
      </c>
      <c r="AK223" s="1">
        <v>1.56</v>
      </c>
      <c r="AL223" s="1">
        <v>1.03</v>
      </c>
      <c r="AM223">
        <v>25.2</v>
      </c>
      <c r="AN223" t="s">
        <v>96</v>
      </c>
      <c r="AO223" s="1" t="s">
        <v>96</v>
      </c>
      <c r="AP223" s="1" t="s">
        <v>96</v>
      </c>
      <c r="AQ223">
        <v>3.01</v>
      </c>
      <c r="AR223" s="1" t="s">
        <v>96</v>
      </c>
      <c r="AS223">
        <v>1228.8900000000001</v>
      </c>
      <c r="AT223">
        <v>510.13</v>
      </c>
      <c r="AU223">
        <v>170.48</v>
      </c>
      <c r="AV223" s="1" t="s">
        <v>96</v>
      </c>
      <c r="AW223">
        <v>380.55</v>
      </c>
      <c r="AX223" s="1" t="s">
        <v>96</v>
      </c>
      <c r="AY223" s="1">
        <v>4.33</v>
      </c>
      <c r="AZ223">
        <v>22.42</v>
      </c>
      <c r="BA223" s="1">
        <v>15.51</v>
      </c>
      <c r="BB223" s="1" t="s">
        <v>96</v>
      </c>
      <c r="BC223">
        <v>211.97</v>
      </c>
      <c r="BD223">
        <v>142.13999999999999</v>
      </c>
      <c r="BE223" s="1" t="s">
        <v>96</v>
      </c>
      <c r="BF223" s="1">
        <v>7.17</v>
      </c>
      <c r="BG223">
        <v>8.92</v>
      </c>
      <c r="BH223">
        <v>107.24</v>
      </c>
      <c r="BI223">
        <v>143.34</v>
      </c>
      <c r="BJ223">
        <v>4.46</v>
      </c>
      <c r="BK223" s="1" t="s">
        <v>96</v>
      </c>
      <c r="BL223" s="1" t="s">
        <v>96</v>
      </c>
      <c r="BM223" s="1" t="s">
        <v>96</v>
      </c>
      <c r="BN223" s="1" t="s">
        <v>96</v>
      </c>
      <c r="BO223" s="1">
        <v>6.28</v>
      </c>
      <c r="BP223">
        <v>76.430000000000007</v>
      </c>
      <c r="BQ223">
        <v>22.62</v>
      </c>
      <c r="BR223" s="1" t="s">
        <v>96</v>
      </c>
      <c r="BS223">
        <v>428.44</v>
      </c>
      <c r="BT223">
        <v>45.36</v>
      </c>
      <c r="BU223" s="1" t="s">
        <v>96</v>
      </c>
      <c r="BV223">
        <v>42.7</v>
      </c>
      <c r="BW223">
        <v>101.74</v>
      </c>
      <c r="BX223" s="1" t="s">
        <v>96</v>
      </c>
    </row>
    <row r="224" spans="1:76">
      <c r="A224">
        <v>249</v>
      </c>
      <c r="B224" t="s">
        <v>842</v>
      </c>
      <c r="D224" t="b">
        <v>1</v>
      </c>
      <c r="E224" t="s">
        <v>843</v>
      </c>
      <c r="G224" t="s">
        <v>844</v>
      </c>
      <c r="H224" s="1" t="s">
        <v>96</v>
      </c>
      <c r="I224" s="1" t="s">
        <v>96</v>
      </c>
      <c r="J224">
        <v>5.59</v>
      </c>
      <c r="K224" s="1" t="s">
        <v>96</v>
      </c>
      <c r="L224" s="1" t="s">
        <v>96</v>
      </c>
      <c r="M224" s="1" t="s">
        <v>96</v>
      </c>
      <c r="N224" s="1" t="s">
        <v>96</v>
      </c>
      <c r="O224" s="1" t="s">
        <v>96</v>
      </c>
      <c r="P224" s="1" t="s">
        <v>96</v>
      </c>
      <c r="Q224" s="1" t="s">
        <v>96</v>
      </c>
      <c r="R224" s="1" t="s">
        <v>96</v>
      </c>
      <c r="S224" s="1" t="s">
        <v>96</v>
      </c>
      <c r="T224" t="s">
        <v>96</v>
      </c>
      <c r="U224" s="1" t="s">
        <v>96</v>
      </c>
      <c r="V224">
        <v>2.06</v>
      </c>
      <c r="W224">
        <v>1.79</v>
      </c>
      <c r="X224">
        <v>373.67</v>
      </c>
      <c r="Y224" s="1" t="s">
        <v>96</v>
      </c>
      <c r="Z224">
        <v>16.64</v>
      </c>
      <c r="AA224">
        <v>160.22</v>
      </c>
      <c r="AB224">
        <v>31.57</v>
      </c>
      <c r="AC224" s="1" t="s">
        <v>96</v>
      </c>
      <c r="AD224" s="1">
        <v>4.0199999999999996</v>
      </c>
      <c r="AE224" s="1" t="s">
        <v>96</v>
      </c>
      <c r="AF224" s="1" t="s">
        <v>96</v>
      </c>
      <c r="AG224" s="1" t="s">
        <v>96</v>
      </c>
      <c r="AH224" s="1" t="s">
        <v>96</v>
      </c>
      <c r="AI224">
        <v>54.06</v>
      </c>
      <c r="AJ224">
        <v>41.03</v>
      </c>
      <c r="AK224" s="1">
        <v>1.25</v>
      </c>
      <c r="AL224" s="1" t="s">
        <v>96</v>
      </c>
      <c r="AM224">
        <v>15.78</v>
      </c>
      <c r="AN224">
        <v>1.64</v>
      </c>
      <c r="AO224" s="1" t="s">
        <v>96</v>
      </c>
      <c r="AP224" s="1" t="s">
        <v>96</v>
      </c>
      <c r="AQ224">
        <v>6.84</v>
      </c>
      <c r="AR224" s="1" t="s">
        <v>96</v>
      </c>
      <c r="AS224">
        <v>802.28</v>
      </c>
      <c r="AT224">
        <v>221.44</v>
      </c>
      <c r="AU224">
        <v>211.02</v>
      </c>
      <c r="AV224" s="1" t="s">
        <v>96</v>
      </c>
      <c r="AW224">
        <v>172.89</v>
      </c>
      <c r="AX224" s="1" t="s">
        <v>96</v>
      </c>
      <c r="AY224" s="1" t="s">
        <v>96</v>
      </c>
      <c r="AZ224">
        <v>2.92</v>
      </c>
      <c r="BA224" s="1">
        <v>12.17</v>
      </c>
      <c r="BB224" s="1" t="s">
        <v>96</v>
      </c>
      <c r="BC224">
        <v>108.95</v>
      </c>
      <c r="BD224">
        <v>36.57</v>
      </c>
      <c r="BE224" s="1" t="s">
        <v>96</v>
      </c>
      <c r="BF224" s="1" t="s">
        <v>96</v>
      </c>
      <c r="BG224" t="s">
        <v>96</v>
      </c>
      <c r="BH224">
        <v>26.42</v>
      </c>
      <c r="BI224">
        <v>32.58</v>
      </c>
      <c r="BJ224" t="s">
        <v>96</v>
      </c>
      <c r="BK224" s="1" t="s">
        <v>96</v>
      </c>
      <c r="BL224" s="1" t="s">
        <v>96</v>
      </c>
      <c r="BM224" s="1" t="s">
        <v>96</v>
      </c>
      <c r="BN224" s="1" t="s">
        <v>96</v>
      </c>
      <c r="BO224" s="1" t="s">
        <v>96</v>
      </c>
      <c r="BP224">
        <v>50.13</v>
      </c>
      <c r="BQ224">
        <v>11.19</v>
      </c>
      <c r="BR224" s="1" t="s">
        <v>96</v>
      </c>
      <c r="BS224">
        <v>204.13</v>
      </c>
      <c r="BT224">
        <v>15.27</v>
      </c>
      <c r="BU224" s="1">
        <v>11.76</v>
      </c>
      <c r="BV224">
        <v>93.44</v>
      </c>
      <c r="BW224">
        <v>44.85</v>
      </c>
      <c r="BX224" s="1" t="s">
        <v>96</v>
      </c>
    </row>
    <row r="225" spans="1:76">
      <c r="A225">
        <v>193</v>
      </c>
      <c r="B225" t="s">
        <v>674</v>
      </c>
      <c r="D225" t="b">
        <v>1</v>
      </c>
      <c r="E225" t="s">
        <v>675</v>
      </c>
      <c r="G225" t="s">
        <v>676</v>
      </c>
      <c r="H225" s="1" t="s">
        <v>96</v>
      </c>
      <c r="I225" s="1" t="s">
        <v>96</v>
      </c>
      <c r="J225">
        <v>103.87</v>
      </c>
      <c r="K225" s="1" t="s">
        <v>96</v>
      </c>
      <c r="L225" s="1" t="s">
        <v>96</v>
      </c>
      <c r="M225" s="1">
        <v>8.4700000000000006</v>
      </c>
      <c r="N225" s="1" t="s">
        <v>96</v>
      </c>
      <c r="O225" s="1" t="s">
        <v>96</v>
      </c>
      <c r="P225" s="1" t="s">
        <v>96</v>
      </c>
      <c r="Q225" s="1" t="s">
        <v>96</v>
      </c>
      <c r="R225" s="1" t="s">
        <v>96</v>
      </c>
      <c r="S225" s="1" t="s">
        <v>96</v>
      </c>
      <c r="T225">
        <v>1.33</v>
      </c>
      <c r="U225" s="1" t="s">
        <v>96</v>
      </c>
      <c r="V225">
        <v>8.99</v>
      </c>
      <c r="W225">
        <v>12.3</v>
      </c>
      <c r="X225">
        <v>48.18</v>
      </c>
      <c r="Y225" s="1" t="s">
        <v>96</v>
      </c>
      <c r="Z225">
        <v>28.3</v>
      </c>
      <c r="AA225">
        <v>343</v>
      </c>
      <c r="AB225">
        <v>177.64</v>
      </c>
      <c r="AC225" s="1" t="s">
        <v>96</v>
      </c>
      <c r="AD225" s="1" t="s">
        <v>96</v>
      </c>
      <c r="AE225" s="1" t="s">
        <v>96</v>
      </c>
      <c r="AF225" s="1" t="s">
        <v>96</v>
      </c>
      <c r="AG225" s="1" t="s">
        <v>96</v>
      </c>
      <c r="AH225" s="1" t="s">
        <v>96</v>
      </c>
      <c r="AI225">
        <v>26.39</v>
      </c>
      <c r="AJ225">
        <v>26.45</v>
      </c>
      <c r="AK225" s="1" t="s">
        <v>96</v>
      </c>
      <c r="AL225" s="1" t="s">
        <v>96</v>
      </c>
      <c r="AM225">
        <v>25.26</v>
      </c>
      <c r="AN225">
        <v>2.63</v>
      </c>
      <c r="AO225" s="1" t="s">
        <v>96</v>
      </c>
      <c r="AP225" s="1" t="s">
        <v>96</v>
      </c>
      <c r="AQ225">
        <v>6.18</v>
      </c>
      <c r="AR225" s="1" t="s">
        <v>96</v>
      </c>
      <c r="AS225">
        <v>2070.1</v>
      </c>
      <c r="AT225">
        <v>498.59</v>
      </c>
      <c r="AU225">
        <v>33.57</v>
      </c>
      <c r="AV225" s="1" t="s">
        <v>96</v>
      </c>
      <c r="AW225">
        <v>817.22</v>
      </c>
      <c r="AX225" s="1" t="s">
        <v>96</v>
      </c>
      <c r="AY225" s="1">
        <v>5.1100000000000003</v>
      </c>
      <c r="AZ225">
        <v>42.6</v>
      </c>
      <c r="BA225" s="1" t="s">
        <v>96</v>
      </c>
      <c r="BB225" s="1" t="s">
        <v>96</v>
      </c>
      <c r="BC225">
        <v>222.18</v>
      </c>
      <c r="BD225">
        <v>96.72</v>
      </c>
      <c r="BE225" s="1" t="s">
        <v>96</v>
      </c>
      <c r="BF225" s="1">
        <v>4.7</v>
      </c>
      <c r="BG225">
        <v>3.08</v>
      </c>
      <c r="BH225">
        <v>127.1</v>
      </c>
      <c r="BI225">
        <v>166.76</v>
      </c>
      <c r="BJ225">
        <v>2.82</v>
      </c>
      <c r="BK225" s="1" t="s">
        <v>96</v>
      </c>
      <c r="BL225" s="1" t="s">
        <v>96</v>
      </c>
      <c r="BM225" s="1" t="s">
        <v>96</v>
      </c>
      <c r="BN225" s="1" t="s">
        <v>96</v>
      </c>
      <c r="BO225" s="1">
        <v>5.51</v>
      </c>
      <c r="BP225">
        <v>253.06</v>
      </c>
      <c r="BQ225">
        <v>28.17</v>
      </c>
      <c r="BR225" s="1" t="s">
        <v>96</v>
      </c>
      <c r="BS225">
        <v>793.65</v>
      </c>
      <c r="BT225">
        <v>36.119999999999997</v>
      </c>
      <c r="BU225" s="1" t="s">
        <v>96</v>
      </c>
      <c r="BV225">
        <v>12.13</v>
      </c>
      <c r="BW225">
        <v>185.62</v>
      </c>
      <c r="BX225" s="1" t="s">
        <v>96</v>
      </c>
    </row>
    <row r="226" spans="1:76">
      <c r="A226">
        <v>98</v>
      </c>
      <c r="B226" t="s">
        <v>389</v>
      </c>
      <c r="D226" t="b">
        <v>1</v>
      </c>
      <c r="E226" t="s">
        <v>390</v>
      </c>
      <c r="G226" t="s">
        <v>391</v>
      </c>
      <c r="H226" s="1" t="s">
        <v>96</v>
      </c>
      <c r="I226" s="1" t="s">
        <v>96</v>
      </c>
      <c r="J226">
        <v>17.16</v>
      </c>
      <c r="K226" s="1" t="s">
        <v>96</v>
      </c>
      <c r="L226" s="1" t="s">
        <v>96</v>
      </c>
      <c r="M226" s="1" t="s">
        <v>96</v>
      </c>
      <c r="N226" s="1" t="s">
        <v>96</v>
      </c>
      <c r="O226" s="1" t="s">
        <v>96</v>
      </c>
      <c r="P226" s="1" t="s">
        <v>96</v>
      </c>
      <c r="Q226" s="1" t="s">
        <v>96</v>
      </c>
      <c r="R226" s="1" t="s">
        <v>96</v>
      </c>
      <c r="S226" s="1" t="s">
        <v>96</v>
      </c>
      <c r="T226" t="s">
        <v>96</v>
      </c>
      <c r="U226" s="1" t="s">
        <v>96</v>
      </c>
      <c r="V226">
        <v>8.07</v>
      </c>
      <c r="W226">
        <v>3.48</v>
      </c>
      <c r="X226">
        <v>13.8</v>
      </c>
      <c r="Y226" s="1" t="s">
        <v>96</v>
      </c>
      <c r="Z226" t="s">
        <v>96</v>
      </c>
      <c r="AA226">
        <v>99.7</v>
      </c>
      <c r="AB226">
        <v>534.74</v>
      </c>
      <c r="AC226" s="1">
        <v>3.85</v>
      </c>
      <c r="AD226" s="1" t="s">
        <v>96</v>
      </c>
      <c r="AE226" s="1" t="s">
        <v>96</v>
      </c>
      <c r="AF226" s="1" t="s">
        <v>96</v>
      </c>
      <c r="AG226" s="1" t="s">
        <v>96</v>
      </c>
      <c r="AH226" s="1" t="s">
        <v>96</v>
      </c>
      <c r="AI226">
        <v>174.67</v>
      </c>
      <c r="AJ226">
        <v>25.48</v>
      </c>
      <c r="AK226" s="1" t="s">
        <v>96</v>
      </c>
      <c r="AL226" s="1" t="s">
        <v>96</v>
      </c>
      <c r="AM226">
        <v>442.02</v>
      </c>
      <c r="AN226">
        <v>12.17</v>
      </c>
      <c r="AO226" s="1" t="s">
        <v>96</v>
      </c>
      <c r="AP226" s="1" t="s">
        <v>96</v>
      </c>
      <c r="AQ226" t="s">
        <v>96</v>
      </c>
      <c r="AR226" s="1">
        <v>3.16</v>
      </c>
      <c r="AS226">
        <v>1926.93</v>
      </c>
      <c r="AT226">
        <v>174.77</v>
      </c>
      <c r="AU226">
        <v>153.97999999999999</v>
      </c>
      <c r="AV226" s="1" t="s">
        <v>96</v>
      </c>
      <c r="AW226">
        <v>390.13</v>
      </c>
      <c r="AX226" s="1" t="s">
        <v>96</v>
      </c>
      <c r="AY226" s="1" t="s">
        <v>96</v>
      </c>
      <c r="AZ226">
        <v>24.94</v>
      </c>
      <c r="BA226" s="1">
        <v>8.17</v>
      </c>
      <c r="BB226" s="1" t="s">
        <v>96</v>
      </c>
      <c r="BC226">
        <v>199.93</v>
      </c>
      <c r="BD226">
        <v>19.77</v>
      </c>
      <c r="BE226" s="1" t="s">
        <v>96</v>
      </c>
      <c r="BF226" s="1">
        <v>2.54</v>
      </c>
      <c r="BG226">
        <v>15.05</v>
      </c>
      <c r="BH226">
        <v>32.020000000000003</v>
      </c>
      <c r="BI226">
        <v>43.96</v>
      </c>
      <c r="BJ226">
        <v>3.93</v>
      </c>
      <c r="BK226" s="1" t="s">
        <v>96</v>
      </c>
      <c r="BL226" s="1" t="s">
        <v>96</v>
      </c>
      <c r="BM226" s="1" t="s">
        <v>96</v>
      </c>
      <c r="BN226" s="1">
        <v>3.01</v>
      </c>
      <c r="BO226" s="1" t="s">
        <v>96</v>
      </c>
      <c r="BP226">
        <v>81.81</v>
      </c>
      <c r="BQ226">
        <v>17.7</v>
      </c>
      <c r="BR226" s="1" t="s">
        <v>96</v>
      </c>
      <c r="BS226">
        <v>119.69</v>
      </c>
      <c r="BT226">
        <v>5.13</v>
      </c>
      <c r="BU226" s="1" t="s">
        <v>96</v>
      </c>
      <c r="BV226">
        <v>23.54</v>
      </c>
      <c r="BW226">
        <v>26.86</v>
      </c>
      <c r="BX226" s="1" t="s">
        <v>96</v>
      </c>
    </row>
    <row r="227" spans="1:76">
      <c r="A227">
        <v>194</v>
      </c>
      <c r="B227" t="s">
        <v>677</v>
      </c>
      <c r="D227" t="b">
        <v>1</v>
      </c>
      <c r="E227" t="s">
        <v>678</v>
      </c>
      <c r="G227" t="s">
        <v>679</v>
      </c>
      <c r="H227" s="1" t="s">
        <v>96</v>
      </c>
      <c r="I227" s="1" t="s">
        <v>96</v>
      </c>
      <c r="J227">
        <v>27.77</v>
      </c>
      <c r="K227" s="1" t="s">
        <v>96</v>
      </c>
      <c r="L227" s="1" t="s">
        <v>96</v>
      </c>
      <c r="M227" s="1" t="s">
        <v>96</v>
      </c>
      <c r="N227" s="1" t="s">
        <v>96</v>
      </c>
      <c r="O227" s="1" t="s">
        <v>96</v>
      </c>
      <c r="P227" s="1" t="s">
        <v>96</v>
      </c>
      <c r="Q227" s="1" t="s">
        <v>96</v>
      </c>
      <c r="R227" s="1" t="s">
        <v>96</v>
      </c>
      <c r="S227" s="1" t="s">
        <v>96</v>
      </c>
      <c r="T227" t="s">
        <v>96</v>
      </c>
      <c r="U227" s="1" t="s">
        <v>96</v>
      </c>
      <c r="V227" t="s">
        <v>96</v>
      </c>
      <c r="W227" t="s">
        <v>96</v>
      </c>
      <c r="X227">
        <v>8</v>
      </c>
      <c r="Y227" s="1" t="s">
        <v>96</v>
      </c>
      <c r="Z227" t="s">
        <v>96</v>
      </c>
      <c r="AA227">
        <v>50.6</v>
      </c>
      <c r="AB227">
        <v>53.13</v>
      </c>
      <c r="AC227" s="1" t="s">
        <v>96</v>
      </c>
      <c r="AD227" s="1">
        <v>2.64</v>
      </c>
      <c r="AE227" s="1" t="s">
        <v>96</v>
      </c>
      <c r="AF227" s="1" t="s">
        <v>96</v>
      </c>
      <c r="AG227" s="1" t="s">
        <v>96</v>
      </c>
      <c r="AH227" s="1" t="s">
        <v>96</v>
      </c>
      <c r="AI227" t="s">
        <v>96</v>
      </c>
      <c r="AJ227">
        <v>5.75</v>
      </c>
      <c r="AK227" s="1" t="s">
        <v>96</v>
      </c>
      <c r="AL227" s="1" t="s">
        <v>96</v>
      </c>
      <c r="AM227">
        <v>6.84</v>
      </c>
      <c r="AN227" t="s">
        <v>96</v>
      </c>
      <c r="AO227" s="1" t="s">
        <v>96</v>
      </c>
      <c r="AP227" s="1" t="s">
        <v>96</v>
      </c>
      <c r="AQ227">
        <v>5.29</v>
      </c>
      <c r="AR227" s="1" t="s">
        <v>96</v>
      </c>
      <c r="AS227">
        <v>1841.52</v>
      </c>
      <c r="AT227">
        <v>425.96</v>
      </c>
      <c r="AU227">
        <v>25.95</v>
      </c>
      <c r="AV227" s="1" t="s">
        <v>96</v>
      </c>
      <c r="AW227">
        <v>490.77</v>
      </c>
      <c r="AX227" s="1" t="s">
        <v>96</v>
      </c>
      <c r="AY227" s="1">
        <v>5.32</v>
      </c>
      <c r="AZ227">
        <v>44.53</v>
      </c>
      <c r="BA227" s="1" t="s">
        <v>96</v>
      </c>
      <c r="BB227" s="1" t="s">
        <v>96</v>
      </c>
      <c r="BC227">
        <v>198.7</v>
      </c>
      <c r="BD227">
        <v>89.83</v>
      </c>
      <c r="BE227" s="1" t="s">
        <v>96</v>
      </c>
      <c r="BF227" s="1">
        <v>5.56</v>
      </c>
      <c r="BG227">
        <v>2.8</v>
      </c>
      <c r="BH227">
        <v>80.489999999999995</v>
      </c>
      <c r="BI227">
        <v>163.38</v>
      </c>
      <c r="BJ227" t="s">
        <v>96</v>
      </c>
      <c r="BK227" s="1" t="s">
        <v>96</v>
      </c>
      <c r="BL227" s="1" t="s">
        <v>96</v>
      </c>
      <c r="BM227" s="1" t="s">
        <v>96</v>
      </c>
      <c r="BN227" s="1" t="s">
        <v>96</v>
      </c>
      <c r="BO227" s="1" t="s">
        <v>96</v>
      </c>
      <c r="BP227">
        <v>160.31</v>
      </c>
      <c r="BQ227">
        <v>19.87</v>
      </c>
      <c r="BR227" s="1" t="s">
        <v>96</v>
      </c>
      <c r="BS227">
        <v>576.34</v>
      </c>
      <c r="BT227">
        <v>26.7</v>
      </c>
      <c r="BU227" s="1" t="s">
        <v>96</v>
      </c>
      <c r="BV227">
        <v>6.91</v>
      </c>
      <c r="BW227">
        <v>102.76</v>
      </c>
      <c r="BX227" s="1" t="s">
        <v>96</v>
      </c>
    </row>
    <row r="228" spans="1:76">
      <c r="A228">
        <v>192</v>
      </c>
      <c r="B228" t="s">
        <v>671</v>
      </c>
      <c r="D228" t="b">
        <v>1</v>
      </c>
      <c r="E228" t="s">
        <v>672</v>
      </c>
      <c r="G228" t="s">
        <v>673</v>
      </c>
      <c r="H228" s="1" t="s">
        <v>96</v>
      </c>
      <c r="I228" s="1" t="s">
        <v>96</v>
      </c>
      <c r="J228">
        <v>58.82</v>
      </c>
      <c r="K228" s="1" t="s">
        <v>96</v>
      </c>
      <c r="L228" s="1" t="s">
        <v>96</v>
      </c>
      <c r="M228" s="1">
        <v>10.029999999999999</v>
      </c>
      <c r="N228" s="1" t="s">
        <v>96</v>
      </c>
      <c r="O228" s="1" t="s">
        <v>96</v>
      </c>
      <c r="P228" s="1" t="s">
        <v>96</v>
      </c>
      <c r="Q228" s="1" t="s">
        <v>96</v>
      </c>
      <c r="R228" s="1" t="s">
        <v>96</v>
      </c>
      <c r="S228" s="1" t="s">
        <v>96</v>
      </c>
      <c r="T228">
        <v>1.28</v>
      </c>
      <c r="U228" s="1" t="s">
        <v>96</v>
      </c>
      <c r="V228">
        <v>8.7100000000000009</v>
      </c>
      <c r="W228">
        <v>2.9</v>
      </c>
      <c r="X228">
        <v>26.15</v>
      </c>
      <c r="Y228" s="1" t="s">
        <v>96</v>
      </c>
      <c r="Z228">
        <v>16.38</v>
      </c>
      <c r="AA228">
        <v>235.35</v>
      </c>
      <c r="AB228">
        <v>196.06</v>
      </c>
      <c r="AC228" s="1" t="s">
        <v>96</v>
      </c>
      <c r="AD228" s="1">
        <v>1.04</v>
      </c>
      <c r="AE228" s="1" t="s">
        <v>96</v>
      </c>
      <c r="AF228" s="1" t="s">
        <v>96</v>
      </c>
      <c r="AG228" s="1" t="s">
        <v>96</v>
      </c>
      <c r="AH228" s="1" t="s">
        <v>96</v>
      </c>
      <c r="AI228">
        <v>37.130000000000003</v>
      </c>
      <c r="AJ228">
        <v>14.12</v>
      </c>
      <c r="AK228" s="1" t="s">
        <v>96</v>
      </c>
      <c r="AL228" s="1">
        <v>1.5</v>
      </c>
      <c r="AM228">
        <v>15.73</v>
      </c>
      <c r="AN228">
        <v>5.09</v>
      </c>
      <c r="AO228" s="1" t="s">
        <v>96</v>
      </c>
      <c r="AP228" s="1" t="s">
        <v>96</v>
      </c>
      <c r="AQ228">
        <v>4.5599999999999996</v>
      </c>
      <c r="AR228" s="1" t="s">
        <v>96</v>
      </c>
      <c r="AS228">
        <v>1424.3</v>
      </c>
      <c r="AT228">
        <v>354.41</v>
      </c>
      <c r="AU228">
        <v>29.37</v>
      </c>
      <c r="AV228" s="1" t="s">
        <v>96</v>
      </c>
      <c r="AW228">
        <v>331.73</v>
      </c>
      <c r="AX228" s="1" t="s">
        <v>96</v>
      </c>
      <c r="AY228" s="1">
        <v>4.91</v>
      </c>
      <c r="AZ228">
        <v>42.33</v>
      </c>
      <c r="BA228" s="1" t="s">
        <v>96</v>
      </c>
      <c r="BB228" s="1" t="s">
        <v>96</v>
      </c>
      <c r="BC228">
        <v>131.55000000000001</v>
      </c>
      <c r="BD228">
        <v>56.88</v>
      </c>
      <c r="BE228" s="1" t="s">
        <v>96</v>
      </c>
      <c r="BF228" s="1">
        <v>5.62</v>
      </c>
      <c r="BG228">
        <v>2.87</v>
      </c>
      <c r="BH228">
        <v>52.86</v>
      </c>
      <c r="BI228">
        <v>173.25</v>
      </c>
      <c r="BJ228">
        <v>6.81</v>
      </c>
      <c r="BK228" s="1" t="s">
        <v>96</v>
      </c>
      <c r="BL228" s="1" t="s">
        <v>96</v>
      </c>
      <c r="BM228" s="1" t="s">
        <v>96</v>
      </c>
      <c r="BN228" s="1" t="s">
        <v>96</v>
      </c>
      <c r="BO228" s="1" t="s">
        <v>96</v>
      </c>
      <c r="BP228">
        <v>183</v>
      </c>
      <c r="BQ228">
        <v>24.6</v>
      </c>
      <c r="BR228" s="1" t="s">
        <v>96</v>
      </c>
      <c r="BS228">
        <v>666.41</v>
      </c>
      <c r="BT228">
        <v>29.11</v>
      </c>
      <c r="BU228" s="1" t="s">
        <v>96</v>
      </c>
      <c r="BV228">
        <v>15.8</v>
      </c>
      <c r="BW228">
        <v>133.30000000000001</v>
      </c>
      <c r="BX228" s="1" t="s">
        <v>96</v>
      </c>
    </row>
    <row r="229" spans="1:76">
      <c r="A229">
        <v>197</v>
      </c>
      <c r="B229" t="s">
        <v>686</v>
      </c>
      <c r="D229" t="b">
        <v>1</v>
      </c>
      <c r="E229" t="s">
        <v>687</v>
      </c>
      <c r="G229" t="s">
        <v>688</v>
      </c>
      <c r="H229" s="1" t="s">
        <v>96</v>
      </c>
      <c r="I229" s="1" t="s">
        <v>96</v>
      </c>
      <c r="J229">
        <v>21.17</v>
      </c>
      <c r="K229" s="1" t="s">
        <v>96</v>
      </c>
      <c r="L229" s="1" t="s">
        <v>96</v>
      </c>
      <c r="M229" s="1" t="s">
        <v>96</v>
      </c>
      <c r="N229" s="1" t="s">
        <v>96</v>
      </c>
      <c r="O229" s="1" t="s">
        <v>96</v>
      </c>
      <c r="P229" s="1" t="s">
        <v>96</v>
      </c>
      <c r="Q229" s="1" t="s">
        <v>96</v>
      </c>
      <c r="R229" s="1" t="s">
        <v>96</v>
      </c>
      <c r="S229" s="1" t="s">
        <v>96</v>
      </c>
      <c r="T229" t="s">
        <v>96</v>
      </c>
      <c r="U229" s="1" t="s">
        <v>96</v>
      </c>
      <c r="V229">
        <v>2.48</v>
      </c>
      <c r="W229" t="s">
        <v>96</v>
      </c>
      <c r="X229">
        <v>12.5</v>
      </c>
      <c r="Y229" s="1" t="s">
        <v>96</v>
      </c>
      <c r="Z229" t="s">
        <v>96</v>
      </c>
      <c r="AA229">
        <v>75.150000000000006</v>
      </c>
      <c r="AB229">
        <v>188.27</v>
      </c>
      <c r="AC229" s="1" t="s">
        <v>96</v>
      </c>
      <c r="AD229" s="1">
        <v>1.28</v>
      </c>
      <c r="AE229" s="1" t="s">
        <v>96</v>
      </c>
      <c r="AF229" s="1" t="s">
        <v>96</v>
      </c>
      <c r="AG229" s="1" t="s">
        <v>96</v>
      </c>
      <c r="AH229" s="1" t="s">
        <v>96</v>
      </c>
      <c r="AI229" t="s">
        <v>96</v>
      </c>
      <c r="AJ229">
        <v>5.85</v>
      </c>
      <c r="AK229" s="1" t="s">
        <v>96</v>
      </c>
      <c r="AL229" s="1" t="s">
        <v>96</v>
      </c>
      <c r="AM229">
        <v>18.97</v>
      </c>
      <c r="AN229">
        <v>3.55</v>
      </c>
      <c r="AO229" s="1" t="s">
        <v>96</v>
      </c>
      <c r="AP229" s="1" t="s">
        <v>96</v>
      </c>
      <c r="AQ229" t="s">
        <v>96</v>
      </c>
      <c r="AR229" s="1" t="s">
        <v>96</v>
      </c>
      <c r="AS229">
        <v>1854.85</v>
      </c>
      <c r="AT229">
        <v>247.97</v>
      </c>
      <c r="AU229">
        <v>32.369999999999997</v>
      </c>
      <c r="AV229" s="1" t="s">
        <v>96</v>
      </c>
      <c r="AW229">
        <v>376.6</v>
      </c>
      <c r="AX229" s="1" t="s">
        <v>96</v>
      </c>
      <c r="AY229" s="1" t="s">
        <v>96</v>
      </c>
      <c r="AZ229">
        <v>59.28</v>
      </c>
      <c r="BA229" s="1" t="s">
        <v>96</v>
      </c>
      <c r="BB229" s="1" t="s">
        <v>96</v>
      </c>
      <c r="BC229">
        <v>237.87</v>
      </c>
      <c r="BD229">
        <v>62.92</v>
      </c>
      <c r="BE229" s="1" t="s">
        <v>96</v>
      </c>
      <c r="BF229" s="1">
        <v>12.13</v>
      </c>
      <c r="BG229">
        <v>4.25</v>
      </c>
      <c r="BH229">
        <v>85.17</v>
      </c>
      <c r="BI229">
        <v>104.04</v>
      </c>
      <c r="BJ229" t="s">
        <v>96</v>
      </c>
      <c r="BK229" s="1" t="s">
        <v>96</v>
      </c>
      <c r="BL229" s="1" t="s">
        <v>96</v>
      </c>
      <c r="BM229" s="1" t="s">
        <v>96</v>
      </c>
      <c r="BN229" s="1" t="s">
        <v>96</v>
      </c>
      <c r="BO229" s="1" t="s">
        <v>96</v>
      </c>
      <c r="BP229">
        <v>199.47</v>
      </c>
      <c r="BQ229">
        <v>47.71</v>
      </c>
      <c r="BR229" s="1" t="s">
        <v>96</v>
      </c>
      <c r="BS229">
        <v>298.88</v>
      </c>
      <c r="BT229">
        <v>40.020000000000003</v>
      </c>
      <c r="BU229" s="1" t="s">
        <v>96</v>
      </c>
      <c r="BV229">
        <v>11.78</v>
      </c>
      <c r="BW229">
        <v>92.24</v>
      </c>
      <c r="BX229" s="1" t="s">
        <v>96</v>
      </c>
    </row>
    <row r="230" spans="1:76">
      <c r="A230">
        <v>152</v>
      </c>
      <c r="B230" t="s">
        <v>551</v>
      </c>
      <c r="D230" t="b">
        <v>1</v>
      </c>
      <c r="E230" t="s">
        <v>552</v>
      </c>
      <c r="G230" t="s">
        <v>553</v>
      </c>
      <c r="H230" s="1" t="s">
        <v>96</v>
      </c>
      <c r="I230" s="1" t="s">
        <v>96</v>
      </c>
      <c r="J230">
        <v>17.8</v>
      </c>
      <c r="K230" s="1" t="s">
        <v>96</v>
      </c>
      <c r="L230" s="1" t="s">
        <v>96</v>
      </c>
      <c r="M230" s="1" t="s">
        <v>96</v>
      </c>
      <c r="N230" s="1" t="s">
        <v>96</v>
      </c>
      <c r="O230" s="1" t="s">
        <v>96</v>
      </c>
      <c r="P230" s="1" t="s">
        <v>96</v>
      </c>
      <c r="Q230" s="1" t="s">
        <v>96</v>
      </c>
      <c r="R230" s="1" t="s">
        <v>96</v>
      </c>
      <c r="S230" s="1" t="s">
        <v>96</v>
      </c>
      <c r="T230">
        <v>3.23</v>
      </c>
      <c r="U230" s="1" t="s">
        <v>96</v>
      </c>
      <c r="V230">
        <v>35.03</v>
      </c>
      <c r="W230" t="s">
        <v>96</v>
      </c>
      <c r="X230">
        <v>88.85</v>
      </c>
      <c r="Y230" s="1" t="s">
        <v>96</v>
      </c>
      <c r="Z230" t="s">
        <v>96</v>
      </c>
      <c r="AA230">
        <v>2.8</v>
      </c>
      <c r="AB230" t="s">
        <v>133</v>
      </c>
      <c r="AC230" s="1" t="s">
        <v>96</v>
      </c>
      <c r="AD230" s="1" t="s">
        <v>96</v>
      </c>
      <c r="AE230" s="1" t="s">
        <v>96</v>
      </c>
      <c r="AF230" s="1" t="s">
        <v>96</v>
      </c>
      <c r="AG230" s="1" t="s">
        <v>96</v>
      </c>
      <c r="AH230" s="1">
        <v>6.05</v>
      </c>
      <c r="AI230">
        <v>887</v>
      </c>
      <c r="AJ230">
        <v>406.46</v>
      </c>
      <c r="AK230" s="1" t="s">
        <v>96</v>
      </c>
      <c r="AL230" s="1">
        <v>5</v>
      </c>
      <c r="AM230" t="s">
        <v>133</v>
      </c>
      <c r="AN230">
        <v>42.09</v>
      </c>
      <c r="AO230" s="1" t="s">
        <v>96</v>
      </c>
      <c r="AP230" s="1" t="s">
        <v>96</v>
      </c>
      <c r="AQ230" t="s">
        <v>96</v>
      </c>
      <c r="AR230" s="1" t="s">
        <v>96</v>
      </c>
      <c r="AS230" t="s">
        <v>133</v>
      </c>
      <c r="AT230" t="s">
        <v>96</v>
      </c>
      <c r="AU230">
        <v>309.08</v>
      </c>
      <c r="AV230" s="1" t="s">
        <v>96</v>
      </c>
      <c r="AW230" t="s">
        <v>133</v>
      </c>
      <c r="AX230" s="1" t="s">
        <v>96</v>
      </c>
      <c r="AY230" s="1" t="s">
        <v>96</v>
      </c>
      <c r="AZ230">
        <v>16.47</v>
      </c>
      <c r="BA230" s="1">
        <v>10.62</v>
      </c>
      <c r="BB230" s="1" t="s">
        <v>96</v>
      </c>
      <c r="BC230">
        <v>232.44</v>
      </c>
      <c r="BD230" t="s">
        <v>96</v>
      </c>
      <c r="BE230" s="1" t="s">
        <v>96</v>
      </c>
      <c r="BF230" s="1" t="s">
        <v>96</v>
      </c>
      <c r="BG230" t="s">
        <v>96</v>
      </c>
      <c r="BH230">
        <v>99.33</v>
      </c>
      <c r="BI230" t="s">
        <v>96</v>
      </c>
      <c r="BJ230" t="s">
        <v>96</v>
      </c>
      <c r="BK230" s="1" t="s">
        <v>96</v>
      </c>
      <c r="BL230" s="1" t="s">
        <v>96</v>
      </c>
      <c r="BM230" s="1" t="s">
        <v>96</v>
      </c>
      <c r="BN230" s="1">
        <v>15.04</v>
      </c>
      <c r="BO230" s="1">
        <v>9.4499999999999993</v>
      </c>
      <c r="BP230">
        <v>207.08</v>
      </c>
      <c r="BQ230">
        <v>14.1</v>
      </c>
      <c r="BR230" s="1">
        <v>6.73</v>
      </c>
      <c r="BS230" t="s">
        <v>96</v>
      </c>
      <c r="BT230" t="s">
        <v>96</v>
      </c>
      <c r="BU230" s="1" t="s">
        <v>96</v>
      </c>
      <c r="BV230">
        <v>112.56</v>
      </c>
      <c r="BW230" t="s">
        <v>96</v>
      </c>
      <c r="BX230" s="1" t="s">
        <v>96</v>
      </c>
    </row>
    <row r="231" spans="1:76">
      <c r="A231">
        <v>61</v>
      </c>
      <c r="B231" t="s">
        <v>278</v>
      </c>
      <c r="D231" t="b">
        <v>1</v>
      </c>
      <c r="E231" t="s">
        <v>279</v>
      </c>
      <c r="G231" t="s">
        <v>280</v>
      </c>
      <c r="H231" s="1" t="s">
        <v>96</v>
      </c>
      <c r="I231" s="1" t="s">
        <v>96</v>
      </c>
      <c r="J231">
        <v>10.83</v>
      </c>
      <c r="K231" s="1" t="s">
        <v>96</v>
      </c>
      <c r="L231" s="1" t="s">
        <v>96</v>
      </c>
      <c r="M231" s="1" t="s">
        <v>96</v>
      </c>
      <c r="N231" s="1" t="s">
        <v>96</v>
      </c>
      <c r="O231" s="1" t="s">
        <v>96</v>
      </c>
      <c r="P231" s="1" t="s">
        <v>96</v>
      </c>
      <c r="Q231" s="1" t="s">
        <v>96</v>
      </c>
      <c r="R231" s="1" t="s">
        <v>96</v>
      </c>
      <c r="S231" s="1" t="s">
        <v>96</v>
      </c>
      <c r="T231" t="s">
        <v>96</v>
      </c>
      <c r="U231" s="1" t="s">
        <v>96</v>
      </c>
      <c r="V231">
        <v>14.01</v>
      </c>
      <c r="W231" t="s">
        <v>96</v>
      </c>
      <c r="X231">
        <v>1.49</v>
      </c>
      <c r="Y231" s="1" t="s">
        <v>96</v>
      </c>
      <c r="Z231" t="s">
        <v>96</v>
      </c>
      <c r="AA231" t="s">
        <v>96</v>
      </c>
      <c r="AB231">
        <v>153.94</v>
      </c>
      <c r="AC231" s="1" t="s">
        <v>96</v>
      </c>
      <c r="AD231" s="1" t="s">
        <v>96</v>
      </c>
      <c r="AE231" s="1" t="s">
        <v>96</v>
      </c>
      <c r="AF231" s="1" t="s">
        <v>96</v>
      </c>
      <c r="AG231" s="1" t="s">
        <v>96</v>
      </c>
      <c r="AH231" s="1">
        <v>1.02</v>
      </c>
      <c r="AI231">
        <v>2106.02</v>
      </c>
      <c r="AJ231">
        <v>11.97</v>
      </c>
      <c r="AK231" s="1" t="s">
        <v>96</v>
      </c>
      <c r="AL231" s="1" t="s">
        <v>96</v>
      </c>
      <c r="AM231">
        <v>142.72</v>
      </c>
      <c r="AN231">
        <v>1.1299999999999999</v>
      </c>
      <c r="AO231" s="1" t="s">
        <v>96</v>
      </c>
      <c r="AP231" s="1" t="s">
        <v>96</v>
      </c>
      <c r="AQ231" t="s">
        <v>96</v>
      </c>
      <c r="AR231" s="1" t="s">
        <v>96</v>
      </c>
      <c r="AS231">
        <v>1050.6099999999999</v>
      </c>
      <c r="AT231" t="s">
        <v>96</v>
      </c>
      <c r="AU231">
        <v>92.57</v>
      </c>
      <c r="AV231" s="1" t="s">
        <v>96</v>
      </c>
      <c r="AW231">
        <v>920.79</v>
      </c>
      <c r="AX231" s="1" t="s">
        <v>96</v>
      </c>
      <c r="AY231" s="1" t="s">
        <v>96</v>
      </c>
      <c r="AZ231">
        <v>28.55</v>
      </c>
      <c r="BA231" s="1" t="s">
        <v>96</v>
      </c>
      <c r="BB231" s="1" t="s">
        <v>96</v>
      </c>
      <c r="BC231" t="s">
        <v>96</v>
      </c>
      <c r="BD231" t="s">
        <v>96</v>
      </c>
      <c r="BE231" s="1" t="s">
        <v>96</v>
      </c>
      <c r="BF231" s="1" t="s">
        <v>96</v>
      </c>
      <c r="BG231" t="s">
        <v>96</v>
      </c>
      <c r="BH231">
        <v>4.16</v>
      </c>
      <c r="BI231" t="s">
        <v>96</v>
      </c>
      <c r="BJ231" t="s">
        <v>96</v>
      </c>
      <c r="BK231" s="1" t="s">
        <v>96</v>
      </c>
      <c r="BL231" s="1" t="s">
        <v>96</v>
      </c>
      <c r="BM231" s="1" t="s">
        <v>96</v>
      </c>
      <c r="BN231" s="1" t="s">
        <v>96</v>
      </c>
      <c r="BO231" s="1" t="s">
        <v>96</v>
      </c>
      <c r="BP231">
        <v>161.83000000000001</v>
      </c>
      <c r="BQ231" t="s">
        <v>96</v>
      </c>
      <c r="BR231" s="1" t="s">
        <v>96</v>
      </c>
      <c r="BS231" t="s">
        <v>96</v>
      </c>
      <c r="BT231" t="s">
        <v>96</v>
      </c>
      <c r="BU231" s="1" t="s">
        <v>96</v>
      </c>
      <c r="BV231">
        <v>28.5</v>
      </c>
      <c r="BW231" t="s">
        <v>96</v>
      </c>
      <c r="BX231" s="1" t="s">
        <v>96</v>
      </c>
    </row>
    <row r="232" spans="1:76">
      <c r="A232">
        <v>159</v>
      </c>
      <c r="B232" t="s">
        <v>572</v>
      </c>
      <c r="D232" t="b">
        <v>1</v>
      </c>
      <c r="E232" t="s">
        <v>573</v>
      </c>
      <c r="G232" t="s">
        <v>574</v>
      </c>
      <c r="H232" s="1" t="s">
        <v>96</v>
      </c>
      <c r="I232" s="1" t="s">
        <v>96</v>
      </c>
      <c r="J232">
        <v>32.369999999999997</v>
      </c>
      <c r="K232" s="1" t="s">
        <v>96</v>
      </c>
      <c r="L232" s="1" t="s">
        <v>96</v>
      </c>
      <c r="M232" s="1">
        <v>8.76</v>
      </c>
      <c r="N232" s="1" t="s">
        <v>96</v>
      </c>
      <c r="O232" s="1" t="s">
        <v>96</v>
      </c>
      <c r="P232" s="1" t="s">
        <v>96</v>
      </c>
      <c r="Q232" s="1" t="s">
        <v>96</v>
      </c>
      <c r="R232" s="1" t="s">
        <v>96</v>
      </c>
      <c r="S232" s="1" t="s">
        <v>96</v>
      </c>
      <c r="T232" t="s">
        <v>96</v>
      </c>
      <c r="U232" s="1" t="s">
        <v>96</v>
      </c>
      <c r="V232">
        <v>8.2899999999999991</v>
      </c>
      <c r="W232">
        <v>10.55</v>
      </c>
      <c r="X232">
        <v>228.73</v>
      </c>
      <c r="Y232" s="1" t="s">
        <v>96</v>
      </c>
      <c r="Z232">
        <v>25.22</v>
      </c>
      <c r="AA232">
        <v>556.62</v>
      </c>
      <c r="AB232">
        <v>497.59</v>
      </c>
      <c r="AC232" s="1">
        <v>2.59</v>
      </c>
      <c r="AD232" s="1" t="s">
        <v>96</v>
      </c>
      <c r="AE232" s="1" t="s">
        <v>96</v>
      </c>
      <c r="AF232" s="1" t="s">
        <v>96</v>
      </c>
      <c r="AG232" s="1" t="s">
        <v>96</v>
      </c>
      <c r="AH232" s="1" t="s">
        <v>96</v>
      </c>
      <c r="AI232">
        <v>169.27</v>
      </c>
      <c r="AJ232">
        <v>148.38999999999999</v>
      </c>
      <c r="AK232" s="1" t="s">
        <v>96</v>
      </c>
      <c r="AL232" s="1" t="s">
        <v>96</v>
      </c>
      <c r="AM232">
        <v>399.53</v>
      </c>
      <c r="AN232">
        <v>11.44</v>
      </c>
      <c r="AO232" s="1" t="s">
        <v>96</v>
      </c>
      <c r="AP232" s="1" t="s">
        <v>96</v>
      </c>
      <c r="AQ232">
        <v>3.85</v>
      </c>
      <c r="AR232" s="1" t="s">
        <v>96</v>
      </c>
      <c r="AS232">
        <v>1006.54</v>
      </c>
      <c r="AT232">
        <v>402.73</v>
      </c>
      <c r="AU232">
        <v>223.38</v>
      </c>
      <c r="AV232" s="1" t="s">
        <v>96</v>
      </c>
      <c r="AW232">
        <v>494.95</v>
      </c>
      <c r="AX232" s="1" t="s">
        <v>96</v>
      </c>
      <c r="AY232" s="1" t="s">
        <v>96</v>
      </c>
      <c r="AZ232">
        <v>12.86</v>
      </c>
      <c r="BA232" s="1">
        <v>8.67</v>
      </c>
      <c r="BB232" s="1" t="s">
        <v>96</v>
      </c>
      <c r="BC232">
        <v>82.17</v>
      </c>
      <c r="BD232">
        <v>26.81</v>
      </c>
      <c r="BE232" s="1" t="s">
        <v>96</v>
      </c>
      <c r="BF232" s="1" t="s">
        <v>96</v>
      </c>
      <c r="BG232">
        <v>2.69</v>
      </c>
      <c r="BH232">
        <v>36.56</v>
      </c>
      <c r="BI232">
        <v>54.46</v>
      </c>
      <c r="BJ232">
        <v>5.42</v>
      </c>
      <c r="BK232" s="1" t="s">
        <v>96</v>
      </c>
      <c r="BL232" s="1" t="s">
        <v>96</v>
      </c>
      <c r="BM232" s="1" t="s">
        <v>96</v>
      </c>
      <c r="BN232" s="1" t="s">
        <v>96</v>
      </c>
      <c r="BO232" s="1">
        <v>17.11</v>
      </c>
      <c r="BP232">
        <v>99.28</v>
      </c>
      <c r="BQ232">
        <v>15.25</v>
      </c>
      <c r="BR232" s="1" t="s">
        <v>96</v>
      </c>
      <c r="BS232">
        <v>360.94</v>
      </c>
      <c r="BT232">
        <v>14.33</v>
      </c>
      <c r="BU232" s="1">
        <v>10.130000000000001</v>
      </c>
      <c r="BV232">
        <v>69.06</v>
      </c>
      <c r="BW232">
        <v>109.81</v>
      </c>
      <c r="BX232" s="1" t="s">
        <v>96</v>
      </c>
    </row>
    <row r="233" spans="1:76">
      <c r="A233">
        <v>31</v>
      </c>
      <c r="B233" t="s">
        <v>188</v>
      </c>
      <c r="D233" t="b">
        <v>1</v>
      </c>
      <c r="E233" t="s">
        <v>189</v>
      </c>
      <c r="G233" t="s">
        <v>190</v>
      </c>
      <c r="H233" s="1" t="s">
        <v>96</v>
      </c>
      <c r="I233" s="1" t="s">
        <v>96</v>
      </c>
      <c r="J233">
        <v>14.52</v>
      </c>
      <c r="K233" s="1" t="s">
        <v>96</v>
      </c>
      <c r="L233" s="1" t="s">
        <v>96</v>
      </c>
      <c r="M233" s="1" t="s">
        <v>96</v>
      </c>
      <c r="N233" s="1" t="s">
        <v>96</v>
      </c>
      <c r="O233" s="1" t="s">
        <v>96</v>
      </c>
      <c r="P233" s="1" t="s">
        <v>96</v>
      </c>
      <c r="Q233" s="1" t="s">
        <v>96</v>
      </c>
      <c r="R233" s="1" t="s">
        <v>96</v>
      </c>
      <c r="S233" s="1" t="s">
        <v>96</v>
      </c>
      <c r="T233" t="s">
        <v>96</v>
      </c>
      <c r="U233" s="1" t="s">
        <v>96</v>
      </c>
      <c r="V233">
        <v>1.53</v>
      </c>
      <c r="W233">
        <v>1.58</v>
      </c>
      <c r="X233">
        <v>14.07</v>
      </c>
      <c r="Y233" s="1" t="s">
        <v>96</v>
      </c>
      <c r="Z233" t="s">
        <v>96</v>
      </c>
      <c r="AA233">
        <v>49.01</v>
      </c>
      <c r="AB233">
        <v>55.61</v>
      </c>
      <c r="AC233" s="1" t="s">
        <v>96</v>
      </c>
      <c r="AD233" s="1" t="s">
        <v>96</v>
      </c>
      <c r="AE233" s="1" t="s">
        <v>96</v>
      </c>
      <c r="AF233" s="1" t="s">
        <v>96</v>
      </c>
      <c r="AG233" s="1" t="s">
        <v>96</v>
      </c>
      <c r="AH233" s="1" t="s">
        <v>96</v>
      </c>
      <c r="AI233" t="s">
        <v>96</v>
      </c>
      <c r="AJ233">
        <v>7.59</v>
      </c>
      <c r="AK233" s="1" t="s">
        <v>96</v>
      </c>
      <c r="AL233" s="1" t="s">
        <v>96</v>
      </c>
      <c r="AM233">
        <v>21.44</v>
      </c>
      <c r="AN233" t="s">
        <v>96</v>
      </c>
      <c r="AO233" s="1" t="s">
        <v>96</v>
      </c>
      <c r="AP233" s="1" t="s">
        <v>96</v>
      </c>
      <c r="AQ233" t="s">
        <v>96</v>
      </c>
      <c r="AR233" s="1" t="s">
        <v>96</v>
      </c>
      <c r="AS233">
        <v>1329.03</v>
      </c>
      <c r="AT233">
        <v>303.51</v>
      </c>
      <c r="AU233">
        <v>72.349999999999994</v>
      </c>
      <c r="AV233" s="1" t="s">
        <v>96</v>
      </c>
      <c r="AW233">
        <v>422.2</v>
      </c>
      <c r="AX233" s="1" t="s">
        <v>96</v>
      </c>
      <c r="AY233" s="1">
        <v>3.62</v>
      </c>
      <c r="AZ233">
        <v>21.36</v>
      </c>
      <c r="BA233" s="1">
        <v>13.9</v>
      </c>
      <c r="BB233" s="1" t="s">
        <v>96</v>
      </c>
      <c r="BC233">
        <v>497.03</v>
      </c>
      <c r="BD233">
        <v>184.5</v>
      </c>
      <c r="BE233" s="1" t="s">
        <v>96</v>
      </c>
      <c r="BF233" s="1">
        <v>16.28</v>
      </c>
      <c r="BG233">
        <v>9.0299999999999994</v>
      </c>
      <c r="BH233">
        <v>198.37</v>
      </c>
      <c r="BI233">
        <v>166.17</v>
      </c>
      <c r="BJ233" t="s">
        <v>96</v>
      </c>
      <c r="BK233" s="1" t="s">
        <v>96</v>
      </c>
      <c r="BL233" s="1" t="s">
        <v>96</v>
      </c>
      <c r="BM233" s="1" t="s">
        <v>96</v>
      </c>
      <c r="BN233" s="1" t="s">
        <v>96</v>
      </c>
      <c r="BO233" s="1" t="s">
        <v>96</v>
      </c>
      <c r="BP233">
        <v>73.8</v>
      </c>
      <c r="BQ233">
        <v>43.06</v>
      </c>
      <c r="BR233" s="1" t="s">
        <v>96</v>
      </c>
      <c r="BS233">
        <v>127.1</v>
      </c>
      <c r="BT233">
        <v>50.4</v>
      </c>
      <c r="BU233" s="1" t="s">
        <v>96</v>
      </c>
      <c r="BV233">
        <v>8.2100000000000009</v>
      </c>
      <c r="BW233">
        <v>56.69</v>
      </c>
      <c r="BX233" s="1" t="s">
        <v>96</v>
      </c>
    </row>
    <row r="234" spans="1:76">
      <c r="A234">
        <v>144</v>
      </c>
      <c r="B234" t="s">
        <v>527</v>
      </c>
      <c r="D234" t="b">
        <v>1</v>
      </c>
      <c r="E234" t="s">
        <v>528</v>
      </c>
      <c r="G234" t="s">
        <v>529</v>
      </c>
      <c r="H234" s="1" t="s">
        <v>96</v>
      </c>
      <c r="I234" s="1" t="s">
        <v>96</v>
      </c>
      <c r="J234">
        <v>27.1</v>
      </c>
      <c r="K234" s="1" t="s">
        <v>96</v>
      </c>
      <c r="L234" s="1">
        <v>15.37</v>
      </c>
      <c r="M234" s="1">
        <v>8.11</v>
      </c>
      <c r="N234" s="1" t="s">
        <v>96</v>
      </c>
      <c r="O234" s="1" t="s">
        <v>96</v>
      </c>
      <c r="P234" s="1" t="s">
        <v>96</v>
      </c>
      <c r="Q234" s="1" t="s">
        <v>96</v>
      </c>
      <c r="R234" s="1" t="s">
        <v>96</v>
      </c>
      <c r="S234" s="1" t="s">
        <v>96</v>
      </c>
      <c r="T234">
        <v>1.75</v>
      </c>
      <c r="U234" s="1" t="s">
        <v>96</v>
      </c>
      <c r="V234">
        <v>9.56</v>
      </c>
      <c r="W234">
        <v>38.64</v>
      </c>
      <c r="X234">
        <v>240.11</v>
      </c>
      <c r="Y234" s="1" t="s">
        <v>96</v>
      </c>
      <c r="Z234">
        <v>30.24</v>
      </c>
      <c r="AA234">
        <v>395.03</v>
      </c>
      <c r="AB234">
        <v>104.02</v>
      </c>
      <c r="AC234" s="1" t="s">
        <v>96</v>
      </c>
      <c r="AD234" s="1" t="s">
        <v>96</v>
      </c>
      <c r="AE234" s="1" t="s">
        <v>96</v>
      </c>
      <c r="AF234" s="1" t="s">
        <v>96</v>
      </c>
      <c r="AG234" s="1" t="s">
        <v>96</v>
      </c>
      <c r="AH234" s="1">
        <v>1.57</v>
      </c>
      <c r="AI234" t="s">
        <v>96</v>
      </c>
      <c r="AJ234">
        <v>52.07</v>
      </c>
      <c r="AK234" s="1">
        <v>1.85</v>
      </c>
      <c r="AL234" s="1" t="s">
        <v>96</v>
      </c>
      <c r="AM234">
        <v>58.92</v>
      </c>
      <c r="AN234">
        <v>2.71</v>
      </c>
      <c r="AO234" s="1" t="s">
        <v>96</v>
      </c>
      <c r="AP234" s="1" t="s">
        <v>96</v>
      </c>
      <c r="AQ234">
        <v>34.770000000000003</v>
      </c>
      <c r="AR234" s="1">
        <v>2.59</v>
      </c>
      <c r="AS234" t="s">
        <v>133</v>
      </c>
      <c r="AT234" t="s">
        <v>133</v>
      </c>
      <c r="AU234">
        <v>245.38</v>
      </c>
      <c r="AV234" s="1" t="s">
        <v>96</v>
      </c>
      <c r="AW234" t="s">
        <v>133</v>
      </c>
      <c r="AX234" s="1" t="s">
        <v>96</v>
      </c>
      <c r="AY234" s="1">
        <v>14.57</v>
      </c>
      <c r="AZ234">
        <v>25.07</v>
      </c>
      <c r="BA234" s="1">
        <v>18.12</v>
      </c>
      <c r="BB234" s="1" t="s">
        <v>96</v>
      </c>
      <c r="BC234">
        <v>703.33</v>
      </c>
      <c r="BD234">
        <v>407.33</v>
      </c>
      <c r="BE234" s="1" t="s">
        <v>96</v>
      </c>
      <c r="BF234" s="1" t="s">
        <v>96</v>
      </c>
      <c r="BG234" t="s">
        <v>96</v>
      </c>
      <c r="BH234">
        <v>934.19</v>
      </c>
      <c r="BI234">
        <v>48.23</v>
      </c>
      <c r="BJ234">
        <v>5.97</v>
      </c>
      <c r="BK234" s="1" t="s">
        <v>96</v>
      </c>
      <c r="BL234" s="1" t="s">
        <v>96</v>
      </c>
      <c r="BM234" s="1" t="s">
        <v>96</v>
      </c>
      <c r="BN234" s="1" t="s">
        <v>96</v>
      </c>
      <c r="BO234" s="1">
        <v>16.37</v>
      </c>
      <c r="BP234">
        <v>118.12</v>
      </c>
      <c r="BQ234">
        <v>5.96</v>
      </c>
      <c r="BR234" s="1" t="s">
        <v>96</v>
      </c>
      <c r="BS234">
        <v>608.11</v>
      </c>
      <c r="BT234">
        <v>15.92</v>
      </c>
      <c r="BU234" s="1" t="s">
        <v>96</v>
      </c>
      <c r="BV234">
        <v>25.1</v>
      </c>
      <c r="BW234">
        <v>157.11000000000001</v>
      </c>
      <c r="BX234" s="1" t="s">
        <v>96</v>
      </c>
    </row>
    <row r="235" spans="1:76">
      <c r="A235">
        <v>19</v>
      </c>
      <c r="B235" t="s">
        <v>152</v>
      </c>
      <c r="D235" t="b">
        <v>1</v>
      </c>
      <c r="E235" t="s">
        <v>153</v>
      </c>
      <c r="G235" t="s">
        <v>154</v>
      </c>
      <c r="H235" s="1" t="s">
        <v>96</v>
      </c>
      <c r="I235" s="1" t="s">
        <v>96</v>
      </c>
      <c r="J235">
        <v>26.89</v>
      </c>
      <c r="K235" s="1" t="s">
        <v>96</v>
      </c>
      <c r="L235" s="1" t="s">
        <v>96</v>
      </c>
      <c r="M235" s="1" t="s">
        <v>96</v>
      </c>
      <c r="N235" s="1" t="s">
        <v>96</v>
      </c>
      <c r="O235" s="1" t="s">
        <v>96</v>
      </c>
      <c r="P235" s="1" t="s">
        <v>96</v>
      </c>
      <c r="Q235" s="1" t="s">
        <v>96</v>
      </c>
      <c r="R235" s="1" t="s">
        <v>96</v>
      </c>
      <c r="S235" s="1" t="s">
        <v>96</v>
      </c>
      <c r="T235" t="s">
        <v>96</v>
      </c>
      <c r="U235" s="1" t="s">
        <v>96</v>
      </c>
      <c r="V235">
        <v>10.44</v>
      </c>
      <c r="W235">
        <v>7.7</v>
      </c>
      <c r="X235">
        <v>205.69</v>
      </c>
      <c r="Y235" s="1" t="s">
        <v>96</v>
      </c>
      <c r="Z235">
        <v>10.130000000000001</v>
      </c>
      <c r="AA235">
        <v>185.24</v>
      </c>
      <c r="AB235">
        <v>97.97</v>
      </c>
      <c r="AC235" s="1" t="s">
        <v>96</v>
      </c>
      <c r="AD235" s="1" t="s">
        <v>96</v>
      </c>
      <c r="AE235" s="1" t="s">
        <v>96</v>
      </c>
      <c r="AF235" s="1" t="s">
        <v>96</v>
      </c>
      <c r="AG235" s="1" t="s">
        <v>96</v>
      </c>
      <c r="AH235" s="1" t="s">
        <v>96</v>
      </c>
      <c r="AI235">
        <v>377.96</v>
      </c>
      <c r="AJ235">
        <v>75.930000000000007</v>
      </c>
      <c r="AK235" s="1" t="s">
        <v>96</v>
      </c>
      <c r="AL235" s="1" t="s">
        <v>96</v>
      </c>
      <c r="AM235">
        <v>51.33</v>
      </c>
      <c r="AN235">
        <v>11.46</v>
      </c>
      <c r="AO235" s="1" t="s">
        <v>96</v>
      </c>
      <c r="AP235" s="1" t="s">
        <v>96</v>
      </c>
      <c r="AQ235">
        <v>3.1</v>
      </c>
      <c r="AR235" s="1" t="s">
        <v>96</v>
      </c>
      <c r="AS235">
        <v>164.96</v>
      </c>
      <c r="AT235">
        <v>69.849999999999994</v>
      </c>
      <c r="AU235">
        <v>41.15</v>
      </c>
      <c r="AV235" s="1" t="s">
        <v>96</v>
      </c>
      <c r="AW235">
        <v>36.33</v>
      </c>
      <c r="AX235" s="1" t="s">
        <v>96</v>
      </c>
      <c r="AY235" s="1" t="s">
        <v>96</v>
      </c>
      <c r="AZ235">
        <v>10.86</v>
      </c>
      <c r="BA235" s="1" t="s">
        <v>96</v>
      </c>
      <c r="BB235" s="1" t="s">
        <v>96</v>
      </c>
      <c r="BC235">
        <v>16.72</v>
      </c>
      <c r="BD235">
        <v>6.68</v>
      </c>
      <c r="BE235" s="1" t="s">
        <v>96</v>
      </c>
      <c r="BF235" s="1" t="s">
        <v>96</v>
      </c>
      <c r="BG235">
        <v>3.32</v>
      </c>
      <c r="BH235">
        <v>3.35</v>
      </c>
      <c r="BI235">
        <v>69.66</v>
      </c>
      <c r="BJ235">
        <v>4.62</v>
      </c>
      <c r="BK235" s="1" t="s">
        <v>96</v>
      </c>
      <c r="BL235" s="1" t="s">
        <v>96</v>
      </c>
      <c r="BM235" s="1">
        <v>10.31</v>
      </c>
      <c r="BN235" s="1">
        <v>5</v>
      </c>
      <c r="BO235" s="1">
        <v>6.64</v>
      </c>
      <c r="BP235">
        <v>99.4</v>
      </c>
      <c r="BQ235">
        <v>22.02</v>
      </c>
      <c r="BR235" s="1" t="s">
        <v>96</v>
      </c>
      <c r="BS235">
        <v>239.4</v>
      </c>
      <c r="BT235">
        <v>34.79</v>
      </c>
      <c r="BU235" s="1" t="s">
        <v>96</v>
      </c>
      <c r="BV235">
        <v>32.94</v>
      </c>
      <c r="BW235">
        <v>118.97</v>
      </c>
      <c r="BX235" s="1" t="s">
        <v>96</v>
      </c>
    </row>
    <row r="236" spans="1:76">
      <c r="A236">
        <v>146</v>
      </c>
      <c r="B236" t="s">
        <v>533</v>
      </c>
      <c r="D236" t="b">
        <v>1</v>
      </c>
      <c r="E236" t="s">
        <v>534</v>
      </c>
      <c r="G236" t="s">
        <v>535</v>
      </c>
      <c r="H236" s="1" t="s">
        <v>96</v>
      </c>
      <c r="I236" s="1" t="s">
        <v>96</v>
      </c>
      <c r="J236">
        <v>11.82</v>
      </c>
      <c r="K236" s="1" t="s">
        <v>96</v>
      </c>
      <c r="L236" s="1" t="s">
        <v>96</v>
      </c>
      <c r="M236" s="1">
        <v>6.36</v>
      </c>
      <c r="N236" s="1" t="s">
        <v>96</v>
      </c>
      <c r="O236" s="1" t="s">
        <v>96</v>
      </c>
      <c r="P236" s="1" t="s">
        <v>96</v>
      </c>
      <c r="Q236" s="1" t="s">
        <v>96</v>
      </c>
      <c r="R236" s="1" t="s">
        <v>96</v>
      </c>
      <c r="S236" s="1" t="s">
        <v>96</v>
      </c>
      <c r="T236">
        <v>1.27</v>
      </c>
      <c r="U236" s="1" t="s">
        <v>96</v>
      </c>
      <c r="V236">
        <v>1.94</v>
      </c>
      <c r="W236">
        <v>2.73</v>
      </c>
      <c r="X236">
        <v>354.57</v>
      </c>
      <c r="Y236" s="1" t="s">
        <v>96</v>
      </c>
      <c r="Z236">
        <v>20.74</v>
      </c>
      <c r="AA236">
        <v>150.93</v>
      </c>
      <c r="AB236">
        <v>89.37</v>
      </c>
      <c r="AC236" s="1">
        <v>2.66</v>
      </c>
      <c r="AD236" s="1">
        <v>1.39</v>
      </c>
      <c r="AE236" s="1" t="s">
        <v>96</v>
      </c>
      <c r="AF236" s="1" t="s">
        <v>96</v>
      </c>
      <c r="AG236" s="1" t="s">
        <v>96</v>
      </c>
      <c r="AH236" s="1" t="s">
        <v>96</v>
      </c>
      <c r="AI236" t="s">
        <v>96</v>
      </c>
      <c r="AJ236">
        <v>33.75</v>
      </c>
      <c r="AK236" s="1">
        <v>2.2799999999999998</v>
      </c>
      <c r="AL236" s="1" t="s">
        <v>96</v>
      </c>
      <c r="AM236">
        <v>3.29</v>
      </c>
      <c r="AN236">
        <v>1.35</v>
      </c>
      <c r="AO236" s="1" t="s">
        <v>96</v>
      </c>
      <c r="AP236" s="1" t="s">
        <v>96</v>
      </c>
      <c r="AQ236" t="s">
        <v>96</v>
      </c>
      <c r="AR236" s="1" t="s">
        <v>96</v>
      </c>
      <c r="AS236">
        <v>130.19</v>
      </c>
      <c r="AT236">
        <v>49.3</v>
      </c>
      <c r="AU236">
        <v>26.23</v>
      </c>
      <c r="AV236" s="1" t="s">
        <v>96</v>
      </c>
      <c r="AW236">
        <v>35.79</v>
      </c>
      <c r="AX236" s="1" t="s">
        <v>96</v>
      </c>
      <c r="AY236" s="1" t="s">
        <v>96</v>
      </c>
      <c r="AZ236">
        <v>9.75</v>
      </c>
      <c r="BA236" s="1">
        <v>2.9</v>
      </c>
      <c r="BB236" s="1" t="s">
        <v>96</v>
      </c>
      <c r="BC236">
        <v>38.53</v>
      </c>
      <c r="BD236">
        <v>16.98</v>
      </c>
      <c r="BE236" s="1" t="s">
        <v>96</v>
      </c>
      <c r="BF236" s="1" t="s">
        <v>96</v>
      </c>
      <c r="BG236">
        <v>2.72</v>
      </c>
      <c r="BH236">
        <v>8.19</v>
      </c>
      <c r="BI236">
        <v>236.14</v>
      </c>
      <c r="BJ236">
        <v>5.79</v>
      </c>
      <c r="BK236" s="1" t="s">
        <v>96</v>
      </c>
      <c r="BL236" s="1" t="s">
        <v>96</v>
      </c>
      <c r="BM236" s="1" t="s">
        <v>96</v>
      </c>
      <c r="BN236" s="1" t="s">
        <v>96</v>
      </c>
      <c r="BO236" s="1">
        <v>13.19</v>
      </c>
      <c r="BP236">
        <v>84.83</v>
      </c>
      <c r="BQ236">
        <v>29.59</v>
      </c>
      <c r="BR236" s="1" t="s">
        <v>96</v>
      </c>
      <c r="BS236">
        <v>575.23</v>
      </c>
      <c r="BT236">
        <v>81.38</v>
      </c>
      <c r="BU236" s="1">
        <v>10.210000000000001</v>
      </c>
      <c r="BV236">
        <v>25.29</v>
      </c>
      <c r="BW236">
        <v>155.94</v>
      </c>
      <c r="BX236" s="1" t="s">
        <v>96</v>
      </c>
    </row>
    <row r="237" spans="1:76">
      <c r="A237">
        <v>11</v>
      </c>
      <c r="B237" t="s">
        <v>127</v>
      </c>
      <c r="D237" t="b">
        <v>1</v>
      </c>
      <c r="E237" t="s">
        <v>128</v>
      </c>
      <c r="G237" t="s">
        <v>129</v>
      </c>
      <c r="H237" s="1" t="s">
        <v>96</v>
      </c>
      <c r="I237" s="1" t="s">
        <v>96</v>
      </c>
      <c r="J237">
        <v>28.65</v>
      </c>
      <c r="K237" s="1" t="s">
        <v>96</v>
      </c>
      <c r="L237" s="1">
        <v>14.16</v>
      </c>
      <c r="M237" s="1">
        <v>14.42</v>
      </c>
      <c r="N237" s="1" t="s">
        <v>96</v>
      </c>
      <c r="O237" s="1" t="s">
        <v>96</v>
      </c>
      <c r="P237" s="1" t="s">
        <v>96</v>
      </c>
      <c r="Q237" s="1" t="s">
        <v>96</v>
      </c>
      <c r="R237" s="1" t="s">
        <v>96</v>
      </c>
      <c r="S237" s="1" t="s">
        <v>96</v>
      </c>
      <c r="T237" t="s">
        <v>96</v>
      </c>
      <c r="U237" s="1" t="s">
        <v>96</v>
      </c>
      <c r="V237" t="s">
        <v>96</v>
      </c>
      <c r="W237">
        <v>4.25</v>
      </c>
      <c r="X237">
        <v>94.17</v>
      </c>
      <c r="Y237" s="1" t="s">
        <v>96</v>
      </c>
      <c r="Z237">
        <v>19.13</v>
      </c>
      <c r="AA237">
        <v>84.94</v>
      </c>
      <c r="AB237">
        <v>15.68</v>
      </c>
      <c r="AC237" s="1" t="s">
        <v>96</v>
      </c>
      <c r="AD237" s="1">
        <v>3.04</v>
      </c>
      <c r="AE237" s="1" t="s">
        <v>96</v>
      </c>
      <c r="AF237" s="1" t="s">
        <v>96</v>
      </c>
      <c r="AG237" s="1" t="s">
        <v>96</v>
      </c>
      <c r="AH237" s="1" t="s">
        <v>96</v>
      </c>
      <c r="AI237">
        <v>250.95</v>
      </c>
      <c r="AJ237">
        <v>28.81</v>
      </c>
      <c r="AK237" s="1">
        <v>1.08</v>
      </c>
      <c r="AL237" s="1">
        <v>5.35</v>
      </c>
      <c r="AM237">
        <v>6.36</v>
      </c>
      <c r="AN237">
        <v>1.03</v>
      </c>
      <c r="AO237" s="1" t="s">
        <v>96</v>
      </c>
      <c r="AP237" s="1" t="s">
        <v>96</v>
      </c>
      <c r="AQ237">
        <v>7.32</v>
      </c>
      <c r="AR237" s="1" t="s">
        <v>96</v>
      </c>
      <c r="AS237">
        <v>475.57</v>
      </c>
      <c r="AT237">
        <v>232.8</v>
      </c>
      <c r="AU237">
        <v>50.82</v>
      </c>
      <c r="AV237" s="1" t="s">
        <v>96</v>
      </c>
      <c r="AW237">
        <v>96.99</v>
      </c>
      <c r="AX237" s="1" t="s">
        <v>96</v>
      </c>
      <c r="AY237" s="1">
        <v>13.75</v>
      </c>
      <c r="AZ237">
        <v>4.03</v>
      </c>
      <c r="BA237" s="1">
        <v>5.85</v>
      </c>
      <c r="BB237" s="1" t="s">
        <v>96</v>
      </c>
      <c r="BC237">
        <v>151.69999999999999</v>
      </c>
      <c r="BD237">
        <v>105.36</v>
      </c>
      <c r="BE237" s="1" t="s">
        <v>96</v>
      </c>
      <c r="BF237" s="1" t="s">
        <v>96</v>
      </c>
      <c r="BG237">
        <v>2.96</v>
      </c>
      <c r="BH237">
        <v>59.94</v>
      </c>
      <c r="BI237">
        <v>198.58</v>
      </c>
      <c r="BJ237">
        <v>3.47</v>
      </c>
      <c r="BK237" s="1" t="s">
        <v>96</v>
      </c>
      <c r="BL237" s="1" t="s">
        <v>96</v>
      </c>
      <c r="BM237" s="1" t="s">
        <v>96</v>
      </c>
      <c r="BN237" s="1" t="s">
        <v>96</v>
      </c>
      <c r="BO237" s="1">
        <v>10.24</v>
      </c>
      <c r="BP237">
        <v>29.92</v>
      </c>
      <c r="BQ237">
        <v>11.55</v>
      </c>
      <c r="BR237" s="1" t="s">
        <v>96</v>
      </c>
      <c r="BS237">
        <v>191.7</v>
      </c>
      <c r="BT237">
        <v>50.76</v>
      </c>
      <c r="BU237" s="1" t="s">
        <v>96</v>
      </c>
      <c r="BV237">
        <v>8.5299999999999994</v>
      </c>
      <c r="BW237">
        <v>77.180000000000007</v>
      </c>
      <c r="BX237" s="1" t="s">
        <v>96</v>
      </c>
    </row>
    <row r="238" spans="1:76">
      <c r="A238">
        <v>176</v>
      </c>
      <c r="B238" t="s">
        <v>623</v>
      </c>
      <c r="D238" t="b">
        <v>1</v>
      </c>
      <c r="E238" t="s">
        <v>624</v>
      </c>
      <c r="G238" t="s">
        <v>625</v>
      </c>
      <c r="H238" s="1" t="s">
        <v>96</v>
      </c>
      <c r="I238" s="1" t="s">
        <v>96</v>
      </c>
      <c r="J238">
        <v>18.059999999999999</v>
      </c>
      <c r="K238" s="1" t="s">
        <v>96</v>
      </c>
      <c r="L238" s="1" t="s">
        <v>96</v>
      </c>
      <c r="M238" s="1">
        <v>13.8</v>
      </c>
      <c r="N238" s="1" t="s">
        <v>96</v>
      </c>
      <c r="O238" s="1" t="s">
        <v>96</v>
      </c>
      <c r="P238" s="1" t="s">
        <v>96</v>
      </c>
      <c r="Q238" s="1" t="s">
        <v>96</v>
      </c>
      <c r="R238" s="1" t="s">
        <v>96</v>
      </c>
      <c r="S238" s="1" t="s">
        <v>96</v>
      </c>
      <c r="T238" t="s">
        <v>96</v>
      </c>
      <c r="U238" s="1" t="s">
        <v>96</v>
      </c>
      <c r="V238" t="s">
        <v>96</v>
      </c>
      <c r="W238">
        <v>9.51</v>
      </c>
      <c r="X238">
        <v>23.15</v>
      </c>
      <c r="Y238" s="1" t="s">
        <v>96</v>
      </c>
      <c r="Z238">
        <v>74.900000000000006</v>
      </c>
      <c r="AA238">
        <v>344.54</v>
      </c>
      <c r="AB238">
        <v>45.88</v>
      </c>
      <c r="AC238" s="1">
        <v>2.76</v>
      </c>
      <c r="AD238" s="1">
        <v>8.18</v>
      </c>
      <c r="AE238" s="1" t="s">
        <v>96</v>
      </c>
      <c r="AF238" s="1" t="s">
        <v>96</v>
      </c>
      <c r="AG238" s="1" t="s">
        <v>96</v>
      </c>
      <c r="AH238" s="1" t="s">
        <v>96</v>
      </c>
      <c r="AI238" t="s">
        <v>96</v>
      </c>
      <c r="AJ238">
        <v>29.79</v>
      </c>
      <c r="AK238" s="1" t="s">
        <v>96</v>
      </c>
      <c r="AL238" s="1">
        <v>1.29</v>
      </c>
      <c r="AM238">
        <v>104.62</v>
      </c>
      <c r="AN238">
        <v>6.78</v>
      </c>
      <c r="AO238" s="1" t="s">
        <v>96</v>
      </c>
      <c r="AP238" s="1" t="s">
        <v>96</v>
      </c>
      <c r="AQ238">
        <v>6.25</v>
      </c>
      <c r="AR238" s="1" t="s">
        <v>96</v>
      </c>
      <c r="AS238">
        <v>283.5</v>
      </c>
      <c r="AT238">
        <v>161.94999999999999</v>
      </c>
      <c r="AU238">
        <v>12.82</v>
      </c>
      <c r="AV238" s="1" t="s">
        <v>96</v>
      </c>
      <c r="AW238">
        <v>113.17</v>
      </c>
      <c r="AX238" s="1" t="s">
        <v>96</v>
      </c>
      <c r="AY238" s="1" t="s">
        <v>96</v>
      </c>
      <c r="AZ238">
        <v>12.21</v>
      </c>
      <c r="BA238" s="1" t="s">
        <v>96</v>
      </c>
      <c r="BB238" s="1" t="s">
        <v>96</v>
      </c>
      <c r="BC238">
        <v>33.29</v>
      </c>
      <c r="BD238">
        <v>26.41</v>
      </c>
      <c r="BE238" s="1" t="s">
        <v>96</v>
      </c>
      <c r="BF238" s="1" t="s">
        <v>96</v>
      </c>
      <c r="BG238">
        <v>2.76</v>
      </c>
      <c r="BH238">
        <v>16.73</v>
      </c>
      <c r="BI238">
        <v>144.18</v>
      </c>
      <c r="BJ238">
        <v>6.03</v>
      </c>
      <c r="BK238" s="1" t="s">
        <v>96</v>
      </c>
      <c r="BL238" s="1" t="s">
        <v>96</v>
      </c>
      <c r="BM238" s="1" t="s">
        <v>96</v>
      </c>
      <c r="BN238" s="1" t="s">
        <v>96</v>
      </c>
      <c r="BO238" s="1">
        <v>24.17</v>
      </c>
      <c r="BP238">
        <v>90.23</v>
      </c>
      <c r="BQ238">
        <v>19.11</v>
      </c>
      <c r="BR238" s="1" t="s">
        <v>96</v>
      </c>
      <c r="BS238">
        <v>467.16</v>
      </c>
      <c r="BT238">
        <v>64.319999999999993</v>
      </c>
      <c r="BU238" s="1" t="s">
        <v>96</v>
      </c>
      <c r="BV238">
        <v>6.58</v>
      </c>
      <c r="BW238">
        <v>226.19</v>
      </c>
      <c r="BX238" s="1" t="s">
        <v>96</v>
      </c>
    </row>
    <row r="239" spans="1:76">
      <c r="A239">
        <v>224</v>
      </c>
      <c r="B239" t="s">
        <v>767</v>
      </c>
      <c r="D239" t="b">
        <v>1</v>
      </c>
      <c r="E239" t="s">
        <v>768</v>
      </c>
      <c r="G239" t="s">
        <v>769</v>
      </c>
      <c r="H239" s="1" t="s">
        <v>96</v>
      </c>
      <c r="I239" s="1" t="s">
        <v>96</v>
      </c>
      <c r="J239">
        <v>24.14</v>
      </c>
      <c r="K239" s="1" t="s">
        <v>96</v>
      </c>
      <c r="L239" s="1" t="s">
        <v>96</v>
      </c>
      <c r="M239" s="1">
        <v>20.87</v>
      </c>
      <c r="N239" s="1" t="s">
        <v>96</v>
      </c>
      <c r="O239" s="1" t="s">
        <v>96</v>
      </c>
      <c r="P239" s="1" t="s">
        <v>96</v>
      </c>
      <c r="Q239" s="1" t="s">
        <v>96</v>
      </c>
      <c r="R239" s="1" t="s">
        <v>96</v>
      </c>
      <c r="S239" s="1" t="s">
        <v>96</v>
      </c>
      <c r="T239" t="s">
        <v>96</v>
      </c>
      <c r="U239" s="1" t="s">
        <v>96</v>
      </c>
      <c r="V239">
        <v>7.77</v>
      </c>
      <c r="W239">
        <v>10.47</v>
      </c>
      <c r="X239">
        <v>60.43</v>
      </c>
      <c r="Y239" s="1" t="s">
        <v>96</v>
      </c>
      <c r="Z239">
        <v>32.92</v>
      </c>
      <c r="AA239">
        <v>270.36</v>
      </c>
      <c r="AB239">
        <v>136.68</v>
      </c>
      <c r="AC239" s="1">
        <v>3.95</v>
      </c>
      <c r="AD239" s="1">
        <v>1.86</v>
      </c>
      <c r="AE239" s="1" t="s">
        <v>96</v>
      </c>
      <c r="AF239" s="1" t="s">
        <v>96</v>
      </c>
      <c r="AG239" s="1" t="s">
        <v>96</v>
      </c>
      <c r="AH239" s="1" t="s">
        <v>96</v>
      </c>
      <c r="AI239">
        <v>240.19</v>
      </c>
      <c r="AJ239">
        <v>41.06</v>
      </c>
      <c r="AK239" s="1" t="s">
        <v>96</v>
      </c>
      <c r="AL239" s="1">
        <v>3.36</v>
      </c>
      <c r="AM239">
        <v>260.39999999999998</v>
      </c>
      <c r="AN239">
        <v>7.97</v>
      </c>
      <c r="AO239" s="1" t="s">
        <v>96</v>
      </c>
      <c r="AP239" s="1" t="s">
        <v>96</v>
      </c>
      <c r="AQ239">
        <v>3.78</v>
      </c>
      <c r="AR239" s="1" t="s">
        <v>96</v>
      </c>
      <c r="AS239">
        <v>1545.03</v>
      </c>
      <c r="AT239">
        <v>677.17</v>
      </c>
      <c r="AU239">
        <v>64.3</v>
      </c>
      <c r="AV239" s="1" t="s">
        <v>96</v>
      </c>
      <c r="AW239">
        <v>910.33</v>
      </c>
      <c r="AX239" s="1" t="s">
        <v>96</v>
      </c>
      <c r="AY239" s="1">
        <v>5.83</v>
      </c>
      <c r="AZ239">
        <v>16.489999999999998</v>
      </c>
      <c r="BA239" s="1">
        <v>3.25</v>
      </c>
      <c r="BB239" s="1" t="s">
        <v>96</v>
      </c>
      <c r="BC239">
        <v>168.63</v>
      </c>
      <c r="BD239">
        <v>99.87</v>
      </c>
      <c r="BE239" s="1" t="s">
        <v>96</v>
      </c>
      <c r="BF239" s="1" t="s">
        <v>96</v>
      </c>
      <c r="BG239">
        <v>4.66</v>
      </c>
      <c r="BH239">
        <v>133.44999999999999</v>
      </c>
      <c r="BI239">
        <v>155.33000000000001</v>
      </c>
      <c r="BJ239">
        <v>12.65</v>
      </c>
      <c r="BK239" s="1" t="s">
        <v>96</v>
      </c>
      <c r="BL239" s="1" t="s">
        <v>96</v>
      </c>
      <c r="BM239" s="1" t="s">
        <v>96</v>
      </c>
      <c r="BN239" s="1" t="s">
        <v>96</v>
      </c>
      <c r="BO239" s="1">
        <v>7.61</v>
      </c>
      <c r="BP239">
        <v>112.08</v>
      </c>
      <c r="BQ239">
        <v>18.510000000000002</v>
      </c>
      <c r="BR239" s="1" t="s">
        <v>96</v>
      </c>
      <c r="BS239">
        <v>714.97</v>
      </c>
      <c r="BT239">
        <v>20.86</v>
      </c>
      <c r="BU239" s="1" t="s">
        <v>96</v>
      </c>
      <c r="BV239">
        <v>12.25</v>
      </c>
      <c r="BW239">
        <v>112.86</v>
      </c>
      <c r="BX239" s="1" t="s">
        <v>96</v>
      </c>
    </row>
    <row r="240" spans="1:76">
      <c r="A240">
        <v>93</v>
      </c>
      <c r="B240" t="s">
        <v>374</v>
      </c>
      <c r="D240" t="b">
        <v>1</v>
      </c>
      <c r="E240" t="s">
        <v>375</v>
      </c>
      <c r="G240" t="s">
        <v>376</v>
      </c>
      <c r="H240" s="1" t="s">
        <v>96</v>
      </c>
      <c r="I240" s="1" t="s">
        <v>96</v>
      </c>
      <c r="J240">
        <v>19.649999999999999</v>
      </c>
      <c r="K240" s="1" t="s">
        <v>96</v>
      </c>
      <c r="L240" s="1" t="s">
        <v>96</v>
      </c>
      <c r="M240" s="1">
        <v>9.24</v>
      </c>
      <c r="N240" s="1" t="s">
        <v>96</v>
      </c>
      <c r="O240" s="1" t="s">
        <v>96</v>
      </c>
      <c r="P240" s="1" t="s">
        <v>96</v>
      </c>
      <c r="Q240" s="1" t="s">
        <v>96</v>
      </c>
      <c r="R240" s="1" t="s">
        <v>96</v>
      </c>
      <c r="S240" s="1" t="s">
        <v>96</v>
      </c>
      <c r="T240" t="s">
        <v>96</v>
      </c>
      <c r="U240" s="1" t="s">
        <v>96</v>
      </c>
      <c r="V240">
        <v>1.26</v>
      </c>
      <c r="W240">
        <v>3.66</v>
      </c>
      <c r="X240">
        <v>98.66</v>
      </c>
      <c r="Y240" s="1" t="s">
        <v>96</v>
      </c>
      <c r="Z240">
        <v>12.39</v>
      </c>
      <c r="AA240">
        <v>79.64</v>
      </c>
      <c r="AB240">
        <v>39.659999999999997</v>
      </c>
      <c r="AC240" s="1">
        <v>3.01</v>
      </c>
      <c r="AD240" s="1">
        <v>2.46</v>
      </c>
      <c r="AE240" s="1" t="s">
        <v>96</v>
      </c>
      <c r="AF240" s="1" t="s">
        <v>96</v>
      </c>
      <c r="AG240" s="1" t="s">
        <v>96</v>
      </c>
      <c r="AH240" s="1" t="s">
        <v>96</v>
      </c>
      <c r="AI240">
        <v>117.47</v>
      </c>
      <c r="AJ240">
        <v>7.62</v>
      </c>
      <c r="AK240" s="1">
        <v>1.02</v>
      </c>
      <c r="AL240" s="1" t="s">
        <v>96</v>
      </c>
      <c r="AM240">
        <v>25.38</v>
      </c>
      <c r="AN240">
        <v>3.63</v>
      </c>
      <c r="AO240" s="1" t="s">
        <v>96</v>
      </c>
      <c r="AP240" s="1" t="s">
        <v>96</v>
      </c>
      <c r="AQ240">
        <v>8.2799999999999994</v>
      </c>
      <c r="AR240" s="1" t="s">
        <v>96</v>
      </c>
      <c r="AS240">
        <v>524.99</v>
      </c>
      <c r="AT240">
        <v>105.41</v>
      </c>
      <c r="AU240">
        <v>40.049999999999997</v>
      </c>
      <c r="AV240" s="1" t="s">
        <v>96</v>
      </c>
      <c r="AW240">
        <v>88.78</v>
      </c>
      <c r="AX240" s="1" t="s">
        <v>96</v>
      </c>
      <c r="AY240" s="1" t="s">
        <v>96</v>
      </c>
      <c r="AZ240">
        <v>10.19</v>
      </c>
      <c r="BA240" s="1" t="s">
        <v>96</v>
      </c>
      <c r="BB240" s="1" t="s">
        <v>96</v>
      </c>
      <c r="BC240">
        <v>28.03</v>
      </c>
      <c r="BD240">
        <v>5.94</v>
      </c>
      <c r="BE240" s="1" t="s">
        <v>96</v>
      </c>
      <c r="BF240" s="1" t="s">
        <v>96</v>
      </c>
      <c r="BG240">
        <v>2.78</v>
      </c>
      <c r="BH240">
        <v>4.92</v>
      </c>
      <c r="BI240">
        <v>51.36</v>
      </c>
      <c r="BJ240">
        <v>5.45</v>
      </c>
      <c r="BK240" s="1" t="s">
        <v>96</v>
      </c>
      <c r="BL240" s="1" t="s">
        <v>96</v>
      </c>
      <c r="BM240" s="1" t="s">
        <v>96</v>
      </c>
      <c r="BN240" s="1" t="s">
        <v>96</v>
      </c>
      <c r="BO240" s="1">
        <v>5.76</v>
      </c>
      <c r="BP240">
        <v>31.32</v>
      </c>
      <c r="BQ240">
        <v>5.92</v>
      </c>
      <c r="BR240" s="1" t="s">
        <v>96</v>
      </c>
      <c r="BS240">
        <v>319.41000000000003</v>
      </c>
      <c r="BT240">
        <v>7.79</v>
      </c>
      <c r="BU240" s="1" t="s">
        <v>96</v>
      </c>
      <c r="BV240">
        <v>5.2</v>
      </c>
      <c r="BW240">
        <v>36.44</v>
      </c>
      <c r="BX240" s="1" t="s">
        <v>96</v>
      </c>
    </row>
    <row r="241" spans="1:76">
      <c r="A241">
        <v>63</v>
      </c>
      <c r="B241" t="s">
        <v>284</v>
      </c>
      <c r="D241" t="b">
        <v>1</v>
      </c>
      <c r="E241" t="s">
        <v>285</v>
      </c>
      <c r="G241" t="s">
        <v>286</v>
      </c>
      <c r="H241" s="1" t="s">
        <v>96</v>
      </c>
      <c r="I241" s="1" t="s">
        <v>96</v>
      </c>
      <c r="J241">
        <v>14.23</v>
      </c>
      <c r="K241" s="1" t="s">
        <v>96</v>
      </c>
      <c r="L241" s="1" t="s">
        <v>96</v>
      </c>
      <c r="M241" s="1">
        <v>9.06</v>
      </c>
      <c r="N241" s="1" t="s">
        <v>96</v>
      </c>
      <c r="O241" s="1" t="s">
        <v>96</v>
      </c>
      <c r="P241" s="1" t="s">
        <v>96</v>
      </c>
      <c r="Q241" s="1" t="s">
        <v>96</v>
      </c>
      <c r="R241" s="1" t="s">
        <v>96</v>
      </c>
      <c r="S241" s="1" t="s">
        <v>96</v>
      </c>
      <c r="T241" t="s">
        <v>96</v>
      </c>
      <c r="U241" s="1" t="s">
        <v>96</v>
      </c>
      <c r="V241" t="s">
        <v>96</v>
      </c>
      <c r="W241">
        <v>5.12</v>
      </c>
      <c r="X241">
        <v>27.89</v>
      </c>
      <c r="Y241" s="1" t="s">
        <v>96</v>
      </c>
      <c r="Z241">
        <v>39.770000000000003</v>
      </c>
      <c r="AA241">
        <v>209.81</v>
      </c>
      <c r="AB241">
        <v>16.260000000000002</v>
      </c>
      <c r="AC241" s="1">
        <v>2.68</v>
      </c>
      <c r="AD241" s="1">
        <v>2.69</v>
      </c>
      <c r="AE241" s="1" t="s">
        <v>96</v>
      </c>
      <c r="AF241" s="1" t="s">
        <v>96</v>
      </c>
      <c r="AG241" s="1" t="s">
        <v>96</v>
      </c>
      <c r="AH241" s="1" t="s">
        <v>96</v>
      </c>
      <c r="AI241">
        <v>152.41</v>
      </c>
      <c r="AJ241">
        <v>51.76</v>
      </c>
      <c r="AK241" s="1" t="s">
        <v>96</v>
      </c>
      <c r="AL241" s="1" t="s">
        <v>96</v>
      </c>
      <c r="AM241">
        <v>36.64</v>
      </c>
      <c r="AN241">
        <v>1.48</v>
      </c>
      <c r="AO241" s="1" t="s">
        <v>96</v>
      </c>
      <c r="AP241" s="1" t="s">
        <v>96</v>
      </c>
      <c r="AQ241" t="s">
        <v>96</v>
      </c>
      <c r="AR241" s="1" t="s">
        <v>96</v>
      </c>
      <c r="AS241">
        <v>179.11</v>
      </c>
      <c r="AT241">
        <v>105.61</v>
      </c>
      <c r="AU241">
        <v>6.25</v>
      </c>
      <c r="AV241" s="1" t="s">
        <v>96</v>
      </c>
      <c r="AW241">
        <v>106.75</v>
      </c>
      <c r="AX241" s="1" t="s">
        <v>96</v>
      </c>
      <c r="AY241" s="1" t="s">
        <v>96</v>
      </c>
      <c r="AZ241">
        <v>6.22</v>
      </c>
      <c r="BA241" s="1" t="s">
        <v>96</v>
      </c>
      <c r="BB241" s="1" t="s">
        <v>96</v>
      </c>
      <c r="BC241">
        <v>25.17</v>
      </c>
      <c r="BD241">
        <v>15.4</v>
      </c>
      <c r="BE241" s="1" t="s">
        <v>96</v>
      </c>
      <c r="BF241" s="1" t="s">
        <v>96</v>
      </c>
      <c r="BG241" t="s">
        <v>96</v>
      </c>
      <c r="BH241">
        <v>11.07</v>
      </c>
      <c r="BI241">
        <v>85.77</v>
      </c>
      <c r="BJ241">
        <v>3.2</v>
      </c>
      <c r="BK241" s="1" t="s">
        <v>96</v>
      </c>
      <c r="BL241" s="1" t="s">
        <v>96</v>
      </c>
      <c r="BM241" s="1" t="s">
        <v>96</v>
      </c>
      <c r="BN241" s="1" t="s">
        <v>96</v>
      </c>
      <c r="BO241" s="1">
        <v>13.77</v>
      </c>
      <c r="BP241">
        <v>40.35</v>
      </c>
      <c r="BQ241">
        <v>8.9499999999999993</v>
      </c>
      <c r="BR241" s="1" t="s">
        <v>96</v>
      </c>
      <c r="BS241">
        <v>202.75</v>
      </c>
      <c r="BT241">
        <v>15.27</v>
      </c>
      <c r="BU241" s="1" t="s">
        <v>96</v>
      </c>
      <c r="BV241" t="s">
        <v>96</v>
      </c>
      <c r="BW241">
        <v>49.9</v>
      </c>
      <c r="BX241" s="1" t="s">
        <v>96</v>
      </c>
    </row>
    <row r="242" spans="1:76">
      <c r="A242">
        <v>238</v>
      </c>
      <c r="B242" t="s">
        <v>809</v>
      </c>
      <c r="D242" t="b">
        <v>1</v>
      </c>
      <c r="E242" t="s">
        <v>810</v>
      </c>
      <c r="G242" t="s">
        <v>811</v>
      </c>
      <c r="H242" s="1" t="s">
        <v>96</v>
      </c>
      <c r="I242" s="1" t="s">
        <v>96</v>
      </c>
      <c r="J242">
        <v>32.46</v>
      </c>
      <c r="K242" s="1" t="s">
        <v>96</v>
      </c>
      <c r="L242" s="1" t="s">
        <v>96</v>
      </c>
      <c r="M242" s="1">
        <v>19.329999999999998</v>
      </c>
      <c r="N242" s="1" t="s">
        <v>96</v>
      </c>
      <c r="O242" s="1" t="s">
        <v>96</v>
      </c>
      <c r="P242" s="1" t="s">
        <v>96</v>
      </c>
      <c r="Q242" s="1" t="s">
        <v>96</v>
      </c>
      <c r="R242" s="1" t="s">
        <v>96</v>
      </c>
      <c r="S242" s="1" t="s">
        <v>96</v>
      </c>
      <c r="T242" t="s">
        <v>96</v>
      </c>
      <c r="U242" s="1" t="s">
        <v>96</v>
      </c>
      <c r="V242">
        <v>5.31</v>
      </c>
      <c r="W242">
        <v>10.55</v>
      </c>
      <c r="X242">
        <v>216.44</v>
      </c>
      <c r="Y242" s="1" t="s">
        <v>96</v>
      </c>
      <c r="Z242">
        <v>73.28</v>
      </c>
      <c r="AA242">
        <v>438.05</v>
      </c>
      <c r="AB242">
        <v>178.23</v>
      </c>
      <c r="AC242" s="1">
        <v>5.08</v>
      </c>
      <c r="AD242" s="1">
        <v>2.81</v>
      </c>
      <c r="AE242" s="1" t="s">
        <v>96</v>
      </c>
      <c r="AF242" s="1" t="s">
        <v>96</v>
      </c>
      <c r="AG242" s="1" t="s">
        <v>96</v>
      </c>
      <c r="AH242" s="1" t="s">
        <v>96</v>
      </c>
      <c r="AI242">
        <v>233.26</v>
      </c>
      <c r="AJ242">
        <v>89.9</v>
      </c>
      <c r="AK242" s="1" t="s">
        <v>96</v>
      </c>
      <c r="AL242" s="1">
        <v>1.34</v>
      </c>
      <c r="AM242">
        <v>77.22</v>
      </c>
      <c r="AN242">
        <v>12.7</v>
      </c>
      <c r="AO242" s="1" t="s">
        <v>96</v>
      </c>
      <c r="AP242" s="1" t="s">
        <v>96</v>
      </c>
      <c r="AQ242">
        <v>17.12</v>
      </c>
      <c r="AR242" s="1" t="s">
        <v>96</v>
      </c>
      <c r="AS242">
        <v>469.94</v>
      </c>
      <c r="AT242">
        <v>262.16000000000003</v>
      </c>
      <c r="AU242">
        <v>117.05</v>
      </c>
      <c r="AV242" s="1" t="s">
        <v>96</v>
      </c>
      <c r="AW242">
        <v>203.7</v>
      </c>
      <c r="AX242" s="1" t="s">
        <v>96</v>
      </c>
      <c r="AY242" s="1">
        <v>2.77</v>
      </c>
      <c r="AZ242">
        <v>32.75</v>
      </c>
      <c r="BA242" s="1">
        <v>3.01</v>
      </c>
      <c r="BB242" s="1" t="s">
        <v>96</v>
      </c>
      <c r="BC242">
        <v>34.31</v>
      </c>
      <c r="BD242">
        <v>20.3</v>
      </c>
      <c r="BE242" s="1" t="s">
        <v>96</v>
      </c>
      <c r="BF242" s="1" t="s">
        <v>96</v>
      </c>
      <c r="BG242">
        <v>4.66</v>
      </c>
      <c r="BH242">
        <v>15.37</v>
      </c>
      <c r="BI242">
        <v>263.60000000000002</v>
      </c>
      <c r="BJ242">
        <v>10.89</v>
      </c>
      <c r="BK242" s="1" t="s">
        <v>96</v>
      </c>
      <c r="BL242" s="1" t="s">
        <v>96</v>
      </c>
      <c r="BM242" s="1" t="s">
        <v>96</v>
      </c>
      <c r="BN242" s="1" t="s">
        <v>96</v>
      </c>
      <c r="BO242" s="1">
        <v>23.94</v>
      </c>
      <c r="BP242">
        <v>226.23</v>
      </c>
      <c r="BQ242">
        <v>32.58</v>
      </c>
      <c r="BR242" s="1" t="s">
        <v>96</v>
      </c>
      <c r="BS242">
        <v>1102.1199999999999</v>
      </c>
      <c r="BT242">
        <v>44.97</v>
      </c>
      <c r="BU242" s="1" t="s">
        <v>96</v>
      </c>
      <c r="BV242">
        <v>53.73</v>
      </c>
      <c r="BW242">
        <v>319.38</v>
      </c>
      <c r="BX242" s="1" t="s">
        <v>96</v>
      </c>
    </row>
    <row r="243" spans="1:76">
      <c r="A243">
        <v>182</v>
      </c>
      <c r="B243" t="s">
        <v>641</v>
      </c>
      <c r="D243" t="b">
        <v>1</v>
      </c>
      <c r="E243" t="s">
        <v>642</v>
      </c>
      <c r="G243" t="s">
        <v>643</v>
      </c>
      <c r="H243" s="1" t="s">
        <v>96</v>
      </c>
      <c r="I243" s="1" t="s">
        <v>96</v>
      </c>
      <c r="J243">
        <v>21.57</v>
      </c>
      <c r="K243" s="1" t="s">
        <v>96</v>
      </c>
      <c r="L243" s="1" t="s">
        <v>96</v>
      </c>
      <c r="M243" s="1" t="s">
        <v>96</v>
      </c>
      <c r="N243" s="1" t="s">
        <v>96</v>
      </c>
      <c r="O243" s="1" t="s">
        <v>96</v>
      </c>
      <c r="P243" s="1" t="s">
        <v>96</v>
      </c>
      <c r="Q243" s="1" t="s">
        <v>96</v>
      </c>
      <c r="R243" s="1" t="s">
        <v>96</v>
      </c>
      <c r="S243" s="1" t="s">
        <v>96</v>
      </c>
      <c r="T243" t="s">
        <v>96</v>
      </c>
      <c r="U243" s="1" t="s">
        <v>96</v>
      </c>
      <c r="V243">
        <v>2.86</v>
      </c>
      <c r="W243">
        <v>1.74</v>
      </c>
      <c r="X243">
        <v>24.73</v>
      </c>
      <c r="Y243" s="1" t="s">
        <v>96</v>
      </c>
      <c r="Z243" t="s">
        <v>96</v>
      </c>
      <c r="AA243">
        <v>37.26</v>
      </c>
      <c r="AB243">
        <v>146.82</v>
      </c>
      <c r="AC243" s="1" t="s">
        <v>96</v>
      </c>
      <c r="AD243" s="1">
        <v>14.57</v>
      </c>
      <c r="AE243" s="1" t="s">
        <v>96</v>
      </c>
      <c r="AF243" s="1" t="s">
        <v>96</v>
      </c>
      <c r="AG243" s="1" t="s">
        <v>96</v>
      </c>
      <c r="AH243" s="1" t="s">
        <v>96</v>
      </c>
      <c r="AI243">
        <v>95.58</v>
      </c>
      <c r="AJ243">
        <v>20.59</v>
      </c>
      <c r="AK243" s="1" t="s">
        <v>96</v>
      </c>
      <c r="AL243" s="1">
        <v>3.02</v>
      </c>
      <c r="AM243">
        <v>144.15</v>
      </c>
      <c r="AN243">
        <v>3.72</v>
      </c>
      <c r="AO243" s="1" t="s">
        <v>96</v>
      </c>
      <c r="AP243" s="1" t="s">
        <v>96</v>
      </c>
      <c r="AQ243" t="s">
        <v>96</v>
      </c>
      <c r="AR243" s="1" t="s">
        <v>96</v>
      </c>
      <c r="AS243" t="s">
        <v>133</v>
      </c>
      <c r="AT243">
        <v>277.93</v>
      </c>
      <c r="AU243">
        <v>182.71</v>
      </c>
      <c r="AV243" s="1" t="s">
        <v>96</v>
      </c>
      <c r="AW243">
        <v>680.43</v>
      </c>
      <c r="AX243" s="1" t="s">
        <v>96</v>
      </c>
      <c r="AY243" s="1">
        <v>13.5</v>
      </c>
      <c r="AZ243">
        <v>23.3</v>
      </c>
      <c r="BA243" s="1">
        <v>25.31</v>
      </c>
      <c r="BB243" s="1" t="s">
        <v>96</v>
      </c>
      <c r="BC243">
        <v>675.46</v>
      </c>
      <c r="BD243">
        <v>97.73</v>
      </c>
      <c r="BE243" s="1" t="s">
        <v>96</v>
      </c>
      <c r="BF243" s="1">
        <v>9.84</v>
      </c>
      <c r="BG243">
        <v>3.82</v>
      </c>
      <c r="BH243">
        <v>180.4</v>
      </c>
      <c r="BI243">
        <v>222.22</v>
      </c>
      <c r="BJ243" t="s">
        <v>96</v>
      </c>
      <c r="BK243" s="1" t="s">
        <v>96</v>
      </c>
      <c r="BL243" s="1" t="s">
        <v>96</v>
      </c>
      <c r="BM243" s="1" t="s">
        <v>96</v>
      </c>
      <c r="BN243" s="1" t="s">
        <v>96</v>
      </c>
      <c r="BO243" s="1" t="s">
        <v>96</v>
      </c>
      <c r="BP243">
        <v>82.69</v>
      </c>
      <c r="BQ243">
        <v>29.86</v>
      </c>
      <c r="BR243" s="1" t="s">
        <v>96</v>
      </c>
      <c r="BS243">
        <v>329.62</v>
      </c>
      <c r="BT243">
        <v>9.7899999999999991</v>
      </c>
      <c r="BU243" s="1" t="s">
        <v>96</v>
      </c>
      <c r="BV243">
        <v>7.36</v>
      </c>
      <c r="BW243">
        <v>20.61</v>
      </c>
      <c r="BX243" s="1" t="s">
        <v>96</v>
      </c>
    </row>
    <row r="244" spans="1:76">
      <c r="A244">
        <v>214</v>
      </c>
      <c r="B244" t="s">
        <v>737</v>
      </c>
      <c r="D244" t="b">
        <v>1</v>
      </c>
      <c r="E244" t="s">
        <v>738</v>
      </c>
      <c r="G244" t="s">
        <v>739</v>
      </c>
      <c r="H244" s="1" t="s">
        <v>96</v>
      </c>
      <c r="I244" s="1" t="s">
        <v>96</v>
      </c>
      <c r="J244">
        <v>20.54</v>
      </c>
      <c r="K244" s="1" t="s">
        <v>96</v>
      </c>
      <c r="L244" s="1" t="s">
        <v>96</v>
      </c>
      <c r="M244" s="1">
        <v>15.28</v>
      </c>
      <c r="N244" s="1" t="s">
        <v>96</v>
      </c>
      <c r="O244" s="1" t="s">
        <v>96</v>
      </c>
      <c r="P244" s="1" t="s">
        <v>96</v>
      </c>
      <c r="Q244" s="1" t="s">
        <v>96</v>
      </c>
      <c r="R244" s="1" t="s">
        <v>96</v>
      </c>
      <c r="S244" s="1" t="s">
        <v>96</v>
      </c>
      <c r="T244">
        <v>2.98</v>
      </c>
      <c r="U244" s="1" t="s">
        <v>96</v>
      </c>
      <c r="V244">
        <v>21.89</v>
      </c>
      <c r="W244">
        <v>17.989999999999998</v>
      </c>
      <c r="X244">
        <v>307.43</v>
      </c>
      <c r="Y244" s="1" t="s">
        <v>96</v>
      </c>
      <c r="Z244">
        <v>128.52000000000001</v>
      </c>
      <c r="AA244">
        <v>925.74</v>
      </c>
      <c r="AB244">
        <v>515.46</v>
      </c>
      <c r="AC244" s="1" t="s">
        <v>96</v>
      </c>
      <c r="AD244" s="1" t="s">
        <v>96</v>
      </c>
      <c r="AE244" s="1" t="s">
        <v>96</v>
      </c>
      <c r="AF244" s="1" t="s">
        <v>96</v>
      </c>
      <c r="AG244" s="1" t="s">
        <v>96</v>
      </c>
      <c r="AH244" s="1">
        <v>1.02</v>
      </c>
      <c r="AI244">
        <v>85.49</v>
      </c>
      <c r="AJ244">
        <v>145.91</v>
      </c>
      <c r="AK244" s="1" t="s">
        <v>96</v>
      </c>
      <c r="AL244" s="1" t="s">
        <v>96</v>
      </c>
      <c r="AM244">
        <v>183.53</v>
      </c>
      <c r="AN244">
        <v>5.0199999999999996</v>
      </c>
      <c r="AO244" s="1" t="s">
        <v>96</v>
      </c>
      <c r="AP244" s="1" t="s">
        <v>96</v>
      </c>
      <c r="AQ244">
        <v>5.66</v>
      </c>
      <c r="AR244" s="1" t="s">
        <v>96</v>
      </c>
      <c r="AS244">
        <v>349.51</v>
      </c>
      <c r="AT244">
        <v>248.42</v>
      </c>
      <c r="AU244">
        <v>71.72</v>
      </c>
      <c r="AV244" s="1" t="s">
        <v>96</v>
      </c>
      <c r="AW244">
        <v>80.760000000000005</v>
      </c>
      <c r="AX244" s="1" t="s">
        <v>96</v>
      </c>
      <c r="AY244" s="1" t="s">
        <v>96</v>
      </c>
      <c r="AZ244">
        <v>2.82</v>
      </c>
      <c r="BA244" s="1" t="s">
        <v>96</v>
      </c>
      <c r="BB244" s="1" t="s">
        <v>96</v>
      </c>
      <c r="BC244">
        <v>20.68</v>
      </c>
      <c r="BD244">
        <v>13.03</v>
      </c>
      <c r="BE244" s="1" t="s">
        <v>96</v>
      </c>
      <c r="BF244" s="1" t="s">
        <v>96</v>
      </c>
      <c r="BG244" t="s">
        <v>96</v>
      </c>
      <c r="BH244">
        <v>8.41</v>
      </c>
      <c r="BI244">
        <v>22.73</v>
      </c>
      <c r="BJ244">
        <v>4.28</v>
      </c>
      <c r="BK244" s="1" t="s">
        <v>96</v>
      </c>
      <c r="BL244" s="1" t="s">
        <v>96</v>
      </c>
      <c r="BM244" s="1" t="s">
        <v>96</v>
      </c>
      <c r="BN244" s="1" t="s">
        <v>96</v>
      </c>
      <c r="BO244" s="1">
        <v>47.86</v>
      </c>
      <c r="BP244">
        <v>28.86</v>
      </c>
      <c r="BQ244" t="s">
        <v>96</v>
      </c>
      <c r="BR244" s="1" t="s">
        <v>96</v>
      </c>
      <c r="BS244">
        <v>291.20999999999998</v>
      </c>
      <c r="BT244">
        <v>7.86</v>
      </c>
      <c r="BU244" s="1" t="s">
        <v>96</v>
      </c>
      <c r="BV244">
        <v>36.29</v>
      </c>
      <c r="BW244">
        <v>65.78</v>
      </c>
      <c r="BX244" s="1" t="s">
        <v>96</v>
      </c>
    </row>
    <row r="245" spans="1:76">
      <c r="A245">
        <v>228</v>
      </c>
      <c r="B245" t="s">
        <v>779</v>
      </c>
      <c r="D245" t="b">
        <v>1</v>
      </c>
      <c r="E245" t="s">
        <v>780</v>
      </c>
      <c r="G245" t="s">
        <v>781</v>
      </c>
      <c r="H245" s="1" t="s">
        <v>96</v>
      </c>
      <c r="I245" s="1" t="s">
        <v>96</v>
      </c>
      <c r="J245">
        <v>13.63</v>
      </c>
      <c r="K245" s="1" t="s">
        <v>96</v>
      </c>
      <c r="L245" s="1" t="s">
        <v>96</v>
      </c>
      <c r="M245" s="1">
        <v>8.66</v>
      </c>
      <c r="N245" s="1" t="s">
        <v>96</v>
      </c>
      <c r="O245" s="1" t="s">
        <v>96</v>
      </c>
      <c r="P245" s="1" t="s">
        <v>96</v>
      </c>
      <c r="Q245" s="1" t="s">
        <v>96</v>
      </c>
      <c r="R245" s="1" t="s">
        <v>96</v>
      </c>
      <c r="S245" s="1" t="s">
        <v>96</v>
      </c>
      <c r="T245" t="s">
        <v>96</v>
      </c>
      <c r="U245" s="1" t="s">
        <v>96</v>
      </c>
      <c r="V245">
        <v>13.61</v>
      </c>
      <c r="W245">
        <v>23.29</v>
      </c>
      <c r="X245">
        <v>51.68</v>
      </c>
      <c r="Y245" s="1" t="s">
        <v>96</v>
      </c>
      <c r="Z245">
        <v>61.58</v>
      </c>
      <c r="AA245" t="s">
        <v>133</v>
      </c>
      <c r="AB245">
        <v>650.80999999999995</v>
      </c>
      <c r="AC245" s="1" t="s">
        <v>96</v>
      </c>
      <c r="AD245" s="1">
        <v>2.33</v>
      </c>
      <c r="AE245" s="1" t="s">
        <v>96</v>
      </c>
      <c r="AF245" s="1" t="s">
        <v>96</v>
      </c>
      <c r="AG245" s="1" t="s">
        <v>96</v>
      </c>
      <c r="AH245" s="1">
        <v>2.54</v>
      </c>
      <c r="AI245">
        <v>151.94999999999999</v>
      </c>
      <c r="AJ245">
        <v>92.66</v>
      </c>
      <c r="AK245" s="1" t="s">
        <v>96</v>
      </c>
      <c r="AL245" s="1">
        <v>2.59</v>
      </c>
      <c r="AM245" t="s">
        <v>133</v>
      </c>
      <c r="AN245">
        <v>15.99</v>
      </c>
      <c r="AO245" s="1" t="s">
        <v>96</v>
      </c>
      <c r="AP245" s="1" t="s">
        <v>96</v>
      </c>
      <c r="AQ245">
        <v>6.81</v>
      </c>
      <c r="AR245" s="1" t="s">
        <v>96</v>
      </c>
      <c r="AS245">
        <v>866.09</v>
      </c>
      <c r="AT245">
        <v>922.14</v>
      </c>
      <c r="AU245">
        <v>128.59</v>
      </c>
      <c r="AV245" s="1" t="s">
        <v>96</v>
      </c>
      <c r="AW245">
        <v>308.45999999999998</v>
      </c>
      <c r="AX245" s="1" t="s">
        <v>96</v>
      </c>
      <c r="AY245" s="1" t="s">
        <v>96</v>
      </c>
      <c r="AZ245">
        <v>13.62</v>
      </c>
      <c r="BA245" s="1">
        <v>3.43</v>
      </c>
      <c r="BB245" s="1" t="s">
        <v>96</v>
      </c>
      <c r="BC245">
        <v>42.79</v>
      </c>
      <c r="BD245">
        <v>60.7</v>
      </c>
      <c r="BE245" s="1" t="s">
        <v>96</v>
      </c>
      <c r="BF245" s="1" t="s">
        <v>96</v>
      </c>
      <c r="BG245">
        <v>3.21</v>
      </c>
      <c r="BH245">
        <v>16.75</v>
      </c>
      <c r="BI245">
        <v>62.8</v>
      </c>
      <c r="BJ245">
        <v>14.67</v>
      </c>
      <c r="BK245" s="1" t="s">
        <v>96</v>
      </c>
      <c r="BL245" s="1" t="s">
        <v>96</v>
      </c>
      <c r="BM245" s="1">
        <v>11.93</v>
      </c>
      <c r="BN245" s="1" t="s">
        <v>96</v>
      </c>
      <c r="BO245" s="1">
        <v>14.49</v>
      </c>
      <c r="BP245">
        <v>47.18</v>
      </c>
      <c r="BQ245" t="s">
        <v>96</v>
      </c>
      <c r="BR245" s="1" t="s">
        <v>96</v>
      </c>
      <c r="BS245">
        <v>433.33</v>
      </c>
      <c r="BT245">
        <v>16.510000000000002</v>
      </c>
      <c r="BU245" s="1" t="s">
        <v>96</v>
      </c>
      <c r="BV245">
        <v>22.62</v>
      </c>
      <c r="BW245">
        <v>128.72999999999999</v>
      </c>
      <c r="BX245" s="1" t="s">
        <v>96</v>
      </c>
    </row>
    <row r="246" spans="1:76">
      <c r="A246">
        <v>43</v>
      </c>
      <c r="B246" t="s">
        <v>224</v>
      </c>
      <c r="D246" t="b">
        <v>1</v>
      </c>
      <c r="E246" t="s">
        <v>225</v>
      </c>
      <c r="G246" t="s">
        <v>226</v>
      </c>
      <c r="H246" s="1" t="s">
        <v>96</v>
      </c>
      <c r="I246" s="1" t="s">
        <v>96</v>
      </c>
      <c r="J246">
        <v>26.74</v>
      </c>
      <c r="K246" s="1" t="s">
        <v>96</v>
      </c>
      <c r="L246" s="1" t="s">
        <v>96</v>
      </c>
      <c r="M246" s="1">
        <v>11.35</v>
      </c>
      <c r="N246" s="1" t="s">
        <v>96</v>
      </c>
      <c r="O246" s="1" t="s">
        <v>96</v>
      </c>
      <c r="P246" s="1" t="s">
        <v>96</v>
      </c>
      <c r="Q246" s="1" t="s">
        <v>96</v>
      </c>
      <c r="R246" s="1" t="s">
        <v>96</v>
      </c>
      <c r="S246" s="1" t="s">
        <v>96</v>
      </c>
      <c r="T246" t="s">
        <v>96</v>
      </c>
      <c r="U246" s="1" t="s">
        <v>96</v>
      </c>
      <c r="V246">
        <v>22.56</v>
      </c>
      <c r="W246">
        <v>29.01</v>
      </c>
      <c r="X246">
        <v>22.96</v>
      </c>
      <c r="Y246" s="1" t="s">
        <v>96</v>
      </c>
      <c r="Z246">
        <v>33.04</v>
      </c>
      <c r="AA246">
        <v>523.64</v>
      </c>
      <c r="AB246">
        <v>263.27999999999997</v>
      </c>
      <c r="AC246" s="1">
        <v>6.75</v>
      </c>
      <c r="AD246" s="1">
        <v>3.58</v>
      </c>
      <c r="AE246" s="1" t="s">
        <v>96</v>
      </c>
      <c r="AF246" s="1" t="s">
        <v>96</v>
      </c>
      <c r="AG246" s="1" t="s">
        <v>96</v>
      </c>
      <c r="AH246" s="1" t="s">
        <v>96</v>
      </c>
      <c r="AI246">
        <v>819.74</v>
      </c>
      <c r="AJ246">
        <v>50</v>
      </c>
      <c r="AK246" s="1" t="s">
        <v>96</v>
      </c>
      <c r="AL246" s="1">
        <v>1.02</v>
      </c>
      <c r="AM246">
        <v>273.54000000000002</v>
      </c>
      <c r="AN246">
        <v>30.35</v>
      </c>
      <c r="AO246" s="1" t="s">
        <v>96</v>
      </c>
      <c r="AP246" s="1" t="s">
        <v>96</v>
      </c>
      <c r="AQ246">
        <v>20.11</v>
      </c>
      <c r="AR246" s="1" t="s">
        <v>96</v>
      </c>
      <c r="AS246">
        <v>1034.57</v>
      </c>
      <c r="AT246">
        <v>561.09</v>
      </c>
      <c r="AU246">
        <v>68.75</v>
      </c>
      <c r="AV246" s="1" t="s">
        <v>96</v>
      </c>
      <c r="AW246">
        <v>289.52999999999997</v>
      </c>
      <c r="AX246" s="1" t="s">
        <v>96</v>
      </c>
      <c r="AY246" s="1" t="s">
        <v>96</v>
      </c>
      <c r="AZ246">
        <v>13.2</v>
      </c>
      <c r="BA246" s="1">
        <v>2.59</v>
      </c>
      <c r="BB246" s="1" t="s">
        <v>96</v>
      </c>
      <c r="BC246">
        <v>82.54</v>
      </c>
      <c r="BD246">
        <v>49.96</v>
      </c>
      <c r="BE246" s="1" t="s">
        <v>96</v>
      </c>
      <c r="BF246" s="1" t="s">
        <v>96</v>
      </c>
      <c r="BG246">
        <v>4.4400000000000004</v>
      </c>
      <c r="BH246">
        <v>20.96</v>
      </c>
      <c r="BI246">
        <v>47.69</v>
      </c>
      <c r="BJ246">
        <v>9.19</v>
      </c>
      <c r="BK246" s="1" t="s">
        <v>96</v>
      </c>
      <c r="BL246" s="1" t="s">
        <v>96</v>
      </c>
      <c r="BM246" s="1">
        <v>8.7799999999999994</v>
      </c>
      <c r="BN246" s="1">
        <v>2.63</v>
      </c>
      <c r="BO246" s="1">
        <v>14.69</v>
      </c>
      <c r="BP246">
        <v>43.59</v>
      </c>
      <c r="BQ246">
        <v>9.9700000000000006</v>
      </c>
      <c r="BR246" s="1" t="s">
        <v>96</v>
      </c>
      <c r="BS246">
        <v>309.16000000000003</v>
      </c>
      <c r="BT246">
        <v>26.61</v>
      </c>
      <c r="BU246" s="1" t="s">
        <v>96</v>
      </c>
      <c r="BV246">
        <v>14.17</v>
      </c>
      <c r="BW246">
        <v>90.93</v>
      </c>
      <c r="BX246" s="1" t="s">
        <v>96</v>
      </c>
    </row>
    <row r="247" spans="1:76">
      <c r="A247">
        <v>204</v>
      </c>
      <c r="B247" t="s">
        <v>707</v>
      </c>
      <c r="D247" t="b">
        <v>1</v>
      </c>
      <c r="E247" t="s">
        <v>708</v>
      </c>
      <c r="G247" t="s">
        <v>709</v>
      </c>
      <c r="H247" s="1" t="s">
        <v>96</v>
      </c>
      <c r="I247" s="1" t="s">
        <v>96</v>
      </c>
      <c r="J247">
        <v>21.08</v>
      </c>
      <c r="K247" s="1" t="s">
        <v>96</v>
      </c>
      <c r="L247" s="1" t="s">
        <v>96</v>
      </c>
      <c r="M247" s="1">
        <v>28.64</v>
      </c>
      <c r="N247" s="1" t="s">
        <v>96</v>
      </c>
      <c r="O247" s="1" t="s">
        <v>96</v>
      </c>
      <c r="P247" s="1" t="s">
        <v>96</v>
      </c>
      <c r="Q247" s="1" t="s">
        <v>96</v>
      </c>
      <c r="R247" s="1" t="s">
        <v>96</v>
      </c>
      <c r="S247" s="1" t="s">
        <v>96</v>
      </c>
      <c r="T247">
        <v>1.96</v>
      </c>
      <c r="U247" s="1" t="s">
        <v>96</v>
      </c>
      <c r="V247">
        <v>21.99</v>
      </c>
      <c r="W247">
        <v>17.940000000000001</v>
      </c>
      <c r="X247">
        <v>360.53</v>
      </c>
      <c r="Y247" s="1" t="s">
        <v>96</v>
      </c>
      <c r="Z247">
        <v>90.61</v>
      </c>
      <c r="AA247">
        <v>461.06</v>
      </c>
      <c r="AB247">
        <v>221.72</v>
      </c>
      <c r="AC247" s="1">
        <v>2.6</v>
      </c>
      <c r="AD247" s="1" t="s">
        <v>96</v>
      </c>
      <c r="AE247" s="1" t="s">
        <v>96</v>
      </c>
      <c r="AF247" s="1" t="s">
        <v>96</v>
      </c>
      <c r="AG247" s="1" t="s">
        <v>96</v>
      </c>
      <c r="AH247" s="1" t="s">
        <v>96</v>
      </c>
      <c r="AI247">
        <v>560.15</v>
      </c>
      <c r="AJ247">
        <v>49.96</v>
      </c>
      <c r="AK247" s="1">
        <v>1.78</v>
      </c>
      <c r="AL247" s="1">
        <v>2.71</v>
      </c>
      <c r="AM247">
        <v>194.19</v>
      </c>
      <c r="AN247">
        <v>10.15</v>
      </c>
      <c r="AO247" s="1" t="s">
        <v>96</v>
      </c>
      <c r="AP247" s="1" t="s">
        <v>96</v>
      </c>
      <c r="AQ247">
        <v>3.89</v>
      </c>
      <c r="AR247" s="1" t="s">
        <v>96</v>
      </c>
      <c r="AS247">
        <v>236.86</v>
      </c>
      <c r="AT247">
        <v>145.86000000000001</v>
      </c>
      <c r="AU247">
        <v>26.58</v>
      </c>
      <c r="AV247" s="1" t="s">
        <v>96</v>
      </c>
      <c r="AW247">
        <v>111.61</v>
      </c>
      <c r="AX247" s="1" t="s">
        <v>96</v>
      </c>
      <c r="AY247" s="1" t="s">
        <v>96</v>
      </c>
      <c r="AZ247">
        <v>9.9</v>
      </c>
      <c r="BA247" s="1" t="s">
        <v>96</v>
      </c>
      <c r="BB247" s="1" t="s">
        <v>96</v>
      </c>
      <c r="BC247">
        <v>17.309999999999999</v>
      </c>
      <c r="BD247">
        <v>10.41</v>
      </c>
      <c r="BE247" s="1" t="s">
        <v>96</v>
      </c>
      <c r="BF247" s="1" t="s">
        <v>96</v>
      </c>
      <c r="BG247" t="s">
        <v>96</v>
      </c>
      <c r="BH247">
        <v>7.33</v>
      </c>
      <c r="BI247">
        <v>83.06</v>
      </c>
      <c r="BJ247">
        <v>8.35</v>
      </c>
      <c r="BK247" s="1" t="s">
        <v>96</v>
      </c>
      <c r="BL247" s="1" t="s">
        <v>96</v>
      </c>
      <c r="BM247" s="1" t="s">
        <v>96</v>
      </c>
      <c r="BN247" s="1" t="s">
        <v>96</v>
      </c>
      <c r="BO247" s="1">
        <v>49.18</v>
      </c>
      <c r="BP247">
        <v>56.56</v>
      </c>
      <c r="BQ247" t="s">
        <v>96</v>
      </c>
      <c r="BR247" s="1" t="s">
        <v>96</v>
      </c>
      <c r="BS247">
        <v>462.56</v>
      </c>
      <c r="BT247">
        <v>12.81</v>
      </c>
      <c r="BU247" s="1" t="s">
        <v>96</v>
      </c>
      <c r="BV247">
        <v>17.399999999999999</v>
      </c>
      <c r="BW247">
        <v>105.95</v>
      </c>
      <c r="BX247" s="1" t="s">
        <v>96</v>
      </c>
    </row>
    <row r="248" spans="1:76">
      <c r="A248">
        <v>64</v>
      </c>
      <c r="B248" t="s">
        <v>287</v>
      </c>
      <c r="D248" t="b">
        <v>1</v>
      </c>
      <c r="E248" t="s">
        <v>288</v>
      </c>
      <c r="G248" t="s">
        <v>289</v>
      </c>
      <c r="H248" s="1" t="s">
        <v>96</v>
      </c>
      <c r="I248" s="1" t="s">
        <v>96</v>
      </c>
      <c r="J248">
        <v>16.72</v>
      </c>
      <c r="K248" s="1" t="s">
        <v>96</v>
      </c>
      <c r="L248" s="1" t="s">
        <v>96</v>
      </c>
      <c r="M248" s="1">
        <v>7.3</v>
      </c>
      <c r="N248" s="1" t="s">
        <v>96</v>
      </c>
      <c r="O248" s="1" t="s">
        <v>96</v>
      </c>
      <c r="P248" s="1" t="s">
        <v>96</v>
      </c>
      <c r="Q248" s="1" t="s">
        <v>96</v>
      </c>
      <c r="R248" s="1" t="s">
        <v>96</v>
      </c>
      <c r="S248" s="1" t="s">
        <v>96</v>
      </c>
      <c r="T248" t="s">
        <v>96</v>
      </c>
      <c r="U248" s="1" t="s">
        <v>96</v>
      </c>
      <c r="V248">
        <v>2.57</v>
      </c>
      <c r="W248">
        <v>4.4000000000000004</v>
      </c>
      <c r="X248">
        <v>40.99</v>
      </c>
      <c r="Y248" s="1" t="s">
        <v>96</v>
      </c>
      <c r="Z248">
        <v>5.61</v>
      </c>
      <c r="AA248">
        <v>59.95</v>
      </c>
      <c r="AB248">
        <v>223.25</v>
      </c>
      <c r="AC248" s="1" t="s">
        <v>96</v>
      </c>
      <c r="AD248" s="1" t="s">
        <v>96</v>
      </c>
      <c r="AE248" s="1" t="s">
        <v>96</v>
      </c>
      <c r="AF248" s="1" t="s">
        <v>96</v>
      </c>
      <c r="AG248" s="1" t="s">
        <v>96</v>
      </c>
      <c r="AH248" s="1" t="s">
        <v>96</v>
      </c>
      <c r="AI248">
        <v>51.34</v>
      </c>
      <c r="AJ248">
        <v>21.76</v>
      </c>
      <c r="AK248" s="1" t="s">
        <v>96</v>
      </c>
      <c r="AL248" s="1" t="s">
        <v>96</v>
      </c>
      <c r="AM248">
        <v>146.80000000000001</v>
      </c>
      <c r="AN248">
        <v>12.31</v>
      </c>
      <c r="AO248" s="1" t="s">
        <v>96</v>
      </c>
      <c r="AP248" s="1" t="s">
        <v>96</v>
      </c>
      <c r="AQ248" t="s">
        <v>96</v>
      </c>
      <c r="AR248" s="1" t="s">
        <v>96</v>
      </c>
      <c r="AS248">
        <v>629.25</v>
      </c>
      <c r="AT248">
        <v>59.64</v>
      </c>
      <c r="AU248">
        <v>64.61</v>
      </c>
      <c r="AV248" s="1" t="s">
        <v>96</v>
      </c>
      <c r="AW248">
        <v>242.63</v>
      </c>
      <c r="AX248" s="1" t="s">
        <v>96</v>
      </c>
      <c r="AY248" s="1" t="s">
        <v>96</v>
      </c>
      <c r="AZ248">
        <v>17.66</v>
      </c>
      <c r="BA248" s="1" t="s">
        <v>96</v>
      </c>
      <c r="BB248" s="1" t="s">
        <v>96</v>
      </c>
      <c r="BC248">
        <v>51.88</v>
      </c>
      <c r="BD248">
        <v>3.66</v>
      </c>
      <c r="BE248" s="1" t="s">
        <v>96</v>
      </c>
      <c r="BF248" s="1" t="s">
        <v>96</v>
      </c>
      <c r="BG248" t="s">
        <v>96</v>
      </c>
      <c r="BH248">
        <v>11.92</v>
      </c>
      <c r="BI248">
        <v>45.61</v>
      </c>
      <c r="BJ248">
        <v>3.2</v>
      </c>
      <c r="BK248" s="1" t="s">
        <v>96</v>
      </c>
      <c r="BL248" s="1" t="s">
        <v>96</v>
      </c>
      <c r="BM248" s="1" t="s">
        <v>96</v>
      </c>
      <c r="BN248" s="1" t="s">
        <v>96</v>
      </c>
      <c r="BO248" s="1">
        <v>5.2</v>
      </c>
      <c r="BP248">
        <v>87.83</v>
      </c>
      <c r="BQ248">
        <v>10.24</v>
      </c>
      <c r="BR248" s="1" t="s">
        <v>96</v>
      </c>
      <c r="BS248">
        <v>298.16000000000003</v>
      </c>
      <c r="BT248" t="s">
        <v>96</v>
      </c>
      <c r="BU248" s="1" t="s">
        <v>96</v>
      </c>
      <c r="BV248">
        <v>18.04</v>
      </c>
      <c r="BW248">
        <v>23.69</v>
      </c>
      <c r="BX248" s="1" t="s">
        <v>96</v>
      </c>
    </row>
    <row r="249" spans="1:76">
      <c r="A249">
        <v>20</v>
      </c>
      <c r="B249" t="s">
        <v>155</v>
      </c>
      <c r="D249" t="b">
        <v>1</v>
      </c>
      <c r="E249" t="s">
        <v>156</v>
      </c>
      <c r="G249" t="s">
        <v>157</v>
      </c>
      <c r="H249" s="1" t="s">
        <v>96</v>
      </c>
      <c r="I249" s="1" t="s">
        <v>96</v>
      </c>
      <c r="J249">
        <v>24.1</v>
      </c>
      <c r="K249" s="1" t="s">
        <v>96</v>
      </c>
      <c r="L249" s="1" t="s">
        <v>96</v>
      </c>
      <c r="M249" s="1">
        <v>20.7</v>
      </c>
      <c r="N249" s="1" t="s">
        <v>96</v>
      </c>
      <c r="O249" s="1" t="s">
        <v>96</v>
      </c>
      <c r="P249" s="1" t="s">
        <v>96</v>
      </c>
      <c r="Q249" s="1" t="s">
        <v>96</v>
      </c>
      <c r="R249" s="1" t="s">
        <v>96</v>
      </c>
      <c r="S249" s="1" t="s">
        <v>96</v>
      </c>
      <c r="T249" t="s">
        <v>96</v>
      </c>
      <c r="U249" s="1" t="s">
        <v>96</v>
      </c>
      <c r="V249" t="s">
        <v>96</v>
      </c>
      <c r="W249">
        <v>9.98</v>
      </c>
      <c r="X249">
        <v>58.93</v>
      </c>
      <c r="Y249" s="1" t="s">
        <v>96</v>
      </c>
      <c r="Z249">
        <v>50.41</v>
      </c>
      <c r="AA249">
        <v>332.2</v>
      </c>
      <c r="AB249">
        <v>36.4</v>
      </c>
      <c r="AC249" s="1" t="s">
        <v>96</v>
      </c>
      <c r="AD249" s="1">
        <v>5.05</v>
      </c>
      <c r="AE249" s="1" t="s">
        <v>96</v>
      </c>
      <c r="AF249" s="1" t="s">
        <v>96</v>
      </c>
      <c r="AG249" s="1" t="s">
        <v>96</v>
      </c>
      <c r="AH249" s="1" t="s">
        <v>96</v>
      </c>
      <c r="AI249" t="s">
        <v>96</v>
      </c>
      <c r="AJ249">
        <v>33.619999999999997</v>
      </c>
      <c r="AK249" s="1" t="s">
        <v>96</v>
      </c>
      <c r="AL249" s="1" t="s">
        <v>96</v>
      </c>
      <c r="AM249">
        <v>19.5</v>
      </c>
      <c r="AN249" t="s">
        <v>96</v>
      </c>
      <c r="AO249" s="1" t="s">
        <v>96</v>
      </c>
      <c r="AP249" s="1" t="s">
        <v>96</v>
      </c>
      <c r="AQ249">
        <v>3.75</v>
      </c>
      <c r="AR249" s="1" t="s">
        <v>96</v>
      </c>
      <c r="AS249">
        <v>82.45</v>
      </c>
      <c r="AT249">
        <v>64.569999999999993</v>
      </c>
      <c r="AU249">
        <v>9.6300000000000008</v>
      </c>
      <c r="AV249" s="1" t="s">
        <v>96</v>
      </c>
      <c r="AW249">
        <v>19.61</v>
      </c>
      <c r="AX249" s="1" t="s">
        <v>96</v>
      </c>
      <c r="AY249" s="1" t="s">
        <v>96</v>
      </c>
      <c r="AZ249" t="s">
        <v>96</v>
      </c>
      <c r="BA249" s="1" t="s">
        <v>96</v>
      </c>
      <c r="BB249" s="1" t="s">
        <v>96</v>
      </c>
      <c r="BC249">
        <v>16.79</v>
      </c>
      <c r="BD249">
        <v>8.93</v>
      </c>
      <c r="BE249" s="1" t="s">
        <v>96</v>
      </c>
      <c r="BF249" s="1" t="s">
        <v>96</v>
      </c>
      <c r="BG249" t="s">
        <v>96</v>
      </c>
      <c r="BH249">
        <v>3.08</v>
      </c>
      <c r="BI249">
        <v>33.21</v>
      </c>
      <c r="BJ249">
        <v>4.0599999999999996</v>
      </c>
      <c r="BK249" s="1" t="s">
        <v>96</v>
      </c>
      <c r="BL249" s="1" t="s">
        <v>96</v>
      </c>
      <c r="BM249" s="1" t="s">
        <v>96</v>
      </c>
      <c r="BN249" s="1" t="s">
        <v>96</v>
      </c>
      <c r="BO249" s="1">
        <v>21.98</v>
      </c>
      <c r="BP249">
        <v>10.09</v>
      </c>
      <c r="BQ249" t="s">
        <v>96</v>
      </c>
      <c r="BR249" s="1" t="s">
        <v>96</v>
      </c>
      <c r="BS249">
        <v>200.24</v>
      </c>
      <c r="BT249">
        <v>7.21</v>
      </c>
      <c r="BU249" s="1" t="s">
        <v>96</v>
      </c>
      <c r="BV249">
        <v>7.75</v>
      </c>
      <c r="BW249">
        <v>24.85</v>
      </c>
      <c r="BX249" s="1" t="s">
        <v>96</v>
      </c>
    </row>
    <row r="250" spans="1:76">
      <c r="A250">
        <v>183</v>
      </c>
      <c r="B250" t="s">
        <v>644</v>
      </c>
      <c r="D250" t="b">
        <v>1</v>
      </c>
      <c r="E250" t="s">
        <v>645</v>
      </c>
      <c r="G250" t="s">
        <v>646</v>
      </c>
      <c r="H250" s="1" t="s">
        <v>96</v>
      </c>
      <c r="I250" s="1" t="s">
        <v>96</v>
      </c>
      <c r="J250">
        <v>17.07</v>
      </c>
      <c r="K250" s="1" t="s">
        <v>96</v>
      </c>
      <c r="L250" s="1" t="s">
        <v>96</v>
      </c>
      <c r="M250" s="1">
        <v>20.65</v>
      </c>
      <c r="N250" s="1" t="s">
        <v>96</v>
      </c>
      <c r="O250" s="1" t="s">
        <v>96</v>
      </c>
      <c r="P250" s="1" t="s">
        <v>96</v>
      </c>
      <c r="Q250" s="1" t="s">
        <v>96</v>
      </c>
      <c r="R250" s="1" t="s">
        <v>96</v>
      </c>
      <c r="S250" s="1" t="s">
        <v>96</v>
      </c>
      <c r="T250" t="s">
        <v>96</v>
      </c>
      <c r="U250" s="1" t="s">
        <v>96</v>
      </c>
      <c r="V250">
        <v>4.47</v>
      </c>
      <c r="W250">
        <v>15.87</v>
      </c>
      <c r="X250">
        <v>215.65</v>
      </c>
      <c r="Y250" s="1" t="s">
        <v>96</v>
      </c>
      <c r="Z250">
        <v>108.07</v>
      </c>
      <c r="AA250">
        <v>635.4</v>
      </c>
      <c r="AB250">
        <v>242.54</v>
      </c>
      <c r="AC250" s="1">
        <v>4.21</v>
      </c>
      <c r="AD250" s="1" t="s">
        <v>96</v>
      </c>
      <c r="AE250" s="1" t="s">
        <v>96</v>
      </c>
      <c r="AF250" s="1" t="s">
        <v>96</v>
      </c>
      <c r="AG250" s="1" t="s">
        <v>96</v>
      </c>
      <c r="AH250" s="1" t="s">
        <v>96</v>
      </c>
      <c r="AI250">
        <v>307.2</v>
      </c>
      <c r="AJ250">
        <v>109.54</v>
      </c>
      <c r="AK250" s="1" t="s">
        <v>96</v>
      </c>
      <c r="AL250" s="1">
        <v>2.5299999999999998</v>
      </c>
      <c r="AM250">
        <v>94</v>
      </c>
      <c r="AN250">
        <v>11.23</v>
      </c>
      <c r="AO250" s="1" t="s">
        <v>96</v>
      </c>
      <c r="AP250" s="1" t="s">
        <v>96</v>
      </c>
      <c r="AQ250">
        <v>6.83</v>
      </c>
      <c r="AR250" s="1" t="s">
        <v>96</v>
      </c>
      <c r="AS250">
        <v>166.84</v>
      </c>
      <c r="AT250">
        <v>136.77000000000001</v>
      </c>
      <c r="AU250">
        <v>33.9</v>
      </c>
      <c r="AV250" s="1" t="s">
        <v>96</v>
      </c>
      <c r="AW250">
        <v>50.37</v>
      </c>
      <c r="AX250" s="1" t="s">
        <v>96</v>
      </c>
      <c r="AY250" s="1" t="s">
        <v>96</v>
      </c>
      <c r="AZ250">
        <v>7.64</v>
      </c>
      <c r="BA250" s="1" t="s">
        <v>96</v>
      </c>
      <c r="BB250" s="1" t="s">
        <v>96</v>
      </c>
      <c r="BC250">
        <v>10.35</v>
      </c>
      <c r="BD250">
        <v>6.42</v>
      </c>
      <c r="BE250" s="1" t="s">
        <v>96</v>
      </c>
      <c r="BF250" s="1" t="s">
        <v>96</v>
      </c>
      <c r="BG250" t="s">
        <v>96</v>
      </c>
      <c r="BH250">
        <v>2.6</v>
      </c>
      <c r="BI250">
        <v>26.02</v>
      </c>
      <c r="BJ250">
        <v>4.8899999999999997</v>
      </c>
      <c r="BK250" s="1" t="s">
        <v>96</v>
      </c>
      <c r="BL250" s="1" t="s">
        <v>96</v>
      </c>
      <c r="BM250" s="1" t="s">
        <v>96</v>
      </c>
      <c r="BN250" s="1" t="s">
        <v>96</v>
      </c>
      <c r="BO250" s="1">
        <v>36.979999999999997</v>
      </c>
      <c r="BP250">
        <v>44.18</v>
      </c>
      <c r="BQ250" t="s">
        <v>96</v>
      </c>
      <c r="BR250" s="1" t="s">
        <v>96</v>
      </c>
      <c r="BS250">
        <v>301.98</v>
      </c>
      <c r="BT250">
        <v>8.59</v>
      </c>
      <c r="BU250" s="1" t="s">
        <v>96</v>
      </c>
      <c r="BV250">
        <v>20.329999999999998</v>
      </c>
      <c r="BW250">
        <v>115.62</v>
      </c>
      <c r="BX250" s="1" t="s">
        <v>96</v>
      </c>
    </row>
    <row r="251" spans="1:76">
      <c r="A251">
        <v>252</v>
      </c>
      <c r="B251" t="s">
        <v>851</v>
      </c>
      <c r="D251" t="b">
        <v>1</v>
      </c>
      <c r="E251" t="s">
        <v>852</v>
      </c>
      <c r="G251" t="s">
        <v>853</v>
      </c>
      <c r="H251" s="1" t="s">
        <v>96</v>
      </c>
      <c r="I251" s="1" t="s">
        <v>96</v>
      </c>
      <c r="J251">
        <v>13.26</v>
      </c>
      <c r="K251" s="1" t="s">
        <v>96</v>
      </c>
      <c r="L251" s="1" t="s">
        <v>96</v>
      </c>
      <c r="M251" s="1">
        <v>28.38</v>
      </c>
      <c r="N251" s="1" t="s">
        <v>96</v>
      </c>
      <c r="O251" s="1" t="s">
        <v>96</v>
      </c>
      <c r="P251" s="1" t="s">
        <v>96</v>
      </c>
      <c r="Q251" s="1" t="s">
        <v>96</v>
      </c>
      <c r="R251" s="1" t="s">
        <v>96</v>
      </c>
      <c r="S251" s="1" t="s">
        <v>96</v>
      </c>
      <c r="T251" t="s">
        <v>96</v>
      </c>
      <c r="U251" s="1" t="s">
        <v>96</v>
      </c>
      <c r="V251" t="s">
        <v>96</v>
      </c>
      <c r="W251">
        <v>18.41</v>
      </c>
      <c r="X251">
        <v>66.260000000000005</v>
      </c>
      <c r="Y251" s="1" t="s">
        <v>96</v>
      </c>
      <c r="Z251">
        <v>38.44</v>
      </c>
      <c r="AA251">
        <v>139.72</v>
      </c>
      <c r="AB251">
        <v>50.65</v>
      </c>
      <c r="AC251" s="1">
        <v>3.47</v>
      </c>
      <c r="AD251" s="1">
        <v>2.59</v>
      </c>
      <c r="AE251" s="1" t="s">
        <v>96</v>
      </c>
      <c r="AF251" s="1" t="s">
        <v>96</v>
      </c>
      <c r="AG251" s="1" t="s">
        <v>96</v>
      </c>
      <c r="AH251" s="1" t="s">
        <v>96</v>
      </c>
      <c r="AI251">
        <v>157.38999999999999</v>
      </c>
      <c r="AJ251">
        <v>22.23</v>
      </c>
      <c r="AK251" s="1" t="s">
        <v>96</v>
      </c>
      <c r="AL251" s="1">
        <v>1.83</v>
      </c>
      <c r="AM251">
        <v>35.69</v>
      </c>
      <c r="AN251">
        <v>3.5</v>
      </c>
      <c r="AO251" s="1" t="s">
        <v>96</v>
      </c>
      <c r="AP251" s="1" t="s">
        <v>96</v>
      </c>
      <c r="AQ251">
        <v>22.19</v>
      </c>
      <c r="AR251" s="1" t="s">
        <v>96</v>
      </c>
      <c r="AS251">
        <v>229.19</v>
      </c>
      <c r="AT251">
        <v>81.739999999999995</v>
      </c>
      <c r="AU251">
        <v>21.55</v>
      </c>
      <c r="AV251" s="1" t="s">
        <v>96</v>
      </c>
      <c r="AW251">
        <v>37.19</v>
      </c>
      <c r="AX251" s="1" t="s">
        <v>96</v>
      </c>
      <c r="AY251" s="1">
        <v>2.78</v>
      </c>
      <c r="AZ251">
        <v>4.16</v>
      </c>
      <c r="BA251" s="1" t="s">
        <v>96</v>
      </c>
      <c r="BB251" s="1" t="s">
        <v>96</v>
      </c>
      <c r="BC251">
        <v>19.579999999999998</v>
      </c>
      <c r="BD251">
        <v>5.83</v>
      </c>
      <c r="BE251" s="1" t="s">
        <v>96</v>
      </c>
      <c r="BF251" s="1" t="s">
        <v>96</v>
      </c>
      <c r="BG251" t="s">
        <v>96</v>
      </c>
      <c r="BH251">
        <v>2.63</v>
      </c>
      <c r="BI251">
        <v>55.9</v>
      </c>
      <c r="BJ251">
        <v>10.97</v>
      </c>
      <c r="BK251" s="1" t="s">
        <v>96</v>
      </c>
      <c r="BL251" s="1" t="s">
        <v>96</v>
      </c>
      <c r="BM251" s="1" t="s">
        <v>96</v>
      </c>
      <c r="BN251" s="1" t="s">
        <v>96</v>
      </c>
      <c r="BO251" s="1">
        <v>24.9</v>
      </c>
      <c r="BP251">
        <v>34.74</v>
      </c>
      <c r="BQ251">
        <v>5.77</v>
      </c>
      <c r="BR251" s="1" t="s">
        <v>96</v>
      </c>
      <c r="BS251">
        <v>350.76</v>
      </c>
      <c r="BT251">
        <v>7.89</v>
      </c>
      <c r="BU251" s="1" t="s">
        <v>96</v>
      </c>
      <c r="BV251">
        <v>6.71</v>
      </c>
      <c r="BW251">
        <v>46.85</v>
      </c>
      <c r="BX251" s="1" t="s">
        <v>96</v>
      </c>
    </row>
    <row r="252" spans="1:76">
      <c r="A252">
        <v>229</v>
      </c>
      <c r="B252" t="s">
        <v>782</v>
      </c>
      <c r="D252" t="b">
        <v>1</v>
      </c>
      <c r="E252" t="s">
        <v>783</v>
      </c>
      <c r="G252" t="s">
        <v>784</v>
      </c>
      <c r="H252" s="1" t="s">
        <v>96</v>
      </c>
      <c r="I252" s="1" t="s">
        <v>96</v>
      </c>
      <c r="J252">
        <v>20.12</v>
      </c>
      <c r="K252" s="1" t="s">
        <v>96</v>
      </c>
      <c r="L252" s="1" t="s">
        <v>96</v>
      </c>
      <c r="M252" s="1">
        <v>15.52</v>
      </c>
      <c r="N252" s="1" t="s">
        <v>96</v>
      </c>
      <c r="O252" s="1" t="s">
        <v>96</v>
      </c>
      <c r="P252" s="1" t="s">
        <v>96</v>
      </c>
      <c r="Q252" s="1" t="s">
        <v>96</v>
      </c>
      <c r="R252" s="1" t="s">
        <v>96</v>
      </c>
      <c r="S252" s="1" t="s">
        <v>96</v>
      </c>
      <c r="T252" t="s">
        <v>96</v>
      </c>
      <c r="U252" s="1" t="s">
        <v>96</v>
      </c>
      <c r="V252">
        <v>3.38</v>
      </c>
      <c r="W252">
        <v>6.71</v>
      </c>
      <c r="X252">
        <v>68.739999999999995</v>
      </c>
      <c r="Y252" s="1" t="s">
        <v>96</v>
      </c>
      <c r="Z252">
        <v>22.35</v>
      </c>
      <c r="AA252">
        <v>227.34</v>
      </c>
      <c r="AB252">
        <v>75.81</v>
      </c>
      <c r="AC252" s="1">
        <v>8.56</v>
      </c>
      <c r="AD252" s="1" t="s">
        <v>96</v>
      </c>
      <c r="AE252" s="1" t="s">
        <v>96</v>
      </c>
      <c r="AF252" s="1" t="s">
        <v>96</v>
      </c>
      <c r="AG252" s="1" t="s">
        <v>96</v>
      </c>
      <c r="AH252" s="1" t="s">
        <v>96</v>
      </c>
      <c r="AI252">
        <v>32.700000000000003</v>
      </c>
      <c r="AJ252">
        <v>55.41</v>
      </c>
      <c r="AK252" s="1" t="s">
        <v>96</v>
      </c>
      <c r="AL252" s="1">
        <v>6.82</v>
      </c>
      <c r="AM252">
        <v>31.13</v>
      </c>
      <c r="AN252">
        <v>8.26</v>
      </c>
      <c r="AO252" s="1" t="s">
        <v>96</v>
      </c>
      <c r="AP252" s="1" t="s">
        <v>96</v>
      </c>
      <c r="AQ252">
        <v>6.84</v>
      </c>
      <c r="AR252" s="1" t="s">
        <v>96</v>
      </c>
      <c r="AS252">
        <v>856.55</v>
      </c>
      <c r="AT252">
        <v>259.35000000000002</v>
      </c>
      <c r="AU252">
        <v>89.76</v>
      </c>
      <c r="AV252" s="1" t="s">
        <v>96</v>
      </c>
      <c r="AW252">
        <v>323.48</v>
      </c>
      <c r="AX252" s="1" t="s">
        <v>96</v>
      </c>
      <c r="AY252" s="1" t="s">
        <v>96</v>
      </c>
      <c r="AZ252">
        <v>32.5</v>
      </c>
      <c r="BA252" s="1">
        <v>2.91</v>
      </c>
      <c r="BB252" s="1" t="s">
        <v>96</v>
      </c>
      <c r="BC252">
        <v>73.89</v>
      </c>
      <c r="BD252">
        <v>30.12</v>
      </c>
      <c r="BE252" s="1" t="s">
        <v>96</v>
      </c>
      <c r="BF252" s="1">
        <v>3.7</v>
      </c>
      <c r="BG252">
        <v>10.92</v>
      </c>
      <c r="BH252">
        <v>28.1</v>
      </c>
      <c r="BI252">
        <v>58.58</v>
      </c>
      <c r="BJ252">
        <v>3</v>
      </c>
      <c r="BK252" s="1" t="s">
        <v>96</v>
      </c>
      <c r="BL252" s="1" t="s">
        <v>96</v>
      </c>
      <c r="BM252" s="1" t="s">
        <v>96</v>
      </c>
      <c r="BN252" s="1" t="s">
        <v>96</v>
      </c>
      <c r="BO252" s="1">
        <v>16.04</v>
      </c>
      <c r="BP252">
        <v>120.98</v>
      </c>
      <c r="BQ252">
        <v>18.100000000000001</v>
      </c>
      <c r="BR252" s="1" t="s">
        <v>96</v>
      </c>
      <c r="BS252">
        <v>506.11</v>
      </c>
      <c r="BT252">
        <v>14.98</v>
      </c>
      <c r="BU252" s="1" t="s">
        <v>96</v>
      </c>
      <c r="BV252">
        <v>52.83</v>
      </c>
      <c r="BW252">
        <v>76.08</v>
      </c>
      <c r="BX252" s="1" t="s">
        <v>96</v>
      </c>
    </row>
    <row r="253" spans="1:76">
      <c r="A253">
        <v>230</v>
      </c>
      <c r="B253" t="s">
        <v>785</v>
      </c>
      <c r="D253" t="b">
        <v>1</v>
      </c>
      <c r="E253" t="s">
        <v>786</v>
      </c>
      <c r="G253" t="s">
        <v>787</v>
      </c>
      <c r="H253" s="1" t="s">
        <v>96</v>
      </c>
      <c r="I253" s="1" t="s">
        <v>96</v>
      </c>
      <c r="J253">
        <v>22.07</v>
      </c>
      <c r="K253" s="1" t="s">
        <v>96</v>
      </c>
      <c r="L253" s="1" t="s">
        <v>96</v>
      </c>
      <c r="M253" s="1">
        <v>6.84</v>
      </c>
      <c r="N253" s="1" t="s">
        <v>96</v>
      </c>
      <c r="O253" s="1" t="s">
        <v>96</v>
      </c>
      <c r="P253" s="1" t="s">
        <v>96</v>
      </c>
      <c r="Q253" s="1" t="s">
        <v>96</v>
      </c>
      <c r="R253" s="1" t="s">
        <v>96</v>
      </c>
      <c r="S253" s="1" t="s">
        <v>96</v>
      </c>
      <c r="T253">
        <v>1.22</v>
      </c>
      <c r="U253" s="1" t="s">
        <v>96</v>
      </c>
      <c r="V253">
        <v>4.66</v>
      </c>
      <c r="W253">
        <v>5.76</v>
      </c>
      <c r="X253">
        <v>118.96</v>
      </c>
      <c r="Y253" s="1" t="s">
        <v>96</v>
      </c>
      <c r="Z253">
        <v>33.369999999999997</v>
      </c>
      <c r="AA253">
        <v>185.81</v>
      </c>
      <c r="AB253">
        <v>71.06</v>
      </c>
      <c r="AC253" s="1" t="s">
        <v>96</v>
      </c>
      <c r="AD253" s="1">
        <v>1.89</v>
      </c>
      <c r="AE253" s="1" t="s">
        <v>96</v>
      </c>
      <c r="AF253" s="1" t="s">
        <v>96</v>
      </c>
      <c r="AG253" s="1" t="s">
        <v>96</v>
      </c>
      <c r="AH253" s="1" t="s">
        <v>96</v>
      </c>
      <c r="AI253">
        <v>71.819999999999993</v>
      </c>
      <c r="AJ253">
        <v>17.88</v>
      </c>
      <c r="AK253" s="1" t="s">
        <v>96</v>
      </c>
      <c r="AL253" s="1">
        <v>1.84</v>
      </c>
      <c r="AM253">
        <v>23.93</v>
      </c>
      <c r="AN253">
        <v>3.29</v>
      </c>
      <c r="AO253" s="1" t="s">
        <v>96</v>
      </c>
      <c r="AP253" s="1" t="s">
        <v>96</v>
      </c>
      <c r="AQ253" t="s">
        <v>96</v>
      </c>
      <c r="AR253" s="1" t="s">
        <v>96</v>
      </c>
      <c r="AS253">
        <v>370.97</v>
      </c>
      <c r="AT253">
        <v>210.41</v>
      </c>
      <c r="AU253">
        <v>17.95</v>
      </c>
      <c r="AV253" s="1" t="s">
        <v>96</v>
      </c>
      <c r="AW253">
        <v>125.68</v>
      </c>
      <c r="AX253" s="1" t="s">
        <v>96</v>
      </c>
      <c r="AY253" s="1" t="s">
        <v>96</v>
      </c>
      <c r="AZ253">
        <v>11.86</v>
      </c>
      <c r="BA253" s="1" t="s">
        <v>96</v>
      </c>
      <c r="BB253" s="1" t="s">
        <v>96</v>
      </c>
      <c r="BC253">
        <v>44.05</v>
      </c>
      <c r="BD253">
        <v>34.479999999999997</v>
      </c>
      <c r="BE253" s="1" t="s">
        <v>96</v>
      </c>
      <c r="BF253" s="1" t="s">
        <v>96</v>
      </c>
      <c r="BG253">
        <v>3.67</v>
      </c>
      <c r="BH253">
        <v>17.91</v>
      </c>
      <c r="BI253">
        <v>55.12</v>
      </c>
      <c r="BJ253" t="s">
        <v>96</v>
      </c>
      <c r="BK253" s="1" t="s">
        <v>96</v>
      </c>
      <c r="BL253" s="1" t="s">
        <v>96</v>
      </c>
      <c r="BM253" s="1" t="s">
        <v>96</v>
      </c>
      <c r="BN253" s="1" t="s">
        <v>96</v>
      </c>
      <c r="BO253" s="1" t="s">
        <v>96</v>
      </c>
      <c r="BP253">
        <v>57.92</v>
      </c>
      <c r="BQ253">
        <v>8.92</v>
      </c>
      <c r="BR253" s="1" t="s">
        <v>96</v>
      </c>
      <c r="BS253">
        <v>232.28</v>
      </c>
      <c r="BT253">
        <v>44.15</v>
      </c>
      <c r="BU253" s="1" t="s">
        <v>96</v>
      </c>
      <c r="BV253">
        <v>7.94</v>
      </c>
      <c r="BW253">
        <v>174.68</v>
      </c>
      <c r="BX253" s="1" t="s">
        <v>96</v>
      </c>
    </row>
    <row r="254" spans="1:76">
      <c r="A254">
        <v>160</v>
      </c>
      <c r="B254" t="s">
        <v>575</v>
      </c>
      <c r="D254" t="b">
        <v>1</v>
      </c>
      <c r="E254" t="s">
        <v>576</v>
      </c>
      <c r="G254" t="s">
        <v>577</v>
      </c>
      <c r="H254" s="1" t="s">
        <v>96</v>
      </c>
      <c r="I254" s="1" t="s">
        <v>96</v>
      </c>
      <c r="J254">
        <v>27.46</v>
      </c>
      <c r="K254" s="1" t="s">
        <v>96</v>
      </c>
      <c r="L254" s="1" t="s">
        <v>96</v>
      </c>
      <c r="M254" s="1" t="s">
        <v>96</v>
      </c>
      <c r="N254" s="1" t="s">
        <v>96</v>
      </c>
      <c r="O254" s="1" t="s">
        <v>96</v>
      </c>
      <c r="P254" s="1" t="s">
        <v>96</v>
      </c>
      <c r="Q254" s="1" t="s">
        <v>96</v>
      </c>
      <c r="R254" s="1" t="s">
        <v>96</v>
      </c>
      <c r="S254" s="1" t="s">
        <v>96</v>
      </c>
      <c r="T254">
        <v>2.27</v>
      </c>
      <c r="U254" s="1" t="s">
        <v>96</v>
      </c>
      <c r="V254">
        <v>19.98</v>
      </c>
      <c r="W254">
        <v>6.71</v>
      </c>
      <c r="X254">
        <v>156.47</v>
      </c>
      <c r="Y254" s="1" t="s">
        <v>96</v>
      </c>
      <c r="Z254">
        <v>8.09</v>
      </c>
      <c r="AA254">
        <v>242.13</v>
      </c>
      <c r="AB254">
        <v>407.93</v>
      </c>
      <c r="AC254" s="1" t="s">
        <v>96</v>
      </c>
      <c r="AD254" s="1">
        <v>5.73</v>
      </c>
      <c r="AE254" s="1" t="s">
        <v>96</v>
      </c>
      <c r="AF254" s="1" t="s">
        <v>96</v>
      </c>
      <c r="AG254" s="1" t="s">
        <v>96</v>
      </c>
      <c r="AH254" s="1" t="s">
        <v>96</v>
      </c>
      <c r="AI254">
        <v>68.37</v>
      </c>
      <c r="AJ254">
        <v>94.32</v>
      </c>
      <c r="AK254" s="1" t="s">
        <v>96</v>
      </c>
      <c r="AL254" s="1" t="s">
        <v>96</v>
      </c>
      <c r="AM254">
        <v>216.85</v>
      </c>
      <c r="AN254">
        <v>20.45</v>
      </c>
      <c r="AO254" s="1" t="s">
        <v>96</v>
      </c>
      <c r="AP254" s="1" t="s">
        <v>96</v>
      </c>
      <c r="AQ254">
        <v>2.66</v>
      </c>
      <c r="AR254" s="1" t="s">
        <v>96</v>
      </c>
      <c r="AS254" t="s">
        <v>133</v>
      </c>
      <c r="AT254">
        <v>532.79999999999995</v>
      </c>
      <c r="AU254">
        <v>486.67</v>
      </c>
      <c r="AV254" s="1" t="s">
        <v>96</v>
      </c>
      <c r="AW254">
        <v>612.63</v>
      </c>
      <c r="AX254" s="1" t="s">
        <v>96</v>
      </c>
      <c r="AY254" s="1" t="s">
        <v>96</v>
      </c>
      <c r="AZ254">
        <v>33.76</v>
      </c>
      <c r="BA254" s="1">
        <v>17.73</v>
      </c>
      <c r="BB254" s="1" t="s">
        <v>96</v>
      </c>
      <c r="BC254">
        <v>185.17</v>
      </c>
      <c r="BD254">
        <v>49.39</v>
      </c>
      <c r="BE254" s="1" t="s">
        <v>96</v>
      </c>
      <c r="BF254" s="1">
        <v>4.1399999999999997</v>
      </c>
      <c r="BG254">
        <v>2.62</v>
      </c>
      <c r="BH254">
        <v>44.71</v>
      </c>
      <c r="BI254">
        <v>15.36</v>
      </c>
      <c r="BJ254">
        <v>4.21</v>
      </c>
      <c r="BK254" s="1" t="s">
        <v>96</v>
      </c>
      <c r="BL254" s="1" t="s">
        <v>96</v>
      </c>
      <c r="BM254" s="1">
        <v>5.68</v>
      </c>
      <c r="BN254" s="1">
        <v>2.86</v>
      </c>
      <c r="BO254" s="1" t="s">
        <v>96</v>
      </c>
      <c r="BP254">
        <v>75.709999999999994</v>
      </c>
      <c r="BQ254">
        <v>8.14</v>
      </c>
      <c r="BR254" s="1" t="s">
        <v>96</v>
      </c>
      <c r="BS254">
        <v>74.22</v>
      </c>
      <c r="BT254">
        <v>6.3</v>
      </c>
      <c r="BU254" s="1" t="s">
        <v>96</v>
      </c>
      <c r="BV254">
        <v>42.16</v>
      </c>
      <c r="BW254">
        <v>33.97</v>
      </c>
      <c r="BX254" s="1" t="s">
        <v>96</v>
      </c>
    </row>
    <row r="255" spans="1:76">
      <c r="A255" t="s">
        <v>12</v>
      </c>
    </row>
    <row r="256" spans="1:76">
      <c r="A256" t="s">
        <v>82</v>
      </c>
    </row>
    <row r="257" spans="1:76">
      <c r="A257" t="s">
        <v>84</v>
      </c>
    </row>
    <row r="258" spans="1:76">
      <c r="A258" t="s">
        <v>87</v>
      </c>
      <c r="H258" s="1" t="s">
        <v>88</v>
      </c>
      <c r="I258" s="1" t="s">
        <v>88</v>
      </c>
      <c r="J258" t="s">
        <v>88</v>
      </c>
      <c r="K258" s="1" t="s">
        <v>88</v>
      </c>
      <c r="L258" s="1" t="s">
        <v>88</v>
      </c>
      <c r="M258" s="1" t="s">
        <v>88</v>
      </c>
      <c r="N258" s="1" t="s">
        <v>88</v>
      </c>
      <c r="O258" s="1" t="s">
        <v>88</v>
      </c>
      <c r="P258" s="1" t="s">
        <v>88</v>
      </c>
      <c r="Q258" s="1" t="s">
        <v>88</v>
      </c>
      <c r="R258" s="1" t="s">
        <v>88</v>
      </c>
      <c r="S258" s="1" t="s">
        <v>88</v>
      </c>
      <c r="T258" t="s">
        <v>88</v>
      </c>
      <c r="U258" s="1" t="s">
        <v>88</v>
      </c>
      <c r="V258" t="s">
        <v>88</v>
      </c>
      <c r="W258" t="s">
        <v>88</v>
      </c>
      <c r="X258" t="s">
        <v>88</v>
      </c>
      <c r="Y258" s="1" t="s">
        <v>88</v>
      </c>
      <c r="Z258" t="s">
        <v>88</v>
      </c>
      <c r="AA258" t="s">
        <v>88</v>
      </c>
      <c r="AB258" t="s">
        <v>88</v>
      </c>
      <c r="AC258" s="1" t="s">
        <v>88</v>
      </c>
      <c r="AD258" s="1" t="s">
        <v>88</v>
      </c>
      <c r="AE258" s="1" t="s">
        <v>88</v>
      </c>
      <c r="AF258" s="1" t="s">
        <v>88</v>
      </c>
      <c r="AG258" s="1" t="s">
        <v>88</v>
      </c>
      <c r="AH258" s="1" t="s">
        <v>88</v>
      </c>
      <c r="AI258" t="s">
        <v>88</v>
      </c>
      <c r="AJ258" t="s">
        <v>88</v>
      </c>
      <c r="AK258" s="1" t="s">
        <v>88</v>
      </c>
      <c r="AL258" s="1" t="s">
        <v>88</v>
      </c>
      <c r="AM258" t="s">
        <v>88</v>
      </c>
      <c r="AN258" t="s">
        <v>88</v>
      </c>
      <c r="AO258" s="1" t="s">
        <v>88</v>
      </c>
      <c r="AP258" s="1" t="s">
        <v>88</v>
      </c>
      <c r="AQ258" t="s">
        <v>88</v>
      </c>
      <c r="AR258" s="1" t="s">
        <v>88</v>
      </c>
      <c r="AS258" t="s">
        <v>88</v>
      </c>
      <c r="AT258" t="s">
        <v>88</v>
      </c>
      <c r="AU258" t="s">
        <v>88</v>
      </c>
      <c r="AV258" s="1" t="s">
        <v>88</v>
      </c>
      <c r="AW258" t="s">
        <v>88</v>
      </c>
      <c r="AX258" s="1" t="s">
        <v>88</v>
      </c>
      <c r="AY258" s="1" t="s">
        <v>88</v>
      </c>
      <c r="AZ258" t="s">
        <v>88</v>
      </c>
      <c r="BA258" s="1" t="s">
        <v>88</v>
      </c>
      <c r="BB258" s="1" t="s">
        <v>88</v>
      </c>
      <c r="BC258" t="s">
        <v>88</v>
      </c>
      <c r="BD258" t="s">
        <v>88</v>
      </c>
      <c r="BE258" s="1" t="s">
        <v>88</v>
      </c>
      <c r="BF258" s="1" t="s">
        <v>88</v>
      </c>
      <c r="BG258" t="s">
        <v>88</v>
      </c>
      <c r="BH258" t="s">
        <v>88</v>
      </c>
      <c r="BI258" t="s">
        <v>88</v>
      </c>
      <c r="BJ258" t="s">
        <v>88</v>
      </c>
      <c r="BK258" s="1" t="s">
        <v>88</v>
      </c>
      <c r="BL258" s="1" t="s">
        <v>88</v>
      </c>
      <c r="BM258" s="1" t="s">
        <v>88</v>
      </c>
      <c r="BN258" s="1" t="s">
        <v>88</v>
      </c>
      <c r="BO258" s="1" t="s">
        <v>88</v>
      </c>
      <c r="BP258" t="s">
        <v>88</v>
      </c>
      <c r="BQ258" t="s">
        <v>88</v>
      </c>
      <c r="BR258" s="1" t="s">
        <v>88</v>
      </c>
      <c r="BS258" t="s">
        <v>88</v>
      </c>
      <c r="BT258" t="s">
        <v>88</v>
      </c>
      <c r="BU258" s="1" t="s">
        <v>88</v>
      </c>
      <c r="BV258" t="s">
        <v>88</v>
      </c>
      <c r="BW258" t="s">
        <v>88</v>
      </c>
      <c r="BX258" s="1" t="s">
        <v>88</v>
      </c>
    </row>
    <row r="259" spans="1:76">
      <c r="A259" t="s">
        <v>89</v>
      </c>
      <c r="H259" s="1">
        <v>50</v>
      </c>
      <c r="I259" s="1">
        <v>5</v>
      </c>
      <c r="J259">
        <v>2.5</v>
      </c>
      <c r="K259" s="1">
        <v>10</v>
      </c>
      <c r="L259" s="1">
        <v>10</v>
      </c>
      <c r="M259" s="1">
        <v>5</v>
      </c>
      <c r="N259" s="1">
        <v>50</v>
      </c>
      <c r="O259" s="1">
        <v>10</v>
      </c>
      <c r="P259" s="1">
        <v>10</v>
      </c>
      <c r="Q259" s="1">
        <v>10</v>
      </c>
      <c r="R259" s="1">
        <v>2.5</v>
      </c>
      <c r="S259" s="1">
        <v>2.5</v>
      </c>
      <c r="T259">
        <v>1</v>
      </c>
      <c r="U259" s="1">
        <v>1</v>
      </c>
      <c r="V259">
        <v>1</v>
      </c>
      <c r="W259">
        <v>1</v>
      </c>
      <c r="X259">
        <v>1</v>
      </c>
      <c r="Y259" s="1">
        <v>1</v>
      </c>
      <c r="Z259">
        <v>5</v>
      </c>
      <c r="AA259">
        <v>1</v>
      </c>
      <c r="AB259">
        <v>1</v>
      </c>
      <c r="AC259" s="1">
        <v>2.5</v>
      </c>
      <c r="AD259" s="1">
        <v>1</v>
      </c>
      <c r="AE259" s="1">
        <v>1</v>
      </c>
      <c r="AF259" s="1">
        <v>1</v>
      </c>
      <c r="AG259" s="1">
        <v>2.5</v>
      </c>
      <c r="AH259" s="1">
        <v>1</v>
      </c>
      <c r="AI259">
        <v>25</v>
      </c>
      <c r="AJ259">
        <v>1</v>
      </c>
      <c r="AK259" s="1">
        <v>1</v>
      </c>
      <c r="AL259" s="1">
        <v>1</v>
      </c>
      <c r="AM259">
        <v>1</v>
      </c>
      <c r="AN259">
        <v>1</v>
      </c>
      <c r="AO259" s="1">
        <v>1</v>
      </c>
      <c r="AP259" s="1">
        <v>10</v>
      </c>
      <c r="AQ259">
        <v>2.5</v>
      </c>
      <c r="AR259" s="1">
        <v>2.5</v>
      </c>
      <c r="AS259">
        <v>2.5</v>
      </c>
      <c r="AT259">
        <v>2.5</v>
      </c>
      <c r="AU259">
        <v>2.5</v>
      </c>
      <c r="AV259" s="1">
        <v>1</v>
      </c>
      <c r="AW259">
        <v>5</v>
      </c>
      <c r="AX259" s="1">
        <v>10</v>
      </c>
      <c r="AY259" s="1">
        <v>2.5</v>
      </c>
      <c r="AZ259">
        <v>2.5</v>
      </c>
      <c r="BA259" s="1">
        <v>2.5</v>
      </c>
      <c r="BB259" s="1">
        <v>2.5</v>
      </c>
      <c r="BC259">
        <v>5</v>
      </c>
      <c r="BD259">
        <v>2.5</v>
      </c>
      <c r="BE259" s="1">
        <v>1</v>
      </c>
      <c r="BF259" s="1">
        <v>2.5</v>
      </c>
      <c r="BG259">
        <v>2.5</v>
      </c>
      <c r="BH259">
        <v>2.5</v>
      </c>
      <c r="BI259">
        <v>10</v>
      </c>
      <c r="BJ259">
        <v>2.5</v>
      </c>
      <c r="BK259" s="1">
        <v>1</v>
      </c>
      <c r="BL259" s="1">
        <v>2.5</v>
      </c>
      <c r="BM259" s="1">
        <v>5</v>
      </c>
      <c r="BN259" s="1">
        <v>2.5</v>
      </c>
      <c r="BO259" s="1">
        <v>5</v>
      </c>
      <c r="BP259">
        <v>2.5</v>
      </c>
      <c r="BQ259">
        <v>5</v>
      </c>
      <c r="BR259" s="1">
        <v>5</v>
      </c>
      <c r="BS259">
        <v>5</v>
      </c>
      <c r="BT259">
        <v>5</v>
      </c>
      <c r="BU259" s="1">
        <v>10</v>
      </c>
      <c r="BV259">
        <v>5</v>
      </c>
      <c r="BW259">
        <v>5</v>
      </c>
      <c r="BX259" s="1">
        <v>5</v>
      </c>
    </row>
    <row r="260" spans="1:76">
      <c r="A260" t="s">
        <v>90</v>
      </c>
      <c r="H260" s="1">
        <v>1000</v>
      </c>
      <c r="I260" s="1">
        <v>500</v>
      </c>
      <c r="J260">
        <v>500</v>
      </c>
      <c r="K260" s="1">
        <v>500</v>
      </c>
      <c r="L260" s="1">
        <v>500</v>
      </c>
      <c r="M260" s="1">
        <v>250</v>
      </c>
      <c r="N260" s="1">
        <v>1000</v>
      </c>
      <c r="O260" s="1">
        <v>2500</v>
      </c>
      <c r="P260" s="1">
        <v>1000</v>
      </c>
      <c r="Q260" s="1">
        <v>1000</v>
      </c>
      <c r="R260" s="1">
        <v>1000</v>
      </c>
      <c r="S260" s="1">
        <v>500</v>
      </c>
      <c r="T260">
        <v>500</v>
      </c>
      <c r="U260" s="1">
        <v>500</v>
      </c>
      <c r="V260">
        <v>500</v>
      </c>
      <c r="W260">
        <v>500</v>
      </c>
      <c r="X260">
        <v>1000</v>
      </c>
      <c r="Y260" s="1">
        <v>500</v>
      </c>
      <c r="Z260">
        <v>500</v>
      </c>
      <c r="AA260">
        <v>1000</v>
      </c>
      <c r="AB260">
        <v>1000</v>
      </c>
      <c r="AC260" s="1">
        <v>500</v>
      </c>
      <c r="AD260" s="1">
        <v>1000</v>
      </c>
      <c r="AE260" s="1">
        <v>1000</v>
      </c>
      <c r="AF260" s="1">
        <v>1000</v>
      </c>
      <c r="AG260" s="1">
        <v>1000</v>
      </c>
      <c r="AH260" s="1">
        <v>1000</v>
      </c>
      <c r="AI260">
        <v>2500</v>
      </c>
      <c r="AJ260">
        <v>1000</v>
      </c>
      <c r="AK260" s="1">
        <v>1000</v>
      </c>
      <c r="AL260" s="1">
        <v>1000</v>
      </c>
      <c r="AM260">
        <v>1000</v>
      </c>
      <c r="AN260">
        <v>1000</v>
      </c>
      <c r="AO260" s="1">
        <v>1000</v>
      </c>
      <c r="AP260" s="1">
        <v>1000</v>
      </c>
      <c r="AQ260">
        <v>2500</v>
      </c>
      <c r="AR260" s="1">
        <v>1000</v>
      </c>
      <c r="AS260">
        <v>2500</v>
      </c>
      <c r="AT260">
        <v>2500</v>
      </c>
      <c r="AU260">
        <v>2500</v>
      </c>
      <c r="AV260" s="1">
        <v>1000</v>
      </c>
      <c r="AW260">
        <v>1000</v>
      </c>
      <c r="AX260" s="1">
        <v>2500</v>
      </c>
      <c r="AY260" s="1">
        <v>2500</v>
      </c>
      <c r="AZ260">
        <v>1000</v>
      </c>
      <c r="BA260" s="1">
        <v>1000</v>
      </c>
      <c r="BB260" s="1">
        <v>1000</v>
      </c>
      <c r="BC260">
        <v>2500</v>
      </c>
      <c r="BD260">
        <v>2500</v>
      </c>
      <c r="BE260" s="1">
        <v>500</v>
      </c>
      <c r="BF260" s="1">
        <v>1000</v>
      </c>
      <c r="BG260">
        <v>2500</v>
      </c>
      <c r="BH260">
        <v>1000</v>
      </c>
      <c r="BI260">
        <v>2500</v>
      </c>
      <c r="BJ260">
        <v>1000</v>
      </c>
      <c r="BK260" s="1">
        <v>1000</v>
      </c>
      <c r="BL260" s="1">
        <v>1000</v>
      </c>
      <c r="BM260" s="1">
        <v>1000</v>
      </c>
      <c r="BN260" s="1">
        <v>500</v>
      </c>
      <c r="BO260" s="1">
        <v>1000</v>
      </c>
      <c r="BP260">
        <v>1000</v>
      </c>
      <c r="BQ260">
        <v>1000</v>
      </c>
      <c r="BR260" s="1">
        <v>2500</v>
      </c>
      <c r="BS260">
        <v>2500</v>
      </c>
      <c r="BT260">
        <v>2500</v>
      </c>
      <c r="BU260" s="1">
        <v>1000</v>
      </c>
      <c r="BV260">
        <v>2500</v>
      </c>
      <c r="BW260">
        <v>2500</v>
      </c>
      <c r="BX260" s="1">
        <v>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AE212-B82F-A242-9C07-43AC6653EED3}">
  <dimension ref="A1:AP268"/>
  <sheetViews>
    <sheetView workbookViewId="0">
      <pane ySplit="1" topLeftCell="A44" activePane="bottomLeft" state="frozen"/>
      <selection pane="bottomLeft" sqref="A1:M254"/>
    </sheetView>
  </sheetViews>
  <sheetFormatPr defaultColWidth="11.42578125" defaultRowHeight="15"/>
  <sheetData>
    <row r="1" spans="1:42" s="8" customFormat="1">
      <c r="A1" s="8" t="s">
        <v>8</v>
      </c>
      <c r="D1" s="5" t="s">
        <v>875</v>
      </c>
      <c r="E1" s="5" t="s">
        <v>876</v>
      </c>
      <c r="F1" s="6" t="s">
        <v>877</v>
      </c>
      <c r="G1" s="6" t="s">
        <v>878</v>
      </c>
      <c r="H1" s="6" t="s">
        <v>879</v>
      </c>
      <c r="I1" s="6" t="s">
        <v>880</v>
      </c>
      <c r="J1" s="6" t="s">
        <v>881</v>
      </c>
      <c r="K1" s="6" t="s">
        <v>882</v>
      </c>
      <c r="L1" s="6" t="s">
        <v>883</v>
      </c>
      <c r="M1" s="6" t="s">
        <v>884</v>
      </c>
      <c r="N1" s="8" t="s">
        <v>15</v>
      </c>
      <c r="O1" s="8" t="s">
        <v>27</v>
      </c>
      <c r="P1" s="8" t="s">
        <v>28</v>
      </c>
      <c r="Q1" s="8" t="s">
        <v>29</v>
      </c>
      <c r="R1" s="11" t="s">
        <v>31</v>
      </c>
      <c r="S1" s="8" t="s">
        <v>32</v>
      </c>
      <c r="T1" s="8" t="s">
        <v>33</v>
      </c>
      <c r="U1" s="11" t="s">
        <v>40</v>
      </c>
      <c r="V1" s="8" t="s">
        <v>41</v>
      </c>
      <c r="W1" s="8" t="s">
        <v>44</v>
      </c>
      <c r="X1" s="8" t="s">
        <v>45</v>
      </c>
      <c r="Y1" s="11" t="s">
        <v>48</v>
      </c>
      <c r="Z1" s="8" t="s">
        <v>50</v>
      </c>
      <c r="AA1" s="8" t="s">
        <v>51</v>
      </c>
      <c r="AB1" s="8" t="s">
        <v>52</v>
      </c>
      <c r="AC1" s="8" t="s">
        <v>54</v>
      </c>
      <c r="AD1" s="8" t="s">
        <v>57</v>
      </c>
      <c r="AE1" s="8" t="s">
        <v>60</v>
      </c>
      <c r="AF1" s="8" t="s">
        <v>61</v>
      </c>
      <c r="AG1" s="11" t="s">
        <v>64</v>
      </c>
      <c r="AH1" s="8" t="s">
        <v>65</v>
      </c>
      <c r="AI1" s="8" t="s">
        <v>66</v>
      </c>
      <c r="AJ1" s="11" t="s">
        <v>67</v>
      </c>
      <c r="AK1" s="8" t="s">
        <v>73</v>
      </c>
      <c r="AL1" s="8" t="s">
        <v>74</v>
      </c>
      <c r="AM1" s="8" t="s">
        <v>76</v>
      </c>
      <c r="AN1" s="11" t="s">
        <v>77</v>
      </c>
      <c r="AO1" s="8" t="s">
        <v>79</v>
      </c>
      <c r="AP1" s="8" t="s">
        <v>80</v>
      </c>
    </row>
    <row r="2" spans="1:42" ht="15.75">
      <c r="A2" t="s">
        <v>427</v>
      </c>
      <c r="B2" s="2" t="s">
        <v>427</v>
      </c>
      <c r="C2" s="2" t="str">
        <f>IF(A2=B2, "TRUE", "FALSE")</f>
        <v>TRUE</v>
      </c>
      <c r="D2" s="2" t="s">
        <v>854</v>
      </c>
      <c r="E2" s="2" t="s">
        <v>855</v>
      </c>
      <c r="F2" s="2" t="s">
        <v>856</v>
      </c>
      <c r="G2" s="3">
        <v>36363</v>
      </c>
      <c r="H2" s="3">
        <v>43210</v>
      </c>
      <c r="I2" s="2">
        <v>18</v>
      </c>
      <c r="J2" s="2">
        <v>1</v>
      </c>
      <c r="K2" s="2" t="s">
        <v>857</v>
      </c>
      <c r="L2" s="2">
        <v>200</v>
      </c>
      <c r="M2" s="2" t="s">
        <v>856</v>
      </c>
      <c r="N2">
        <v>22.52</v>
      </c>
      <c r="O2">
        <v>61.74</v>
      </c>
      <c r="P2" s="1">
        <v>3.87</v>
      </c>
      <c r="Q2">
        <v>262.68</v>
      </c>
      <c r="R2" s="1">
        <v>14.28</v>
      </c>
      <c r="S2">
        <v>356.88</v>
      </c>
      <c r="T2">
        <v>917.94</v>
      </c>
      <c r="U2" s="1">
        <v>440.12</v>
      </c>
      <c r="V2">
        <v>148.26</v>
      </c>
      <c r="W2">
        <v>171.92</v>
      </c>
      <c r="X2">
        <v>9.17</v>
      </c>
      <c r="Y2" s="1" t="s">
        <v>96</v>
      </c>
      <c r="Z2">
        <v>832.19</v>
      </c>
      <c r="AA2">
        <v>123.64</v>
      </c>
      <c r="AB2">
        <v>140.41</v>
      </c>
      <c r="AC2">
        <v>220.67</v>
      </c>
      <c r="AD2">
        <v>6.29</v>
      </c>
      <c r="AE2">
        <v>55.83</v>
      </c>
      <c r="AF2">
        <v>8.36</v>
      </c>
      <c r="AG2" s="1" t="s">
        <v>96</v>
      </c>
      <c r="AH2">
        <v>20.8</v>
      </c>
      <c r="AI2" t="s">
        <v>96</v>
      </c>
      <c r="AJ2" s="1" t="s">
        <v>96</v>
      </c>
      <c r="AK2">
        <v>92.16</v>
      </c>
      <c r="AL2">
        <v>7.62</v>
      </c>
      <c r="AM2">
        <v>74.05</v>
      </c>
      <c r="AN2" s="1">
        <v>5.81</v>
      </c>
      <c r="AO2">
        <v>139.80000000000001</v>
      </c>
      <c r="AP2">
        <v>54.4</v>
      </c>
    </row>
    <row r="3" spans="1:42" ht="15.75">
      <c r="A3" t="s">
        <v>136</v>
      </c>
      <c r="B3" s="2" t="s">
        <v>136</v>
      </c>
      <c r="C3" s="2" t="str">
        <f t="shared" ref="C3:C66" si="0">IF(A3=B3, "TRUE", "FALSE")</f>
        <v>TRUE</v>
      </c>
      <c r="D3" s="2" t="s">
        <v>858</v>
      </c>
      <c r="E3" s="2" t="s">
        <v>859</v>
      </c>
      <c r="F3" s="2" t="s">
        <v>860</v>
      </c>
      <c r="G3" s="3">
        <v>21294</v>
      </c>
      <c r="H3" s="3">
        <v>43210</v>
      </c>
      <c r="I3" s="2">
        <v>60</v>
      </c>
      <c r="J3" s="2">
        <v>1</v>
      </c>
      <c r="K3" s="2" t="s">
        <v>861</v>
      </c>
      <c r="L3" s="2">
        <v>1269</v>
      </c>
      <c r="M3" s="2">
        <v>8</v>
      </c>
      <c r="N3">
        <v>13.96</v>
      </c>
      <c r="O3">
        <v>2.94</v>
      </c>
      <c r="P3" s="1" t="s">
        <v>96</v>
      </c>
      <c r="Q3">
        <v>172.78</v>
      </c>
      <c r="R3" s="1" t="s">
        <v>96</v>
      </c>
      <c r="S3" t="s">
        <v>96</v>
      </c>
      <c r="T3">
        <v>836.11</v>
      </c>
      <c r="U3" s="1">
        <v>42.26</v>
      </c>
      <c r="V3">
        <v>44.05</v>
      </c>
      <c r="W3">
        <v>85.35</v>
      </c>
      <c r="X3">
        <v>5.14</v>
      </c>
      <c r="Y3" s="1" t="s">
        <v>96</v>
      </c>
      <c r="Z3" t="s">
        <v>133</v>
      </c>
      <c r="AA3">
        <v>3.21</v>
      </c>
      <c r="AB3">
        <v>159.05000000000001</v>
      </c>
      <c r="AC3" t="s">
        <v>133</v>
      </c>
      <c r="AD3">
        <v>25.28</v>
      </c>
      <c r="AE3">
        <v>281.48</v>
      </c>
      <c r="AF3" t="s">
        <v>96</v>
      </c>
      <c r="AG3" s="1" t="s">
        <v>96</v>
      </c>
      <c r="AH3">
        <v>115.65</v>
      </c>
      <c r="AI3" t="s">
        <v>96</v>
      </c>
      <c r="AJ3" s="1" t="s">
        <v>96</v>
      </c>
      <c r="AK3">
        <v>434.96</v>
      </c>
      <c r="AL3">
        <v>27.07</v>
      </c>
      <c r="AM3">
        <v>12.86</v>
      </c>
      <c r="AN3" s="1" t="s">
        <v>96</v>
      </c>
      <c r="AO3">
        <v>92.38</v>
      </c>
      <c r="AP3" t="s">
        <v>96</v>
      </c>
    </row>
    <row r="4" spans="1:42" ht="15.75">
      <c r="A4" t="s">
        <v>448</v>
      </c>
      <c r="B4" s="2" t="s">
        <v>448</v>
      </c>
      <c r="C4" s="2" t="str">
        <f t="shared" si="0"/>
        <v>TRUE</v>
      </c>
      <c r="D4" s="2" t="s">
        <v>858</v>
      </c>
      <c r="E4" s="2" t="s">
        <v>859</v>
      </c>
      <c r="F4" s="2" t="s">
        <v>860</v>
      </c>
      <c r="G4" s="3">
        <v>21589</v>
      </c>
      <c r="H4" s="3">
        <v>43291</v>
      </c>
      <c r="I4" s="2">
        <v>59</v>
      </c>
      <c r="J4" s="2">
        <v>1</v>
      </c>
      <c r="K4" s="2" t="s">
        <v>857</v>
      </c>
      <c r="L4" s="2">
        <v>3000</v>
      </c>
      <c r="M4" s="2">
        <v>9</v>
      </c>
      <c r="N4">
        <v>7.57</v>
      </c>
      <c r="O4">
        <v>1.71</v>
      </c>
      <c r="P4" s="1">
        <v>1.1599999999999999</v>
      </c>
      <c r="Q4">
        <v>6.18</v>
      </c>
      <c r="R4" s="1" t="s">
        <v>96</v>
      </c>
      <c r="S4">
        <v>35.57</v>
      </c>
      <c r="T4">
        <v>67.069999999999993</v>
      </c>
      <c r="U4" s="1">
        <v>28.63</v>
      </c>
      <c r="V4">
        <v>4.76</v>
      </c>
      <c r="W4">
        <v>56.98</v>
      </c>
      <c r="X4" t="s">
        <v>96</v>
      </c>
      <c r="Y4" s="1" t="s">
        <v>96</v>
      </c>
      <c r="Z4">
        <v>1107.47</v>
      </c>
      <c r="AA4">
        <v>44.63</v>
      </c>
      <c r="AB4">
        <v>9.3000000000000007</v>
      </c>
      <c r="AC4">
        <v>812.37</v>
      </c>
      <c r="AD4">
        <v>6.69</v>
      </c>
      <c r="AE4">
        <v>74.37</v>
      </c>
      <c r="AF4">
        <v>3.69</v>
      </c>
      <c r="AG4" s="1" t="s">
        <v>96</v>
      </c>
      <c r="AH4">
        <v>106.85</v>
      </c>
      <c r="AI4" t="s">
        <v>96</v>
      </c>
      <c r="AJ4" s="1" t="s">
        <v>96</v>
      </c>
      <c r="AK4">
        <v>109.93</v>
      </c>
      <c r="AL4">
        <v>10.67</v>
      </c>
      <c r="AM4">
        <v>34.85</v>
      </c>
      <c r="AN4" s="1" t="s">
        <v>96</v>
      </c>
      <c r="AO4">
        <v>7.76</v>
      </c>
      <c r="AP4">
        <v>11.32</v>
      </c>
    </row>
    <row r="5" spans="1:42" ht="15.75">
      <c r="A5" t="s">
        <v>132</v>
      </c>
      <c r="B5" s="2" t="s">
        <v>132</v>
      </c>
      <c r="C5" s="2" t="str">
        <f t="shared" si="0"/>
        <v>TRUE</v>
      </c>
      <c r="D5" s="2" t="s">
        <v>854</v>
      </c>
      <c r="E5" s="2" t="s">
        <v>862</v>
      </c>
      <c r="F5" s="2" t="s">
        <v>856</v>
      </c>
      <c r="G5" s="3">
        <v>21741</v>
      </c>
      <c r="H5" s="3">
        <v>43297</v>
      </c>
      <c r="I5" s="2">
        <v>59</v>
      </c>
      <c r="J5" s="2">
        <v>1</v>
      </c>
      <c r="K5" s="2" t="s">
        <v>861</v>
      </c>
      <c r="L5" s="2">
        <v>289</v>
      </c>
      <c r="M5" s="2" t="s">
        <v>856</v>
      </c>
      <c r="N5">
        <v>14.07</v>
      </c>
      <c r="O5">
        <v>1.45</v>
      </c>
      <c r="P5" s="1" t="s">
        <v>96</v>
      </c>
      <c r="Q5" t="s">
        <v>96</v>
      </c>
      <c r="R5" s="1" t="s">
        <v>96</v>
      </c>
      <c r="S5" t="s">
        <v>96</v>
      </c>
      <c r="T5">
        <v>102.54</v>
      </c>
      <c r="U5" s="1" t="s">
        <v>96</v>
      </c>
      <c r="V5">
        <v>1.47</v>
      </c>
      <c r="W5">
        <v>33.909999999999997</v>
      </c>
      <c r="X5">
        <v>1.35</v>
      </c>
      <c r="Y5" s="1" t="s">
        <v>96</v>
      </c>
      <c r="Z5" t="s">
        <v>133</v>
      </c>
      <c r="AA5">
        <v>8.44</v>
      </c>
      <c r="AB5">
        <v>13.26</v>
      </c>
      <c r="AC5" t="s">
        <v>133</v>
      </c>
      <c r="AD5">
        <v>20.41</v>
      </c>
      <c r="AE5">
        <v>815.98</v>
      </c>
      <c r="AF5">
        <v>3.19</v>
      </c>
      <c r="AG5" s="1" t="s">
        <v>96</v>
      </c>
      <c r="AH5" t="s">
        <v>133</v>
      </c>
      <c r="AI5">
        <v>11.82</v>
      </c>
      <c r="AJ5" s="1" t="s">
        <v>96</v>
      </c>
      <c r="AK5">
        <v>185.43</v>
      </c>
      <c r="AL5">
        <v>47.09</v>
      </c>
      <c r="AM5" t="s">
        <v>96</v>
      </c>
      <c r="AN5" s="1" t="s">
        <v>96</v>
      </c>
      <c r="AO5">
        <v>5.64</v>
      </c>
      <c r="AP5" t="s">
        <v>96</v>
      </c>
    </row>
    <row r="6" spans="1:42" ht="15.75">
      <c r="A6" t="s">
        <v>178</v>
      </c>
      <c r="B6" s="2" t="s">
        <v>178</v>
      </c>
      <c r="C6" s="2" t="str">
        <f t="shared" si="0"/>
        <v>TRUE</v>
      </c>
      <c r="D6" s="2" t="s">
        <v>858</v>
      </c>
      <c r="E6" s="2" t="s">
        <v>863</v>
      </c>
      <c r="F6" s="2" t="s">
        <v>864</v>
      </c>
      <c r="G6" s="3">
        <v>30401</v>
      </c>
      <c r="H6" s="3">
        <v>43300</v>
      </c>
      <c r="I6" s="2">
        <v>35</v>
      </c>
      <c r="J6" s="2">
        <v>1</v>
      </c>
      <c r="K6" s="2" t="s">
        <v>857</v>
      </c>
      <c r="L6" s="2">
        <v>250</v>
      </c>
      <c r="M6" s="2">
        <v>0</v>
      </c>
      <c r="N6">
        <v>11.47</v>
      </c>
      <c r="O6">
        <v>13.51</v>
      </c>
      <c r="P6" s="1">
        <v>18.170000000000002</v>
      </c>
      <c r="Q6">
        <v>25.47</v>
      </c>
      <c r="R6" s="1">
        <v>8.16</v>
      </c>
      <c r="S6">
        <v>210.41</v>
      </c>
      <c r="T6">
        <v>299.60000000000002</v>
      </c>
      <c r="U6" s="1">
        <v>999.43</v>
      </c>
      <c r="V6">
        <v>37.32</v>
      </c>
      <c r="W6">
        <v>644.79</v>
      </c>
      <c r="X6">
        <v>15.34</v>
      </c>
      <c r="Y6" s="1">
        <v>26.83</v>
      </c>
      <c r="Z6">
        <v>1242.1400000000001</v>
      </c>
      <c r="AA6">
        <v>274.97000000000003</v>
      </c>
      <c r="AB6">
        <v>46.68</v>
      </c>
      <c r="AC6">
        <v>577.04</v>
      </c>
      <c r="AD6">
        <v>21.34</v>
      </c>
      <c r="AE6">
        <v>119.96</v>
      </c>
      <c r="AF6">
        <v>31.02</v>
      </c>
      <c r="AG6" s="1">
        <v>4.3099999999999996</v>
      </c>
      <c r="AH6">
        <v>53.52</v>
      </c>
      <c r="AI6">
        <v>83.37</v>
      </c>
      <c r="AJ6" s="1">
        <v>9.98</v>
      </c>
      <c r="AK6">
        <v>98.73</v>
      </c>
      <c r="AL6">
        <v>23.32</v>
      </c>
      <c r="AM6">
        <v>485.56</v>
      </c>
      <c r="AN6" s="1">
        <v>12.71</v>
      </c>
      <c r="AO6">
        <v>9.4</v>
      </c>
      <c r="AP6">
        <v>60.14</v>
      </c>
    </row>
    <row r="7" spans="1:42" ht="15.75">
      <c r="A7" t="s">
        <v>748</v>
      </c>
      <c r="B7" s="2" t="s">
        <v>748</v>
      </c>
      <c r="C7" s="2" t="str">
        <f t="shared" si="0"/>
        <v>TRUE</v>
      </c>
      <c r="D7" s="2" t="s">
        <v>865</v>
      </c>
      <c r="E7" s="2" t="s">
        <v>866</v>
      </c>
      <c r="F7" s="2" t="s">
        <v>860</v>
      </c>
      <c r="G7" s="3">
        <v>29526</v>
      </c>
      <c r="H7" s="3">
        <v>43301</v>
      </c>
      <c r="I7" s="2">
        <v>37</v>
      </c>
      <c r="J7" s="2">
        <v>1</v>
      </c>
      <c r="K7" s="2" t="s">
        <v>861</v>
      </c>
      <c r="L7" s="2">
        <v>70</v>
      </c>
      <c r="M7" s="2">
        <v>6</v>
      </c>
      <c r="N7">
        <v>8.3699999999999992</v>
      </c>
      <c r="O7">
        <v>17.41</v>
      </c>
      <c r="P7" s="1" t="s">
        <v>96</v>
      </c>
      <c r="Q7">
        <v>792.86</v>
      </c>
      <c r="R7" s="1" t="s">
        <v>96</v>
      </c>
      <c r="S7">
        <v>25.12</v>
      </c>
      <c r="T7">
        <v>144.87</v>
      </c>
      <c r="U7" s="1">
        <v>306.95999999999998</v>
      </c>
      <c r="V7">
        <v>148.02000000000001</v>
      </c>
      <c r="W7">
        <v>74.53</v>
      </c>
      <c r="X7">
        <v>5.15</v>
      </c>
      <c r="Y7" s="1" t="s">
        <v>96</v>
      </c>
      <c r="Z7">
        <v>1088.44</v>
      </c>
      <c r="AA7">
        <v>13.88</v>
      </c>
      <c r="AB7">
        <v>322.76</v>
      </c>
      <c r="AC7">
        <v>321.13</v>
      </c>
      <c r="AD7">
        <v>24.9</v>
      </c>
      <c r="AE7">
        <v>115.47</v>
      </c>
      <c r="AF7" t="s">
        <v>96</v>
      </c>
      <c r="AG7" s="1" t="s">
        <v>96</v>
      </c>
      <c r="AH7">
        <v>27.32</v>
      </c>
      <c r="AI7" t="s">
        <v>96</v>
      </c>
      <c r="AJ7" s="1" t="s">
        <v>96</v>
      </c>
      <c r="AK7">
        <v>131.88999999999999</v>
      </c>
      <c r="AL7">
        <v>25.89</v>
      </c>
      <c r="AM7">
        <v>12.46</v>
      </c>
      <c r="AN7" s="1" t="s">
        <v>96</v>
      </c>
      <c r="AO7">
        <v>66.39</v>
      </c>
      <c r="AP7">
        <v>7.02</v>
      </c>
    </row>
    <row r="8" spans="1:42" ht="15.75">
      <c r="A8" t="s">
        <v>718</v>
      </c>
      <c r="B8" s="2" t="s">
        <v>718</v>
      </c>
      <c r="C8" s="2" t="str">
        <f t="shared" si="0"/>
        <v>TRUE</v>
      </c>
      <c r="D8" s="2" t="s">
        <v>858</v>
      </c>
      <c r="E8" s="2" t="s">
        <v>863</v>
      </c>
      <c r="F8" s="2" t="s">
        <v>864</v>
      </c>
      <c r="G8" s="3">
        <v>32618</v>
      </c>
      <c r="H8" s="3">
        <v>43308</v>
      </c>
      <c r="I8" s="2">
        <v>29</v>
      </c>
      <c r="J8" s="2">
        <v>1</v>
      </c>
      <c r="K8" s="2" t="s">
        <v>857</v>
      </c>
      <c r="L8" s="2">
        <v>2826</v>
      </c>
      <c r="M8" s="2">
        <v>5</v>
      </c>
      <c r="N8">
        <v>20.6</v>
      </c>
      <c r="O8">
        <v>2.37</v>
      </c>
      <c r="P8" s="1">
        <v>10.72</v>
      </c>
      <c r="Q8">
        <v>36.450000000000003</v>
      </c>
      <c r="R8" s="1">
        <v>14.27</v>
      </c>
      <c r="S8">
        <v>227.29</v>
      </c>
      <c r="T8">
        <v>56.71</v>
      </c>
      <c r="U8" s="1" t="s">
        <v>96</v>
      </c>
      <c r="V8">
        <v>21.07</v>
      </c>
      <c r="W8">
        <v>57.7</v>
      </c>
      <c r="X8">
        <v>16.41</v>
      </c>
      <c r="Y8" s="1">
        <v>24.95</v>
      </c>
      <c r="Z8">
        <v>1903.06</v>
      </c>
      <c r="AA8">
        <v>502.28</v>
      </c>
      <c r="AB8">
        <v>74.400000000000006</v>
      </c>
      <c r="AC8">
        <v>733.64</v>
      </c>
      <c r="AD8">
        <v>34.81</v>
      </c>
      <c r="AE8">
        <v>499.57</v>
      </c>
      <c r="AF8">
        <v>184.75</v>
      </c>
      <c r="AG8" s="1">
        <v>11.96</v>
      </c>
      <c r="AH8">
        <v>226.66</v>
      </c>
      <c r="AI8">
        <v>248.39</v>
      </c>
      <c r="AJ8" s="1">
        <v>3.02</v>
      </c>
      <c r="AK8">
        <v>161.51</v>
      </c>
      <c r="AL8">
        <v>47.48</v>
      </c>
      <c r="AM8">
        <v>495.22</v>
      </c>
      <c r="AN8" s="1">
        <v>91.59</v>
      </c>
      <c r="AO8">
        <v>17.52</v>
      </c>
      <c r="AP8">
        <v>163.71</v>
      </c>
    </row>
    <row r="9" spans="1:42" ht="15.75">
      <c r="A9" t="s">
        <v>412</v>
      </c>
      <c r="B9" s="2" t="s">
        <v>412</v>
      </c>
      <c r="C9" s="2" t="str">
        <f t="shared" si="0"/>
        <v>TRUE</v>
      </c>
      <c r="D9" s="2" t="s">
        <v>865</v>
      </c>
      <c r="E9" s="2" t="s">
        <v>866</v>
      </c>
      <c r="F9" s="2" t="s">
        <v>864</v>
      </c>
      <c r="G9" s="3">
        <v>32901</v>
      </c>
      <c r="H9" s="3">
        <v>43296</v>
      </c>
      <c r="I9" s="2">
        <v>28</v>
      </c>
      <c r="J9" s="2">
        <v>1</v>
      </c>
      <c r="K9" s="2" t="s">
        <v>857</v>
      </c>
      <c r="L9" s="2">
        <v>796</v>
      </c>
      <c r="M9" s="2">
        <v>6</v>
      </c>
      <c r="N9">
        <v>16.3</v>
      </c>
      <c r="O9">
        <v>10.71</v>
      </c>
      <c r="P9" s="1">
        <v>8.69</v>
      </c>
      <c r="Q9">
        <v>19.11</v>
      </c>
      <c r="R9" s="1">
        <v>7.99</v>
      </c>
      <c r="S9">
        <v>170.41</v>
      </c>
      <c r="T9">
        <v>264.32</v>
      </c>
      <c r="U9" s="1">
        <v>2003.04</v>
      </c>
      <c r="V9">
        <v>32.380000000000003</v>
      </c>
      <c r="W9">
        <v>429.23</v>
      </c>
      <c r="X9">
        <v>26.3</v>
      </c>
      <c r="Y9" s="1">
        <v>5.64</v>
      </c>
      <c r="Z9">
        <v>1585.53</v>
      </c>
      <c r="AA9">
        <v>382.74</v>
      </c>
      <c r="AB9">
        <v>102.99</v>
      </c>
      <c r="AC9">
        <v>460.25</v>
      </c>
      <c r="AD9">
        <v>22.66</v>
      </c>
      <c r="AE9">
        <v>90.31</v>
      </c>
      <c r="AF9">
        <v>21.05</v>
      </c>
      <c r="AG9" s="1">
        <v>4.74</v>
      </c>
      <c r="AH9">
        <v>26.08</v>
      </c>
      <c r="AI9">
        <v>93.56</v>
      </c>
      <c r="AJ9" s="1">
        <v>27.6</v>
      </c>
      <c r="AK9">
        <v>91.34</v>
      </c>
      <c r="AL9">
        <v>30.85</v>
      </c>
      <c r="AM9">
        <v>276.68</v>
      </c>
      <c r="AN9" s="1">
        <v>9.58</v>
      </c>
      <c r="AO9">
        <v>12.57</v>
      </c>
      <c r="AP9">
        <v>46.93</v>
      </c>
    </row>
    <row r="10" spans="1:42" ht="15.75">
      <c r="A10" t="s">
        <v>730</v>
      </c>
      <c r="B10" s="2" t="s">
        <v>730</v>
      </c>
      <c r="C10" s="2" t="str">
        <f t="shared" si="0"/>
        <v>TRUE</v>
      </c>
      <c r="D10" s="2" t="s">
        <v>854</v>
      </c>
      <c r="E10" s="2" t="s">
        <v>855</v>
      </c>
      <c r="F10" s="2" t="s">
        <v>856</v>
      </c>
      <c r="G10" s="3">
        <v>27100</v>
      </c>
      <c r="H10" s="3">
        <v>43318</v>
      </c>
      <c r="I10" s="2">
        <v>44</v>
      </c>
      <c r="J10" s="2">
        <v>1</v>
      </c>
      <c r="K10" s="2" t="s">
        <v>861</v>
      </c>
      <c r="L10" s="2">
        <v>300</v>
      </c>
      <c r="M10" s="2" t="s">
        <v>856</v>
      </c>
      <c r="N10">
        <v>30.54</v>
      </c>
      <c r="O10">
        <v>84.75</v>
      </c>
      <c r="P10" s="1" t="s">
        <v>96</v>
      </c>
      <c r="Q10">
        <v>2.29</v>
      </c>
      <c r="R10" s="1" t="s">
        <v>96</v>
      </c>
      <c r="S10" t="s">
        <v>96</v>
      </c>
      <c r="T10">
        <v>325.95999999999998</v>
      </c>
      <c r="U10" s="1" t="s">
        <v>96</v>
      </c>
      <c r="V10">
        <v>6.94</v>
      </c>
      <c r="W10">
        <v>14.78</v>
      </c>
      <c r="X10">
        <v>4.03</v>
      </c>
      <c r="Y10" s="1" t="s">
        <v>96</v>
      </c>
      <c r="Z10" t="s">
        <v>133</v>
      </c>
      <c r="AA10">
        <v>8.6300000000000008</v>
      </c>
      <c r="AB10">
        <v>141.9</v>
      </c>
      <c r="AC10" t="s">
        <v>133</v>
      </c>
      <c r="AD10">
        <v>278.91000000000003</v>
      </c>
      <c r="AE10" t="s">
        <v>133</v>
      </c>
      <c r="AF10">
        <v>14.58</v>
      </c>
      <c r="AG10" s="1">
        <v>16.72</v>
      </c>
      <c r="AH10" t="s">
        <v>133</v>
      </c>
      <c r="AI10">
        <v>80.41</v>
      </c>
      <c r="AJ10" s="1" t="s">
        <v>96</v>
      </c>
      <c r="AK10">
        <v>495.84</v>
      </c>
      <c r="AL10" t="s">
        <v>133</v>
      </c>
      <c r="AM10">
        <v>26.96</v>
      </c>
      <c r="AN10" s="1" t="s">
        <v>96</v>
      </c>
      <c r="AO10">
        <v>12.73</v>
      </c>
      <c r="AP10" t="s">
        <v>96</v>
      </c>
    </row>
    <row r="11" spans="1:42" ht="15.75">
      <c r="A11" t="s">
        <v>151</v>
      </c>
      <c r="B11" s="2" t="s">
        <v>151</v>
      </c>
      <c r="C11" s="2" t="str">
        <f t="shared" si="0"/>
        <v>TRUE</v>
      </c>
      <c r="D11" s="2" t="s">
        <v>854</v>
      </c>
      <c r="E11" s="2" t="s">
        <v>862</v>
      </c>
      <c r="F11" s="2" t="s">
        <v>856</v>
      </c>
      <c r="G11" s="3">
        <v>36594</v>
      </c>
      <c r="H11" s="3">
        <v>43320</v>
      </c>
      <c r="I11" s="2">
        <v>18</v>
      </c>
      <c r="J11" s="2">
        <v>1</v>
      </c>
      <c r="K11" s="2" t="s">
        <v>857</v>
      </c>
      <c r="L11" s="2">
        <v>133</v>
      </c>
      <c r="M11" s="2" t="s">
        <v>856</v>
      </c>
      <c r="N11">
        <v>14.17</v>
      </c>
      <c r="O11">
        <v>3.33</v>
      </c>
      <c r="P11" s="1">
        <v>5.75</v>
      </c>
      <c r="Q11">
        <v>97.23</v>
      </c>
      <c r="R11" s="1">
        <v>11.66</v>
      </c>
      <c r="S11">
        <v>160.26</v>
      </c>
      <c r="T11">
        <v>168.19</v>
      </c>
      <c r="U11" s="1" t="s">
        <v>96</v>
      </c>
      <c r="V11">
        <v>35.409999999999997</v>
      </c>
      <c r="W11">
        <v>73.510000000000005</v>
      </c>
      <c r="X11">
        <v>4.7300000000000004</v>
      </c>
      <c r="Y11" s="1" t="s">
        <v>96</v>
      </c>
      <c r="Z11">
        <v>1569.1</v>
      </c>
      <c r="AA11">
        <v>299.37</v>
      </c>
      <c r="AB11">
        <v>158.06</v>
      </c>
      <c r="AC11">
        <v>289.24</v>
      </c>
      <c r="AD11">
        <v>16.899999999999999</v>
      </c>
      <c r="AE11">
        <v>111.85</v>
      </c>
      <c r="AF11">
        <v>27.94</v>
      </c>
      <c r="AG11" s="1">
        <v>5.66</v>
      </c>
      <c r="AH11">
        <v>25.11</v>
      </c>
      <c r="AI11">
        <v>15.81</v>
      </c>
      <c r="AJ11" s="1" t="s">
        <v>96</v>
      </c>
      <c r="AK11">
        <v>79.02</v>
      </c>
      <c r="AL11">
        <v>16.13</v>
      </c>
      <c r="AM11">
        <v>74.89</v>
      </c>
      <c r="AN11" s="1">
        <v>18.14</v>
      </c>
      <c r="AO11">
        <v>35.65</v>
      </c>
      <c r="AP11">
        <v>92</v>
      </c>
    </row>
    <row r="12" spans="1:42" ht="15.75">
      <c r="A12" t="s">
        <v>580</v>
      </c>
      <c r="B12" s="2" t="s">
        <v>580</v>
      </c>
      <c r="C12" s="2" t="str">
        <f t="shared" si="0"/>
        <v>TRUE</v>
      </c>
      <c r="D12" s="2" t="s">
        <v>854</v>
      </c>
      <c r="E12" s="2" t="s">
        <v>862</v>
      </c>
      <c r="F12" s="2" t="s">
        <v>867</v>
      </c>
      <c r="G12" s="3">
        <v>32592</v>
      </c>
      <c r="H12" s="3">
        <v>43321</v>
      </c>
      <c r="I12" s="2">
        <v>29</v>
      </c>
      <c r="J12" s="2">
        <v>1</v>
      </c>
      <c r="K12" s="2" t="s">
        <v>857</v>
      </c>
      <c r="L12" s="2">
        <v>125</v>
      </c>
      <c r="M12" s="2" t="s">
        <v>856</v>
      </c>
      <c r="N12">
        <v>18.52</v>
      </c>
      <c r="O12">
        <v>7.05</v>
      </c>
      <c r="P12" s="1">
        <v>4.88</v>
      </c>
      <c r="Q12">
        <v>729.73</v>
      </c>
      <c r="R12" s="1">
        <v>16.32</v>
      </c>
      <c r="S12">
        <v>126.19</v>
      </c>
      <c r="T12">
        <v>91.84</v>
      </c>
      <c r="U12" s="1" t="s">
        <v>96</v>
      </c>
      <c r="V12">
        <v>81.709999999999994</v>
      </c>
      <c r="W12">
        <v>38.47</v>
      </c>
      <c r="X12">
        <v>3.46</v>
      </c>
      <c r="Y12" s="1">
        <v>4.29</v>
      </c>
      <c r="Z12">
        <v>2188.0700000000002</v>
      </c>
      <c r="AA12">
        <v>356.97</v>
      </c>
      <c r="AB12">
        <v>467.69</v>
      </c>
      <c r="AC12">
        <v>918.56</v>
      </c>
      <c r="AD12">
        <v>19.57</v>
      </c>
      <c r="AE12">
        <v>438.97</v>
      </c>
      <c r="AF12">
        <v>95.22</v>
      </c>
      <c r="AG12" s="1" t="s">
        <v>96</v>
      </c>
      <c r="AH12">
        <v>238.41</v>
      </c>
      <c r="AI12">
        <v>28.78</v>
      </c>
      <c r="AJ12" s="1" t="s">
        <v>96</v>
      </c>
      <c r="AK12">
        <v>71.63</v>
      </c>
      <c r="AL12">
        <v>13.96</v>
      </c>
      <c r="AM12">
        <v>145</v>
      </c>
      <c r="AN12" s="1">
        <v>11.46</v>
      </c>
      <c r="AO12">
        <v>108.98</v>
      </c>
      <c r="AP12">
        <v>35.81</v>
      </c>
    </row>
    <row r="13" spans="1:42" ht="15.75">
      <c r="A13" t="s">
        <v>706</v>
      </c>
      <c r="B13" s="2" t="s">
        <v>706</v>
      </c>
      <c r="C13" s="2" t="str">
        <f t="shared" si="0"/>
        <v>TRUE</v>
      </c>
      <c r="D13" s="2" t="s">
        <v>858</v>
      </c>
      <c r="E13" s="2" t="s">
        <v>859</v>
      </c>
      <c r="F13" s="2" t="s">
        <v>864</v>
      </c>
      <c r="G13" s="3">
        <v>29445</v>
      </c>
      <c r="H13" s="3">
        <v>43329</v>
      </c>
      <c r="I13" s="2">
        <v>38</v>
      </c>
      <c r="J13" s="2">
        <v>1</v>
      </c>
      <c r="K13" s="2" t="s">
        <v>857</v>
      </c>
      <c r="L13" s="2">
        <v>2043</v>
      </c>
      <c r="M13" s="2">
        <v>8</v>
      </c>
      <c r="N13">
        <v>12.7</v>
      </c>
      <c r="O13">
        <v>7.38</v>
      </c>
      <c r="P13" s="1">
        <v>3.67</v>
      </c>
      <c r="Q13">
        <v>27.12</v>
      </c>
      <c r="R13" s="1" t="s">
        <v>96</v>
      </c>
      <c r="S13">
        <v>117.13</v>
      </c>
      <c r="T13">
        <v>259.51</v>
      </c>
      <c r="U13" s="1">
        <v>101.12</v>
      </c>
      <c r="V13">
        <v>49.75</v>
      </c>
      <c r="W13">
        <v>248.56</v>
      </c>
      <c r="X13">
        <v>12.19</v>
      </c>
      <c r="Y13" s="1" t="s">
        <v>96</v>
      </c>
      <c r="Z13">
        <v>2497.25</v>
      </c>
      <c r="AA13">
        <v>405.52</v>
      </c>
      <c r="AB13">
        <v>270.97000000000003</v>
      </c>
      <c r="AC13" t="s">
        <v>133</v>
      </c>
      <c r="AD13">
        <v>51.59</v>
      </c>
      <c r="AE13">
        <v>378.3</v>
      </c>
      <c r="AF13">
        <v>102.73</v>
      </c>
      <c r="AG13" s="1">
        <v>5.85</v>
      </c>
      <c r="AH13">
        <v>186.06</v>
      </c>
      <c r="AI13">
        <v>177.56</v>
      </c>
      <c r="AJ13" s="1" t="s">
        <v>96</v>
      </c>
      <c r="AK13">
        <v>154.82</v>
      </c>
      <c r="AL13">
        <v>37.79</v>
      </c>
      <c r="AM13">
        <v>232.66</v>
      </c>
      <c r="AN13" s="1">
        <v>38.24</v>
      </c>
      <c r="AO13">
        <v>42.15</v>
      </c>
      <c r="AP13">
        <v>104.72</v>
      </c>
    </row>
    <row r="14" spans="1:42" ht="15.75">
      <c r="A14" t="s">
        <v>160</v>
      </c>
      <c r="B14" s="2" t="s">
        <v>160</v>
      </c>
      <c r="C14" s="2" t="str">
        <f t="shared" si="0"/>
        <v>TRUE</v>
      </c>
      <c r="D14" s="2" t="s">
        <v>858</v>
      </c>
      <c r="E14" s="2" t="s">
        <v>868</v>
      </c>
      <c r="F14" s="2" t="s">
        <v>864</v>
      </c>
      <c r="G14" s="3">
        <v>31343</v>
      </c>
      <c r="H14" s="3">
        <v>43340</v>
      </c>
      <c r="I14" s="2">
        <v>32</v>
      </c>
      <c r="J14" s="4">
        <v>1</v>
      </c>
      <c r="K14" s="2" t="s">
        <v>857</v>
      </c>
      <c r="L14" s="2">
        <v>143</v>
      </c>
      <c r="M14" s="2">
        <v>5</v>
      </c>
      <c r="N14">
        <v>22</v>
      </c>
      <c r="O14" t="s">
        <v>96</v>
      </c>
      <c r="P14" s="1">
        <v>3.2</v>
      </c>
      <c r="Q14">
        <v>114.02</v>
      </c>
      <c r="R14" s="1" t="s">
        <v>96</v>
      </c>
      <c r="S14">
        <v>23.35</v>
      </c>
      <c r="T14">
        <v>8.4</v>
      </c>
      <c r="U14" s="1">
        <v>105.31</v>
      </c>
      <c r="V14">
        <v>12.8</v>
      </c>
      <c r="W14">
        <v>3.09</v>
      </c>
      <c r="X14" t="s">
        <v>96</v>
      </c>
      <c r="Y14" s="1" t="s">
        <v>96</v>
      </c>
      <c r="Z14">
        <v>313.42</v>
      </c>
      <c r="AA14">
        <v>120.41</v>
      </c>
      <c r="AB14">
        <v>24.71</v>
      </c>
      <c r="AC14">
        <v>37.81</v>
      </c>
      <c r="AD14">
        <v>4.96</v>
      </c>
      <c r="AE14">
        <v>119.15</v>
      </c>
      <c r="AF14">
        <v>30.28</v>
      </c>
      <c r="AG14" s="1" t="s">
        <v>96</v>
      </c>
      <c r="AH14">
        <v>11.2</v>
      </c>
      <c r="AI14">
        <v>123.62</v>
      </c>
      <c r="AJ14" s="1">
        <v>5.19</v>
      </c>
      <c r="AK14">
        <v>39.840000000000003</v>
      </c>
      <c r="AL14">
        <v>13.51</v>
      </c>
      <c r="AM14">
        <v>752.29</v>
      </c>
      <c r="AN14" s="1">
        <v>19.12</v>
      </c>
      <c r="AO14">
        <v>11.74</v>
      </c>
      <c r="AP14">
        <v>56.52</v>
      </c>
    </row>
    <row r="15" spans="1:42" ht="15.75">
      <c r="A15" t="s">
        <v>108</v>
      </c>
      <c r="B15" s="2" t="s">
        <v>108</v>
      </c>
      <c r="C15" s="2" t="str">
        <f t="shared" si="0"/>
        <v>TRUE</v>
      </c>
      <c r="D15" s="2" t="s">
        <v>854</v>
      </c>
      <c r="E15" s="2" t="s">
        <v>855</v>
      </c>
      <c r="F15" s="2" t="s">
        <v>856</v>
      </c>
      <c r="G15" s="3">
        <v>32770</v>
      </c>
      <c r="H15" s="3">
        <v>43341</v>
      </c>
      <c r="I15" s="2">
        <v>28</v>
      </c>
      <c r="J15" s="2">
        <v>1</v>
      </c>
      <c r="K15" s="2" t="s">
        <v>857</v>
      </c>
      <c r="L15" s="2">
        <v>56</v>
      </c>
      <c r="M15" s="2" t="s">
        <v>856</v>
      </c>
      <c r="N15">
        <v>22.68</v>
      </c>
      <c r="O15">
        <v>6.73</v>
      </c>
      <c r="P15" s="1">
        <v>9.39</v>
      </c>
      <c r="Q15">
        <v>77.260000000000005</v>
      </c>
      <c r="R15" s="1">
        <v>86.2</v>
      </c>
      <c r="S15">
        <v>760.12</v>
      </c>
      <c r="T15">
        <v>247.85</v>
      </c>
      <c r="U15" s="1">
        <v>118.17</v>
      </c>
      <c r="V15">
        <v>87.52</v>
      </c>
      <c r="W15">
        <v>13.64</v>
      </c>
      <c r="X15">
        <v>4.8</v>
      </c>
      <c r="Y15" s="1">
        <v>9.58</v>
      </c>
      <c r="Z15">
        <v>644.85</v>
      </c>
      <c r="AA15">
        <v>583.61</v>
      </c>
      <c r="AB15">
        <v>62.81</v>
      </c>
      <c r="AC15">
        <v>141.22999999999999</v>
      </c>
      <c r="AD15">
        <v>9.44</v>
      </c>
      <c r="AE15">
        <v>96.78</v>
      </c>
      <c r="AF15">
        <v>105.12</v>
      </c>
      <c r="AG15" s="1">
        <v>2.81</v>
      </c>
      <c r="AH15">
        <v>37.15</v>
      </c>
      <c r="AI15">
        <v>26.7</v>
      </c>
      <c r="AJ15" s="1">
        <v>3.03</v>
      </c>
      <c r="AK15">
        <v>24.12</v>
      </c>
      <c r="AL15">
        <v>6.49</v>
      </c>
      <c r="AM15">
        <v>154.04</v>
      </c>
      <c r="AN15" s="1">
        <v>16.93</v>
      </c>
      <c r="AO15">
        <v>7.78</v>
      </c>
      <c r="AP15">
        <v>49.26</v>
      </c>
    </row>
    <row r="16" spans="1:42" ht="15.75">
      <c r="A16" t="s">
        <v>766</v>
      </c>
      <c r="B16" s="2" t="s">
        <v>766</v>
      </c>
      <c r="C16" s="2" t="str">
        <f t="shared" si="0"/>
        <v>TRUE</v>
      </c>
      <c r="D16" s="2" t="s">
        <v>865</v>
      </c>
      <c r="E16" s="2" t="s">
        <v>869</v>
      </c>
      <c r="F16" s="2" t="s">
        <v>860</v>
      </c>
      <c r="G16" s="3">
        <v>36556</v>
      </c>
      <c r="H16" s="3">
        <v>43343</v>
      </c>
      <c r="I16" s="2">
        <v>18</v>
      </c>
      <c r="J16" s="2">
        <v>1</v>
      </c>
      <c r="K16" s="2" t="s">
        <v>861</v>
      </c>
      <c r="L16" s="2">
        <v>2552</v>
      </c>
      <c r="M16" s="2">
        <v>6</v>
      </c>
      <c r="N16">
        <v>9.2100000000000009</v>
      </c>
      <c r="O16">
        <v>2.88</v>
      </c>
      <c r="P16" s="1">
        <v>3.81</v>
      </c>
      <c r="Q16">
        <v>215.43</v>
      </c>
      <c r="R16" s="1">
        <v>12.94</v>
      </c>
      <c r="S16">
        <v>47.2</v>
      </c>
      <c r="T16">
        <v>16.07</v>
      </c>
      <c r="U16" s="1">
        <v>384.11</v>
      </c>
      <c r="V16">
        <v>22.05</v>
      </c>
      <c r="W16">
        <v>14.93</v>
      </c>
      <c r="X16">
        <v>2.76</v>
      </c>
      <c r="Y16" s="1">
        <v>3.72</v>
      </c>
      <c r="Z16">
        <v>1403.28</v>
      </c>
      <c r="AA16">
        <v>198.22</v>
      </c>
      <c r="AB16">
        <v>128.41999999999999</v>
      </c>
      <c r="AC16">
        <v>489.32</v>
      </c>
      <c r="AD16">
        <v>30.67</v>
      </c>
      <c r="AE16">
        <v>105.82</v>
      </c>
      <c r="AF16">
        <v>20.28</v>
      </c>
      <c r="AG16" s="1">
        <v>4.41</v>
      </c>
      <c r="AH16">
        <v>51.68</v>
      </c>
      <c r="AI16">
        <v>25.08</v>
      </c>
      <c r="AJ16" s="1" t="s">
        <v>96</v>
      </c>
      <c r="AK16">
        <v>141.5</v>
      </c>
      <c r="AL16">
        <v>17.14</v>
      </c>
      <c r="AM16">
        <v>204.37</v>
      </c>
      <c r="AN16" s="1" t="s">
        <v>96</v>
      </c>
      <c r="AO16">
        <v>83.82</v>
      </c>
      <c r="AP16">
        <v>27.66</v>
      </c>
    </row>
    <row r="17" spans="1:42" ht="15.75">
      <c r="A17" t="s">
        <v>322</v>
      </c>
      <c r="B17" s="2" t="s">
        <v>322</v>
      </c>
      <c r="C17" s="2" t="str">
        <f t="shared" si="0"/>
        <v>TRUE</v>
      </c>
      <c r="D17" s="2" t="s">
        <v>865</v>
      </c>
      <c r="E17" s="2" t="s">
        <v>866</v>
      </c>
      <c r="F17" s="2" t="s">
        <v>864</v>
      </c>
      <c r="G17" s="3">
        <v>21233</v>
      </c>
      <c r="H17" s="3">
        <v>43350</v>
      </c>
      <c r="I17" s="2">
        <v>60</v>
      </c>
      <c r="J17" s="2">
        <v>1</v>
      </c>
      <c r="K17" s="2" t="s">
        <v>857</v>
      </c>
      <c r="L17" s="2">
        <v>992</v>
      </c>
      <c r="M17" s="2">
        <v>1</v>
      </c>
      <c r="N17">
        <v>14.36</v>
      </c>
      <c r="O17">
        <v>9.01</v>
      </c>
      <c r="P17" s="1">
        <v>13.84</v>
      </c>
      <c r="Q17">
        <v>34.17</v>
      </c>
      <c r="R17" s="1">
        <v>40.520000000000003</v>
      </c>
      <c r="S17" t="s">
        <v>133</v>
      </c>
      <c r="T17" t="s">
        <v>133</v>
      </c>
      <c r="U17" s="1">
        <v>245.45</v>
      </c>
      <c r="V17">
        <v>61.74</v>
      </c>
      <c r="W17" t="s">
        <v>133</v>
      </c>
      <c r="X17">
        <v>13.94</v>
      </c>
      <c r="Y17" s="1">
        <v>3.04</v>
      </c>
      <c r="Z17">
        <v>403.28</v>
      </c>
      <c r="AA17">
        <v>161.78</v>
      </c>
      <c r="AB17">
        <v>19.64</v>
      </c>
      <c r="AC17">
        <v>127.02</v>
      </c>
      <c r="AD17">
        <v>6.18</v>
      </c>
      <c r="AE17">
        <v>12.69</v>
      </c>
      <c r="AF17">
        <v>4.7300000000000004</v>
      </c>
      <c r="AG17" s="1" t="s">
        <v>96</v>
      </c>
      <c r="AH17">
        <v>2.5299999999999998</v>
      </c>
      <c r="AI17">
        <v>13.16</v>
      </c>
      <c r="AJ17" s="1">
        <v>9.7100000000000009</v>
      </c>
      <c r="AK17">
        <v>45.24</v>
      </c>
      <c r="AL17" t="s">
        <v>96</v>
      </c>
      <c r="AM17">
        <v>365.87</v>
      </c>
      <c r="AN17" s="1" t="s">
        <v>96</v>
      </c>
      <c r="AO17">
        <v>7.28</v>
      </c>
      <c r="AP17">
        <v>51.77</v>
      </c>
    </row>
    <row r="18" spans="1:42" ht="15.75">
      <c r="A18" t="s">
        <v>382</v>
      </c>
      <c r="B18" s="2" t="s">
        <v>382</v>
      </c>
      <c r="C18" s="2" t="str">
        <f t="shared" si="0"/>
        <v>TRUE</v>
      </c>
      <c r="D18" s="2" t="s">
        <v>870</v>
      </c>
      <c r="E18" s="2" t="s">
        <v>871</v>
      </c>
      <c r="F18" s="2" t="s">
        <v>856</v>
      </c>
      <c r="G18" s="3">
        <v>26185</v>
      </c>
      <c r="H18" s="3">
        <v>43354</v>
      </c>
      <c r="I18" s="2">
        <v>47</v>
      </c>
      <c r="J18" s="2">
        <v>1</v>
      </c>
      <c r="K18" s="2" t="s">
        <v>857</v>
      </c>
      <c r="L18" s="2">
        <v>644</v>
      </c>
      <c r="M18" s="2" t="s">
        <v>856</v>
      </c>
      <c r="N18">
        <v>16.66</v>
      </c>
      <c r="O18" t="s">
        <v>96</v>
      </c>
      <c r="P18" s="1" t="s">
        <v>96</v>
      </c>
      <c r="Q18">
        <v>7.23</v>
      </c>
      <c r="R18" s="1" t="s">
        <v>96</v>
      </c>
      <c r="S18">
        <v>3.31</v>
      </c>
      <c r="T18">
        <v>6.32</v>
      </c>
      <c r="U18" s="1" t="s">
        <v>96</v>
      </c>
      <c r="V18">
        <v>2.2599999999999998</v>
      </c>
      <c r="W18">
        <v>8.61</v>
      </c>
      <c r="X18" t="s">
        <v>96</v>
      </c>
      <c r="Y18" s="1" t="s">
        <v>96</v>
      </c>
      <c r="Z18">
        <v>257.68</v>
      </c>
      <c r="AA18">
        <v>31.96</v>
      </c>
      <c r="AB18">
        <v>9.2100000000000009</v>
      </c>
      <c r="AC18">
        <v>69.61</v>
      </c>
      <c r="AD18">
        <v>5.7</v>
      </c>
      <c r="AE18">
        <v>42.01</v>
      </c>
      <c r="AF18">
        <v>7.11</v>
      </c>
      <c r="AG18" s="1" t="s">
        <v>96</v>
      </c>
      <c r="AH18">
        <v>8.02</v>
      </c>
      <c r="AI18">
        <v>30.5</v>
      </c>
      <c r="AJ18" s="1" t="s">
        <v>96</v>
      </c>
      <c r="AK18">
        <v>38.29</v>
      </c>
      <c r="AL18">
        <v>9.17</v>
      </c>
      <c r="AM18">
        <v>63.82</v>
      </c>
      <c r="AN18" s="1">
        <v>9.2100000000000009</v>
      </c>
      <c r="AO18" t="s">
        <v>96</v>
      </c>
      <c r="AP18">
        <v>25.71</v>
      </c>
    </row>
    <row r="19" spans="1:42" ht="15.75">
      <c r="A19" t="s">
        <v>166</v>
      </c>
      <c r="B19" s="2" t="s">
        <v>166</v>
      </c>
      <c r="C19" s="2" t="str">
        <f t="shared" si="0"/>
        <v>TRUE</v>
      </c>
      <c r="D19" s="2" t="s">
        <v>858</v>
      </c>
      <c r="E19" s="2" t="s">
        <v>868</v>
      </c>
      <c r="F19" s="2" t="s">
        <v>864</v>
      </c>
      <c r="G19" s="3">
        <v>31343</v>
      </c>
      <c r="H19" s="3">
        <v>43371</v>
      </c>
      <c r="I19" s="2">
        <v>32</v>
      </c>
      <c r="J19" s="2">
        <v>1</v>
      </c>
      <c r="K19" s="2" t="s">
        <v>857</v>
      </c>
      <c r="L19" s="2">
        <v>143</v>
      </c>
      <c r="M19" s="2">
        <v>5</v>
      </c>
      <c r="N19">
        <v>12.54</v>
      </c>
      <c r="O19" t="s">
        <v>96</v>
      </c>
      <c r="P19" s="1">
        <v>9.35</v>
      </c>
      <c r="Q19">
        <v>34.909999999999997</v>
      </c>
      <c r="R19" s="1">
        <v>10.9</v>
      </c>
      <c r="S19">
        <v>69.02</v>
      </c>
      <c r="T19">
        <v>21.42</v>
      </c>
      <c r="U19" s="1">
        <v>54.72</v>
      </c>
      <c r="V19">
        <v>15.1</v>
      </c>
      <c r="W19">
        <v>19.79</v>
      </c>
      <c r="X19">
        <v>4.67</v>
      </c>
      <c r="Y19" s="1">
        <v>6.35</v>
      </c>
      <c r="Z19">
        <v>1213.26</v>
      </c>
      <c r="AA19">
        <v>342.87</v>
      </c>
      <c r="AB19">
        <v>109.54</v>
      </c>
      <c r="AC19">
        <v>307.82</v>
      </c>
      <c r="AD19">
        <v>24</v>
      </c>
      <c r="AE19">
        <v>218.68</v>
      </c>
      <c r="AF19">
        <v>103.34</v>
      </c>
      <c r="AG19" s="1">
        <v>51.72</v>
      </c>
      <c r="AH19">
        <v>65.400000000000006</v>
      </c>
      <c r="AI19">
        <v>285.18</v>
      </c>
      <c r="AJ19" s="1">
        <v>4</v>
      </c>
      <c r="AK19">
        <v>153.69</v>
      </c>
      <c r="AL19">
        <v>64.08</v>
      </c>
      <c r="AM19">
        <v>526.66999999999996</v>
      </c>
      <c r="AN19" s="1">
        <v>89.1</v>
      </c>
      <c r="AO19">
        <v>40.07</v>
      </c>
      <c r="AP19">
        <v>141.53</v>
      </c>
    </row>
    <row r="20" spans="1:42" ht="15.75">
      <c r="A20" t="s">
        <v>451</v>
      </c>
      <c r="B20" s="2" t="s">
        <v>451</v>
      </c>
      <c r="C20" s="2" t="str">
        <f t="shared" si="0"/>
        <v>TRUE</v>
      </c>
      <c r="D20" s="2" t="s">
        <v>858</v>
      </c>
      <c r="E20" s="2" t="s">
        <v>859</v>
      </c>
      <c r="F20" s="2" t="s">
        <v>860</v>
      </c>
      <c r="G20" s="3">
        <v>21589</v>
      </c>
      <c r="H20" s="3">
        <v>43375</v>
      </c>
      <c r="I20" s="2">
        <v>59</v>
      </c>
      <c r="J20" s="2">
        <v>2</v>
      </c>
      <c r="K20" s="2" t="s">
        <v>857</v>
      </c>
      <c r="L20" s="2">
        <v>17</v>
      </c>
      <c r="M20" s="2">
        <v>4</v>
      </c>
      <c r="N20">
        <v>9.17</v>
      </c>
      <c r="O20">
        <v>2.35</v>
      </c>
      <c r="P20" s="1">
        <v>4.4400000000000004</v>
      </c>
      <c r="Q20">
        <v>67.94</v>
      </c>
      <c r="R20" s="1">
        <v>9.91</v>
      </c>
      <c r="S20">
        <v>152.81</v>
      </c>
      <c r="T20">
        <v>88.1</v>
      </c>
      <c r="U20" s="1" t="s">
        <v>96</v>
      </c>
      <c r="V20">
        <v>18.649999999999999</v>
      </c>
      <c r="W20">
        <v>18.010000000000002</v>
      </c>
      <c r="X20">
        <v>1.31</v>
      </c>
      <c r="Y20" s="1">
        <v>5.45</v>
      </c>
      <c r="Z20">
        <v>612.41</v>
      </c>
      <c r="AA20">
        <v>57.36</v>
      </c>
      <c r="AB20">
        <v>14.07</v>
      </c>
      <c r="AC20">
        <v>185.27</v>
      </c>
      <c r="AD20">
        <v>9.92</v>
      </c>
      <c r="AE20">
        <v>115.39</v>
      </c>
      <c r="AF20">
        <v>13.25</v>
      </c>
      <c r="AG20" s="1" t="s">
        <v>96</v>
      </c>
      <c r="AH20">
        <v>40.57</v>
      </c>
      <c r="AI20">
        <v>77.930000000000007</v>
      </c>
      <c r="AJ20" s="1" t="s">
        <v>96</v>
      </c>
      <c r="AK20">
        <v>151.85</v>
      </c>
      <c r="AL20">
        <v>47.77</v>
      </c>
      <c r="AM20">
        <v>256.69</v>
      </c>
      <c r="AN20" s="1">
        <v>12.21</v>
      </c>
      <c r="AO20">
        <v>7.77</v>
      </c>
      <c r="AP20">
        <v>32.89</v>
      </c>
    </row>
    <row r="21" spans="1:42" ht="15.75">
      <c r="A21" t="s">
        <v>406</v>
      </c>
      <c r="B21" s="2" t="s">
        <v>406</v>
      </c>
      <c r="C21" s="2" t="str">
        <f t="shared" si="0"/>
        <v>TRUE</v>
      </c>
      <c r="D21" s="2" t="s">
        <v>865</v>
      </c>
      <c r="E21" s="2" t="s">
        <v>866</v>
      </c>
      <c r="F21" s="2" t="s">
        <v>860</v>
      </c>
      <c r="G21" s="3">
        <v>28506</v>
      </c>
      <c r="H21" s="3">
        <v>43356</v>
      </c>
      <c r="I21" s="2">
        <v>40</v>
      </c>
      <c r="J21" s="2">
        <v>1</v>
      </c>
      <c r="K21" s="2" t="s">
        <v>861</v>
      </c>
      <c r="L21" s="2">
        <v>177</v>
      </c>
      <c r="M21" s="2">
        <v>7</v>
      </c>
      <c r="N21">
        <v>17.07</v>
      </c>
      <c r="O21" t="s">
        <v>96</v>
      </c>
      <c r="P21" s="1">
        <v>4.8099999999999996</v>
      </c>
      <c r="Q21">
        <v>45.22</v>
      </c>
      <c r="R21" s="1">
        <v>8.99</v>
      </c>
      <c r="S21">
        <v>90.83</v>
      </c>
      <c r="T21">
        <v>21.4</v>
      </c>
      <c r="U21" s="1" t="s">
        <v>96</v>
      </c>
      <c r="V21">
        <v>13.7</v>
      </c>
      <c r="W21">
        <v>6.08</v>
      </c>
      <c r="X21" t="s">
        <v>96</v>
      </c>
      <c r="Y21" s="1">
        <v>19.64</v>
      </c>
      <c r="Z21">
        <v>1175.9000000000001</v>
      </c>
      <c r="AA21">
        <v>273.36</v>
      </c>
      <c r="AB21">
        <v>54.91</v>
      </c>
      <c r="AC21">
        <v>133.77000000000001</v>
      </c>
      <c r="AD21">
        <v>7.55</v>
      </c>
      <c r="AE21">
        <v>106.77</v>
      </c>
      <c r="AF21">
        <v>36.39</v>
      </c>
      <c r="AG21" s="1" t="s">
        <v>96</v>
      </c>
      <c r="AH21">
        <v>15.29</v>
      </c>
      <c r="AI21">
        <v>54.74</v>
      </c>
      <c r="AJ21" s="1" t="s">
        <v>96</v>
      </c>
      <c r="AK21">
        <v>65.33</v>
      </c>
      <c r="AL21">
        <v>9.2799999999999994</v>
      </c>
      <c r="AM21">
        <v>500.51</v>
      </c>
      <c r="AN21" s="1">
        <v>14.55</v>
      </c>
      <c r="AO21">
        <v>14.03</v>
      </c>
      <c r="AP21">
        <v>72.19</v>
      </c>
    </row>
    <row r="22" spans="1:42" ht="15.75">
      <c r="A22" t="s">
        <v>187</v>
      </c>
      <c r="B22" s="2" t="s">
        <v>187</v>
      </c>
      <c r="C22" s="2" t="str">
        <f t="shared" si="0"/>
        <v>TRUE</v>
      </c>
      <c r="D22" s="2" t="s">
        <v>858</v>
      </c>
      <c r="E22" s="2" t="s">
        <v>859</v>
      </c>
      <c r="F22" s="2" t="s">
        <v>864</v>
      </c>
      <c r="G22" s="3">
        <v>35211</v>
      </c>
      <c r="H22" s="3">
        <v>43377</v>
      </c>
      <c r="I22" s="2">
        <v>22</v>
      </c>
      <c r="J22" s="2">
        <v>1</v>
      </c>
      <c r="K22" s="2" t="s">
        <v>857</v>
      </c>
      <c r="L22" s="2">
        <v>69</v>
      </c>
      <c r="M22" s="2">
        <v>4</v>
      </c>
      <c r="N22">
        <v>22.39</v>
      </c>
      <c r="O22">
        <v>3.07</v>
      </c>
      <c r="P22" s="1">
        <v>6.86</v>
      </c>
      <c r="Q22">
        <v>95.17</v>
      </c>
      <c r="R22" s="1">
        <v>9.31</v>
      </c>
      <c r="S22">
        <v>201.6</v>
      </c>
      <c r="T22">
        <v>209.22</v>
      </c>
      <c r="U22" s="1">
        <v>45.3</v>
      </c>
      <c r="V22">
        <v>25.73</v>
      </c>
      <c r="W22">
        <v>204.96</v>
      </c>
      <c r="X22">
        <v>4.05</v>
      </c>
      <c r="Y22" s="1" t="s">
        <v>96</v>
      </c>
      <c r="Z22">
        <v>2271.79</v>
      </c>
      <c r="AA22">
        <v>555.29</v>
      </c>
      <c r="AB22">
        <v>165.61</v>
      </c>
      <c r="AC22">
        <v>447.88</v>
      </c>
      <c r="AD22">
        <v>11.79</v>
      </c>
      <c r="AE22">
        <v>182.49</v>
      </c>
      <c r="AF22">
        <v>53.41</v>
      </c>
      <c r="AG22" s="1">
        <v>3.93</v>
      </c>
      <c r="AH22">
        <v>47.34</v>
      </c>
      <c r="AI22">
        <v>38.46</v>
      </c>
      <c r="AJ22" s="1">
        <v>3.54</v>
      </c>
      <c r="AK22">
        <v>102.58</v>
      </c>
      <c r="AL22">
        <v>16.329999999999998</v>
      </c>
      <c r="AM22">
        <v>189.35</v>
      </c>
      <c r="AN22" s="1">
        <v>30.59</v>
      </c>
      <c r="AO22">
        <v>43.64</v>
      </c>
      <c r="AP22">
        <v>144.31</v>
      </c>
    </row>
    <row r="23" spans="1:42" ht="15.75">
      <c r="A23" t="s">
        <v>499</v>
      </c>
      <c r="B23" s="2" t="s">
        <v>499</v>
      </c>
      <c r="C23" s="2" t="str">
        <f t="shared" si="0"/>
        <v>TRUE</v>
      </c>
      <c r="D23" s="2" t="s">
        <v>858</v>
      </c>
      <c r="E23" s="2" t="s">
        <v>863</v>
      </c>
      <c r="F23" s="2" t="s">
        <v>864</v>
      </c>
      <c r="G23" s="3">
        <v>23573</v>
      </c>
      <c r="H23" s="3">
        <v>43392</v>
      </c>
      <c r="I23" s="2">
        <v>54</v>
      </c>
      <c r="J23" s="2">
        <v>1</v>
      </c>
      <c r="K23" s="2" t="s">
        <v>857</v>
      </c>
      <c r="L23" s="2">
        <v>6000</v>
      </c>
      <c r="M23" s="2">
        <v>7</v>
      </c>
      <c r="N23">
        <v>13.82</v>
      </c>
      <c r="O23" t="s">
        <v>96</v>
      </c>
      <c r="P23" s="1">
        <v>3.72</v>
      </c>
      <c r="Q23">
        <v>3.64</v>
      </c>
      <c r="R23" s="1" t="s">
        <v>96</v>
      </c>
      <c r="S23">
        <v>254.71</v>
      </c>
      <c r="T23" t="s">
        <v>133</v>
      </c>
      <c r="U23" s="1" t="s">
        <v>96</v>
      </c>
      <c r="V23">
        <v>21.12</v>
      </c>
      <c r="W23">
        <v>579.42999999999995</v>
      </c>
      <c r="X23">
        <v>3.12</v>
      </c>
      <c r="Y23" s="1">
        <v>3.46</v>
      </c>
      <c r="Z23">
        <v>941.06</v>
      </c>
      <c r="AA23">
        <v>112.36</v>
      </c>
      <c r="AB23">
        <v>23.97</v>
      </c>
      <c r="AC23">
        <v>282.83999999999997</v>
      </c>
      <c r="AD23">
        <v>21.39</v>
      </c>
      <c r="AE23">
        <v>79.69</v>
      </c>
      <c r="AF23">
        <v>16.72</v>
      </c>
      <c r="AG23" s="1" t="s">
        <v>96</v>
      </c>
      <c r="AH23">
        <v>36.549999999999997</v>
      </c>
      <c r="AI23">
        <v>228.29</v>
      </c>
      <c r="AJ23" s="1">
        <v>8.3000000000000007</v>
      </c>
      <c r="AK23">
        <v>414.59</v>
      </c>
      <c r="AL23">
        <v>65.63</v>
      </c>
      <c r="AM23">
        <v>927.22</v>
      </c>
      <c r="AN23" s="1">
        <v>49.92</v>
      </c>
      <c r="AO23">
        <v>40.909999999999997</v>
      </c>
      <c r="AP23">
        <v>184.24</v>
      </c>
    </row>
    <row r="24" spans="1:42" ht="15.75">
      <c r="A24" t="s">
        <v>700</v>
      </c>
      <c r="B24" s="2" t="s">
        <v>700</v>
      </c>
      <c r="C24" s="2" t="str">
        <f t="shared" si="0"/>
        <v>TRUE</v>
      </c>
      <c r="D24" s="2" t="s">
        <v>858</v>
      </c>
      <c r="E24" s="2" t="s">
        <v>859</v>
      </c>
      <c r="F24" s="2" t="s">
        <v>864</v>
      </c>
      <c r="G24" s="3">
        <v>29445</v>
      </c>
      <c r="H24" s="3">
        <v>43395</v>
      </c>
      <c r="I24" s="2">
        <v>38</v>
      </c>
      <c r="J24" s="4">
        <v>1</v>
      </c>
      <c r="K24" s="2" t="s">
        <v>857</v>
      </c>
      <c r="L24" s="2" t="s">
        <v>856</v>
      </c>
      <c r="M24" s="2">
        <v>3</v>
      </c>
      <c r="N24">
        <v>11.64</v>
      </c>
      <c r="O24">
        <v>4.29</v>
      </c>
      <c r="P24" s="1" t="s">
        <v>96</v>
      </c>
      <c r="Q24">
        <v>291.36</v>
      </c>
      <c r="R24" s="1" t="s">
        <v>96</v>
      </c>
      <c r="S24" t="s">
        <v>96</v>
      </c>
      <c r="T24">
        <v>48.82</v>
      </c>
      <c r="U24" s="1" t="s">
        <v>96</v>
      </c>
      <c r="V24">
        <v>38.1</v>
      </c>
      <c r="W24">
        <v>16.12</v>
      </c>
      <c r="X24">
        <v>7.26</v>
      </c>
      <c r="Y24" s="1" t="s">
        <v>96</v>
      </c>
      <c r="Z24">
        <v>763.93</v>
      </c>
      <c r="AA24" t="s">
        <v>96</v>
      </c>
      <c r="AB24">
        <v>307.79000000000002</v>
      </c>
      <c r="AC24">
        <v>191.65</v>
      </c>
      <c r="AD24">
        <v>18.14</v>
      </c>
      <c r="AE24">
        <v>67.209999999999994</v>
      </c>
      <c r="AF24" t="s">
        <v>96</v>
      </c>
      <c r="AG24" s="1" t="s">
        <v>96</v>
      </c>
      <c r="AH24">
        <v>17.8</v>
      </c>
      <c r="AI24" t="s">
        <v>96</v>
      </c>
      <c r="AJ24" s="1" t="s">
        <v>96</v>
      </c>
      <c r="AK24">
        <v>145.05000000000001</v>
      </c>
      <c r="AL24">
        <v>21.34</v>
      </c>
      <c r="AM24">
        <v>5.91</v>
      </c>
      <c r="AN24" s="1" t="s">
        <v>96</v>
      </c>
      <c r="AO24">
        <v>255.59</v>
      </c>
      <c r="AP24" t="s">
        <v>96</v>
      </c>
    </row>
    <row r="25" spans="1:42" ht="15.75">
      <c r="A25" t="s">
        <v>421</v>
      </c>
      <c r="B25" s="2" t="s">
        <v>421</v>
      </c>
      <c r="C25" s="2" t="str">
        <f t="shared" si="0"/>
        <v>TRUE</v>
      </c>
      <c r="D25" s="2" t="s">
        <v>865</v>
      </c>
      <c r="E25" s="2" t="s">
        <v>866</v>
      </c>
      <c r="F25" s="2" t="s">
        <v>864</v>
      </c>
      <c r="G25" s="3">
        <v>33786</v>
      </c>
      <c r="H25" s="3">
        <v>43399</v>
      </c>
      <c r="I25" s="2">
        <v>26</v>
      </c>
      <c r="J25" s="4">
        <v>1</v>
      </c>
      <c r="K25" s="2" t="s">
        <v>861</v>
      </c>
      <c r="L25" s="2">
        <v>239</v>
      </c>
      <c r="M25" s="2">
        <v>7</v>
      </c>
      <c r="N25">
        <v>13.39</v>
      </c>
      <c r="O25" t="s">
        <v>96</v>
      </c>
      <c r="P25" s="1" t="s">
        <v>96</v>
      </c>
      <c r="Q25">
        <v>24.29</v>
      </c>
      <c r="R25" s="1" t="s">
        <v>96</v>
      </c>
      <c r="S25">
        <v>18.63</v>
      </c>
      <c r="T25">
        <v>49.42</v>
      </c>
      <c r="U25" s="1" t="s">
        <v>96</v>
      </c>
      <c r="V25">
        <v>5.29</v>
      </c>
      <c r="W25">
        <v>44.01</v>
      </c>
      <c r="X25">
        <v>11.47</v>
      </c>
      <c r="Y25" s="1" t="s">
        <v>96</v>
      </c>
      <c r="Z25">
        <v>504.98</v>
      </c>
      <c r="AA25">
        <v>25.56</v>
      </c>
      <c r="AB25">
        <v>32.58</v>
      </c>
      <c r="AC25">
        <v>266.51</v>
      </c>
      <c r="AD25">
        <v>48.4</v>
      </c>
      <c r="AE25">
        <v>74.94</v>
      </c>
      <c r="AF25">
        <v>4.18</v>
      </c>
      <c r="AG25" s="1">
        <v>4.18</v>
      </c>
      <c r="AH25">
        <v>28.19</v>
      </c>
      <c r="AI25">
        <v>47.13</v>
      </c>
      <c r="AJ25" s="1" t="s">
        <v>96</v>
      </c>
      <c r="AK25">
        <v>173.91</v>
      </c>
      <c r="AL25">
        <v>80.680000000000007</v>
      </c>
      <c r="AM25">
        <v>156.41999999999999</v>
      </c>
      <c r="AN25" s="1">
        <v>9.7200000000000006</v>
      </c>
      <c r="AO25">
        <v>17.920000000000002</v>
      </c>
      <c r="AP25">
        <v>27.81</v>
      </c>
    </row>
    <row r="26" spans="1:42" ht="15.75">
      <c r="A26" t="s">
        <v>727</v>
      </c>
      <c r="B26" s="2" t="s">
        <v>727</v>
      </c>
      <c r="C26" s="2" t="str">
        <f t="shared" si="0"/>
        <v>TRUE</v>
      </c>
      <c r="D26" s="2" t="s">
        <v>854</v>
      </c>
      <c r="E26" s="2" t="s">
        <v>862</v>
      </c>
      <c r="F26" s="2" t="s">
        <v>856</v>
      </c>
      <c r="G26" s="3">
        <v>26190</v>
      </c>
      <c r="H26" s="3">
        <v>43409</v>
      </c>
      <c r="I26" s="2">
        <v>47</v>
      </c>
      <c r="J26" s="2">
        <v>1</v>
      </c>
      <c r="K26" s="2" t="s">
        <v>857</v>
      </c>
      <c r="L26" s="2">
        <v>189</v>
      </c>
      <c r="M26" s="2">
        <v>5</v>
      </c>
      <c r="N26">
        <v>18.95</v>
      </c>
      <c r="O26">
        <v>4.93</v>
      </c>
      <c r="P26" s="1">
        <v>10.07</v>
      </c>
      <c r="Q26">
        <v>65.819999999999993</v>
      </c>
      <c r="R26" s="1">
        <v>46.95</v>
      </c>
      <c r="S26">
        <v>322.62</v>
      </c>
      <c r="T26">
        <v>120.18</v>
      </c>
      <c r="U26" s="1">
        <v>701.14</v>
      </c>
      <c r="V26">
        <v>22.05</v>
      </c>
      <c r="W26">
        <v>88.58</v>
      </c>
      <c r="X26" t="s">
        <v>96</v>
      </c>
      <c r="Y26" s="1">
        <v>7.75</v>
      </c>
      <c r="Z26">
        <v>1010.65</v>
      </c>
      <c r="AA26">
        <v>526.23</v>
      </c>
      <c r="AB26">
        <v>28.17</v>
      </c>
      <c r="AC26">
        <v>308.47000000000003</v>
      </c>
      <c r="AD26">
        <v>10.88</v>
      </c>
      <c r="AE26">
        <v>83.64</v>
      </c>
      <c r="AF26">
        <v>58.54</v>
      </c>
      <c r="AG26" s="1" t="s">
        <v>96</v>
      </c>
      <c r="AH26">
        <v>21.57</v>
      </c>
      <c r="AI26">
        <v>90.46</v>
      </c>
      <c r="AJ26" s="1">
        <v>4.24</v>
      </c>
      <c r="AK26">
        <v>61.23</v>
      </c>
      <c r="AL26">
        <v>11.99</v>
      </c>
      <c r="AM26">
        <v>585.4</v>
      </c>
      <c r="AN26" s="1">
        <v>19.91</v>
      </c>
      <c r="AO26" t="s">
        <v>96</v>
      </c>
      <c r="AP26">
        <v>105.6</v>
      </c>
    </row>
    <row r="27" spans="1:42" ht="15.75">
      <c r="A27" t="s">
        <v>93</v>
      </c>
      <c r="B27" s="2" t="s">
        <v>93</v>
      </c>
      <c r="C27" s="2" t="str">
        <f t="shared" si="0"/>
        <v>TRUE</v>
      </c>
      <c r="D27" s="2" t="s">
        <v>858</v>
      </c>
      <c r="E27" s="2" t="s">
        <v>868</v>
      </c>
      <c r="F27" s="2" t="s">
        <v>864</v>
      </c>
      <c r="G27" s="3">
        <v>30482</v>
      </c>
      <c r="H27" s="3">
        <v>43410</v>
      </c>
      <c r="I27" s="2">
        <v>35</v>
      </c>
      <c r="J27" s="4">
        <v>1</v>
      </c>
      <c r="K27" s="2" t="s">
        <v>857</v>
      </c>
      <c r="L27" s="2" t="s">
        <v>856</v>
      </c>
      <c r="M27" s="2">
        <v>7</v>
      </c>
      <c r="N27">
        <v>13.64</v>
      </c>
      <c r="O27" t="s">
        <v>96</v>
      </c>
      <c r="P27" s="1" t="s">
        <v>96</v>
      </c>
      <c r="Q27">
        <v>11.88</v>
      </c>
      <c r="R27" s="1" t="s">
        <v>96</v>
      </c>
      <c r="S27">
        <v>27.43</v>
      </c>
      <c r="T27">
        <v>32.840000000000003</v>
      </c>
      <c r="U27" s="1" t="s">
        <v>96</v>
      </c>
      <c r="V27">
        <v>4.03</v>
      </c>
      <c r="W27">
        <v>38.82</v>
      </c>
      <c r="X27">
        <v>2.19</v>
      </c>
      <c r="Y27" s="1" t="s">
        <v>96</v>
      </c>
      <c r="Z27">
        <v>84.36</v>
      </c>
      <c r="AA27">
        <v>24.96</v>
      </c>
      <c r="AB27">
        <v>8.01</v>
      </c>
      <c r="AC27">
        <v>14.68</v>
      </c>
      <c r="AD27" t="s">
        <v>96</v>
      </c>
      <c r="AE27">
        <v>11.8</v>
      </c>
      <c r="AF27">
        <v>3.11</v>
      </c>
      <c r="AG27" s="1" t="s">
        <v>96</v>
      </c>
      <c r="AH27">
        <v>2.73</v>
      </c>
      <c r="AI27">
        <v>29.76</v>
      </c>
      <c r="AJ27" s="1" t="s">
        <v>96</v>
      </c>
      <c r="AK27">
        <v>46.71</v>
      </c>
      <c r="AL27">
        <v>6.72</v>
      </c>
      <c r="AM27">
        <v>104.92</v>
      </c>
      <c r="AN27" s="1">
        <v>7.63</v>
      </c>
      <c r="AO27">
        <v>28.98</v>
      </c>
      <c r="AP27">
        <v>42.67</v>
      </c>
    </row>
    <row r="28" spans="1:42" ht="15.75">
      <c r="A28" t="s">
        <v>661</v>
      </c>
      <c r="B28" s="2" t="s">
        <v>661</v>
      </c>
      <c r="C28" s="2" t="str">
        <f t="shared" si="0"/>
        <v>TRUE</v>
      </c>
      <c r="D28" s="2" t="s">
        <v>858</v>
      </c>
      <c r="E28" s="2" t="s">
        <v>863</v>
      </c>
      <c r="F28" s="2" t="s">
        <v>864</v>
      </c>
      <c r="G28" s="3">
        <v>24908</v>
      </c>
      <c r="H28" s="3">
        <v>43411</v>
      </c>
      <c r="I28" s="2">
        <v>50</v>
      </c>
      <c r="J28" s="2">
        <v>1</v>
      </c>
      <c r="K28" s="2" t="s">
        <v>857</v>
      </c>
      <c r="L28" s="2">
        <v>322</v>
      </c>
      <c r="M28" s="2">
        <v>4</v>
      </c>
      <c r="N28">
        <v>18.48</v>
      </c>
      <c r="O28">
        <v>4.3899999999999997</v>
      </c>
      <c r="P28" s="1">
        <v>44.13</v>
      </c>
      <c r="Q28">
        <v>32.049999999999997</v>
      </c>
      <c r="R28" s="1">
        <v>75.290000000000006</v>
      </c>
      <c r="S28">
        <v>519.45000000000005</v>
      </c>
      <c r="T28">
        <v>83.51</v>
      </c>
      <c r="U28" s="1">
        <v>68.23</v>
      </c>
      <c r="V28">
        <v>43.81</v>
      </c>
      <c r="W28">
        <v>146.16</v>
      </c>
      <c r="X28">
        <v>12.72</v>
      </c>
      <c r="Y28" s="1">
        <v>7.66</v>
      </c>
      <c r="Z28">
        <v>1278.8699999999999</v>
      </c>
      <c r="AA28">
        <v>873.39</v>
      </c>
      <c r="AB28">
        <v>46.52</v>
      </c>
      <c r="AC28">
        <v>621.29999999999995</v>
      </c>
      <c r="AD28">
        <v>30.4</v>
      </c>
      <c r="AE28">
        <v>60.2</v>
      </c>
      <c r="AF28">
        <v>57.38</v>
      </c>
      <c r="AG28" s="1">
        <v>9.9</v>
      </c>
      <c r="AH28">
        <v>34.93</v>
      </c>
      <c r="AI28">
        <v>199.47</v>
      </c>
      <c r="AJ28" s="1">
        <v>16.559999999999999</v>
      </c>
      <c r="AK28">
        <v>215.29</v>
      </c>
      <c r="AL28">
        <v>20.93</v>
      </c>
      <c r="AM28">
        <v>1199.54</v>
      </c>
      <c r="AN28" s="1">
        <v>57.55</v>
      </c>
      <c r="AO28">
        <v>26.93</v>
      </c>
      <c r="AP28">
        <v>534.14</v>
      </c>
    </row>
    <row r="29" spans="1:42" ht="15.75">
      <c r="A29" t="s">
        <v>102</v>
      </c>
      <c r="B29" s="2" t="s">
        <v>102</v>
      </c>
      <c r="C29" s="2" t="str">
        <f t="shared" si="0"/>
        <v>TRUE</v>
      </c>
      <c r="D29" s="2" t="s">
        <v>854</v>
      </c>
      <c r="E29" s="2" t="s">
        <v>855</v>
      </c>
      <c r="F29" s="2" t="s">
        <v>856</v>
      </c>
      <c r="G29" s="3">
        <v>32770</v>
      </c>
      <c r="H29" s="3">
        <v>43425</v>
      </c>
      <c r="I29" s="2">
        <v>29</v>
      </c>
      <c r="J29" s="2">
        <v>2</v>
      </c>
      <c r="K29" s="2" t="s">
        <v>857</v>
      </c>
      <c r="L29" s="2" t="s">
        <v>856</v>
      </c>
      <c r="M29" s="2" t="s">
        <v>856</v>
      </c>
      <c r="N29">
        <v>23.9</v>
      </c>
      <c r="O29" t="s">
        <v>96</v>
      </c>
      <c r="P29" s="1">
        <v>1.1000000000000001</v>
      </c>
      <c r="Q29">
        <v>104.14</v>
      </c>
      <c r="R29" s="1">
        <v>5.15</v>
      </c>
      <c r="S29">
        <v>57.06</v>
      </c>
      <c r="T29">
        <v>7.53</v>
      </c>
      <c r="U29" s="1">
        <v>196.46</v>
      </c>
      <c r="V29">
        <v>17.46</v>
      </c>
      <c r="W29">
        <v>1.88</v>
      </c>
      <c r="X29">
        <v>1.3</v>
      </c>
      <c r="Y29" s="1" t="s">
        <v>96</v>
      </c>
      <c r="Z29">
        <v>86.15</v>
      </c>
      <c r="AA29">
        <v>65.19</v>
      </c>
      <c r="AB29">
        <v>22.91</v>
      </c>
      <c r="AC29">
        <v>23.14</v>
      </c>
      <c r="AD29">
        <v>3.67</v>
      </c>
      <c r="AE29">
        <v>14.47</v>
      </c>
      <c r="AF29">
        <v>10.24</v>
      </c>
      <c r="AG29" s="1" t="s">
        <v>96</v>
      </c>
      <c r="AH29">
        <v>5.76</v>
      </c>
      <c r="AI29">
        <v>39.799999999999997</v>
      </c>
      <c r="AJ29" s="1" t="s">
        <v>96</v>
      </c>
      <c r="AK29">
        <v>17.63</v>
      </c>
      <c r="AL29" t="s">
        <v>96</v>
      </c>
      <c r="AM29">
        <v>110.36</v>
      </c>
      <c r="AN29" s="1">
        <v>7.62</v>
      </c>
      <c r="AO29">
        <v>6.09</v>
      </c>
      <c r="AP29">
        <v>28.19</v>
      </c>
    </row>
    <row r="30" spans="1:42" ht="15.75">
      <c r="A30" t="s">
        <v>745</v>
      </c>
      <c r="B30" s="2" t="s">
        <v>745</v>
      </c>
      <c r="C30" s="2" t="str">
        <f t="shared" si="0"/>
        <v>TRUE</v>
      </c>
      <c r="D30" s="2" t="s">
        <v>865</v>
      </c>
      <c r="E30" s="2" t="s">
        <v>866</v>
      </c>
      <c r="F30" s="2" t="s">
        <v>860</v>
      </c>
      <c r="G30" s="3">
        <v>29526</v>
      </c>
      <c r="H30" s="3">
        <v>43430</v>
      </c>
      <c r="I30" s="2">
        <v>38</v>
      </c>
      <c r="J30" s="2">
        <v>2</v>
      </c>
      <c r="K30" s="2" t="s">
        <v>861</v>
      </c>
      <c r="L30" s="2">
        <v>99</v>
      </c>
      <c r="M30" s="2">
        <v>7</v>
      </c>
      <c r="N30">
        <v>13.69</v>
      </c>
      <c r="O30">
        <v>10.01</v>
      </c>
      <c r="P30" s="1" t="s">
        <v>96</v>
      </c>
      <c r="Q30">
        <v>329.75</v>
      </c>
      <c r="R30" s="1" t="s">
        <v>96</v>
      </c>
      <c r="S30">
        <v>16.18</v>
      </c>
      <c r="T30">
        <v>688.61</v>
      </c>
      <c r="U30" s="1">
        <v>52.78</v>
      </c>
      <c r="V30">
        <v>122.97</v>
      </c>
      <c r="W30">
        <v>93.48</v>
      </c>
      <c r="X30">
        <v>9.31</v>
      </c>
      <c r="Y30" s="1" t="s">
        <v>96</v>
      </c>
      <c r="Z30">
        <v>1754.7</v>
      </c>
      <c r="AA30">
        <v>22.47</v>
      </c>
      <c r="AB30">
        <v>302.32</v>
      </c>
      <c r="AC30">
        <v>276.66000000000003</v>
      </c>
      <c r="AD30">
        <v>31.67</v>
      </c>
      <c r="AE30">
        <v>165.39</v>
      </c>
      <c r="AF30">
        <v>4.3</v>
      </c>
      <c r="AG30" s="1" t="s">
        <v>96</v>
      </c>
      <c r="AH30">
        <v>40.14</v>
      </c>
      <c r="AI30" t="s">
        <v>96</v>
      </c>
      <c r="AJ30" s="1" t="s">
        <v>96</v>
      </c>
      <c r="AK30">
        <v>166.1</v>
      </c>
      <c r="AL30">
        <v>35.21</v>
      </c>
      <c r="AM30">
        <v>5.89</v>
      </c>
      <c r="AN30" s="1" t="s">
        <v>96</v>
      </c>
      <c r="AO30">
        <v>65.510000000000005</v>
      </c>
      <c r="AP30">
        <v>9.16</v>
      </c>
    </row>
    <row r="31" spans="1:42" ht="15.75">
      <c r="A31" t="s">
        <v>105</v>
      </c>
      <c r="B31" s="2" t="s">
        <v>105</v>
      </c>
      <c r="C31" s="2" t="str">
        <f t="shared" si="0"/>
        <v>TRUE</v>
      </c>
      <c r="D31" s="2" t="s">
        <v>854</v>
      </c>
      <c r="E31" s="2" t="s">
        <v>855</v>
      </c>
      <c r="F31" s="2" t="s">
        <v>856</v>
      </c>
      <c r="G31" s="3">
        <v>32770</v>
      </c>
      <c r="H31" s="3">
        <v>43432</v>
      </c>
      <c r="I31" s="2">
        <v>29</v>
      </c>
      <c r="J31" s="2">
        <v>2</v>
      </c>
      <c r="K31" s="2" t="s">
        <v>857</v>
      </c>
      <c r="L31" s="2" t="s">
        <v>856</v>
      </c>
      <c r="M31" s="2" t="s">
        <v>856</v>
      </c>
      <c r="N31">
        <v>23.03</v>
      </c>
      <c r="O31">
        <v>1.44</v>
      </c>
      <c r="P31" s="1">
        <v>12.14</v>
      </c>
      <c r="Q31">
        <v>170.23</v>
      </c>
      <c r="R31" s="1">
        <v>76.73</v>
      </c>
      <c r="S31">
        <v>628.95000000000005</v>
      </c>
      <c r="T31">
        <v>38.25</v>
      </c>
      <c r="U31" s="1">
        <v>238.8</v>
      </c>
      <c r="V31">
        <v>105.1</v>
      </c>
      <c r="W31">
        <v>18.34</v>
      </c>
      <c r="X31">
        <v>1.93</v>
      </c>
      <c r="Y31" s="1">
        <v>32.92</v>
      </c>
      <c r="Z31">
        <v>471.26</v>
      </c>
      <c r="AA31">
        <v>528.6</v>
      </c>
      <c r="AB31">
        <v>79.19</v>
      </c>
      <c r="AC31">
        <v>63.94</v>
      </c>
      <c r="AD31">
        <v>3.77</v>
      </c>
      <c r="AE31">
        <v>86.92</v>
      </c>
      <c r="AF31">
        <v>86.15</v>
      </c>
      <c r="AG31" s="1" t="s">
        <v>96</v>
      </c>
      <c r="AH31">
        <v>15.98</v>
      </c>
      <c r="AI31">
        <v>72.78</v>
      </c>
      <c r="AJ31" s="1">
        <v>4.71</v>
      </c>
      <c r="AK31">
        <v>19.920000000000002</v>
      </c>
      <c r="AL31">
        <v>5.85</v>
      </c>
      <c r="AM31">
        <v>232.2</v>
      </c>
      <c r="AN31" s="1">
        <v>16.3</v>
      </c>
      <c r="AO31">
        <v>5.45</v>
      </c>
      <c r="AP31">
        <v>40.07</v>
      </c>
    </row>
    <row r="32" spans="1:42" ht="15.75">
      <c r="A32" t="s">
        <v>99</v>
      </c>
      <c r="B32" s="2" t="s">
        <v>99</v>
      </c>
      <c r="C32" s="2" t="str">
        <f t="shared" si="0"/>
        <v>TRUE</v>
      </c>
      <c r="D32" s="2" t="s">
        <v>858</v>
      </c>
      <c r="E32" s="2" t="s">
        <v>868</v>
      </c>
      <c r="F32" s="2" t="s">
        <v>864</v>
      </c>
      <c r="G32" s="3">
        <v>30482</v>
      </c>
      <c r="H32" s="3">
        <v>43427</v>
      </c>
      <c r="I32" s="2">
        <v>35</v>
      </c>
      <c r="J32" s="2">
        <v>2</v>
      </c>
      <c r="K32" s="2" t="s">
        <v>857</v>
      </c>
      <c r="L32" s="2" t="s">
        <v>856</v>
      </c>
      <c r="M32" s="2">
        <v>3</v>
      </c>
      <c r="N32">
        <v>16.12</v>
      </c>
      <c r="O32">
        <v>1.64</v>
      </c>
      <c r="P32" s="1">
        <v>8.1999999999999993</v>
      </c>
      <c r="Q32">
        <v>80.3</v>
      </c>
      <c r="R32" s="1">
        <v>18.04</v>
      </c>
      <c r="S32">
        <v>366.45</v>
      </c>
      <c r="T32">
        <v>139.52000000000001</v>
      </c>
      <c r="U32" s="1">
        <v>90.22</v>
      </c>
      <c r="V32">
        <v>24.24</v>
      </c>
      <c r="W32">
        <v>12.02</v>
      </c>
      <c r="X32">
        <v>2.4300000000000002</v>
      </c>
      <c r="Y32" s="1">
        <v>4.33</v>
      </c>
      <c r="Z32">
        <v>1189.58</v>
      </c>
      <c r="AA32">
        <v>679.25</v>
      </c>
      <c r="AB32">
        <v>150.80000000000001</v>
      </c>
      <c r="AC32">
        <v>314.8</v>
      </c>
      <c r="AD32">
        <v>20.56</v>
      </c>
      <c r="AE32">
        <v>124.14</v>
      </c>
      <c r="AF32">
        <v>83.18</v>
      </c>
      <c r="AG32" s="1">
        <v>4.3600000000000003</v>
      </c>
      <c r="AH32">
        <v>33.479999999999997</v>
      </c>
      <c r="AI32">
        <v>98.32</v>
      </c>
      <c r="AJ32" s="1">
        <v>2.69</v>
      </c>
      <c r="AK32">
        <v>160.22</v>
      </c>
      <c r="AL32">
        <v>16.989999999999998</v>
      </c>
      <c r="AM32">
        <v>719.53</v>
      </c>
      <c r="AN32" s="1">
        <v>24.66</v>
      </c>
      <c r="AO32">
        <v>63.13</v>
      </c>
      <c r="AP32">
        <v>170.46</v>
      </c>
    </row>
    <row r="33" spans="1:42" ht="15.75">
      <c r="A33" t="s">
        <v>514</v>
      </c>
      <c r="B33" s="2" t="s">
        <v>514</v>
      </c>
      <c r="C33" s="2" t="str">
        <f t="shared" si="0"/>
        <v>TRUE</v>
      </c>
      <c r="D33" s="2" t="s">
        <v>870</v>
      </c>
      <c r="E33" s="2" t="s">
        <v>871</v>
      </c>
      <c r="F33" s="2" t="s">
        <v>856</v>
      </c>
      <c r="G33" s="3">
        <v>32551</v>
      </c>
      <c r="H33" s="3">
        <v>43411</v>
      </c>
      <c r="I33" s="2">
        <v>29</v>
      </c>
      <c r="J33" s="4">
        <v>1</v>
      </c>
      <c r="K33" s="2" t="s">
        <v>857</v>
      </c>
      <c r="L33" s="2" t="s">
        <v>856</v>
      </c>
      <c r="M33" s="2" t="s">
        <v>856</v>
      </c>
      <c r="N33">
        <v>17.79</v>
      </c>
      <c r="O33" t="s">
        <v>96</v>
      </c>
      <c r="P33" s="1" t="s">
        <v>96</v>
      </c>
      <c r="Q33">
        <v>9.8800000000000008</v>
      </c>
      <c r="R33" s="1" t="s">
        <v>96</v>
      </c>
      <c r="S33">
        <v>2.5099999999999998</v>
      </c>
      <c r="T33">
        <v>15.68</v>
      </c>
      <c r="U33" s="1" t="s">
        <v>96</v>
      </c>
      <c r="V33">
        <v>1.91</v>
      </c>
      <c r="W33">
        <v>15.72</v>
      </c>
      <c r="X33">
        <v>3.13</v>
      </c>
      <c r="Y33" s="1" t="s">
        <v>96</v>
      </c>
      <c r="Z33">
        <v>91.03</v>
      </c>
      <c r="AA33" t="s">
        <v>96</v>
      </c>
      <c r="AB33" t="s">
        <v>96</v>
      </c>
      <c r="AC33">
        <v>22.31</v>
      </c>
      <c r="AD33">
        <v>2.54</v>
      </c>
      <c r="AE33">
        <v>14.59</v>
      </c>
      <c r="AF33" t="s">
        <v>96</v>
      </c>
      <c r="AG33" s="1" t="s">
        <v>96</v>
      </c>
      <c r="AH33">
        <v>6.52</v>
      </c>
      <c r="AI33" t="s">
        <v>96</v>
      </c>
      <c r="AJ33" s="1" t="s">
        <v>96</v>
      </c>
      <c r="AK33">
        <v>72.55</v>
      </c>
      <c r="AL33">
        <v>12.64</v>
      </c>
      <c r="AM33">
        <v>10.52</v>
      </c>
      <c r="AN33" s="1" t="s">
        <v>96</v>
      </c>
      <c r="AO33">
        <v>5.14</v>
      </c>
      <c r="AP33" t="s">
        <v>96</v>
      </c>
    </row>
    <row r="34" spans="1:42" ht="15.75">
      <c r="A34" t="s">
        <v>496</v>
      </c>
      <c r="B34" s="2" t="s">
        <v>496</v>
      </c>
      <c r="C34" s="2" t="str">
        <f t="shared" si="0"/>
        <v>TRUE</v>
      </c>
      <c r="D34" s="2" t="s">
        <v>858</v>
      </c>
      <c r="E34" s="2" t="s">
        <v>863</v>
      </c>
      <c r="F34" s="2" t="s">
        <v>864</v>
      </c>
      <c r="G34" s="3">
        <v>23573</v>
      </c>
      <c r="H34" s="3">
        <v>43416</v>
      </c>
      <c r="I34" s="2">
        <v>54</v>
      </c>
      <c r="J34" s="4">
        <v>2</v>
      </c>
      <c r="K34" s="2" t="s">
        <v>857</v>
      </c>
      <c r="L34" s="2" t="s">
        <v>856</v>
      </c>
      <c r="M34" s="2">
        <v>0</v>
      </c>
      <c r="N34">
        <v>14.56</v>
      </c>
      <c r="O34" t="s">
        <v>96</v>
      </c>
      <c r="P34" s="1" t="s">
        <v>96</v>
      </c>
      <c r="Q34">
        <v>42.94</v>
      </c>
      <c r="R34" s="1" t="s">
        <v>96</v>
      </c>
      <c r="S34">
        <v>9.8699999999999992</v>
      </c>
      <c r="T34">
        <v>6.33</v>
      </c>
      <c r="U34" s="1" t="s">
        <v>96</v>
      </c>
      <c r="V34">
        <v>2.41</v>
      </c>
      <c r="W34">
        <v>2.2200000000000002</v>
      </c>
      <c r="X34" t="s">
        <v>96</v>
      </c>
      <c r="Y34" s="1" t="s">
        <v>96</v>
      </c>
      <c r="Z34">
        <v>135.69999999999999</v>
      </c>
      <c r="AA34">
        <v>20.25</v>
      </c>
      <c r="AB34">
        <v>11.71</v>
      </c>
      <c r="AC34">
        <v>6.04</v>
      </c>
      <c r="AD34" t="s">
        <v>96</v>
      </c>
      <c r="AE34">
        <v>8.43</v>
      </c>
      <c r="AF34" t="s">
        <v>96</v>
      </c>
      <c r="AG34" s="1" t="s">
        <v>96</v>
      </c>
      <c r="AH34" t="s">
        <v>96</v>
      </c>
      <c r="AI34">
        <v>51.69</v>
      </c>
      <c r="AJ34" s="1">
        <v>4.1399999999999997</v>
      </c>
      <c r="AK34">
        <v>50.25</v>
      </c>
      <c r="AL34">
        <v>9.19</v>
      </c>
      <c r="AM34">
        <v>536.29</v>
      </c>
      <c r="AN34" s="1" t="s">
        <v>96</v>
      </c>
      <c r="AO34">
        <v>34.75</v>
      </c>
      <c r="AP34">
        <v>43.84</v>
      </c>
    </row>
    <row r="35" spans="1:42" ht="15.75">
      <c r="A35" t="s">
        <v>337</v>
      </c>
      <c r="B35" s="2" t="s">
        <v>337</v>
      </c>
      <c r="C35" s="2" t="str">
        <f t="shared" si="0"/>
        <v>TRUE</v>
      </c>
      <c r="D35" s="2" t="s">
        <v>858</v>
      </c>
      <c r="E35" s="2" t="s">
        <v>863</v>
      </c>
      <c r="F35" s="2" t="s">
        <v>864</v>
      </c>
      <c r="G35" s="3">
        <v>29437</v>
      </c>
      <c r="H35" s="3">
        <v>43417</v>
      </c>
      <c r="I35" s="2">
        <v>38</v>
      </c>
      <c r="J35" s="2">
        <v>1</v>
      </c>
      <c r="K35" s="2" t="s">
        <v>857</v>
      </c>
      <c r="L35" s="2">
        <v>1073</v>
      </c>
      <c r="M35" s="2">
        <v>10</v>
      </c>
      <c r="N35">
        <v>21.11</v>
      </c>
      <c r="O35">
        <v>9.75</v>
      </c>
      <c r="P35" s="1">
        <v>6.46</v>
      </c>
      <c r="Q35">
        <v>117.46</v>
      </c>
      <c r="R35" s="1">
        <v>29.23</v>
      </c>
      <c r="S35">
        <v>627.55999999999995</v>
      </c>
      <c r="T35">
        <v>517.07000000000005</v>
      </c>
      <c r="U35" s="1">
        <v>1891.33</v>
      </c>
      <c r="V35">
        <v>47.21</v>
      </c>
      <c r="W35">
        <v>678.01</v>
      </c>
      <c r="X35">
        <v>17.489999999999998</v>
      </c>
      <c r="Y35" s="1">
        <v>11.47</v>
      </c>
      <c r="Z35">
        <v>1802.91</v>
      </c>
      <c r="AA35">
        <v>1211.8599999999999</v>
      </c>
      <c r="AB35">
        <v>109.86</v>
      </c>
      <c r="AC35">
        <v>462.77</v>
      </c>
      <c r="AD35">
        <v>10.61</v>
      </c>
      <c r="AE35">
        <v>155.85</v>
      </c>
      <c r="AF35">
        <v>134.5</v>
      </c>
      <c r="AG35" s="1">
        <v>3.12</v>
      </c>
      <c r="AH35">
        <v>42.66</v>
      </c>
      <c r="AI35">
        <v>161.16</v>
      </c>
      <c r="AJ35" s="1">
        <v>80.650000000000006</v>
      </c>
      <c r="AK35">
        <v>67.849999999999994</v>
      </c>
      <c r="AL35">
        <v>13.76</v>
      </c>
      <c r="AM35">
        <v>378.7</v>
      </c>
      <c r="AN35" s="1">
        <v>20.02</v>
      </c>
      <c r="AO35">
        <v>26.28</v>
      </c>
      <c r="AP35">
        <v>78.42</v>
      </c>
    </row>
    <row r="36" spans="1:42" ht="15.75">
      <c r="A36" t="s">
        <v>163</v>
      </c>
      <c r="B36" s="2" t="s">
        <v>163</v>
      </c>
      <c r="C36" s="2" t="str">
        <f t="shared" si="0"/>
        <v>TRUE</v>
      </c>
      <c r="D36" s="2" t="s">
        <v>858</v>
      </c>
      <c r="E36" s="2" t="s">
        <v>868</v>
      </c>
      <c r="F36" s="2" t="s">
        <v>864</v>
      </c>
      <c r="G36" s="3">
        <v>31343</v>
      </c>
      <c r="H36" s="3">
        <v>43418</v>
      </c>
      <c r="I36" s="2">
        <v>33</v>
      </c>
      <c r="J36" s="2">
        <v>3</v>
      </c>
      <c r="K36" s="2" t="s">
        <v>857</v>
      </c>
      <c r="L36" s="2" t="s">
        <v>856</v>
      </c>
      <c r="M36" s="2">
        <v>0</v>
      </c>
      <c r="N36">
        <v>25.97</v>
      </c>
      <c r="O36">
        <v>1.37</v>
      </c>
      <c r="P36" s="1">
        <v>2.86</v>
      </c>
      <c r="Q36">
        <v>92.49</v>
      </c>
      <c r="R36" s="1">
        <v>6.15</v>
      </c>
      <c r="S36">
        <v>78.28</v>
      </c>
      <c r="T36">
        <v>26.49</v>
      </c>
      <c r="U36" s="1">
        <v>47.23</v>
      </c>
      <c r="V36">
        <v>18.989999999999998</v>
      </c>
      <c r="W36">
        <v>21.77</v>
      </c>
      <c r="X36">
        <v>6.5</v>
      </c>
      <c r="Y36" s="1" t="s">
        <v>96</v>
      </c>
      <c r="Z36">
        <v>33.770000000000003</v>
      </c>
      <c r="AA36">
        <v>10.25</v>
      </c>
      <c r="AB36">
        <v>5.73</v>
      </c>
      <c r="AC36">
        <v>10.8</v>
      </c>
      <c r="AD36" t="s">
        <v>96</v>
      </c>
      <c r="AE36">
        <v>19.38</v>
      </c>
      <c r="AF36">
        <v>5.05</v>
      </c>
      <c r="AG36" s="1" t="s">
        <v>96</v>
      </c>
      <c r="AH36">
        <v>6.55</v>
      </c>
      <c r="AI36">
        <v>54.03</v>
      </c>
      <c r="AJ36" s="1" t="s">
        <v>96</v>
      </c>
      <c r="AK36">
        <v>14.85</v>
      </c>
      <c r="AL36">
        <v>9.0500000000000007</v>
      </c>
      <c r="AM36">
        <v>89.68</v>
      </c>
      <c r="AN36" s="1">
        <v>14.28</v>
      </c>
      <c r="AO36">
        <v>7.67</v>
      </c>
      <c r="AP36">
        <v>14.45</v>
      </c>
    </row>
    <row r="37" spans="1:42" ht="15.75">
      <c r="A37" t="s">
        <v>562</v>
      </c>
      <c r="B37" s="2" t="s">
        <v>562</v>
      </c>
      <c r="C37" s="2" t="str">
        <f t="shared" si="0"/>
        <v>TRUE</v>
      </c>
      <c r="D37" s="2" t="s">
        <v>858</v>
      </c>
      <c r="E37" s="2" t="s">
        <v>859</v>
      </c>
      <c r="F37" s="2" t="s">
        <v>864</v>
      </c>
      <c r="G37" s="3">
        <v>36196</v>
      </c>
      <c r="H37" s="3">
        <v>43419</v>
      </c>
      <c r="I37" s="2">
        <v>19</v>
      </c>
      <c r="J37" s="2">
        <v>1</v>
      </c>
      <c r="K37" s="2" t="s">
        <v>857</v>
      </c>
      <c r="L37" s="2">
        <v>900</v>
      </c>
      <c r="M37" s="2">
        <v>9</v>
      </c>
      <c r="N37">
        <v>17.72</v>
      </c>
      <c r="O37">
        <v>1.35</v>
      </c>
      <c r="P37" s="1" t="s">
        <v>96</v>
      </c>
      <c r="Q37">
        <v>133.9</v>
      </c>
      <c r="R37" s="1" t="s">
        <v>96</v>
      </c>
      <c r="S37">
        <v>9.65</v>
      </c>
      <c r="T37">
        <v>43.09</v>
      </c>
      <c r="U37" s="1">
        <v>37.130000000000003</v>
      </c>
      <c r="V37">
        <v>26.54</v>
      </c>
      <c r="W37">
        <v>38.25</v>
      </c>
      <c r="X37">
        <v>14.8</v>
      </c>
      <c r="Y37" s="1" t="s">
        <v>96</v>
      </c>
      <c r="Z37">
        <v>480.8</v>
      </c>
      <c r="AA37">
        <v>32.92</v>
      </c>
      <c r="AB37">
        <v>56.95</v>
      </c>
      <c r="AC37">
        <v>81.319999999999993</v>
      </c>
      <c r="AD37">
        <v>18.46</v>
      </c>
      <c r="AE37">
        <v>61.84</v>
      </c>
      <c r="AF37">
        <v>5.0999999999999996</v>
      </c>
      <c r="AG37" s="1" t="s">
        <v>96</v>
      </c>
      <c r="AH37">
        <v>11.89</v>
      </c>
      <c r="AI37">
        <v>29.96</v>
      </c>
      <c r="AJ37" s="1" t="s">
        <v>96</v>
      </c>
      <c r="AK37">
        <v>114.58</v>
      </c>
      <c r="AL37">
        <v>23.94</v>
      </c>
      <c r="AM37">
        <v>119.23</v>
      </c>
      <c r="AN37" s="1">
        <v>9.74</v>
      </c>
      <c r="AO37">
        <v>39.42</v>
      </c>
      <c r="AP37">
        <v>33.65</v>
      </c>
    </row>
    <row r="38" spans="1:42" ht="15.75">
      <c r="A38" t="s">
        <v>805</v>
      </c>
      <c r="B38" s="2" t="s">
        <v>805</v>
      </c>
      <c r="C38" s="2" t="str">
        <f t="shared" si="0"/>
        <v>TRUE</v>
      </c>
      <c r="D38" s="2" t="s">
        <v>858</v>
      </c>
      <c r="E38" s="2" t="s">
        <v>868</v>
      </c>
      <c r="F38" s="2" t="s">
        <v>864</v>
      </c>
      <c r="G38" s="3">
        <v>25575</v>
      </c>
      <c r="H38" s="3">
        <v>43426</v>
      </c>
      <c r="I38" s="2">
        <v>48</v>
      </c>
      <c r="J38" s="2">
        <v>1</v>
      </c>
      <c r="K38" s="2" t="s">
        <v>857</v>
      </c>
      <c r="L38" s="2">
        <v>98</v>
      </c>
      <c r="M38" s="2">
        <v>4</v>
      </c>
      <c r="N38">
        <v>11.43</v>
      </c>
      <c r="O38">
        <v>1.38</v>
      </c>
      <c r="P38" s="1">
        <v>16.559999999999999</v>
      </c>
      <c r="Q38">
        <v>54.24</v>
      </c>
      <c r="R38" s="1">
        <v>59.31</v>
      </c>
      <c r="S38">
        <v>567.02</v>
      </c>
      <c r="T38">
        <v>90.92</v>
      </c>
      <c r="U38" s="1">
        <v>46.17</v>
      </c>
      <c r="V38">
        <v>30.51</v>
      </c>
      <c r="W38">
        <v>23.46</v>
      </c>
      <c r="X38">
        <v>4.22</v>
      </c>
      <c r="Y38" s="1">
        <v>19.399999999999999</v>
      </c>
      <c r="Z38">
        <v>967.45</v>
      </c>
      <c r="AA38">
        <v>665.04</v>
      </c>
      <c r="AB38">
        <v>71.86</v>
      </c>
      <c r="AC38">
        <v>296.20999999999998</v>
      </c>
      <c r="AD38">
        <v>14.7</v>
      </c>
      <c r="AE38">
        <v>76.62</v>
      </c>
      <c r="AF38">
        <v>47.81</v>
      </c>
      <c r="AG38" s="1">
        <v>7.52</v>
      </c>
      <c r="AH38">
        <v>37.47</v>
      </c>
      <c r="AI38">
        <v>72.09</v>
      </c>
      <c r="AJ38" s="1">
        <v>18.059999999999999</v>
      </c>
      <c r="AK38">
        <v>80.7</v>
      </c>
      <c r="AL38">
        <v>12.36</v>
      </c>
      <c r="AM38">
        <v>990.07</v>
      </c>
      <c r="AN38" s="1">
        <v>17.920000000000002</v>
      </c>
      <c r="AO38">
        <v>11.64</v>
      </c>
      <c r="AP38">
        <v>131.88</v>
      </c>
    </row>
    <row r="39" spans="1:42" ht="15.75">
      <c r="A39" t="s">
        <v>319</v>
      </c>
      <c r="B39" s="2" t="s">
        <v>319</v>
      </c>
      <c r="C39" s="2" t="str">
        <f t="shared" si="0"/>
        <v>TRUE</v>
      </c>
      <c r="D39" s="2" t="s">
        <v>858</v>
      </c>
      <c r="E39" s="2" t="s">
        <v>859</v>
      </c>
      <c r="F39" s="2" t="s">
        <v>864</v>
      </c>
      <c r="G39" s="3">
        <v>17139</v>
      </c>
      <c r="H39" s="3">
        <v>43427</v>
      </c>
      <c r="I39" s="2">
        <v>71</v>
      </c>
      <c r="J39" s="2">
        <v>1</v>
      </c>
      <c r="K39" s="2" t="s">
        <v>857</v>
      </c>
      <c r="L39" s="2">
        <v>164</v>
      </c>
      <c r="M39" s="2">
        <v>4</v>
      </c>
      <c r="N39">
        <v>16.29</v>
      </c>
      <c r="O39">
        <v>3.35</v>
      </c>
      <c r="P39" s="1">
        <v>11.8</v>
      </c>
      <c r="Q39">
        <v>98.7</v>
      </c>
      <c r="R39" s="1">
        <v>28.87</v>
      </c>
      <c r="S39">
        <v>466.72</v>
      </c>
      <c r="T39">
        <v>31.1</v>
      </c>
      <c r="U39" s="1">
        <v>759.33</v>
      </c>
      <c r="V39">
        <v>39.119999999999997</v>
      </c>
      <c r="W39">
        <v>8.3000000000000007</v>
      </c>
      <c r="X39" t="s">
        <v>96</v>
      </c>
      <c r="Y39" s="1">
        <v>5.84</v>
      </c>
      <c r="Z39">
        <v>397.47</v>
      </c>
      <c r="AA39">
        <v>380.98</v>
      </c>
      <c r="AB39">
        <v>44.29</v>
      </c>
      <c r="AC39">
        <v>68.92</v>
      </c>
      <c r="AD39">
        <v>4.32</v>
      </c>
      <c r="AE39">
        <v>33.25</v>
      </c>
      <c r="AF39">
        <v>42.42</v>
      </c>
      <c r="AG39" s="1" t="s">
        <v>96</v>
      </c>
      <c r="AH39">
        <v>7</v>
      </c>
      <c r="AI39">
        <v>62.93</v>
      </c>
      <c r="AJ39" s="1">
        <v>2.5499999999999998</v>
      </c>
      <c r="AK39">
        <v>28.8</v>
      </c>
      <c r="AL39" t="s">
        <v>96</v>
      </c>
      <c r="AM39">
        <v>356.87</v>
      </c>
      <c r="AN39" s="1">
        <v>22.25</v>
      </c>
      <c r="AO39">
        <v>9.7899999999999991</v>
      </c>
      <c r="AP39">
        <v>78.319999999999993</v>
      </c>
    </row>
    <row r="40" spans="1:42" ht="15.75">
      <c r="A40" t="s">
        <v>415</v>
      </c>
      <c r="B40" s="2" t="s">
        <v>415</v>
      </c>
      <c r="C40" s="2" t="str">
        <f t="shared" si="0"/>
        <v>TRUE</v>
      </c>
      <c r="D40" s="2" t="s">
        <v>865</v>
      </c>
      <c r="E40" s="2" t="s">
        <v>866</v>
      </c>
      <c r="F40" s="2" t="s">
        <v>864</v>
      </c>
      <c r="G40" s="3">
        <v>32901</v>
      </c>
      <c r="H40" s="3">
        <v>43431</v>
      </c>
      <c r="I40" s="2">
        <v>28</v>
      </c>
      <c r="J40" s="2">
        <v>2</v>
      </c>
      <c r="K40" s="2" t="s">
        <v>857</v>
      </c>
      <c r="L40" s="2">
        <v>23</v>
      </c>
      <c r="M40" s="2">
        <v>2</v>
      </c>
      <c r="N40">
        <v>12.4</v>
      </c>
      <c r="O40" t="s">
        <v>96</v>
      </c>
      <c r="P40" s="1">
        <v>10.85</v>
      </c>
      <c r="Q40">
        <v>27.67</v>
      </c>
      <c r="R40" s="1">
        <v>9.66</v>
      </c>
      <c r="S40">
        <v>84.2</v>
      </c>
      <c r="T40">
        <v>62.79</v>
      </c>
      <c r="U40" s="1">
        <v>196.05</v>
      </c>
      <c r="V40">
        <v>23.58</v>
      </c>
      <c r="W40">
        <v>59.4</v>
      </c>
      <c r="X40">
        <v>6.11</v>
      </c>
      <c r="Y40" s="1">
        <v>21.67</v>
      </c>
      <c r="Z40">
        <v>1752.26</v>
      </c>
      <c r="AA40">
        <v>403.42</v>
      </c>
      <c r="AB40">
        <v>187.67</v>
      </c>
      <c r="AC40">
        <v>363.82</v>
      </c>
      <c r="AD40">
        <v>27.45</v>
      </c>
      <c r="AE40">
        <v>106.14</v>
      </c>
      <c r="AF40">
        <v>32.869999999999997</v>
      </c>
      <c r="AG40" s="1">
        <v>4.45</v>
      </c>
      <c r="AH40">
        <v>29.15</v>
      </c>
      <c r="AI40">
        <v>121.7</v>
      </c>
      <c r="AJ40" s="1">
        <v>5.08</v>
      </c>
      <c r="AK40">
        <v>153.91</v>
      </c>
      <c r="AL40">
        <v>26.42</v>
      </c>
      <c r="AM40">
        <v>755.08</v>
      </c>
      <c r="AN40" s="1">
        <v>13.33</v>
      </c>
      <c r="AO40">
        <v>24.78</v>
      </c>
      <c r="AP40">
        <v>79.59</v>
      </c>
    </row>
    <row r="41" spans="1:42" ht="15.75">
      <c r="A41" t="s">
        <v>325</v>
      </c>
      <c r="B41" s="2" t="s">
        <v>325</v>
      </c>
      <c r="C41" s="2" t="str">
        <f t="shared" si="0"/>
        <v>TRUE</v>
      </c>
      <c r="D41" s="2" t="s">
        <v>858</v>
      </c>
      <c r="E41" s="2" t="s">
        <v>863</v>
      </c>
      <c r="F41" s="2" t="s">
        <v>864</v>
      </c>
      <c r="G41" s="3">
        <v>29437</v>
      </c>
      <c r="H41" s="3">
        <v>43437</v>
      </c>
      <c r="I41" s="2">
        <v>38</v>
      </c>
      <c r="J41" s="4">
        <v>1</v>
      </c>
      <c r="K41" s="2" t="s">
        <v>857</v>
      </c>
      <c r="L41" s="2" t="s">
        <v>856</v>
      </c>
      <c r="M41" s="2">
        <v>10</v>
      </c>
      <c r="N41">
        <v>18.75</v>
      </c>
      <c r="O41" t="s">
        <v>96</v>
      </c>
      <c r="P41" s="1" t="s">
        <v>96</v>
      </c>
      <c r="Q41">
        <v>22.39</v>
      </c>
      <c r="R41" s="1" t="s">
        <v>96</v>
      </c>
      <c r="S41">
        <v>37.08</v>
      </c>
      <c r="T41">
        <v>14.64</v>
      </c>
      <c r="U41" s="1">
        <v>1592.7</v>
      </c>
      <c r="V41">
        <v>3.09</v>
      </c>
      <c r="W41">
        <v>23.14</v>
      </c>
      <c r="X41" t="s">
        <v>96</v>
      </c>
      <c r="Y41" s="1">
        <v>5.22</v>
      </c>
      <c r="Z41">
        <v>865.47</v>
      </c>
      <c r="AA41">
        <v>554.82000000000005</v>
      </c>
      <c r="AB41">
        <v>41.74</v>
      </c>
      <c r="AC41">
        <v>333.93</v>
      </c>
      <c r="AD41">
        <v>8.2100000000000009</v>
      </c>
      <c r="AE41">
        <v>77.39</v>
      </c>
      <c r="AF41">
        <v>62.32</v>
      </c>
      <c r="AG41" s="1" t="s">
        <v>96</v>
      </c>
      <c r="AH41">
        <v>30.29</v>
      </c>
      <c r="AI41">
        <v>34.770000000000003</v>
      </c>
      <c r="AJ41" s="1">
        <v>9.7100000000000009</v>
      </c>
      <c r="AK41">
        <v>57.41</v>
      </c>
      <c r="AL41">
        <v>6.57</v>
      </c>
      <c r="AM41">
        <v>314.79000000000002</v>
      </c>
      <c r="AN41" s="1">
        <v>8.44</v>
      </c>
      <c r="AO41">
        <v>18.510000000000002</v>
      </c>
      <c r="AP41">
        <v>54.64</v>
      </c>
    </row>
    <row r="42" spans="1:42" ht="15.75">
      <c r="A42" t="s">
        <v>517</v>
      </c>
      <c r="B42" s="2" t="s">
        <v>517</v>
      </c>
      <c r="C42" s="2" t="str">
        <f t="shared" si="0"/>
        <v>TRUE</v>
      </c>
      <c r="D42" s="2" t="s">
        <v>870</v>
      </c>
      <c r="E42" s="2" t="s">
        <v>871</v>
      </c>
      <c r="F42" s="2" t="s">
        <v>856</v>
      </c>
      <c r="G42" s="3">
        <v>32551</v>
      </c>
      <c r="H42" s="3">
        <v>43469</v>
      </c>
      <c r="I42" s="2">
        <v>29</v>
      </c>
      <c r="J42" s="2">
        <v>1</v>
      </c>
      <c r="K42" s="2" t="s">
        <v>857</v>
      </c>
      <c r="L42" s="2">
        <v>510</v>
      </c>
      <c r="M42" s="2" t="s">
        <v>856</v>
      </c>
      <c r="N42">
        <v>28.03</v>
      </c>
      <c r="O42">
        <v>22.48</v>
      </c>
      <c r="P42" s="1">
        <v>1.05</v>
      </c>
      <c r="Q42" t="s">
        <v>133</v>
      </c>
      <c r="R42" s="1">
        <v>15.72</v>
      </c>
      <c r="S42">
        <v>77.06</v>
      </c>
      <c r="T42">
        <v>221.19</v>
      </c>
      <c r="U42" s="1">
        <v>94.25</v>
      </c>
      <c r="V42">
        <v>187.62</v>
      </c>
      <c r="W42">
        <v>33.799999999999997</v>
      </c>
      <c r="X42">
        <v>16.98</v>
      </c>
      <c r="Y42" s="1" t="s">
        <v>96</v>
      </c>
      <c r="Z42">
        <v>1159.04</v>
      </c>
      <c r="AA42">
        <v>99.83</v>
      </c>
      <c r="AB42">
        <v>550.71</v>
      </c>
      <c r="AC42">
        <v>192.97</v>
      </c>
      <c r="AD42">
        <v>33.409999999999997</v>
      </c>
      <c r="AE42">
        <v>103.11</v>
      </c>
      <c r="AF42">
        <v>13.81</v>
      </c>
      <c r="AG42" s="1" t="s">
        <v>96</v>
      </c>
      <c r="AH42">
        <v>20.079999999999998</v>
      </c>
      <c r="AI42">
        <v>38.25</v>
      </c>
      <c r="AJ42" s="1" t="s">
        <v>96</v>
      </c>
      <c r="AK42">
        <v>140.31</v>
      </c>
      <c r="AL42">
        <v>24.12</v>
      </c>
      <c r="AM42">
        <v>92.03</v>
      </c>
      <c r="AN42" s="1">
        <v>6.48</v>
      </c>
      <c r="AO42">
        <v>140.26</v>
      </c>
      <c r="AP42">
        <v>26.06</v>
      </c>
    </row>
    <row r="43" spans="1:42" ht="15.75">
      <c r="A43" t="s">
        <v>220</v>
      </c>
      <c r="B43" s="2" t="s">
        <v>220</v>
      </c>
      <c r="C43" s="2" t="str">
        <f t="shared" si="0"/>
        <v>TRUE</v>
      </c>
      <c r="D43" s="2" t="s">
        <v>865</v>
      </c>
      <c r="E43" s="2" t="s">
        <v>866</v>
      </c>
      <c r="F43" s="2" t="s">
        <v>864</v>
      </c>
      <c r="G43" s="3">
        <v>33939</v>
      </c>
      <c r="H43" s="3">
        <v>43465</v>
      </c>
      <c r="I43" s="2">
        <v>26</v>
      </c>
      <c r="J43" s="2">
        <v>1</v>
      </c>
      <c r="K43" s="2" t="s">
        <v>857</v>
      </c>
      <c r="L43" s="2">
        <v>2103</v>
      </c>
      <c r="M43" s="2">
        <v>10</v>
      </c>
      <c r="N43">
        <v>34.9</v>
      </c>
      <c r="O43">
        <v>38.26</v>
      </c>
      <c r="P43" s="1">
        <v>12.76</v>
      </c>
      <c r="Q43" t="s">
        <v>133</v>
      </c>
      <c r="R43" s="1">
        <v>144.18</v>
      </c>
      <c r="S43">
        <v>890.75</v>
      </c>
      <c r="T43">
        <v>254.09</v>
      </c>
      <c r="U43" s="1">
        <v>1354.28</v>
      </c>
      <c r="V43">
        <v>323.36</v>
      </c>
      <c r="W43">
        <v>37.04</v>
      </c>
      <c r="X43">
        <v>9.02</v>
      </c>
      <c r="Y43" s="1">
        <v>7.37</v>
      </c>
      <c r="Z43">
        <v>192.26</v>
      </c>
      <c r="AA43">
        <v>156.07</v>
      </c>
      <c r="AB43">
        <v>99.71</v>
      </c>
      <c r="AC43">
        <v>59.49</v>
      </c>
      <c r="AD43">
        <v>6.42</v>
      </c>
      <c r="AE43">
        <v>5.45</v>
      </c>
      <c r="AF43">
        <v>4.26</v>
      </c>
      <c r="AG43" s="1" t="s">
        <v>96</v>
      </c>
      <c r="AH43" t="s">
        <v>96</v>
      </c>
      <c r="AI43">
        <v>17.16</v>
      </c>
      <c r="AJ43" s="1">
        <v>33.020000000000003</v>
      </c>
      <c r="AK43">
        <v>48.78</v>
      </c>
      <c r="AL43" t="s">
        <v>96</v>
      </c>
      <c r="AM43">
        <v>460.99</v>
      </c>
      <c r="AN43" s="1" t="s">
        <v>96</v>
      </c>
      <c r="AO43">
        <v>117.27</v>
      </c>
      <c r="AP43">
        <v>85.03</v>
      </c>
    </row>
    <row r="44" spans="1:42" ht="15.75">
      <c r="A44" t="s">
        <v>559</v>
      </c>
      <c r="B44" s="2" t="s">
        <v>559</v>
      </c>
      <c r="C44" s="2" t="str">
        <f t="shared" si="0"/>
        <v>TRUE</v>
      </c>
      <c r="D44" s="2" t="s">
        <v>858</v>
      </c>
      <c r="E44" s="2" t="s">
        <v>859</v>
      </c>
      <c r="F44" s="2" t="s">
        <v>864</v>
      </c>
      <c r="G44" s="3">
        <v>36196</v>
      </c>
      <c r="H44" s="3">
        <v>43462</v>
      </c>
      <c r="I44" s="2">
        <v>19</v>
      </c>
      <c r="J44" s="2">
        <v>2</v>
      </c>
      <c r="K44" s="2" t="s">
        <v>857</v>
      </c>
      <c r="L44" s="2">
        <v>108</v>
      </c>
      <c r="M44" s="2">
        <v>3</v>
      </c>
      <c r="N44">
        <v>16.97</v>
      </c>
      <c r="O44">
        <v>2.2599999999999998</v>
      </c>
      <c r="P44" s="1">
        <v>1.19</v>
      </c>
      <c r="Q44">
        <v>63.06</v>
      </c>
      <c r="R44" s="1" t="s">
        <v>96</v>
      </c>
      <c r="S44">
        <v>106.17</v>
      </c>
      <c r="T44">
        <v>673.04</v>
      </c>
      <c r="U44" s="1" t="s">
        <v>96</v>
      </c>
      <c r="V44">
        <v>54.69</v>
      </c>
      <c r="W44">
        <v>107.24</v>
      </c>
      <c r="X44">
        <v>16.95</v>
      </c>
      <c r="Y44" s="1" t="s">
        <v>96</v>
      </c>
      <c r="Z44">
        <v>1998.61</v>
      </c>
      <c r="AA44">
        <v>122.68</v>
      </c>
      <c r="AB44">
        <v>199.39</v>
      </c>
      <c r="AC44">
        <v>668.39</v>
      </c>
      <c r="AD44">
        <v>46.76</v>
      </c>
      <c r="AE44">
        <v>164.03</v>
      </c>
      <c r="AF44">
        <v>11.13</v>
      </c>
      <c r="AG44" s="1" t="s">
        <v>96</v>
      </c>
      <c r="AH44">
        <v>46.7</v>
      </c>
      <c r="AI44">
        <v>11.49</v>
      </c>
      <c r="AJ44" s="1" t="s">
        <v>96</v>
      </c>
      <c r="AK44">
        <v>215.59</v>
      </c>
      <c r="AL44">
        <v>30.73</v>
      </c>
      <c r="AM44">
        <v>89.92</v>
      </c>
      <c r="AN44" s="1">
        <v>6.4</v>
      </c>
      <c r="AO44">
        <v>55.66</v>
      </c>
      <c r="AP44">
        <v>49.61</v>
      </c>
    </row>
    <row r="45" spans="1:42" ht="15.75">
      <c r="A45" t="s">
        <v>331</v>
      </c>
      <c r="B45" s="2" t="s">
        <v>331</v>
      </c>
      <c r="C45" s="2" t="str">
        <f t="shared" si="0"/>
        <v>TRUE</v>
      </c>
      <c r="D45" s="2" t="s">
        <v>858</v>
      </c>
      <c r="E45" s="2" t="s">
        <v>863</v>
      </c>
      <c r="F45" s="2" t="s">
        <v>864</v>
      </c>
      <c r="G45" s="3">
        <v>29437</v>
      </c>
      <c r="H45" s="3">
        <v>43467</v>
      </c>
      <c r="I45" s="2">
        <v>38</v>
      </c>
      <c r="J45" s="2">
        <v>2</v>
      </c>
      <c r="K45" s="2" t="s">
        <v>857</v>
      </c>
      <c r="L45" s="2">
        <v>1248</v>
      </c>
      <c r="M45" s="2">
        <v>5</v>
      </c>
      <c r="N45">
        <v>22.24</v>
      </c>
      <c r="O45">
        <v>6.99</v>
      </c>
      <c r="P45" s="1">
        <v>18.440000000000001</v>
      </c>
      <c r="Q45">
        <v>173.62</v>
      </c>
      <c r="R45" s="1">
        <v>74.41</v>
      </c>
      <c r="S45">
        <v>733.66</v>
      </c>
      <c r="T45">
        <v>211.58</v>
      </c>
      <c r="U45" s="1">
        <v>581.62</v>
      </c>
      <c r="V45">
        <v>93.84</v>
      </c>
      <c r="W45">
        <v>60.6</v>
      </c>
      <c r="X45">
        <v>5.53</v>
      </c>
      <c r="Y45" s="1">
        <v>60.42</v>
      </c>
      <c r="Z45" t="s">
        <v>133</v>
      </c>
      <c r="AA45">
        <v>2117.15</v>
      </c>
      <c r="AB45">
        <v>296.27</v>
      </c>
      <c r="AC45" t="s">
        <v>133</v>
      </c>
      <c r="AD45">
        <v>28.98</v>
      </c>
      <c r="AE45">
        <v>328.08</v>
      </c>
      <c r="AF45">
        <v>244.49</v>
      </c>
      <c r="AG45" s="1">
        <v>4.09</v>
      </c>
      <c r="AH45">
        <v>146.99</v>
      </c>
      <c r="AI45">
        <v>93.43</v>
      </c>
      <c r="AJ45" s="1">
        <v>5.5</v>
      </c>
      <c r="AK45">
        <v>168.4</v>
      </c>
      <c r="AL45">
        <v>18.41</v>
      </c>
      <c r="AM45">
        <v>668.42</v>
      </c>
      <c r="AN45" s="1">
        <v>25.3</v>
      </c>
      <c r="AO45">
        <v>57.13</v>
      </c>
      <c r="AP45">
        <v>166.18</v>
      </c>
    </row>
    <row r="46" spans="1:42" ht="15.75">
      <c r="A46" t="s">
        <v>175</v>
      </c>
      <c r="B46" s="2" t="s">
        <v>175</v>
      </c>
      <c r="C46" s="2" t="str">
        <f t="shared" si="0"/>
        <v>TRUE</v>
      </c>
      <c r="D46" s="2" t="s">
        <v>858</v>
      </c>
      <c r="E46" s="2" t="s">
        <v>863</v>
      </c>
      <c r="F46" s="2" t="s">
        <v>864</v>
      </c>
      <c r="G46" s="3">
        <v>30401</v>
      </c>
      <c r="H46" s="3">
        <v>43469</v>
      </c>
      <c r="I46" s="2">
        <v>35</v>
      </c>
      <c r="J46" s="2">
        <v>2</v>
      </c>
      <c r="K46" s="2" t="s">
        <v>857</v>
      </c>
      <c r="L46" s="2">
        <v>35</v>
      </c>
      <c r="M46" s="2">
        <v>3</v>
      </c>
      <c r="N46">
        <v>9.8000000000000007</v>
      </c>
      <c r="O46">
        <v>9.34</v>
      </c>
      <c r="P46" s="1">
        <v>20.37</v>
      </c>
      <c r="Q46">
        <v>71.58</v>
      </c>
      <c r="R46" s="1">
        <v>14.9</v>
      </c>
      <c r="S46">
        <v>461.98</v>
      </c>
      <c r="T46">
        <v>752.98</v>
      </c>
      <c r="U46" s="1">
        <v>523.96</v>
      </c>
      <c r="V46">
        <v>53.03</v>
      </c>
      <c r="W46">
        <v>798.14</v>
      </c>
      <c r="X46">
        <v>7.99</v>
      </c>
      <c r="Y46" s="1">
        <v>12.84</v>
      </c>
      <c r="Z46">
        <v>1011.07</v>
      </c>
      <c r="AA46">
        <v>387.73</v>
      </c>
      <c r="AB46">
        <v>95.79</v>
      </c>
      <c r="AC46">
        <v>323.20999999999998</v>
      </c>
      <c r="AD46">
        <v>12.92</v>
      </c>
      <c r="AE46">
        <v>89.5</v>
      </c>
      <c r="AF46">
        <v>40.21</v>
      </c>
      <c r="AG46" s="1">
        <v>6.22</v>
      </c>
      <c r="AH46">
        <v>38.450000000000003</v>
      </c>
      <c r="AI46">
        <v>18.39</v>
      </c>
      <c r="AJ46" s="1" t="s">
        <v>96</v>
      </c>
      <c r="AK46">
        <v>59.43</v>
      </c>
      <c r="AL46">
        <v>17.420000000000002</v>
      </c>
      <c r="AM46">
        <v>154.05000000000001</v>
      </c>
      <c r="AN46" s="1">
        <v>15.53</v>
      </c>
      <c r="AO46">
        <v>12.23</v>
      </c>
      <c r="AP46">
        <v>74.41</v>
      </c>
    </row>
    <row r="47" spans="1:42" ht="15.75">
      <c r="A47" t="s">
        <v>715</v>
      </c>
      <c r="B47" s="2" t="s">
        <v>715</v>
      </c>
      <c r="C47" s="2" t="str">
        <f t="shared" si="0"/>
        <v>TRUE</v>
      </c>
      <c r="D47" s="2" t="s">
        <v>858</v>
      </c>
      <c r="E47" s="2" t="s">
        <v>863</v>
      </c>
      <c r="F47" s="2" t="s">
        <v>864</v>
      </c>
      <c r="G47" s="3">
        <v>32618</v>
      </c>
      <c r="H47" s="3">
        <v>43476</v>
      </c>
      <c r="I47" s="2">
        <v>29</v>
      </c>
      <c r="J47" s="2">
        <v>2</v>
      </c>
      <c r="K47" s="2" t="s">
        <v>857</v>
      </c>
      <c r="L47" s="2">
        <v>103</v>
      </c>
      <c r="M47" s="2">
        <v>2</v>
      </c>
      <c r="N47">
        <v>25.7</v>
      </c>
      <c r="O47">
        <v>19.809999999999999</v>
      </c>
      <c r="P47" s="1">
        <v>12.27</v>
      </c>
      <c r="Q47">
        <v>51.37</v>
      </c>
      <c r="R47" s="1">
        <v>12.04</v>
      </c>
      <c r="S47">
        <v>646.54</v>
      </c>
      <c r="T47" t="s">
        <v>133</v>
      </c>
      <c r="U47" s="1">
        <v>68.959999999999994</v>
      </c>
      <c r="V47">
        <v>99.51</v>
      </c>
      <c r="W47" t="s">
        <v>133</v>
      </c>
      <c r="X47">
        <v>28.2</v>
      </c>
      <c r="Y47" s="1">
        <v>4.82</v>
      </c>
      <c r="Z47" t="s">
        <v>133</v>
      </c>
      <c r="AA47">
        <v>777.45</v>
      </c>
      <c r="AB47">
        <v>239.17</v>
      </c>
      <c r="AC47">
        <v>749.72</v>
      </c>
      <c r="AD47">
        <v>24.45</v>
      </c>
      <c r="AE47">
        <v>234.94</v>
      </c>
      <c r="AF47">
        <v>70.62</v>
      </c>
      <c r="AG47" s="1">
        <v>4.88</v>
      </c>
      <c r="AH47">
        <v>63.93</v>
      </c>
      <c r="AI47">
        <v>115.4</v>
      </c>
      <c r="AJ47" s="1">
        <v>7.46</v>
      </c>
      <c r="AK47">
        <v>213.6</v>
      </c>
      <c r="AL47">
        <v>27.06</v>
      </c>
      <c r="AM47">
        <v>670.05</v>
      </c>
      <c r="AN47" s="1">
        <v>34</v>
      </c>
      <c r="AO47">
        <v>57.85</v>
      </c>
      <c r="AP47">
        <v>224.09</v>
      </c>
    </row>
    <row r="48" spans="1:42" ht="15.75">
      <c r="A48" t="s">
        <v>502</v>
      </c>
      <c r="B48" s="2" t="s">
        <v>502</v>
      </c>
      <c r="C48" s="2" t="str">
        <f t="shared" si="0"/>
        <v>TRUE</v>
      </c>
      <c r="D48" s="2" t="s">
        <v>858</v>
      </c>
      <c r="E48" s="2" t="s">
        <v>863</v>
      </c>
      <c r="F48" s="2" t="s">
        <v>864</v>
      </c>
      <c r="G48" s="3">
        <v>23573</v>
      </c>
      <c r="H48" s="3">
        <v>43483</v>
      </c>
      <c r="I48" s="2">
        <v>54</v>
      </c>
      <c r="J48" s="2">
        <v>2</v>
      </c>
      <c r="K48" s="2" t="s">
        <v>857</v>
      </c>
      <c r="L48" s="2">
        <v>15</v>
      </c>
      <c r="M48" s="2">
        <v>0</v>
      </c>
      <c r="N48">
        <v>15.24</v>
      </c>
      <c r="O48">
        <v>3.12</v>
      </c>
      <c r="P48" s="1">
        <v>1.86</v>
      </c>
      <c r="Q48">
        <v>91.44</v>
      </c>
      <c r="R48" s="1" t="s">
        <v>96</v>
      </c>
      <c r="S48">
        <v>35.24</v>
      </c>
      <c r="T48">
        <v>128.93</v>
      </c>
      <c r="U48" s="1" t="s">
        <v>96</v>
      </c>
      <c r="V48">
        <v>20.05</v>
      </c>
      <c r="W48">
        <v>54.04</v>
      </c>
      <c r="X48">
        <v>2.65</v>
      </c>
      <c r="Y48" s="1">
        <v>6.18</v>
      </c>
      <c r="Z48" t="s">
        <v>133</v>
      </c>
      <c r="AA48">
        <v>339.08</v>
      </c>
      <c r="AB48">
        <v>239.29</v>
      </c>
      <c r="AC48" t="s">
        <v>133</v>
      </c>
      <c r="AD48">
        <v>41.06</v>
      </c>
      <c r="AE48">
        <v>514.44000000000005</v>
      </c>
      <c r="AF48">
        <v>60.77</v>
      </c>
      <c r="AG48" s="1" t="s">
        <v>96</v>
      </c>
      <c r="AH48">
        <v>178.26</v>
      </c>
      <c r="AI48">
        <v>189.3</v>
      </c>
      <c r="AJ48" s="1" t="s">
        <v>96</v>
      </c>
      <c r="AK48">
        <v>475.97</v>
      </c>
      <c r="AL48">
        <v>101.64</v>
      </c>
      <c r="AM48">
        <v>607.29999999999995</v>
      </c>
      <c r="AN48" s="1">
        <v>40.69</v>
      </c>
      <c r="AO48">
        <v>95.4</v>
      </c>
      <c r="AP48">
        <v>120.67</v>
      </c>
    </row>
    <row r="49" spans="1:42" ht="15.75">
      <c r="A49" t="s">
        <v>169</v>
      </c>
      <c r="B49" s="2" t="s">
        <v>169</v>
      </c>
      <c r="C49" s="2" t="str">
        <f t="shared" si="0"/>
        <v>TRUE</v>
      </c>
      <c r="D49" s="2" t="s">
        <v>870</v>
      </c>
      <c r="E49" s="2" t="s">
        <v>862</v>
      </c>
      <c r="F49" s="2" t="s">
        <v>856</v>
      </c>
      <c r="G49" s="3">
        <v>26595</v>
      </c>
      <c r="H49" s="3">
        <v>43480</v>
      </c>
      <c r="I49" s="2">
        <v>46</v>
      </c>
      <c r="J49" s="2">
        <v>1</v>
      </c>
      <c r="K49" s="2" t="s">
        <v>857</v>
      </c>
      <c r="L49" s="2">
        <v>208</v>
      </c>
      <c r="M49" s="2" t="s">
        <v>856</v>
      </c>
      <c r="N49">
        <v>14.06</v>
      </c>
      <c r="O49">
        <v>27.56</v>
      </c>
      <c r="P49" s="1">
        <v>2.15</v>
      </c>
      <c r="Q49" t="s">
        <v>133</v>
      </c>
      <c r="R49" s="1" t="s">
        <v>96</v>
      </c>
      <c r="S49">
        <v>25.35</v>
      </c>
      <c r="T49">
        <v>400.04</v>
      </c>
      <c r="U49" s="1">
        <v>249.61</v>
      </c>
      <c r="V49">
        <v>348.41</v>
      </c>
      <c r="W49">
        <v>84.83</v>
      </c>
      <c r="X49">
        <v>11.44</v>
      </c>
      <c r="Y49" s="1" t="s">
        <v>96</v>
      </c>
      <c r="Z49">
        <v>1143.5999999999999</v>
      </c>
      <c r="AA49">
        <v>34.67</v>
      </c>
      <c r="AB49">
        <v>490.77</v>
      </c>
      <c r="AC49">
        <v>103.56</v>
      </c>
      <c r="AD49">
        <v>8.1300000000000008</v>
      </c>
      <c r="AE49">
        <v>37.51</v>
      </c>
      <c r="AF49" t="s">
        <v>96</v>
      </c>
      <c r="AG49" s="1" t="s">
        <v>96</v>
      </c>
      <c r="AH49">
        <v>7.56</v>
      </c>
      <c r="AI49" t="s">
        <v>96</v>
      </c>
      <c r="AJ49" s="1" t="s">
        <v>96</v>
      </c>
      <c r="AK49">
        <v>63.17</v>
      </c>
      <c r="AL49">
        <v>6.06</v>
      </c>
      <c r="AM49">
        <v>68.7</v>
      </c>
      <c r="AN49" s="1" t="s">
        <v>96</v>
      </c>
      <c r="AO49">
        <v>205.54</v>
      </c>
      <c r="AP49">
        <v>9.25</v>
      </c>
    </row>
    <row r="50" spans="1:42" ht="15.75">
      <c r="A50" t="s">
        <v>463</v>
      </c>
      <c r="B50" s="2" t="s">
        <v>463</v>
      </c>
      <c r="C50" s="2" t="str">
        <f t="shared" si="0"/>
        <v>TRUE</v>
      </c>
      <c r="D50" s="2" t="s">
        <v>865</v>
      </c>
      <c r="E50" s="2" t="s">
        <v>872</v>
      </c>
      <c r="F50" s="2" t="s">
        <v>864</v>
      </c>
      <c r="G50" s="3">
        <v>33519</v>
      </c>
      <c r="H50" s="3">
        <v>43487</v>
      </c>
      <c r="I50" s="2">
        <v>27</v>
      </c>
      <c r="J50" s="2">
        <v>1</v>
      </c>
      <c r="K50" s="2" t="s">
        <v>857</v>
      </c>
      <c r="L50" s="2">
        <v>448</v>
      </c>
      <c r="M50" s="2">
        <v>2</v>
      </c>
      <c r="N50">
        <v>28.42</v>
      </c>
      <c r="O50">
        <v>7.07</v>
      </c>
      <c r="P50" s="1">
        <v>41.39</v>
      </c>
      <c r="Q50">
        <v>198.35</v>
      </c>
      <c r="R50" s="1">
        <v>31.95</v>
      </c>
      <c r="S50">
        <v>368.39</v>
      </c>
      <c r="T50">
        <v>31.77</v>
      </c>
      <c r="U50" s="1">
        <v>207.55</v>
      </c>
      <c r="V50" t="s">
        <v>133</v>
      </c>
      <c r="W50">
        <v>38.630000000000003</v>
      </c>
      <c r="X50">
        <v>10.42</v>
      </c>
      <c r="Y50" s="1">
        <v>115.17</v>
      </c>
      <c r="Z50" t="s">
        <v>133</v>
      </c>
      <c r="AA50" t="s">
        <v>133</v>
      </c>
      <c r="AB50" t="s">
        <v>133</v>
      </c>
      <c r="AC50" t="s">
        <v>133</v>
      </c>
      <c r="AD50">
        <v>62.33</v>
      </c>
      <c r="AE50">
        <v>409.52</v>
      </c>
      <c r="AF50">
        <v>351.56</v>
      </c>
      <c r="AG50" s="1">
        <v>16.690000000000001</v>
      </c>
      <c r="AH50">
        <v>882.39</v>
      </c>
      <c r="AI50">
        <v>688.59</v>
      </c>
      <c r="AJ50" s="1">
        <v>29.5</v>
      </c>
      <c r="AK50">
        <v>494.33</v>
      </c>
      <c r="AL50">
        <v>52</v>
      </c>
      <c r="AM50" t="s">
        <v>133</v>
      </c>
      <c r="AN50" s="1">
        <v>144.04</v>
      </c>
      <c r="AO50" t="s">
        <v>133</v>
      </c>
      <c r="AP50">
        <v>1100.58</v>
      </c>
    </row>
    <row r="51" spans="1:42" ht="15.75">
      <c r="A51" t="s">
        <v>445</v>
      </c>
      <c r="B51" s="2" t="s">
        <v>445</v>
      </c>
      <c r="C51" s="2" t="str">
        <f t="shared" si="0"/>
        <v>TRUE</v>
      </c>
      <c r="D51" s="2" t="s">
        <v>858</v>
      </c>
      <c r="E51" s="2" t="s">
        <v>859</v>
      </c>
      <c r="F51" s="2" t="s">
        <v>860</v>
      </c>
      <c r="G51" s="3">
        <v>21589</v>
      </c>
      <c r="H51" s="3">
        <v>43487</v>
      </c>
      <c r="I51" s="2">
        <v>59</v>
      </c>
      <c r="J51" s="2">
        <v>3</v>
      </c>
      <c r="K51" s="2" t="s">
        <v>857</v>
      </c>
      <c r="L51" s="2">
        <v>34</v>
      </c>
      <c r="M51" s="2">
        <v>0</v>
      </c>
      <c r="N51">
        <v>9.68</v>
      </c>
      <c r="O51">
        <v>9.76</v>
      </c>
      <c r="P51" s="1">
        <v>3.93</v>
      </c>
      <c r="Q51">
        <v>71.89</v>
      </c>
      <c r="R51" s="1">
        <v>10.41</v>
      </c>
      <c r="S51">
        <v>201.11</v>
      </c>
      <c r="T51">
        <v>206.19</v>
      </c>
      <c r="U51" s="1">
        <v>25.52</v>
      </c>
      <c r="V51">
        <v>28.94</v>
      </c>
      <c r="W51">
        <v>47.21</v>
      </c>
      <c r="X51">
        <v>2.38</v>
      </c>
      <c r="Y51" s="1">
        <v>5.73</v>
      </c>
      <c r="Z51">
        <v>788.79</v>
      </c>
      <c r="AA51">
        <v>169.67</v>
      </c>
      <c r="AB51">
        <v>25.02</v>
      </c>
      <c r="AC51">
        <v>296.18</v>
      </c>
      <c r="AD51">
        <v>10.18</v>
      </c>
      <c r="AE51">
        <v>193.8</v>
      </c>
      <c r="AF51">
        <v>59.58</v>
      </c>
      <c r="AG51" s="1">
        <v>2.98</v>
      </c>
      <c r="AH51">
        <v>83.91</v>
      </c>
      <c r="AI51">
        <v>93.62</v>
      </c>
      <c r="AJ51" s="1" t="s">
        <v>96</v>
      </c>
      <c r="AK51">
        <v>61.04</v>
      </c>
      <c r="AL51">
        <v>23</v>
      </c>
      <c r="AM51">
        <v>202.19</v>
      </c>
      <c r="AN51" s="1">
        <v>23.56</v>
      </c>
      <c r="AO51">
        <v>6.46</v>
      </c>
      <c r="AP51">
        <v>44.42</v>
      </c>
    </row>
    <row r="52" spans="1:42" ht="15.75">
      <c r="A52" t="s">
        <v>223</v>
      </c>
      <c r="B52" s="2" t="s">
        <v>223</v>
      </c>
      <c r="C52" s="2" t="str">
        <f t="shared" si="0"/>
        <v>TRUE</v>
      </c>
      <c r="D52" s="2" t="s">
        <v>865</v>
      </c>
      <c r="E52" s="2" t="s">
        <v>866</v>
      </c>
      <c r="F52" s="2" t="s">
        <v>864</v>
      </c>
      <c r="G52" s="3">
        <v>33939</v>
      </c>
      <c r="H52" s="3">
        <v>43488</v>
      </c>
      <c r="I52" s="2">
        <v>26</v>
      </c>
      <c r="J52" s="4">
        <v>1</v>
      </c>
      <c r="K52" s="2" t="s">
        <v>857</v>
      </c>
      <c r="L52" s="2" t="s">
        <v>856</v>
      </c>
      <c r="M52" s="2">
        <v>6</v>
      </c>
      <c r="N52">
        <v>14.85</v>
      </c>
      <c r="O52">
        <v>1.42</v>
      </c>
      <c r="P52" s="1">
        <v>2.09</v>
      </c>
      <c r="Q52">
        <v>303.08</v>
      </c>
      <c r="R52" s="1">
        <v>11.5</v>
      </c>
      <c r="S52">
        <v>146.27000000000001</v>
      </c>
      <c r="T52">
        <v>12.44</v>
      </c>
      <c r="U52" s="1">
        <v>304.81</v>
      </c>
      <c r="V52">
        <v>26.8</v>
      </c>
      <c r="W52">
        <v>4.66</v>
      </c>
      <c r="X52" t="s">
        <v>96</v>
      </c>
      <c r="Y52" s="1">
        <v>4.3899999999999997</v>
      </c>
      <c r="Z52">
        <v>487.34</v>
      </c>
      <c r="AA52">
        <v>228.9</v>
      </c>
      <c r="AB52">
        <v>116.03</v>
      </c>
      <c r="AC52">
        <v>98.22</v>
      </c>
      <c r="AD52">
        <v>4.54</v>
      </c>
      <c r="AE52">
        <v>9.39</v>
      </c>
      <c r="AF52">
        <v>4.47</v>
      </c>
      <c r="AG52" s="1" t="s">
        <v>96</v>
      </c>
      <c r="AH52">
        <v>2.72</v>
      </c>
      <c r="AI52">
        <v>15.75</v>
      </c>
      <c r="AJ52" s="1">
        <v>15.35</v>
      </c>
      <c r="AK52">
        <v>38.119999999999997</v>
      </c>
      <c r="AL52" t="s">
        <v>96</v>
      </c>
      <c r="AM52">
        <v>894.02</v>
      </c>
      <c r="AN52" s="1" t="s">
        <v>96</v>
      </c>
      <c r="AO52">
        <v>28.68</v>
      </c>
      <c r="AP52">
        <v>69.08</v>
      </c>
    </row>
    <row r="53" spans="1:42" ht="15.75">
      <c r="A53" t="s">
        <v>763</v>
      </c>
      <c r="B53" s="2" t="s">
        <v>763</v>
      </c>
      <c r="C53" s="2" t="str">
        <f t="shared" si="0"/>
        <v>TRUE</v>
      </c>
      <c r="D53" s="2" t="s">
        <v>858</v>
      </c>
      <c r="E53" s="2" t="s">
        <v>863</v>
      </c>
      <c r="F53" s="2" t="s">
        <v>864</v>
      </c>
      <c r="G53" s="3">
        <v>35129</v>
      </c>
      <c r="H53" s="3">
        <v>43489</v>
      </c>
      <c r="I53" s="2">
        <v>23</v>
      </c>
      <c r="J53" s="2">
        <v>1</v>
      </c>
      <c r="K53" s="2" t="s">
        <v>857</v>
      </c>
      <c r="L53" s="2">
        <v>6000</v>
      </c>
      <c r="M53" s="2">
        <v>7</v>
      </c>
      <c r="N53">
        <v>8.59</v>
      </c>
      <c r="O53" t="s">
        <v>96</v>
      </c>
      <c r="P53" s="1" t="s">
        <v>96</v>
      </c>
      <c r="Q53">
        <v>2.06</v>
      </c>
      <c r="R53" s="1" t="s">
        <v>96</v>
      </c>
      <c r="S53">
        <v>3.12</v>
      </c>
      <c r="T53">
        <v>2.3199999999999998</v>
      </c>
      <c r="U53" s="1" t="s">
        <v>96</v>
      </c>
      <c r="V53">
        <v>1.87</v>
      </c>
      <c r="W53">
        <v>5.32</v>
      </c>
      <c r="X53">
        <v>2.0299999999999998</v>
      </c>
      <c r="Y53" s="1" t="s">
        <v>96</v>
      </c>
      <c r="Z53">
        <v>28.82</v>
      </c>
      <c r="AA53">
        <v>2.56</v>
      </c>
      <c r="AB53" t="s">
        <v>96</v>
      </c>
      <c r="AC53">
        <v>15.73</v>
      </c>
      <c r="AD53">
        <v>5.05</v>
      </c>
      <c r="AE53">
        <v>17.100000000000001</v>
      </c>
      <c r="AF53" t="s">
        <v>96</v>
      </c>
      <c r="AG53" s="1" t="s">
        <v>96</v>
      </c>
      <c r="AH53">
        <v>6.07</v>
      </c>
      <c r="AI53">
        <v>50.42</v>
      </c>
      <c r="AJ53" s="1" t="s">
        <v>96</v>
      </c>
      <c r="AK53">
        <v>13.6</v>
      </c>
      <c r="AL53">
        <v>11.53</v>
      </c>
      <c r="AM53">
        <v>49.15</v>
      </c>
      <c r="AN53" s="1" t="s">
        <v>96</v>
      </c>
      <c r="AO53" t="s">
        <v>96</v>
      </c>
      <c r="AP53" t="s">
        <v>96</v>
      </c>
    </row>
    <row r="54" spans="1:42" ht="15.75">
      <c r="A54" t="s">
        <v>424</v>
      </c>
      <c r="B54" s="2" t="s">
        <v>424</v>
      </c>
      <c r="C54" s="2" t="str">
        <f t="shared" si="0"/>
        <v>TRUE</v>
      </c>
      <c r="D54" s="2" t="s">
        <v>865</v>
      </c>
      <c r="E54" s="2" t="s">
        <v>866</v>
      </c>
      <c r="F54" s="2" t="s">
        <v>864</v>
      </c>
      <c r="G54" s="3">
        <v>33786</v>
      </c>
      <c r="H54" s="3">
        <v>43491</v>
      </c>
      <c r="I54" s="2">
        <v>26</v>
      </c>
      <c r="J54" s="2">
        <v>2</v>
      </c>
      <c r="K54" s="2" t="s">
        <v>861</v>
      </c>
      <c r="L54" s="2">
        <v>15</v>
      </c>
      <c r="M54" s="2">
        <v>1</v>
      </c>
      <c r="N54">
        <v>15.07</v>
      </c>
      <c r="O54">
        <v>1.39</v>
      </c>
      <c r="P54" s="1">
        <v>1.5</v>
      </c>
      <c r="Q54">
        <v>8.2899999999999991</v>
      </c>
      <c r="R54" s="1" t="s">
        <v>96</v>
      </c>
      <c r="S54">
        <v>25.18</v>
      </c>
      <c r="T54">
        <v>32.049999999999997</v>
      </c>
      <c r="U54" s="1" t="s">
        <v>96</v>
      </c>
      <c r="V54">
        <v>3.75</v>
      </c>
      <c r="W54">
        <v>16.940000000000001</v>
      </c>
      <c r="X54">
        <v>6.93</v>
      </c>
      <c r="Y54" s="1">
        <v>5.46</v>
      </c>
      <c r="Z54">
        <v>1531.17</v>
      </c>
      <c r="AA54">
        <v>123.63</v>
      </c>
      <c r="AB54">
        <v>43.12</v>
      </c>
      <c r="AC54">
        <v>470.41</v>
      </c>
      <c r="AD54">
        <v>43.75</v>
      </c>
      <c r="AE54">
        <v>398.98</v>
      </c>
      <c r="AF54">
        <v>48.39</v>
      </c>
      <c r="AG54" s="1">
        <v>7.78</v>
      </c>
      <c r="AH54">
        <v>154.86000000000001</v>
      </c>
      <c r="AI54">
        <v>67.8</v>
      </c>
      <c r="AJ54" s="1" t="s">
        <v>96</v>
      </c>
      <c r="AK54">
        <v>125.01</v>
      </c>
      <c r="AL54">
        <v>48.01</v>
      </c>
      <c r="AM54">
        <v>162.85</v>
      </c>
      <c r="AN54" s="1">
        <v>21.48</v>
      </c>
      <c r="AO54">
        <v>8.01</v>
      </c>
      <c r="AP54">
        <v>34.22</v>
      </c>
    </row>
    <row r="55" spans="1:42" ht="15.75">
      <c r="A55" t="s">
        <v>724</v>
      </c>
      <c r="B55" s="2" t="s">
        <v>724</v>
      </c>
      <c r="C55" s="2" t="str">
        <f t="shared" si="0"/>
        <v>TRUE</v>
      </c>
      <c r="D55" s="2" t="s">
        <v>854</v>
      </c>
      <c r="E55" s="2" t="s">
        <v>862</v>
      </c>
      <c r="F55" s="2" t="s">
        <v>856</v>
      </c>
      <c r="G55" s="3">
        <v>26190</v>
      </c>
      <c r="H55" s="3">
        <v>43504</v>
      </c>
      <c r="I55" s="2">
        <v>47</v>
      </c>
      <c r="J55" s="2">
        <v>2</v>
      </c>
      <c r="K55" s="2" t="s">
        <v>857</v>
      </c>
      <c r="L55" s="2">
        <v>15</v>
      </c>
      <c r="M55" s="2" t="s">
        <v>856</v>
      </c>
      <c r="N55">
        <v>8.65</v>
      </c>
      <c r="O55">
        <v>1.82</v>
      </c>
      <c r="P55" s="1">
        <v>15.82</v>
      </c>
      <c r="Q55">
        <v>66.069999999999993</v>
      </c>
      <c r="R55" s="1">
        <v>34.909999999999997</v>
      </c>
      <c r="S55">
        <v>318.42</v>
      </c>
      <c r="T55">
        <v>32.75</v>
      </c>
      <c r="U55" s="1">
        <v>547.65</v>
      </c>
      <c r="V55">
        <v>18.59</v>
      </c>
      <c r="W55">
        <v>23.5</v>
      </c>
      <c r="X55" t="s">
        <v>96</v>
      </c>
      <c r="Y55" s="1">
        <v>42.54</v>
      </c>
      <c r="Z55" t="s">
        <v>133</v>
      </c>
      <c r="AA55">
        <v>1520.29</v>
      </c>
      <c r="AB55">
        <v>48.95</v>
      </c>
      <c r="AC55">
        <v>820.35</v>
      </c>
      <c r="AD55">
        <v>15.2</v>
      </c>
      <c r="AE55">
        <v>294.19</v>
      </c>
      <c r="AF55">
        <v>254.43</v>
      </c>
      <c r="AG55" s="1">
        <v>4.58</v>
      </c>
      <c r="AH55">
        <v>114.21</v>
      </c>
      <c r="AI55">
        <v>112.65</v>
      </c>
      <c r="AJ55" s="1" t="s">
        <v>96</v>
      </c>
      <c r="AK55">
        <v>56.07</v>
      </c>
      <c r="AL55">
        <v>9.81</v>
      </c>
      <c r="AM55">
        <v>537.83000000000004</v>
      </c>
      <c r="AN55" s="1">
        <v>28.44</v>
      </c>
      <c r="AO55" t="s">
        <v>96</v>
      </c>
      <c r="AP55">
        <v>97.18</v>
      </c>
    </row>
    <row r="56" spans="1:42" ht="15.75">
      <c r="A56" t="s">
        <v>454</v>
      </c>
      <c r="B56" s="2" t="s">
        <v>454</v>
      </c>
      <c r="C56" s="2" t="str">
        <f t="shared" si="0"/>
        <v>TRUE</v>
      </c>
      <c r="D56" s="2" t="s">
        <v>858</v>
      </c>
      <c r="E56" s="2" t="s">
        <v>868</v>
      </c>
      <c r="F56" s="2" t="s">
        <v>864</v>
      </c>
      <c r="G56" s="3">
        <v>30482</v>
      </c>
      <c r="H56" s="3">
        <v>43518</v>
      </c>
      <c r="I56" s="2">
        <v>35</v>
      </c>
      <c r="J56" s="2">
        <v>3</v>
      </c>
      <c r="K56" s="2" t="s">
        <v>857</v>
      </c>
      <c r="L56" s="2">
        <v>42</v>
      </c>
      <c r="M56" s="2">
        <v>3</v>
      </c>
      <c r="N56">
        <v>15.23</v>
      </c>
      <c r="O56" t="s">
        <v>96</v>
      </c>
      <c r="P56" s="1">
        <v>3.03</v>
      </c>
      <c r="Q56">
        <v>47.74</v>
      </c>
      <c r="R56" s="1">
        <v>11.73</v>
      </c>
      <c r="S56">
        <v>200.69</v>
      </c>
      <c r="T56">
        <v>25.15</v>
      </c>
      <c r="U56" s="1">
        <v>55.87</v>
      </c>
      <c r="V56">
        <v>6.75</v>
      </c>
      <c r="W56">
        <v>17.3</v>
      </c>
      <c r="X56">
        <v>2.14</v>
      </c>
      <c r="Y56" s="1">
        <v>37.9</v>
      </c>
      <c r="Z56">
        <v>856.75</v>
      </c>
      <c r="AA56">
        <v>523.41</v>
      </c>
      <c r="AB56">
        <v>57.42</v>
      </c>
      <c r="AC56">
        <v>176.29</v>
      </c>
      <c r="AD56">
        <v>6.55</v>
      </c>
      <c r="AE56">
        <v>80.69</v>
      </c>
      <c r="AF56">
        <v>52.02</v>
      </c>
      <c r="AG56" s="1" t="s">
        <v>96</v>
      </c>
      <c r="AH56">
        <v>20.55</v>
      </c>
      <c r="AI56">
        <v>76.77</v>
      </c>
      <c r="AJ56" s="1">
        <v>7.35</v>
      </c>
      <c r="AK56">
        <v>73.13</v>
      </c>
      <c r="AL56">
        <v>11.76</v>
      </c>
      <c r="AM56">
        <v>656.51</v>
      </c>
      <c r="AN56" s="1">
        <v>25.17</v>
      </c>
      <c r="AO56">
        <v>34.39</v>
      </c>
      <c r="AP56">
        <v>139.34</v>
      </c>
    </row>
    <row r="57" spans="1:42" ht="15.75">
      <c r="A57" t="s">
        <v>664</v>
      </c>
      <c r="B57" s="2" t="s">
        <v>664</v>
      </c>
      <c r="C57" s="2" t="str">
        <f t="shared" si="0"/>
        <v>TRUE</v>
      </c>
      <c r="D57" s="2" t="s">
        <v>858</v>
      </c>
      <c r="E57" s="2" t="s">
        <v>863</v>
      </c>
      <c r="F57" s="2" t="s">
        <v>864</v>
      </c>
      <c r="G57" s="3">
        <v>24908</v>
      </c>
      <c r="H57" s="3">
        <v>43509</v>
      </c>
      <c r="I57" s="2">
        <v>50</v>
      </c>
      <c r="J57" s="2">
        <v>2</v>
      </c>
      <c r="K57" s="2" t="s">
        <v>857</v>
      </c>
      <c r="L57" s="2">
        <v>15</v>
      </c>
      <c r="M57" s="2">
        <v>2</v>
      </c>
      <c r="N57">
        <v>21.02</v>
      </c>
      <c r="O57">
        <v>4.7699999999999996</v>
      </c>
      <c r="P57" s="1">
        <v>23.52</v>
      </c>
      <c r="Q57">
        <v>170.89</v>
      </c>
      <c r="R57" s="1">
        <v>83.35</v>
      </c>
      <c r="S57">
        <v>625.89</v>
      </c>
      <c r="T57">
        <v>143.69</v>
      </c>
      <c r="U57" s="1">
        <v>51.04</v>
      </c>
      <c r="V57">
        <v>43.22</v>
      </c>
      <c r="W57">
        <v>130.29</v>
      </c>
      <c r="X57">
        <v>12.15</v>
      </c>
      <c r="Y57" s="1">
        <v>8.02</v>
      </c>
      <c r="Z57">
        <v>973.31</v>
      </c>
      <c r="AA57">
        <v>705.21</v>
      </c>
      <c r="AB57">
        <v>49.5</v>
      </c>
      <c r="AC57">
        <v>382.74</v>
      </c>
      <c r="AD57">
        <v>21.67</v>
      </c>
      <c r="AE57">
        <v>39.49</v>
      </c>
      <c r="AF57">
        <v>38.46</v>
      </c>
      <c r="AG57" s="1">
        <v>8.1</v>
      </c>
      <c r="AH57">
        <v>34.96</v>
      </c>
      <c r="AI57">
        <v>133.35</v>
      </c>
      <c r="AJ57" s="1">
        <v>11.55</v>
      </c>
      <c r="AK57">
        <v>144.86000000000001</v>
      </c>
      <c r="AL57">
        <v>9.0500000000000007</v>
      </c>
      <c r="AM57">
        <v>1210.9000000000001</v>
      </c>
      <c r="AN57" s="1">
        <v>43.77</v>
      </c>
      <c r="AO57">
        <v>24.56</v>
      </c>
      <c r="AP57">
        <v>428.91</v>
      </c>
    </row>
    <row r="58" spans="1:42" ht="15.75">
      <c r="A58" t="s">
        <v>616</v>
      </c>
      <c r="B58" s="2" t="s">
        <v>616</v>
      </c>
      <c r="C58" s="2" t="str">
        <f t="shared" si="0"/>
        <v>TRUE</v>
      </c>
      <c r="D58" s="2" t="s">
        <v>858</v>
      </c>
      <c r="E58" s="2" t="s">
        <v>859</v>
      </c>
      <c r="F58" s="2" t="s">
        <v>864</v>
      </c>
      <c r="G58" s="3">
        <v>25311</v>
      </c>
      <c r="H58" s="3">
        <v>43511</v>
      </c>
      <c r="I58" s="2">
        <v>49</v>
      </c>
      <c r="J58" s="2">
        <v>1</v>
      </c>
      <c r="K58" s="2" t="s">
        <v>857</v>
      </c>
      <c r="L58" s="2">
        <v>2216</v>
      </c>
      <c r="M58" s="2">
        <v>7</v>
      </c>
      <c r="N58">
        <v>6.6</v>
      </c>
      <c r="O58" t="s">
        <v>96</v>
      </c>
      <c r="P58" s="1">
        <v>4.47</v>
      </c>
      <c r="Q58">
        <v>27</v>
      </c>
      <c r="R58" s="1" t="s">
        <v>96</v>
      </c>
      <c r="S58">
        <v>30.39</v>
      </c>
      <c r="T58">
        <v>4.84</v>
      </c>
      <c r="U58" s="1" t="s">
        <v>96</v>
      </c>
      <c r="V58">
        <v>2.74</v>
      </c>
      <c r="W58">
        <v>6.52</v>
      </c>
      <c r="X58" t="s">
        <v>96</v>
      </c>
      <c r="Y58" s="1" t="s">
        <v>96</v>
      </c>
      <c r="Z58">
        <v>382.65</v>
      </c>
      <c r="AA58">
        <v>51.9</v>
      </c>
      <c r="AB58">
        <v>34.6</v>
      </c>
      <c r="AC58">
        <v>312.16000000000003</v>
      </c>
      <c r="AD58">
        <v>3.72</v>
      </c>
      <c r="AE58">
        <v>24.09</v>
      </c>
      <c r="AF58" t="s">
        <v>96</v>
      </c>
      <c r="AG58" s="1" t="s">
        <v>96</v>
      </c>
      <c r="AH58">
        <v>28.38</v>
      </c>
      <c r="AI58" t="s">
        <v>96</v>
      </c>
      <c r="AJ58" s="1" t="s">
        <v>96</v>
      </c>
      <c r="AK58">
        <v>102.01</v>
      </c>
      <c r="AL58">
        <v>9.65</v>
      </c>
      <c r="AM58">
        <v>69.19</v>
      </c>
      <c r="AN58" s="1" t="s">
        <v>96</v>
      </c>
      <c r="AO58">
        <v>40.65</v>
      </c>
      <c r="AP58">
        <v>43.1</v>
      </c>
    </row>
    <row r="59" spans="1:42" ht="15.75">
      <c r="A59" t="s">
        <v>595</v>
      </c>
      <c r="B59" s="2" t="s">
        <v>595</v>
      </c>
      <c r="C59" s="2" t="str">
        <f t="shared" si="0"/>
        <v>TRUE</v>
      </c>
      <c r="D59" s="2" t="s">
        <v>858</v>
      </c>
      <c r="E59" s="2" t="s">
        <v>859</v>
      </c>
      <c r="F59" s="2" t="s">
        <v>860</v>
      </c>
      <c r="G59" s="3">
        <v>36595</v>
      </c>
      <c r="H59" s="3">
        <v>43490</v>
      </c>
      <c r="I59" s="2">
        <v>18</v>
      </c>
      <c r="J59" s="2">
        <v>1</v>
      </c>
      <c r="K59" s="2" t="s">
        <v>861</v>
      </c>
      <c r="L59" s="2">
        <v>1276</v>
      </c>
      <c r="M59" s="2">
        <v>11</v>
      </c>
      <c r="N59">
        <v>22.25</v>
      </c>
      <c r="O59">
        <v>2.93</v>
      </c>
      <c r="P59" s="1" t="s">
        <v>96</v>
      </c>
      <c r="Q59">
        <v>114.43</v>
      </c>
      <c r="R59" s="1" t="s">
        <v>96</v>
      </c>
      <c r="S59">
        <v>66.150000000000006</v>
      </c>
      <c r="T59">
        <v>313.52999999999997</v>
      </c>
      <c r="U59" s="1" t="s">
        <v>96</v>
      </c>
      <c r="V59">
        <v>24.36</v>
      </c>
      <c r="W59">
        <v>121.18</v>
      </c>
      <c r="X59">
        <v>11.49</v>
      </c>
      <c r="Y59" s="1" t="s">
        <v>96</v>
      </c>
      <c r="Z59" t="s">
        <v>133</v>
      </c>
      <c r="AA59">
        <v>449.24</v>
      </c>
      <c r="AB59">
        <v>235.58</v>
      </c>
      <c r="AC59" t="s">
        <v>133</v>
      </c>
      <c r="AD59">
        <v>95.13</v>
      </c>
      <c r="AE59">
        <v>566.62</v>
      </c>
      <c r="AF59">
        <v>48.35</v>
      </c>
      <c r="AG59" s="1">
        <v>4.63</v>
      </c>
      <c r="AH59">
        <v>183.48</v>
      </c>
      <c r="AI59">
        <v>26.41</v>
      </c>
      <c r="AJ59" s="1" t="s">
        <v>96</v>
      </c>
      <c r="AK59">
        <v>457.35</v>
      </c>
      <c r="AL59">
        <v>81.78</v>
      </c>
      <c r="AM59">
        <v>124.59</v>
      </c>
      <c r="AN59" s="1">
        <v>17.579999999999998</v>
      </c>
      <c r="AO59">
        <v>49.48</v>
      </c>
      <c r="AP59">
        <v>98.8</v>
      </c>
    </row>
    <row r="60" spans="1:42" ht="15.75">
      <c r="A60" t="s">
        <v>694</v>
      </c>
      <c r="B60" s="2" t="s">
        <v>694</v>
      </c>
      <c r="C60" s="2" t="str">
        <f t="shared" si="0"/>
        <v>TRUE</v>
      </c>
      <c r="D60" s="2" t="s">
        <v>865</v>
      </c>
      <c r="E60" s="2" t="s">
        <v>873</v>
      </c>
      <c r="F60" s="2" t="s">
        <v>864</v>
      </c>
      <c r="G60" s="3">
        <v>35185</v>
      </c>
      <c r="H60" s="3">
        <v>43501</v>
      </c>
      <c r="I60" s="2">
        <v>22</v>
      </c>
      <c r="J60" s="2">
        <v>1</v>
      </c>
      <c r="K60" s="2" t="s">
        <v>861</v>
      </c>
      <c r="L60" s="2">
        <v>307</v>
      </c>
      <c r="M60" s="2">
        <v>4</v>
      </c>
      <c r="N60">
        <v>17.22</v>
      </c>
      <c r="O60">
        <v>2.94</v>
      </c>
      <c r="P60" s="1" t="s">
        <v>96</v>
      </c>
      <c r="Q60">
        <v>71.069999999999993</v>
      </c>
      <c r="R60" s="1" t="s">
        <v>96</v>
      </c>
      <c r="S60" t="s">
        <v>96</v>
      </c>
      <c r="T60">
        <v>576.70000000000005</v>
      </c>
      <c r="U60" s="1" t="s">
        <v>96</v>
      </c>
      <c r="V60">
        <v>29.23</v>
      </c>
      <c r="W60">
        <v>12.02</v>
      </c>
      <c r="X60">
        <v>8.65</v>
      </c>
      <c r="Y60" s="1" t="s">
        <v>96</v>
      </c>
      <c r="Z60">
        <v>494.2</v>
      </c>
      <c r="AA60" t="s">
        <v>96</v>
      </c>
      <c r="AB60">
        <v>42.03</v>
      </c>
      <c r="AC60">
        <v>35.83</v>
      </c>
      <c r="AD60">
        <v>26.73</v>
      </c>
      <c r="AE60">
        <v>81.239999999999995</v>
      </c>
      <c r="AF60" t="s">
        <v>96</v>
      </c>
      <c r="AG60" s="1" t="s">
        <v>96</v>
      </c>
      <c r="AH60">
        <v>7.13</v>
      </c>
      <c r="AI60" t="s">
        <v>96</v>
      </c>
      <c r="AJ60" s="1" t="s">
        <v>96</v>
      </c>
      <c r="AK60">
        <v>75.44</v>
      </c>
      <c r="AL60">
        <v>16.309999999999999</v>
      </c>
      <c r="AM60" t="s">
        <v>96</v>
      </c>
      <c r="AN60" s="1" t="s">
        <v>96</v>
      </c>
      <c r="AO60">
        <v>31.45</v>
      </c>
      <c r="AP60" t="s">
        <v>96</v>
      </c>
    </row>
    <row r="61" spans="1:42" ht="15.75">
      <c r="A61" t="s">
        <v>802</v>
      </c>
      <c r="B61" s="2" t="s">
        <v>802</v>
      </c>
      <c r="C61" s="2" t="str">
        <f t="shared" si="0"/>
        <v>TRUE</v>
      </c>
      <c r="D61" s="2" t="s">
        <v>858</v>
      </c>
      <c r="E61" s="2" t="s">
        <v>868</v>
      </c>
      <c r="F61" s="2" t="s">
        <v>864</v>
      </c>
      <c r="G61" s="3">
        <v>25575</v>
      </c>
      <c r="H61" s="3">
        <v>43518</v>
      </c>
      <c r="I61" s="2">
        <v>49</v>
      </c>
      <c r="J61" s="2">
        <v>2</v>
      </c>
      <c r="K61" s="2" t="s">
        <v>857</v>
      </c>
      <c r="L61" s="2">
        <v>19</v>
      </c>
      <c r="M61" s="2">
        <v>2</v>
      </c>
      <c r="N61">
        <v>13.89</v>
      </c>
      <c r="O61">
        <v>4.62</v>
      </c>
      <c r="P61" s="1">
        <v>8.01</v>
      </c>
      <c r="Q61">
        <v>89.95</v>
      </c>
      <c r="R61" s="1">
        <v>9.1300000000000008</v>
      </c>
      <c r="S61">
        <v>502.86</v>
      </c>
      <c r="T61">
        <v>356.94</v>
      </c>
      <c r="U61" s="1">
        <v>74.44</v>
      </c>
      <c r="V61">
        <v>51.2</v>
      </c>
      <c r="W61">
        <v>168.03</v>
      </c>
      <c r="X61">
        <v>5.97</v>
      </c>
      <c r="Y61" s="1">
        <v>11.76</v>
      </c>
      <c r="Z61" t="s">
        <v>133</v>
      </c>
      <c r="AA61">
        <v>1127.58</v>
      </c>
      <c r="AB61">
        <v>216.59</v>
      </c>
      <c r="AC61">
        <v>809.52</v>
      </c>
      <c r="AD61">
        <v>14.06</v>
      </c>
      <c r="AE61">
        <v>163.19</v>
      </c>
      <c r="AF61">
        <v>67.38</v>
      </c>
      <c r="AG61" s="1">
        <v>4.3099999999999996</v>
      </c>
      <c r="AH61">
        <v>60.75</v>
      </c>
      <c r="AI61">
        <v>84.14</v>
      </c>
      <c r="AJ61" s="1">
        <v>12.16</v>
      </c>
      <c r="AK61">
        <v>123.29</v>
      </c>
      <c r="AL61">
        <v>16.97</v>
      </c>
      <c r="AM61">
        <v>589.39</v>
      </c>
      <c r="AN61" s="1">
        <v>16.760000000000002</v>
      </c>
      <c r="AO61">
        <v>28.62</v>
      </c>
      <c r="AP61">
        <v>130.08000000000001</v>
      </c>
    </row>
    <row r="62" spans="1:42" ht="15.75">
      <c r="A62" t="s">
        <v>316</v>
      </c>
      <c r="B62" s="2" t="s">
        <v>316</v>
      </c>
      <c r="C62" s="2" t="str">
        <f t="shared" si="0"/>
        <v>TRUE</v>
      </c>
      <c r="D62" s="2" t="s">
        <v>858</v>
      </c>
      <c r="E62" s="2" t="s">
        <v>859</v>
      </c>
      <c r="F62" s="2" t="s">
        <v>864</v>
      </c>
      <c r="G62" s="3">
        <v>17139</v>
      </c>
      <c r="H62" s="3">
        <v>43518</v>
      </c>
      <c r="I62" s="2">
        <v>72</v>
      </c>
      <c r="J62" s="2">
        <v>2</v>
      </c>
      <c r="K62" s="2" t="s">
        <v>857</v>
      </c>
      <c r="L62" s="2">
        <v>15</v>
      </c>
      <c r="M62" s="2">
        <v>1</v>
      </c>
      <c r="N62">
        <v>15.65</v>
      </c>
      <c r="O62">
        <v>1.82</v>
      </c>
      <c r="P62" s="1">
        <v>6.61</v>
      </c>
      <c r="Q62">
        <v>113.73</v>
      </c>
      <c r="R62" s="1">
        <v>14.62</v>
      </c>
      <c r="S62">
        <v>408.53</v>
      </c>
      <c r="T62">
        <v>53.66</v>
      </c>
      <c r="U62" s="1">
        <v>575.44000000000005</v>
      </c>
      <c r="V62">
        <v>47.21</v>
      </c>
      <c r="W62">
        <v>15.13</v>
      </c>
      <c r="X62">
        <v>1.24</v>
      </c>
      <c r="Y62" s="1">
        <v>3.64</v>
      </c>
      <c r="Z62">
        <v>585.79</v>
      </c>
      <c r="AA62">
        <v>423.45</v>
      </c>
      <c r="AB62">
        <v>113.56</v>
      </c>
      <c r="AC62">
        <v>89.27</v>
      </c>
      <c r="AD62">
        <v>7.51</v>
      </c>
      <c r="AE62">
        <v>88.17</v>
      </c>
      <c r="AF62">
        <v>74.72</v>
      </c>
      <c r="AG62" s="1" t="s">
        <v>96</v>
      </c>
      <c r="AH62">
        <v>12.48</v>
      </c>
      <c r="AI62">
        <v>167.68</v>
      </c>
      <c r="AJ62" s="1">
        <v>8.1199999999999992</v>
      </c>
      <c r="AK62">
        <v>28.44</v>
      </c>
      <c r="AL62">
        <v>6.41</v>
      </c>
      <c r="AM62">
        <v>407.17</v>
      </c>
      <c r="AN62" s="1">
        <v>19.2</v>
      </c>
      <c r="AO62">
        <v>13.36</v>
      </c>
      <c r="AP62">
        <v>58.54</v>
      </c>
    </row>
    <row r="63" spans="1:42" ht="15.75">
      <c r="A63" t="s">
        <v>238</v>
      </c>
      <c r="B63" s="2" t="s">
        <v>238</v>
      </c>
      <c r="C63" s="2" t="str">
        <f t="shared" si="0"/>
        <v>TRUE</v>
      </c>
      <c r="D63" s="2" t="s">
        <v>858</v>
      </c>
      <c r="E63" s="2" t="s">
        <v>859</v>
      </c>
      <c r="F63" s="2" t="s">
        <v>860</v>
      </c>
      <c r="G63" s="3">
        <v>34403</v>
      </c>
      <c r="H63" s="3">
        <v>43516</v>
      </c>
      <c r="I63" s="2">
        <v>24</v>
      </c>
      <c r="J63" s="2">
        <v>1</v>
      </c>
      <c r="K63" s="2" t="s">
        <v>861</v>
      </c>
      <c r="L63" s="2">
        <v>2021</v>
      </c>
      <c r="M63" s="2">
        <v>5</v>
      </c>
      <c r="N63">
        <v>17.010000000000002</v>
      </c>
      <c r="O63" t="s">
        <v>96</v>
      </c>
      <c r="P63" s="1" t="s">
        <v>96</v>
      </c>
      <c r="Q63">
        <v>11.74</v>
      </c>
      <c r="R63" s="1" t="s">
        <v>96</v>
      </c>
      <c r="S63">
        <v>13.69</v>
      </c>
      <c r="T63">
        <v>5.74</v>
      </c>
      <c r="U63" s="1" t="s">
        <v>96</v>
      </c>
      <c r="V63">
        <v>2.08</v>
      </c>
      <c r="W63">
        <v>16</v>
      </c>
      <c r="X63" t="s">
        <v>96</v>
      </c>
      <c r="Y63" s="1" t="s">
        <v>96</v>
      </c>
      <c r="Z63">
        <v>641.42999999999995</v>
      </c>
      <c r="AA63">
        <v>145.87</v>
      </c>
      <c r="AB63">
        <v>21.84</v>
      </c>
      <c r="AC63">
        <v>260.49</v>
      </c>
      <c r="AD63">
        <v>25.78</v>
      </c>
      <c r="AE63">
        <v>8.82</v>
      </c>
      <c r="AF63">
        <v>2.58</v>
      </c>
      <c r="AG63" s="1" t="s">
        <v>96</v>
      </c>
      <c r="AH63">
        <v>6.89</v>
      </c>
      <c r="AI63" t="s">
        <v>96</v>
      </c>
      <c r="AJ63" s="1">
        <v>3.39</v>
      </c>
      <c r="AK63">
        <v>80.709999999999994</v>
      </c>
      <c r="AL63" t="s">
        <v>96</v>
      </c>
      <c r="AM63">
        <v>133.72999999999999</v>
      </c>
      <c r="AN63" s="1" t="s">
        <v>96</v>
      </c>
      <c r="AO63">
        <v>11.29</v>
      </c>
      <c r="AP63">
        <v>66.7</v>
      </c>
    </row>
    <row r="64" spans="1:42" ht="15.75">
      <c r="A64" t="s">
        <v>697</v>
      </c>
      <c r="B64" s="2" t="s">
        <v>697</v>
      </c>
      <c r="C64" s="2" t="str">
        <f t="shared" si="0"/>
        <v>TRUE</v>
      </c>
      <c r="D64" s="2" t="s">
        <v>858</v>
      </c>
      <c r="E64" s="2" t="s">
        <v>859</v>
      </c>
      <c r="F64" s="2" t="s">
        <v>864</v>
      </c>
      <c r="G64" s="3">
        <v>29445</v>
      </c>
      <c r="H64" s="3">
        <v>43497</v>
      </c>
      <c r="I64" s="2">
        <v>38</v>
      </c>
      <c r="J64" s="2">
        <v>2</v>
      </c>
      <c r="K64" s="2" t="s">
        <v>857</v>
      </c>
      <c r="L64" s="2">
        <v>803</v>
      </c>
      <c r="M64" s="2">
        <v>1</v>
      </c>
      <c r="N64">
        <v>16.84</v>
      </c>
      <c r="O64">
        <v>9.31</v>
      </c>
      <c r="P64" s="1" t="s">
        <v>96</v>
      </c>
      <c r="Q64">
        <v>280.85000000000002</v>
      </c>
      <c r="R64" s="1" t="s">
        <v>96</v>
      </c>
      <c r="S64">
        <v>36.950000000000003</v>
      </c>
      <c r="T64">
        <v>153.62</v>
      </c>
      <c r="U64" s="1">
        <v>214.86</v>
      </c>
      <c r="V64">
        <v>127.44</v>
      </c>
      <c r="W64">
        <v>37.39</v>
      </c>
      <c r="X64">
        <v>13.79</v>
      </c>
      <c r="Y64" s="1">
        <v>4.04</v>
      </c>
      <c r="Z64">
        <v>1260.82</v>
      </c>
      <c r="AA64">
        <v>127.61</v>
      </c>
      <c r="AB64">
        <v>315.57</v>
      </c>
      <c r="AC64">
        <v>310.05</v>
      </c>
      <c r="AD64">
        <v>27.22</v>
      </c>
      <c r="AE64">
        <v>92.94</v>
      </c>
      <c r="AF64">
        <v>14.31</v>
      </c>
      <c r="AG64" s="1" t="s">
        <v>96</v>
      </c>
      <c r="AH64">
        <v>24.03</v>
      </c>
      <c r="AI64" t="s">
        <v>96</v>
      </c>
      <c r="AJ64" s="1" t="s">
        <v>96</v>
      </c>
      <c r="AK64">
        <v>134.24</v>
      </c>
      <c r="AL64">
        <v>14.63</v>
      </c>
      <c r="AM64">
        <v>97.31</v>
      </c>
      <c r="AN64" s="1">
        <v>8.14</v>
      </c>
      <c r="AO64">
        <v>99.31</v>
      </c>
      <c r="AP64">
        <v>61.92</v>
      </c>
    </row>
    <row r="65" spans="1:42" ht="15.75">
      <c r="A65" t="s">
        <v>742</v>
      </c>
      <c r="B65" s="2" t="s">
        <v>742</v>
      </c>
      <c r="C65" s="2" t="str">
        <f t="shared" si="0"/>
        <v>TRUE</v>
      </c>
      <c r="D65" s="2" t="s">
        <v>865</v>
      </c>
      <c r="E65" s="2" t="s">
        <v>866</v>
      </c>
      <c r="F65" s="2" t="s">
        <v>860</v>
      </c>
      <c r="G65" s="3">
        <v>29526</v>
      </c>
      <c r="H65" s="3">
        <v>43518</v>
      </c>
      <c r="I65" s="2">
        <v>38</v>
      </c>
      <c r="J65" s="2">
        <v>3</v>
      </c>
      <c r="K65" s="2" t="s">
        <v>861</v>
      </c>
      <c r="L65" s="2">
        <v>27</v>
      </c>
      <c r="M65" s="2">
        <v>3</v>
      </c>
      <c r="N65">
        <v>10.61</v>
      </c>
      <c r="O65">
        <v>1.33</v>
      </c>
      <c r="P65" s="1" t="s">
        <v>96</v>
      </c>
      <c r="Q65">
        <v>47.51</v>
      </c>
      <c r="R65" s="1" t="s">
        <v>96</v>
      </c>
      <c r="S65">
        <v>2.33</v>
      </c>
      <c r="T65">
        <v>84.96</v>
      </c>
      <c r="U65" s="1" t="s">
        <v>96</v>
      </c>
      <c r="V65">
        <v>6.69</v>
      </c>
      <c r="W65">
        <v>56.48</v>
      </c>
      <c r="X65">
        <v>2.66</v>
      </c>
      <c r="Y65" s="1" t="s">
        <v>96</v>
      </c>
      <c r="Z65">
        <v>2322.2600000000002</v>
      </c>
      <c r="AA65">
        <v>6.29</v>
      </c>
      <c r="AB65">
        <v>64.540000000000006</v>
      </c>
      <c r="AC65" t="s">
        <v>133</v>
      </c>
      <c r="AD65">
        <v>51.13</v>
      </c>
      <c r="AE65">
        <v>126.23</v>
      </c>
      <c r="AF65" t="s">
        <v>96</v>
      </c>
      <c r="AG65" s="1" t="s">
        <v>96</v>
      </c>
      <c r="AH65">
        <v>142.25</v>
      </c>
      <c r="AI65" t="s">
        <v>96</v>
      </c>
      <c r="AJ65" s="1" t="s">
        <v>96</v>
      </c>
      <c r="AK65">
        <v>89.45</v>
      </c>
      <c r="AL65">
        <v>5.65</v>
      </c>
      <c r="AM65" t="s">
        <v>96</v>
      </c>
      <c r="AN65" s="1" t="s">
        <v>96</v>
      </c>
      <c r="AO65">
        <v>12.61</v>
      </c>
      <c r="AP65" t="s">
        <v>96</v>
      </c>
    </row>
    <row r="66" spans="1:42" ht="15.75">
      <c r="A66" t="s">
        <v>241</v>
      </c>
      <c r="B66" s="2" t="s">
        <v>241</v>
      </c>
      <c r="C66" s="2" t="str">
        <f t="shared" si="0"/>
        <v>TRUE</v>
      </c>
      <c r="D66" s="2" t="s">
        <v>858</v>
      </c>
      <c r="E66" s="2" t="s">
        <v>859</v>
      </c>
      <c r="F66" s="2" t="s">
        <v>860</v>
      </c>
      <c r="G66" s="3">
        <v>34403</v>
      </c>
      <c r="H66" s="3">
        <v>43529</v>
      </c>
      <c r="I66" s="2">
        <v>24</v>
      </c>
      <c r="J66" s="4">
        <v>1</v>
      </c>
      <c r="K66" s="2" t="s">
        <v>861</v>
      </c>
      <c r="L66" s="2">
        <v>2021</v>
      </c>
      <c r="M66" s="2">
        <v>5</v>
      </c>
      <c r="N66">
        <v>19.61</v>
      </c>
      <c r="O66">
        <v>7.01</v>
      </c>
      <c r="P66" s="1">
        <v>5.35</v>
      </c>
      <c r="Q66">
        <v>30.62</v>
      </c>
      <c r="R66" s="1">
        <v>7.01</v>
      </c>
      <c r="S66">
        <v>190</v>
      </c>
      <c r="T66">
        <v>270.08999999999997</v>
      </c>
      <c r="U66" s="1">
        <v>30.89</v>
      </c>
      <c r="V66">
        <v>16.2</v>
      </c>
      <c r="W66">
        <v>75.040000000000006</v>
      </c>
      <c r="X66">
        <v>3.97</v>
      </c>
      <c r="Y66" s="1">
        <v>3.91</v>
      </c>
      <c r="Z66" t="s">
        <v>133</v>
      </c>
      <c r="AA66">
        <v>958.99</v>
      </c>
      <c r="AB66">
        <v>134.27000000000001</v>
      </c>
      <c r="AC66" t="s">
        <v>133</v>
      </c>
      <c r="AD66">
        <v>89.15</v>
      </c>
      <c r="AE66">
        <v>136.9</v>
      </c>
      <c r="AF66">
        <v>46.74</v>
      </c>
      <c r="AG66" s="1">
        <v>5.2</v>
      </c>
      <c r="AH66">
        <v>93.19</v>
      </c>
      <c r="AI66">
        <v>23.86</v>
      </c>
      <c r="AJ66" s="1" t="s">
        <v>96</v>
      </c>
      <c r="AK66">
        <v>205.26</v>
      </c>
      <c r="AL66">
        <v>5.59</v>
      </c>
      <c r="AM66">
        <v>313.52999999999997</v>
      </c>
      <c r="AN66" s="1">
        <v>10.76</v>
      </c>
      <c r="AO66">
        <v>28.14</v>
      </c>
      <c r="AP66">
        <v>219.92</v>
      </c>
    </row>
    <row r="67" spans="1:42" ht="15.75">
      <c r="A67" t="s">
        <v>148</v>
      </c>
      <c r="B67" s="2" t="s">
        <v>148</v>
      </c>
      <c r="C67" s="2" t="str">
        <f t="shared" ref="C67:C130" si="1">IF(A67=B67, "TRUE", "FALSE")</f>
        <v>TRUE</v>
      </c>
      <c r="D67" s="2" t="s">
        <v>870</v>
      </c>
      <c r="E67" s="2" t="s">
        <v>871</v>
      </c>
      <c r="F67" s="2" t="s">
        <v>856</v>
      </c>
      <c r="G67" s="3">
        <v>29872</v>
      </c>
      <c r="H67" s="3">
        <v>43521</v>
      </c>
      <c r="I67" s="2">
        <v>37</v>
      </c>
      <c r="J67" s="2">
        <v>1</v>
      </c>
      <c r="K67" s="2" t="s">
        <v>857</v>
      </c>
      <c r="L67" s="2">
        <v>370</v>
      </c>
      <c r="M67" s="2" t="s">
        <v>856</v>
      </c>
      <c r="N67">
        <v>16.2</v>
      </c>
      <c r="O67" t="s">
        <v>96</v>
      </c>
      <c r="P67" s="1">
        <v>1.08</v>
      </c>
      <c r="Q67">
        <v>107.84</v>
      </c>
      <c r="R67" s="1" t="s">
        <v>96</v>
      </c>
      <c r="S67">
        <v>19.940000000000001</v>
      </c>
      <c r="T67">
        <v>7.1</v>
      </c>
      <c r="U67" s="1">
        <v>101.64</v>
      </c>
      <c r="V67">
        <v>14.16</v>
      </c>
      <c r="W67">
        <v>8.5500000000000007</v>
      </c>
      <c r="X67" t="s">
        <v>96</v>
      </c>
      <c r="Y67" s="1">
        <v>3.34</v>
      </c>
      <c r="Z67">
        <v>101.66</v>
      </c>
      <c r="AA67">
        <v>40.380000000000003</v>
      </c>
      <c r="AB67">
        <v>17.82</v>
      </c>
      <c r="AC67">
        <v>25.05</v>
      </c>
      <c r="AD67">
        <v>2.99</v>
      </c>
      <c r="AE67">
        <v>11.91</v>
      </c>
      <c r="AF67">
        <v>4.6500000000000004</v>
      </c>
      <c r="AG67" s="1" t="s">
        <v>96</v>
      </c>
      <c r="AH67">
        <v>5.55</v>
      </c>
      <c r="AI67">
        <v>53.2</v>
      </c>
      <c r="AJ67" s="1">
        <v>10.59</v>
      </c>
      <c r="AK67">
        <v>23.13</v>
      </c>
      <c r="AL67" t="s">
        <v>96</v>
      </c>
      <c r="AM67">
        <v>570.59</v>
      </c>
      <c r="AN67" s="1" t="s">
        <v>96</v>
      </c>
      <c r="AO67">
        <v>16.77</v>
      </c>
      <c r="AP67">
        <v>20.49</v>
      </c>
    </row>
    <row r="68" spans="1:42" ht="15.75">
      <c r="A68" t="s">
        <v>409</v>
      </c>
      <c r="B68" s="2" t="s">
        <v>409</v>
      </c>
      <c r="C68" s="2" t="str">
        <f t="shared" si="1"/>
        <v>TRUE</v>
      </c>
      <c r="D68" s="2" t="s">
        <v>865</v>
      </c>
      <c r="E68" s="2" t="s">
        <v>866</v>
      </c>
      <c r="F68" s="2" t="s">
        <v>864</v>
      </c>
      <c r="G68" s="3">
        <v>32901</v>
      </c>
      <c r="H68" s="3">
        <v>43522</v>
      </c>
      <c r="I68" s="2">
        <v>29</v>
      </c>
      <c r="J68" s="2">
        <v>3</v>
      </c>
      <c r="K68" s="2" t="s">
        <v>857</v>
      </c>
      <c r="L68" s="2">
        <v>47</v>
      </c>
      <c r="M68" s="2">
        <v>2</v>
      </c>
      <c r="N68">
        <v>10.88</v>
      </c>
      <c r="O68">
        <v>18.27</v>
      </c>
      <c r="P68" s="1">
        <v>12.24</v>
      </c>
      <c r="Q68">
        <v>126.6</v>
      </c>
      <c r="R68" s="1">
        <v>8.1</v>
      </c>
      <c r="S68">
        <v>252.52</v>
      </c>
      <c r="T68">
        <v>546.88</v>
      </c>
      <c r="U68" s="1">
        <v>196.3</v>
      </c>
      <c r="V68">
        <v>43.06</v>
      </c>
      <c r="W68">
        <v>667.86</v>
      </c>
      <c r="X68">
        <v>28.1</v>
      </c>
      <c r="Y68" s="1">
        <v>16.25</v>
      </c>
      <c r="Z68" t="s">
        <v>133</v>
      </c>
      <c r="AA68">
        <v>655.73</v>
      </c>
      <c r="AB68">
        <v>199.55</v>
      </c>
      <c r="AC68">
        <v>992.39</v>
      </c>
      <c r="AD68">
        <v>36.479999999999997</v>
      </c>
      <c r="AE68">
        <v>503.31</v>
      </c>
      <c r="AF68">
        <v>113.83</v>
      </c>
      <c r="AG68" s="1">
        <v>7.39</v>
      </c>
      <c r="AH68">
        <v>176.79</v>
      </c>
      <c r="AI68">
        <v>80.41</v>
      </c>
      <c r="AJ68" s="1">
        <v>7.18</v>
      </c>
      <c r="AK68">
        <v>117.16</v>
      </c>
      <c r="AL68">
        <v>31.2</v>
      </c>
      <c r="AM68">
        <v>467.52</v>
      </c>
      <c r="AN68" s="1">
        <v>11.28</v>
      </c>
      <c r="AO68">
        <v>13.3</v>
      </c>
      <c r="AP68">
        <v>44.4</v>
      </c>
    </row>
    <row r="69" spans="1:42" ht="15.75">
      <c r="A69" t="s">
        <v>349</v>
      </c>
      <c r="B69" s="2" t="s">
        <v>349</v>
      </c>
      <c r="C69" s="2" t="str">
        <f t="shared" si="1"/>
        <v>TRUE</v>
      </c>
      <c r="D69" s="2" t="s">
        <v>858</v>
      </c>
      <c r="E69" s="2" t="s">
        <v>863</v>
      </c>
      <c r="F69" s="2" t="s">
        <v>860</v>
      </c>
      <c r="G69" s="3">
        <v>29943</v>
      </c>
      <c r="H69" s="3">
        <v>43525</v>
      </c>
      <c r="I69" s="2">
        <v>37</v>
      </c>
      <c r="J69" s="2">
        <v>1</v>
      </c>
      <c r="K69" s="2" t="s">
        <v>857</v>
      </c>
      <c r="L69" s="2">
        <v>922</v>
      </c>
      <c r="M69" s="2">
        <v>8</v>
      </c>
      <c r="N69">
        <v>21.37</v>
      </c>
      <c r="O69">
        <v>3.82</v>
      </c>
      <c r="P69" s="1" t="s">
        <v>96</v>
      </c>
      <c r="Q69">
        <v>80.3</v>
      </c>
      <c r="R69" s="1" t="s">
        <v>96</v>
      </c>
      <c r="S69">
        <v>104.3</v>
      </c>
      <c r="T69">
        <v>234.88</v>
      </c>
      <c r="U69" s="1">
        <v>44.64</v>
      </c>
      <c r="V69">
        <v>59.5</v>
      </c>
      <c r="W69">
        <v>92.3</v>
      </c>
      <c r="X69">
        <v>14.28</v>
      </c>
      <c r="Y69" s="1" t="s">
        <v>96</v>
      </c>
      <c r="Z69">
        <v>1328.7</v>
      </c>
      <c r="AA69">
        <v>196.36</v>
      </c>
      <c r="AB69">
        <v>168.85</v>
      </c>
      <c r="AC69">
        <v>319.77</v>
      </c>
      <c r="AD69">
        <v>29.64</v>
      </c>
      <c r="AE69">
        <v>127.12</v>
      </c>
      <c r="AF69">
        <v>25.84</v>
      </c>
      <c r="AG69" s="1">
        <v>2.56</v>
      </c>
      <c r="AH69">
        <v>36.33</v>
      </c>
      <c r="AI69">
        <v>84.8</v>
      </c>
      <c r="AJ69" s="1">
        <v>4.51</v>
      </c>
      <c r="AK69">
        <v>142.54</v>
      </c>
      <c r="AL69">
        <v>25.78</v>
      </c>
      <c r="AM69">
        <v>283.81</v>
      </c>
      <c r="AN69" s="1">
        <v>24.43</v>
      </c>
      <c r="AO69">
        <v>33.200000000000003</v>
      </c>
      <c r="AP69">
        <v>64.010000000000005</v>
      </c>
    </row>
    <row r="70" spans="1:42" ht="15.75">
      <c r="A70" t="s">
        <v>466</v>
      </c>
      <c r="B70" s="2" t="s">
        <v>466</v>
      </c>
      <c r="C70" s="2" t="str">
        <f t="shared" si="1"/>
        <v>TRUE</v>
      </c>
      <c r="D70" s="2" t="s">
        <v>865</v>
      </c>
      <c r="E70" s="2" t="s">
        <v>872</v>
      </c>
      <c r="F70" s="2" t="s">
        <v>864</v>
      </c>
      <c r="G70" s="3">
        <v>33519</v>
      </c>
      <c r="H70" s="3">
        <v>43525</v>
      </c>
      <c r="I70" s="2">
        <v>27</v>
      </c>
      <c r="J70" s="2">
        <v>2</v>
      </c>
      <c r="K70" s="2" t="s">
        <v>857</v>
      </c>
      <c r="L70" s="2">
        <v>110</v>
      </c>
      <c r="M70" s="2">
        <v>0</v>
      </c>
      <c r="N70">
        <v>30.35</v>
      </c>
      <c r="O70">
        <v>11.57</v>
      </c>
      <c r="P70" s="1">
        <v>23.19</v>
      </c>
      <c r="Q70">
        <v>84.25</v>
      </c>
      <c r="R70" s="1">
        <v>12.66</v>
      </c>
      <c r="S70">
        <v>663.78</v>
      </c>
      <c r="T70">
        <v>216.63</v>
      </c>
      <c r="U70" s="1">
        <v>241.95</v>
      </c>
      <c r="V70" t="s">
        <v>133</v>
      </c>
      <c r="W70">
        <v>581.29999999999995</v>
      </c>
      <c r="X70">
        <v>17.41</v>
      </c>
      <c r="Y70" s="1">
        <v>58.62</v>
      </c>
      <c r="Z70" t="s">
        <v>133</v>
      </c>
      <c r="AA70" t="s">
        <v>133</v>
      </c>
      <c r="AB70" t="s">
        <v>133</v>
      </c>
      <c r="AC70" t="s">
        <v>133</v>
      </c>
      <c r="AD70">
        <v>159.79</v>
      </c>
      <c r="AE70">
        <v>911.64</v>
      </c>
      <c r="AF70">
        <v>798.6</v>
      </c>
      <c r="AG70" s="1">
        <v>42.18</v>
      </c>
      <c r="AH70" t="s">
        <v>133</v>
      </c>
      <c r="AI70">
        <v>522.46</v>
      </c>
      <c r="AJ70" s="1">
        <v>26.67</v>
      </c>
      <c r="AK70">
        <v>913.3</v>
      </c>
      <c r="AL70">
        <v>99.13</v>
      </c>
      <c r="AM70" t="s">
        <v>133</v>
      </c>
      <c r="AN70" s="1">
        <v>256.83</v>
      </c>
      <c r="AO70" t="s">
        <v>133</v>
      </c>
      <c r="AP70">
        <v>2361.91</v>
      </c>
    </row>
    <row r="71" spans="1:42" ht="15.75">
      <c r="A71" t="s">
        <v>760</v>
      </c>
      <c r="B71" s="2" t="s">
        <v>760</v>
      </c>
      <c r="C71" s="2" t="str">
        <f t="shared" si="1"/>
        <v>TRUE</v>
      </c>
      <c r="D71" s="2" t="s">
        <v>858</v>
      </c>
      <c r="E71" s="2" t="s">
        <v>863</v>
      </c>
      <c r="F71" s="2" t="s">
        <v>864</v>
      </c>
      <c r="G71" s="3">
        <v>35129</v>
      </c>
      <c r="H71" s="3">
        <v>43532</v>
      </c>
      <c r="I71" s="2">
        <v>23</v>
      </c>
      <c r="J71" s="2">
        <v>2</v>
      </c>
      <c r="K71" s="2" t="s">
        <v>857</v>
      </c>
      <c r="L71" s="2">
        <v>80</v>
      </c>
      <c r="M71" s="2">
        <v>2</v>
      </c>
      <c r="N71">
        <v>12.76</v>
      </c>
      <c r="O71">
        <v>1.53</v>
      </c>
      <c r="P71" s="1">
        <v>7.85</v>
      </c>
      <c r="Q71">
        <v>60.12</v>
      </c>
      <c r="R71" s="1">
        <v>12.94</v>
      </c>
      <c r="S71">
        <v>118.63</v>
      </c>
      <c r="T71">
        <v>53.67</v>
      </c>
      <c r="U71" s="1">
        <v>115.19</v>
      </c>
      <c r="V71">
        <v>9.43</v>
      </c>
      <c r="W71">
        <v>14.79</v>
      </c>
      <c r="X71">
        <v>2.4700000000000002</v>
      </c>
      <c r="Y71" s="1">
        <v>9.74</v>
      </c>
      <c r="Z71">
        <v>2126.12</v>
      </c>
      <c r="AA71">
        <v>1057.4100000000001</v>
      </c>
      <c r="AB71">
        <v>123.88</v>
      </c>
      <c r="AC71">
        <v>462.58</v>
      </c>
      <c r="AD71">
        <v>70.900000000000006</v>
      </c>
      <c r="AE71">
        <v>635.29</v>
      </c>
      <c r="AF71">
        <v>406.48</v>
      </c>
      <c r="AG71" s="1">
        <v>49.53</v>
      </c>
      <c r="AH71">
        <v>188.49</v>
      </c>
      <c r="AI71">
        <v>545.91</v>
      </c>
      <c r="AJ71" s="1" t="s">
        <v>96</v>
      </c>
      <c r="AK71">
        <v>245.88</v>
      </c>
      <c r="AL71">
        <v>88.02</v>
      </c>
      <c r="AM71">
        <v>1003.52</v>
      </c>
      <c r="AN71" s="1">
        <v>186.27</v>
      </c>
      <c r="AO71">
        <v>48.85</v>
      </c>
      <c r="AP71">
        <v>304.36</v>
      </c>
    </row>
    <row r="72" spans="1:42" ht="15.75">
      <c r="A72" t="s">
        <v>217</v>
      </c>
      <c r="B72" s="2" t="s">
        <v>217</v>
      </c>
      <c r="C72" s="2" t="str">
        <f t="shared" si="1"/>
        <v>TRUE</v>
      </c>
      <c r="D72" s="2" t="s">
        <v>865</v>
      </c>
      <c r="E72" s="2" t="s">
        <v>866</v>
      </c>
      <c r="F72" s="2" t="s">
        <v>864</v>
      </c>
      <c r="G72" s="3">
        <v>33939</v>
      </c>
      <c r="H72" s="3">
        <v>43539</v>
      </c>
      <c r="I72" s="2">
        <v>26</v>
      </c>
      <c r="J72" s="2">
        <v>2</v>
      </c>
      <c r="K72" s="2" t="s">
        <v>857</v>
      </c>
      <c r="L72" s="2">
        <v>15</v>
      </c>
      <c r="M72" s="2">
        <v>0</v>
      </c>
      <c r="N72">
        <v>15.84</v>
      </c>
      <c r="O72">
        <v>14.01</v>
      </c>
      <c r="P72" s="1">
        <v>2.59</v>
      </c>
      <c r="Q72">
        <v>784.48</v>
      </c>
      <c r="R72" s="1">
        <v>19.98</v>
      </c>
      <c r="S72">
        <v>437.54</v>
      </c>
      <c r="T72">
        <v>924.63</v>
      </c>
      <c r="U72" s="1">
        <v>89.26</v>
      </c>
      <c r="V72">
        <v>275.74</v>
      </c>
      <c r="W72">
        <v>253.84</v>
      </c>
      <c r="X72">
        <v>9.7200000000000006</v>
      </c>
      <c r="Y72" s="1">
        <v>2.62</v>
      </c>
      <c r="Z72" t="s">
        <v>133</v>
      </c>
      <c r="AA72">
        <v>878.97</v>
      </c>
      <c r="AB72">
        <v>779.13</v>
      </c>
      <c r="AC72">
        <v>893.74</v>
      </c>
      <c r="AD72">
        <v>30.91</v>
      </c>
      <c r="AE72">
        <v>145.16</v>
      </c>
      <c r="AF72">
        <v>39.840000000000003</v>
      </c>
      <c r="AG72" s="1" t="s">
        <v>96</v>
      </c>
      <c r="AH72">
        <v>40.82</v>
      </c>
      <c r="AI72" t="s">
        <v>96</v>
      </c>
      <c r="AJ72" s="1" t="s">
        <v>96</v>
      </c>
      <c r="AK72">
        <v>194</v>
      </c>
      <c r="AL72">
        <v>9.7100000000000009</v>
      </c>
      <c r="AM72">
        <v>97.87</v>
      </c>
      <c r="AN72" s="1">
        <v>9.48</v>
      </c>
      <c r="AO72">
        <v>235.39</v>
      </c>
      <c r="AP72">
        <v>159.38999999999999</v>
      </c>
    </row>
    <row r="73" spans="1:42" ht="15.75">
      <c r="A73" t="s">
        <v>117</v>
      </c>
      <c r="B73" s="2" t="s">
        <v>117</v>
      </c>
      <c r="C73" s="2" t="str">
        <f t="shared" si="1"/>
        <v>TRUE</v>
      </c>
      <c r="D73" s="2" t="s">
        <v>858</v>
      </c>
      <c r="E73" s="2" t="s">
        <v>859</v>
      </c>
      <c r="F73" s="2" t="s">
        <v>864</v>
      </c>
      <c r="G73" s="3">
        <v>31823</v>
      </c>
      <c r="H73" s="3">
        <v>43546</v>
      </c>
      <c r="I73" s="2">
        <v>32</v>
      </c>
      <c r="J73" s="2">
        <v>1</v>
      </c>
      <c r="K73" s="2" t="s">
        <v>861</v>
      </c>
      <c r="L73" s="2">
        <v>306</v>
      </c>
      <c r="M73" s="2">
        <v>4</v>
      </c>
      <c r="N73">
        <v>10.69</v>
      </c>
      <c r="O73">
        <v>3.82</v>
      </c>
      <c r="P73" s="1">
        <v>2.63</v>
      </c>
      <c r="Q73">
        <v>93.12</v>
      </c>
      <c r="R73" s="1">
        <v>7.23</v>
      </c>
      <c r="S73">
        <v>65.69</v>
      </c>
      <c r="T73">
        <v>136.81</v>
      </c>
      <c r="U73" s="1">
        <v>29.7</v>
      </c>
      <c r="V73">
        <v>33.869999999999997</v>
      </c>
      <c r="W73">
        <v>37.53</v>
      </c>
      <c r="X73">
        <v>6.55</v>
      </c>
      <c r="Y73" s="1" t="s">
        <v>96</v>
      </c>
      <c r="Z73">
        <v>475.41</v>
      </c>
      <c r="AA73">
        <v>40.01</v>
      </c>
      <c r="AB73">
        <v>35.020000000000003</v>
      </c>
      <c r="AC73">
        <v>201.93</v>
      </c>
      <c r="AD73">
        <v>13.81</v>
      </c>
      <c r="AE73">
        <v>106.77</v>
      </c>
      <c r="AF73">
        <v>14.88</v>
      </c>
      <c r="AG73" s="1" t="s">
        <v>96</v>
      </c>
      <c r="AH73">
        <v>44.62</v>
      </c>
      <c r="AI73">
        <v>29.25</v>
      </c>
      <c r="AJ73" s="1" t="s">
        <v>96</v>
      </c>
      <c r="AK73">
        <v>163.04</v>
      </c>
      <c r="AL73">
        <v>52.42</v>
      </c>
      <c r="AM73">
        <v>77.459999999999994</v>
      </c>
      <c r="AN73" s="1">
        <v>22.74</v>
      </c>
      <c r="AO73">
        <v>42.43</v>
      </c>
      <c r="AP73">
        <v>38.659999999999997</v>
      </c>
    </row>
    <row r="74" spans="1:42" ht="15.75">
      <c r="A74" t="s">
        <v>328</v>
      </c>
      <c r="B74" s="2" t="s">
        <v>328</v>
      </c>
      <c r="C74" s="2" t="str">
        <f t="shared" si="1"/>
        <v>TRUE</v>
      </c>
      <c r="D74" s="2" t="s">
        <v>858</v>
      </c>
      <c r="E74" s="2" t="s">
        <v>863</v>
      </c>
      <c r="F74" s="2" t="s">
        <v>864</v>
      </c>
      <c r="G74" s="3">
        <v>29437</v>
      </c>
      <c r="H74" s="3">
        <v>43558</v>
      </c>
      <c r="I74" s="2">
        <v>38</v>
      </c>
      <c r="J74" s="2">
        <v>3</v>
      </c>
      <c r="K74" s="2" t="s">
        <v>857</v>
      </c>
      <c r="L74" s="2">
        <v>56</v>
      </c>
      <c r="M74" s="2">
        <v>0</v>
      </c>
      <c r="N74">
        <v>23.99</v>
      </c>
      <c r="O74">
        <v>3.6</v>
      </c>
      <c r="P74" s="1">
        <v>6.09</v>
      </c>
      <c r="Q74">
        <v>160.52000000000001</v>
      </c>
      <c r="R74" s="1">
        <v>29.51</v>
      </c>
      <c r="S74">
        <v>546.88</v>
      </c>
      <c r="T74">
        <v>415.03</v>
      </c>
      <c r="U74" s="1">
        <v>189.06</v>
      </c>
      <c r="V74">
        <v>80.67</v>
      </c>
      <c r="W74">
        <v>111.84</v>
      </c>
      <c r="X74">
        <v>12.51</v>
      </c>
      <c r="Y74" s="1">
        <v>11.53</v>
      </c>
      <c r="Z74" t="s">
        <v>133</v>
      </c>
      <c r="AA74">
        <v>1127.8599999999999</v>
      </c>
      <c r="AB74">
        <v>304.43</v>
      </c>
      <c r="AC74">
        <v>788.93</v>
      </c>
      <c r="AD74">
        <v>23.46</v>
      </c>
      <c r="AE74">
        <v>369.65</v>
      </c>
      <c r="AF74">
        <v>190.28</v>
      </c>
      <c r="AG74" s="1">
        <v>3.2</v>
      </c>
      <c r="AH74">
        <v>133.43</v>
      </c>
      <c r="AI74">
        <v>158.97999999999999</v>
      </c>
      <c r="AJ74" s="1">
        <v>8.07</v>
      </c>
      <c r="AK74">
        <v>292.45999999999998</v>
      </c>
      <c r="AL74">
        <v>41.47</v>
      </c>
      <c r="AM74">
        <v>602.01</v>
      </c>
      <c r="AN74" s="1">
        <v>42.32</v>
      </c>
      <c r="AO74">
        <v>117.37</v>
      </c>
      <c r="AP74">
        <v>203.36</v>
      </c>
    </row>
    <row r="75" spans="1:42" ht="15.75">
      <c r="A75" t="s">
        <v>172</v>
      </c>
      <c r="B75" s="2" t="s">
        <v>172</v>
      </c>
      <c r="C75" s="2" t="str">
        <f t="shared" si="1"/>
        <v>TRUE</v>
      </c>
      <c r="D75" s="2" t="s">
        <v>858</v>
      </c>
      <c r="E75" s="2" t="s">
        <v>863</v>
      </c>
      <c r="F75" s="2" t="s">
        <v>864</v>
      </c>
      <c r="G75" s="3">
        <v>30401</v>
      </c>
      <c r="H75" s="3">
        <v>43560</v>
      </c>
      <c r="I75" s="2">
        <v>36</v>
      </c>
      <c r="J75" s="2">
        <v>3</v>
      </c>
      <c r="K75" s="2" t="s">
        <v>857</v>
      </c>
      <c r="L75" s="2">
        <v>28</v>
      </c>
      <c r="M75" s="2">
        <v>0</v>
      </c>
      <c r="N75">
        <v>10.95</v>
      </c>
      <c r="O75">
        <v>7.18</v>
      </c>
      <c r="P75" s="1">
        <v>34.229999999999997</v>
      </c>
      <c r="Q75">
        <v>26.32</v>
      </c>
      <c r="R75" s="1">
        <v>14.23</v>
      </c>
      <c r="S75">
        <v>198.32</v>
      </c>
      <c r="T75">
        <v>107.53</v>
      </c>
      <c r="U75" s="1">
        <v>562.15</v>
      </c>
      <c r="V75">
        <v>52.6</v>
      </c>
      <c r="W75">
        <v>164.06</v>
      </c>
      <c r="X75">
        <v>10.49</v>
      </c>
      <c r="Y75" s="1">
        <v>22.45</v>
      </c>
      <c r="Z75">
        <v>1269.01</v>
      </c>
      <c r="AA75">
        <v>650.87</v>
      </c>
      <c r="AB75">
        <v>101.85</v>
      </c>
      <c r="AC75">
        <v>428.93</v>
      </c>
      <c r="AD75">
        <v>18.52</v>
      </c>
      <c r="AE75">
        <v>132.52000000000001</v>
      </c>
      <c r="AF75">
        <v>79.06</v>
      </c>
      <c r="AG75" s="1">
        <v>6.74</v>
      </c>
      <c r="AH75">
        <v>60.93</v>
      </c>
      <c r="AI75">
        <v>133.81</v>
      </c>
      <c r="AJ75" s="1">
        <v>25.55</v>
      </c>
      <c r="AK75">
        <v>86.71</v>
      </c>
      <c r="AL75">
        <v>21.98</v>
      </c>
      <c r="AM75">
        <v>699.92</v>
      </c>
      <c r="AN75" s="1">
        <v>32.68</v>
      </c>
      <c r="AO75">
        <v>21.11</v>
      </c>
      <c r="AP75">
        <v>132.71</v>
      </c>
    </row>
    <row r="76" spans="1:42" ht="15.75">
      <c r="A76" t="s">
        <v>568</v>
      </c>
      <c r="B76" s="2" t="s">
        <v>568</v>
      </c>
      <c r="C76" s="2" t="str">
        <f t="shared" si="1"/>
        <v>TRUE</v>
      </c>
      <c r="D76" s="2" t="s">
        <v>858</v>
      </c>
      <c r="E76" s="2" t="s">
        <v>859</v>
      </c>
      <c r="F76" s="2" t="s">
        <v>864</v>
      </c>
      <c r="G76" s="3">
        <v>36196</v>
      </c>
      <c r="H76" s="3">
        <v>43560</v>
      </c>
      <c r="I76" s="2">
        <v>20</v>
      </c>
      <c r="J76" s="2">
        <v>3</v>
      </c>
      <c r="K76" s="2" t="s">
        <v>857</v>
      </c>
      <c r="L76" s="2">
        <v>68</v>
      </c>
      <c r="M76" s="2">
        <v>1</v>
      </c>
      <c r="N76">
        <v>25.01</v>
      </c>
      <c r="O76" t="s">
        <v>96</v>
      </c>
      <c r="P76" s="1" t="s">
        <v>96</v>
      </c>
      <c r="Q76">
        <v>57.15</v>
      </c>
      <c r="R76" s="1" t="s">
        <v>96</v>
      </c>
      <c r="S76">
        <v>61.68</v>
      </c>
      <c r="T76">
        <v>106.49</v>
      </c>
      <c r="U76" s="1" t="s">
        <v>96</v>
      </c>
      <c r="V76">
        <v>19.399999999999999</v>
      </c>
      <c r="W76">
        <v>33.590000000000003</v>
      </c>
      <c r="X76">
        <v>9.94</v>
      </c>
      <c r="Y76" s="1" t="s">
        <v>96</v>
      </c>
      <c r="Z76">
        <v>395.08</v>
      </c>
      <c r="AA76">
        <v>27.14</v>
      </c>
      <c r="AB76">
        <v>38.39</v>
      </c>
      <c r="AC76">
        <v>105.17</v>
      </c>
      <c r="AD76">
        <v>21.87</v>
      </c>
      <c r="AE76">
        <v>33.28</v>
      </c>
      <c r="AF76">
        <v>3.16</v>
      </c>
      <c r="AG76" s="1" t="s">
        <v>96</v>
      </c>
      <c r="AH76">
        <v>9.81</v>
      </c>
      <c r="AI76" t="s">
        <v>96</v>
      </c>
      <c r="AJ76" s="1" t="s">
        <v>96</v>
      </c>
      <c r="AK76">
        <v>75.06</v>
      </c>
      <c r="AL76">
        <v>13.17</v>
      </c>
      <c r="AM76">
        <v>37.1</v>
      </c>
      <c r="AN76" s="1" t="s">
        <v>96</v>
      </c>
      <c r="AO76">
        <v>15.01</v>
      </c>
      <c r="AP76">
        <v>15.75</v>
      </c>
    </row>
    <row r="77" spans="1:42" ht="15.75">
      <c r="A77" t="s">
        <v>253</v>
      </c>
      <c r="B77" s="2" t="s">
        <v>253</v>
      </c>
      <c r="C77" s="2" t="str">
        <f t="shared" si="1"/>
        <v>TRUE</v>
      </c>
      <c r="D77" s="2" t="s">
        <v>858</v>
      </c>
      <c r="E77" s="2" t="s">
        <v>859</v>
      </c>
      <c r="F77" s="2" t="s">
        <v>860</v>
      </c>
      <c r="G77" s="3">
        <v>34403</v>
      </c>
      <c r="H77" s="3">
        <v>43546</v>
      </c>
      <c r="I77" s="2">
        <v>25</v>
      </c>
      <c r="J77" s="2">
        <v>2</v>
      </c>
      <c r="K77" s="2" t="s">
        <v>861</v>
      </c>
      <c r="L77" s="2">
        <v>2155</v>
      </c>
      <c r="M77" s="2">
        <v>15</v>
      </c>
      <c r="N77">
        <v>14.93</v>
      </c>
      <c r="O77">
        <v>1.39</v>
      </c>
      <c r="P77" s="1">
        <v>1.95</v>
      </c>
      <c r="Q77">
        <v>6.41</v>
      </c>
      <c r="R77" s="1" t="s">
        <v>96</v>
      </c>
      <c r="S77">
        <v>78.28</v>
      </c>
      <c r="T77">
        <v>25.71</v>
      </c>
      <c r="U77" s="1" t="s">
        <v>96</v>
      </c>
      <c r="V77">
        <v>2.31</v>
      </c>
      <c r="W77">
        <v>77.03</v>
      </c>
      <c r="X77">
        <v>3.36</v>
      </c>
      <c r="Y77" s="1" t="s">
        <v>96</v>
      </c>
      <c r="Z77">
        <v>2246.52</v>
      </c>
      <c r="AA77">
        <v>284.49</v>
      </c>
      <c r="AB77">
        <v>32.18</v>
      </c>
      <c r="AC77" t="s">
        <v>133</v>
      </c>
      <c r="AD77">
        <v>74.22</v>
      </c>
      <c r="AE77">
        <v>40.619999999999997</v>
      </c>
      <c r="AF77">
        <v>5.62</v>
      </c>
      <c r="AG77" s="1" t="s">
        <v>96</v>
      </c>
      <c r="AH77">
        <v>46.64</v>
      </c>
      <c r="AI77" t="s">
        <v>96</v>
      </c>
      <c r="AJ77" s="1" t="s">
        <v>96</v>
      </c>
      <c r="AK77">
        <v>220.68</v>
      </c>
      <c r="AL77" t="s">
        <v>96</v>
      </c>
      <c r="AM77">
        <v>140.76</v>
      </c>
      <c r="AN77" s="1" t="s">
        <v>96</v>
      </c>
      <c r="AO77">
        <v>11.21</v>
      </c>
      <c r="AP77">
        <v>111.52</v>
      </c>
    </row>
    <row r="78" spans="1:42" ht="15.75">
      <c r="A78" t="s">
        <v>721</v>
      </c>
      <c r="B78" s="2" t="s">
        <v>721</v>
      </c>
      <c r="C78" s="2" t="str">
        <f t="shared" si="1"/>
        <v>TRUE</v>
      </c>
      <c r="D78" s="2" t="s">
        <v>858</v>
      </c>
      <c r="E78" s="2" t="s">
        <v>863</v>
      </c>
      <c r="F78" s="2" t="s">
        <v>864</v>
      </c>
      <c r="G78" s="3">
        <v>32618</v>
      </c>
      <c r="H78" s="3">
        <v>43559</v>
      </c>
      <c r="I78" s="2">
        <v>29</v>
      </c>
      <c r="J78" s="4">
        <v>2</v>
      </c>
      <c r="K78" s="2" t="s">
        <v>857</v>
      </c>
      <c r="L78" s="2" t="s">
        <v>856</v>
      </c>
      <c r="M78" s="2">
        <v>6</v>
      </c>
      <c r="N78">
        <v>21.74</v>
      </c>
      <c r="O78">
        <v>1.48</v>
      </c>
      <c r="P78" s="1" t="s">
        <v>96</v>
      </c>
      <c r="Q78">
        <v>12.04</v>
      </c>
      <c r="R78" s="1" t="s">
        <v>96</v>
      </c>
      <c r="S78">
        <v>18.86</v>
      </c>
      <c r="T78">
        <v>61.98</v>
      </c>
      <c r="U78" s="1" t="s">
        <v>96</v>
      </c>
      <c r="V78">
        <v>7.64</v>
      </c>
      <c r="W78">
        <v>11.7</v>
      </c>
      <c r="X78">
        <v>2.1</v>
      </c>
      <c r="Y78" s="1" t="s">
        <v>96</v>
      </c>
      <c r="Z78">
        <v>377.23</v>
      </c>
      <c r="AA78">
        <v>52.14</v>
      </c>
      <c r="AB78">
        <v>68.38</v>
      </c>
      <c r="AC78">
        <v>69.540000000000006</v>
      </c>
      <c r="AD78">
        <v>38.17</v>
      </c>
      <c r="AE78">
        <v>27.48</v>
      </c>
      <c r="AF78">
        <v>5.9</v>
      </c>
      <c r="AG78" s="1">
        <v>2.81</v>
      </c>
      <c r="AH78">
        <v>5.64</v>
      </c>
      <c r="AI78">
        <v>71.790000000000006</v>
      </c>
      <c r="AJ78" s="1" t="s">
        <v>96</v>
      </c>
      <c r="AK78">
        <v>260.14</v>
      </c>
      <c r="AL78">
        <v>29.01</v>
      </c>
      <c r="AM78">
        <v>108.45</v>
      </c>
      <c r="AN78" s="1">
        <v>58.5</v>
      </c>
      <c r="AO78">
        <v>82.32</v>
      </c>
      <c r="AP78">
        <v>260.24</v>
      </c>
    </row>
    <row r="79" spans="1:42" ht="15.75">
      <c r="A79" t="s">
        <v>111</v>
      </c>
      <c r="B79" s="2" t="s">
        <v>111</v>
      </c>
      <c r="C79" s="2" t="str">
        <f t="shared" si="1"/>
        <v>TRUE</v>
      </c>
      <c r="D79" s="2" t="s">
        <v>858</v>
      </c>
      <c r="E79" s="2" t="s">
        <v>859</v>
      </c>
      <c r="F79" s="2" t="s">
        <v>864</v>
      </c>
      <c r="G79" s="3">
        <v>31823</v>
      </c>
      <c r="H79" s="3">
        <v>43579</v>
      </c>
      <c r="I79" s="2">
        <v>32</v>
      </c>
      <c r="J79" s="2">
        <v>2</v>
      </c>
      <c r="K79" s="2" t="s">
        <v>861</v>
      </c>
      <c r="L79" s="2">
        <v>15</v>
      </c>
      <c r="M79" s="2">
        <v>0</v>
      </c>
      <c r="N79">
        <v>10.53</v>
      </c>
      <c r="O79" t="s">
        <v>96</v>
      </c>
      <c r="P79" s="1">
        <v>1.85</v>
      </c>
      <c r="Q79">
        <v>61.91</v>
      </c>
      <c r="R79" s="1" t="s">
        <v>96</v>
      </c>
      <c r="S79">
        <v>45.85</v>
      </c>
      <c r="T79">
        <v>23.42</v>
      </c>
      <c r="U79" s="1">
        <v>26.92</v>
      </c>
      <c r="V79">
        <v>9.91</v>
      </c>
      <c r="W79">
        <v>24.42</v>
      </c>
      <c r="X79">
        <v>1.8</v>
      </c>
      <c r="Y79" s="1" t="s">
        <v>96</v>
      </c>
      <c r="Z79">
        <v>173.33</v>
      </c>
      <c r="AA79">
        <v>30.93</v>
      </c>
      <c r="AB79">
        <v>21.97</v>
      </c>
      <c r="AC79">
        <v>88</v>
      </c>
      <c r="AD79">
        <v>8</v>
      </c>
      <c r="AE79">
        <v>40.33</v>
      </c>
      <c r="AF79">
        <v>8.4700000000000006</v>
      </c>
      <c r="AG79" s="1" t="s">
        <v>96</v>
      </c>
      <c r="AH79">
        <v>18.37</v>
      </c>
      <c r="AI79">
        <v>55.36</v>
      </c>
      <c r="AJ79" s="1" t="s">
        <v>96</v>
      </c>
      <c r="AK79">
        <v>99.52</v>
      </c>
      <c r="AL79">
        <v>27.81</v>
      </c>
      <c r="AM79">
        <v>152.35</v>
      </c>
      <c r="AN79" s="1">
        <v>16.760000000000002</v>
      </c>
      <c r="AO79">
        <v>31.26</v>
      </c>
      <c r="AP79">
        <v>43.37</v>
      </c>
    </row>
    <row r="80" spans="1:42" ht="15.75">
      <c r="A80" t="s">
        <v>592</v>
      </c>
      <c r="B80" s="2" t="s">
        <v>592</v>
      </c>
      <c r="C80" s="2" t="str">
        <f t="shared" si="1"/>
        <v>TRUE</v>
      </c>
      <c r="D80" s="2" t="s">
        <v>858</v>
      </c>
      <c r="E80" s="2" t="s">
        <v>859</v>
      </c>
      <c r="F80" s="2" t="s">
        <v>860</v>
      </c>
      <c r="G80" s="3">
        <v>36595</v>
      </c>
      <c r="H80" s="3">
        <v>43567</v>
      </c>
      <c r="I80" s="2">
        <v>19</v>
      </c>
      <c r="J80" s="2">
        <v>2</v>
      </c>
      <c r="K80" s="2" t="s">
        <v>861</v>
      </c>
      <c r="L80" s="2" t="s">
        <v>856</v>
      </c>
      <c r="M80" s="2">
        <v>7</v>
      </c>
      <c r="N80">
        <v>17.98</v>
      </c>
      <c r="O80">
        <v>3.72</v>
      </c>
      <c r="P80" s="1" t="s">
        <v>96</v>
      </c>
      <c r="Q80">
        <v>46.35</v>
      </c>
      <c r="R80" s="1" t="s">
        <v>96</v>
      </c>
      <c r="S80">
        <v>85.96</v>
      </c>
      <c r="T80">
        <v>176.19</v>
      </c>
      <c r="U80" s="1" t="s">
        <v>96</v>
      </c>
      <c r="V80">
        <v>52.73</v>
      </c>
      <c r="W80">
        <v>159.97</v>
      </c>
      <c r="X80">
        <v>13.78</v>
      </c>
      <c r="Y80" s="1" t="s">
        <v>96</v>
      </c>
      <c r="Z80" t="s">
        <v>133</v>
      </c>
      <c r="AA80">
        <v>152.26</v>
      </c>
      <c r="AB80">
        <v>189.42</v>
      </c>
      <c r="AC80" t="s">
        <v>133</v>
      </c>
      <c r="AD80">
        <v>39.96</v>
      </c>
      <c r="AE80">
        <v>157.15</v>
      </c>
      <c r="AF80">
        <v>8.85</v>
      </c>
      <c r="AG80" s="1" t="s">
        <v>96</v>
      </c>
      <c r="AH80">
        <v>46.53</v>
      </c>
      <c r="AI80" t="s">
        <v>96</v>
      </c>
      <c r="AJ80" s="1" t="s">
        <v>96</v>
      </c>
      <c r="AK80">
        <v>336.54</v>
      </c>
      <c r="AL80">
        <v>35.71</v>
      </c>
      <c r="AM80">
        <v>60.79</v>
      </c>
      <c r="AN80" s="1">
        <v>8.56</v>
      </c>
      <c r="AO80">
        <v>34.92</v>
      </c>
      <c r="AP80">
        <v>43.24</v>
      </c>
    </row>
    <row r="81" spans="1:42" ht="15.75">
      <c r="A81" t="s">
        <v>691</v>
      </c>
      <c r="B81" s="2" t="s">
        <v>691</v>
      </c>
      <c r="C81" s="2" t="str">
        <f t="shared" si="1"/>
        <v>TRUE</v>
      </c>
      <c r="D81" s="2" t="s">
        <v>865</v>
      </c>
      <c r="E81" s="2" t="s">
        <v>873</v>
      </c>
      <c r="F81" s="2" t="s">
        <v>864</v>
      </c>
      <c r="G81" s="3">
        <v>35185</v>
      </c>
      <c r="H81" s="3">
        <v>43580</v>
      </c>
      <c r="I81" s="2">
        <v>22</v>
      </c>
      <c r="J81" s="2">
        <v>2</v>
      </c>
      <c r="K81" s="2" t="s">
        <v>861</v>
      </c>
      <c r="L81" s="2">
        <v>26</v>
      </c>
      <c r="M81" s="2">
        <v>3</v>
      </c>
      <c r="N81">
        <v>16.899999999999999</v>
      </c>
      <c r="O81">
        <v>3.74</v>
      </c>
      <c r="P81" s="1" t="s">
        <v>96</v>
      </c>
      <c r="Q81">
        <v>44.51</v>
      </c>
      <c r="R81" s="1" t="s">
        <v>96</v>
      </c>
      <c r="S81" t="s">
        <v>96</v>
      </c>
      <c r="T81">
        <v>264.85000000000002</v>
      </c>
      <c r="U81" s="1" t="s">
        <v>96</v>
      </c>
      <c r="V81">
        <v>24.29</v>
      </c>
      <c r="W81">
        <v>26.92</v>
      </c>
      <c r="X81">
        <v>10.64</v>
      </c>
      <c r="Y81" s="1" t="s">
        <v>96</v>
      </c>
      <c r="Z81">
        <v>564.41999999999996</v>
      </c>
      <c r="AA81" t="s">
        <v>96</v>
      </c>
      <c r="AB81">
        <v>48.51</v>
      </c>
      <c r="AC81">
        <v>51.16</v>
      </c>
      <c r="AD81">
        <v>26.49</v>
      </c>
      <c r="AE81">
        <v>61.17</v>
      </c>
      <c r="AF81" t="s">
        <v>96</v>
      </c>
      <c r="AG81" s="1" t="s">
        <v>96</v>
      </c>
      <c r="AH81">
        <v>6.16</v>
      </c>
      <c r="AI81" t="s">
        <v>96</v>
      </c>
      <c r="AJ81" s="1" t="s">
        <v>96</v>
      </c>
      <c r="AK81">
        <v>110.42</v>
      </c>
      <c r="AL81">
        <v>26.2</v>
      </c>
      <c r="AM81" t="s">
        <v>96</v>
      </c>
      <c r="AN81" s="1" t="s">
        <v>96</v>
      </c>
      <c r="AO81">
        <v>26.52</v>
      </c>
      <c r="AP81" t="s">
        <v>96</v>
      </c>
    </row>
    <row r="82" spans="1:42" ht="15.75">
      <c r="A82" t="s">
        <v>418</v>
      </c>
      <c r="B82" s="2" t="s">
        <v>418</v>
      </c>
      <c r="C82" s="2" t="str">
        <f t="shared" si="1"/>
        <v>TRUE</v>
      </c>
      <c r="D82" s="2" t="s">
        <v>865</v>
      </c>
      <c r="E82" s="2" t="s">
        <v>866</v>
      </c>
      <c r="F82" s="2" t="s">
        <v>864</v>
      </c>
      <c r="G82" s="3">
        <v>33786</v>
      </c>
      <c r="H82" s="3">
        <v>43581</v>
      </c>
      <c r="I82" s="2">
        <v>26</v>
      </c>
      <c r="J82" s="2">
        <v>2</v>
      </c>
      <c r="K82" s="2" t="s">
        <v>861</v>
      </c>
      <c r="L82" s="2" t="s">
        <v>856</v>
      </c>
      <c r="M82" s="2">
        <v>2</v>
      </c>
      <c r="N82">
        <v>10.69</v>
      </c>
      <c r="O82" t="s">
        <v>96</v>
      </c>
      <c r="P82" s="1" t="s">
        <v>96</v>
      </c>
      <c r="Q82">
        <v>8.3699999999999992</v>
      </c>
      <c r="R82" s="1" t="s">
        <v>96</v>
      </c>
      <c r="S82">
        <v>32.46</v>
      </c>
      <c r="T82">
        <v>28.7</v>
      </c>
      <c r="U82" s="1" t="s">
        <v>96</v>
      </c>
      <c r="V82">
        <v>4.6900000000000004</v>
      </c>
      <c r="W82">
        <v>44.12</v>
      </c>
      <c r="X82">
        <v>2.33</v>
      </c>
      <c r="Y82" s="1" t="s">
        <v>96</v>
      </c>
      <c r="Z82">
        <v>1202.24</v>
      </c>
      <c r="AA82">
        <v>94.31</v>
      </c>
      <c r="AB82">
        <v>36.630000000000003</v>
      </c>
      <c r="AC82">
        <v>711.74</v>
      </c>
      <c r="AD82">
        <v>46.62</v>
      </c>
      <c r="AE82">
        <v>105.42</v>
      </c>
      <c r="AF82">
        <v>13.92</v>
      </c>
      <c r="AG82" s="1">
        <v>2.7</v>
      </c>
      <c r="AH82">
        <v>65.040000000000006</v>
      </c>
      <c r="AI82">
        <v>47.11</v>
      </c>
      <c r="AJ82" s="1" t="s">
        <v>96</v>
      </c>
      <c r="AK82">
        <v>298.27</v>
      </c>
      <c r="AL82">
        <v>48.58</v>
      </c>
      <c r="AM82">
        <v>151.91</v>
      </c>
      <c r="AN82" s="1">
        <v>18.47</v>
      </c>
      <c r="AO82">
        <v>16.87</v>
      </c>
      <c r="AP82">
        <v>58.73</v>
      </c>
    </row>
    <row r="83" spans="1:42" ht="15.75">
      <c r="A83" t="s">
        <v>358</v>
      </c>
      <c r="B83" s="2" t="s">
        <v>358</v>
      </c>
      <c r="C83" s="2" t="str">
        <f t="shared" si="1"/>
        <v>TRUE</v>
      </c>
      <c r="D83" s="2" t="s">
        <v>858</v>
      </c>
      <c r="E83" s="2" t="s">
        <v>863</v>
      </c>
      <c r="F83" s="2" t="s">
        <v>860</v>
      </c>
      <c r="G83" s="3">
        <v>29943</v>
      </c>
      <c r="H83" s="3">
        <v>43567</v>
      </c>
      <c r="I83" s="2">
        <v>37</v>
      </c>
      <c r="J83" s="2">
        <v>2</v>
      </c>
      <c r="K83" s="2" t="s">
        <v>857</v>
      </c>
      <c r="L83" s="2">
        <v>31</v>
      </c>
      <c r="M83" s="2">
        <v>0</v>
      </c>
      <c r="N83">
        <v>16.690000000000001</v>
      </c>
      <c r="O83" t="s">
        <v>96</v>
      </c>
      <c r="P83" s="1">
        <v>1.52</v>
      </c>
      <c r="Q83">
        <v>45.79</v>
      </c>
      <c r="R83" s="1" t="s">
        <v>96</v>
      </c>
      <c r="S83">
        <v>47.42</v>
      </c>
      <c r="T83">
        <v>18.309999999999999</v>
      </c>
      <c r="U83" s="1" t="s">
        <v>96</v>
      </c>
      <c r="V83">
        <v>8.33</v>
      </c>
      <c r="W83">
        <v>8.7100000000000009</v>
      </c>
      <c r="X83">
        <v>1.45</v>
      </c>
      <c r="Y83" s="1" t="s">
        <v>96</v>
      </c>
      <c r="Z83">
        <v>732.91</v>
      </c>
      <c r="AA83">
        <v>159.65</v>
      </c>
      <c r="AB83">
        <v>108.52</v>
      </c>
      <c r="AC83">
        <v>155.52000000000001</v>
      </c>
      <c r="AD83">
        <v>16.059999999999999</v>
      </c>
      <c r="AE83">
        <v>96.5</v>
      </c>
      <c r="AF83">
        <v>22.39</v>
      </c>
      <c r="AG83" s="1" t="s">
        <v>96</v>
      </c>
      <c r="AH83">
        <v>17.21</v>
      </c>
      <c r="AI83">
        <v>35.979999999999997</v>
      </c>
      <c r="AJ83" s="1" t="s">
        <v>96</v>
      </c>
      <c r="AK83">
        <v>91.49</v>
      </c>
      <c r="AL83">
        <v>21.13</v>
      </c>
      <c r="AM83">
        <v>247.48</v>
      </c>
      <c r="AN83" s="1">
        <v>23.48</v>
      </c>
      <c r="AO83">
        <v>46.33</v>
      </c>
      <c r="AP83">
        <v>87.24</v>
      </c>
    </row>
    <row r="84" spans="1:42" ht="15.75">
      <c r="A84" t="s">
        <v>619</v>
      </c>
      <c r="B84" s="2" t="s">
        <v>619</v>
      </c>
      <c r="C84" s="2" t="str">
        <f t="shared" si="1"/>
        <v>TRUE</v>
      </c>
      <c r="D84" s="2" t="s">
        <v>858</v>
      </c>
      <c r="E84" s="2" t="s">
        <v>859</v>
      </c>
      <c r="F84" s="2" t="s">
        <v>864</v>
      </c>
      <c r="G84" s="3">
        <v>25311</v>
      </c>
      <c r="H84" s="3">
        <v>43581</v>
      </c>
      <c r="I84" s="2">
        <v>50</v>
      </c>
      <c r="J84" s="2">
        <v>2</v>
      </c>
      <c r="K84" s="2" t="s">
        <v>857</v>
      </c>
      <c r="L84" s="2">
        <v>67</v>
      </c>
      <c r="M84" s="2">
        <v>2</v>
      </c>
      <c r="N84">
        <v>12.87</v>
      </c>
      <c r="O84">
        <v>1.24</v>
      </c>
      <c r="P84" s="1">
        <v>3.09</v>
      </c>
      <c r="Q84">
        <v>71.790000000000006</v>
      </c>
      <c r="R84" s="1">
        <v>7.22</v>
      </c>
      <c r="S84">
        <v>94.97</v>
      </c>
      <c r="T84">
        <v>21.43</v>
      </c>
      <c r="U84" s="1" t="s">
        <v>96</v>
      </c>
      <c r="V84">
        <v>19.52</v>
      </c>
      <c r="W84">
        <v>4.74</v>
      </c>
      <c r="X84">
        <v>1.28</v>
      </c>
      <c r="Y84" s="1" t="s">
        <v>96</v>
      </c>
      <c r="Z84">
        <v>645.21</v>
      </c>
      <c r="AA84">
        <v>76.36</v>
      </c>
      <c r="AB84">
        <v>39.54</v>
      </c>
      <c r="AC84">
        <v>182.32</v>
      </c>
      <c r="AD84">
        <v>7.67</v>
      </c>
      <c r="AE84">
        <v>42.36</v>
      </c>
      <c r="AF84">
        <v>8.77</v>
      </c>
      <c r="AG84" s="1" t="s">
        <v>96</v>
      </c>
      <c r="AH84">
        <v>21.95</v>
      </c>
      <c r="AI84" t="s">
        <v>96</v>
      </c>
      <c r="AJ84" s="1">
        <v>6.44</v>
      </c>
      <c r="AK84">
        <v>63.86</v>
      </c>
      <c r="AL84">
        <v>10.45</v>
      </c>
      <c r="AM84">
        <v>83.1</v>
      </c>
      <c r="AN84" s="1">
        <v>10.87</v>
      </c>
      <c r="AO84">
        <v>15.59</v>
      </c>
      <c r="AP84">
        <v>41.82</v>
      </c>
    </row>
    <row r="85" spans="1:42" ht="15.75">
      <c r="A85" t="s">
        <v>313</v>
      </c>
      <c r="B85" s="2" t="s">
        <v>313</v>
      </c>
      <c r="C85" s="2" t="str">
        <f t="shared" si="1"/>
        <v>TRUE</v>
      </c>
      <c r="D85" s="2" t="s">
        <v>858</v>
      </c>
      <c r="E85" s="2" t="s">
        <v>859</v>
      </c>
      <c r="F85" s="2" t="s">
        <v>864</v>
      </c>
      <c r="G85" s="3">
        <v>17139</v>
      </c>
      <c r="H85" s="3">
        <v>43609</v>
      </c>
      <c r="I85" s="2">
        <v>72</v>
      </c>
      <c r="J85" s="2">
        <v>3</v>
      </c>
      <c r="K85" s="2" t="s">
        <v>857</v>
      </c>
      <c r="L85" s="2">
        <v>15</v>
      </c>
      <c r="M85" s="2">
        <v>2</v>
      </c>
      <c r="N85">
        <v>20.329999999999998</v>
      </c>
      <c r="O85">
        <v>2.33</v>
      </c>
      <c r="P85" s="1">
        <v>4.07</v>
      </c>
      <c r="Q85">
        <v>147.13999999999999</v>
      </c>
      <c r="R85" s="1">
        <v>9.98</v>
      </c>
      <c r="S85">
        <v>281.39999999999998</v>
      </c>
      <c r="T85">
        <v>53.27</v>
      </c>
      <c r="U85" s="1">
        <v>448.71</v>
      </c>
      <c r="V85">
        <v>44.12</v>
      </c>
      <c r="W85">
        <v>10.65</v>
      </c>
      <c r="X85">
        <v>1.0900000000000001</v>
      </c>
      <c r="Y85" s="1">
        <v>24.03</v>
      </c>
      <c r="Z85">
        <v>1002.69</v>
      </c>
      <c r="AA85">
        <v>506.96</v>
      </c>
      <c r="AB85">
        <v>147.69999999999999</v>
      </c>
      <c r="AC85">
        <v>158.91</v>
      </c>
      <c r="AD85">
        <v>7.91</v>
      </c>
      <c r="AE85">
        <v>124.24</v>
      </c>
      <c r="AF85">
        <v>88.75</v>
      </c>
      <c r="AG85" s="1" t="s">
        <v>96</v>
      </c>
      <c r="AH85">
        <v>27.62</v>
      </c>
      <c r="AI85">
        <v>185.52</v>
      </c>
      <c r="AJ85" s="1">
        <v>5.74</v>
      </c>
      <c r="AK85">
        <v>47.36</v>
      </c>
      <c r="AL85">
        <v>9.65</v>
      </c>
      <c r="AM85">
        <v>697.44</v>
      </c>
      <c r="AN85" s="1">
        <v>22.15</v>
      </c>
      <c r="AO85">
        <v>18.05</v>
      </c>
      <c r="AP85">
        <v>55.27</v>
      </c>
    </row>
    <row r="86" spans="1:42" ht="15.75">
      <c r="A86" t="s">
        <v>247</v>
      </c>
      <c r="B86" s="2" t="s">
        <v>247</v>
      </c>
      <c r="C86" s="2" t="str">
        <f t="shared" si="1"/>
        <v>TRUE</v>
      </c>
      <c r="D86" s="2" t="s">
        <v>858</v>
      </c>
      <c r="E86" s="2" t="s">
        <v>859</v>
      </c>
      <c r="F86" s="2" t="s">
        <v>860</v>
      </c>
      <c r="G86" s="3">
        <v>34403</v>
      </c>
      <c r="H86" s="3">
        <v>43627</v>
      </c>
      <c r="I86" s="2">
        <v>25</v>
      </c>
      <c r="J86" s="2">
        <v>3</v>
      </c>
      <c r="K86" s="2" t="s">
        <v>861</v>
      </c>
      <c r="L86" s="2">
        <v>667</v>
      </c>
      <c r="M86" s="2">
        <v>6</v>
      </c>
      <c r="N86">
        <v>5.41</v>
      </c>
      <c r="O86" t="s">
        <v>96</v>
      </c>
      <c r="P86" s="1" t="s">
        <v>96</v>
      </c>
      <c r="Q86" t="s">
        <v>96</v>
      </c>
      <c r="R86" s="1" t="s">
        <v>96</v>
      </c>
      <c r="S86" t="s">
        <v>96</v>
      </c>
      <c r="T86">
        <v>29.76</v>
      </c>
      <c r="U86" s="1" t="s">
        <v>96</v>
      </c>
      <c r="V86">
        <v>1.31</v>
      </c>
      <c r="W86">
        <v>56.2</v>
      </c>
      <c r="X86" t="s">
        <v>96</v>
      </c>
      <c r="Y86" s="1" t="s">
        <v>96</v>
      </c>
      <c r="Z86">
        <v>1267.3499999999999</v>
      </c>
      <c r="AA86" t="s">
        <v>96</v>
      </c>
      <c r="AB86">
        <v>8.73</v>
      </c>
      <c r="AC86" t="s">
        <v>133</v>
      </c>
      <c r="AD86">
        <v>14.62</v>
      </c>
      <c r="AE86">
        <v>9.5399999999999991</v>
      </c>
      <c r="AF86" t="s">
        <v>96</v>
      </c>
      <c r="AG86" s="1" t="s">
        <v>96</v>
      </c>
      <c r="AH86">
        <v>23.32</v>
      </c>
      <c r="AI86" t="s">
        <v>96</v>
      </c>
      <c r="AJ86" s="1" t="s">
        <v>96</v>
      </c>
      <c r="AK86">
        <v>332.48</v>
      </c>
      <c r="AL86" t="s">
        <v>96</v>
      </c>
      <c r="AM86" t="s">
        <v>96</v>
      </c>
      <c r="AN86" s="1" t="s">
        <v>96</v>
      </c>
      <c r="AO86">
        <v>36.71</v>
      </c>
      <c r="AP86" t="s">
        <v>96</v>
      </c>
    </row>
    <row r="87" spans="1:42" ht="15.75">
      <c r="A87" t="s">
        <v>235</v>
      </c>
      <c r="B87" s="2" t="s">
        <v>235</v>
      </c>
      <c r="C87" s="2" t="str">
        <f t="shared" si="1"/>
        <v>TRUE</v>
      </c>
      <c r="D87" s="2" t="s">
        <v>858</v>
      </c>
      <c r="E87" s="2" t="s">
        <v>859</v>
      </c>
      <c r="F87" s="2" t="s">
        <v>860</v>
      </c>
      <c r="G87" s="3">
        <v>34403</v>
      </c>
      <c r="H87" s="3">
        <v>43637</v>
      </c>
      <c r="I87" s="2">
        <v>25</v>
      </c>
      <c r="J87" s="2">
        <v>2</v>
      </c>
      <c r="K87" s="2" t="s">
        <v>861</v>
      </c>
      <c r="L87" s="2" t="s">
        <v>856</v>
      </c>
      <c r="M87" s="2">
        <v>5</v>
      </c>
      <c r="N87">
        <v>6.59</v>
      </c>
      <c r="O87" t="s">
        <v>96</v>
      </c>
      <c r="P87" s="1" t="s">
        <v>96</v>
      </c>
      <c r="Q87" t="s">
        <v>96</v>
      </c>
      <c r="R87" s="1" t="s">
        <v>96</v>
      </c>
      <c r="S87" t="s">
        <v>96</v>
      </c>
      <c r="T87">
        <v>117.25</v>
      </c>
      <c r="U87" s="1" t="s">
        <v>96</v>
      </c>
      <c r="V87">
        <v>2.1800000000000002</v>
      </c>
      <c r="W87">
        <v>76.89</v>
      </c>
      <c r="X87">
        <v>1.41</v>
      </c>
      <c r="Y87" s="1" t="s">
        <v>96</v>
      </c>
      <c r="Z87">
        <v>1126.0999999999999</v>
      </c>
      <c r="AA87" t="s">
        <v>96</v>
      </c>
      <c r="AB87" t="s">
        <v>96</v>
      </c>
      <c r="AC87" t="s">
        <v>133</v>
      </c>
      <c r="AD87">
        <v>4.38</v>
      </c>
      <c r="AE87">
        <v>5.68</v>
      </c>
      <c r="AF87" t="s">
        <v>96</v>
      </c>
      <c r="AG87" s="1" t="s">
        <v>96</v>
      </c>
      <c r="AH87">
        <v>10.11</v>
      </c>
      <c r="AI87" t="s">
        <v>96</v>
      </c>
      <c r="AJ87" s="1" t="s">
        <v>96</v>
      </c>
      <c r="AK87">
        <v>64.900000000000006</v>
      </c>
      <c r="AL87" t="s">
        <v>96</v>
      </c>
      <c r="AM87" t="s">
        <v>96</v>
      </c>
      <c r="AN87" s="1" t="s">
        <v>96</v>
      </c>
      <c r="AO87" t="s">
        <v>96</v>
      </c>
      <c r="AP87" t="s">
        <v>96</v>
      </c>
    </row>
    <row r="88" spans="1:42" ht="15.75">
      <c r="A88" t="s">
        <v>250</v>
      </c>
      <c r="B88" s="2" t="s">
        <v>250</v>
      </c>
      <c r="C88" s="2" t="str">
        <f t="shared" si="1"/>
        <v>TRUE</v>
      </c>
      <c r="D88" s="2" t="s">
        <v>858</v>
      </c>
      <c r="E88" s="2" t="s">
        <v>859</v>
      </c>
      <c r="F88" s="2" t="s">
        <v>860</v>
      </c>
      <c r="G88" s="3">
        <v>34403</v>
      </c>
      <c r="H88" s="3">
        <v>43647</v>
      </c>
      <c r="I88" s="2">
        <v>25</v>
      </c>
      <c r="J88" s="2">
        <v>3</v>
      </c>
      <c r="K88" s="2" t="s">
        <v>861</v>
      </c>
      <c r="L88" s="2" t="s">
        <v>856</v>
      </c>
      <c r="M88" s="2">
        <v>5</v>
      </c>
      <c r="N88">
        <v>7.3</v>
      </c>
      <c r="O88">
        <v>1.58</v>
      </c>
      <c r="P88" s="1" t="s">
        <v>96</v>
      </c>
      <c r="Q88" t="s">
        <v>96</v>
      </c>
      <c r="R88" s="1" t="s">
        <v>96</v>
      </c>
      <c r="S88" t="s">
        <v>96</v>
      </c>
      <c r="T88">
        <v>67.59</v>
      </c>
      <c r="U88" s="1" t="s">
        <v>96</v>
      </c>
      <c r="V88">
        <v>1.1200000000000001</v>
      </c>
      <c r="W88">
        <v>59.46</v>
      </c>
      <c r="X88" t="s">
        <v>96</v>
      </c>
      <c r="Y88" s="1" t="s">
        <v>96</v>
      </c>
      <c r="Z88">
        <v>2311.4299999999998</v>
      </c>
      <c r="AA88" t="s">
        <v>96</v>
      </c>
      <c r="AB88">
        <v>7.95</v>
      </c>
      <c r="AC88" t="s">
        <v>133</v>
      </c>
      <c r="AD88">
        <v>32.11</v>
      </c>
      <c r="AE88">
        <v>17.989999999999998</v>
      </c>
      <c r="AF88" t="s">
        <v>96</v>
      </c>
      <c r="AG88" s="1" t="s">
        <v>96</v>
      </c>
      <c r="AH88">
        <v>35.78</v>
      </c>
      <c r="AI88" t="s">
        <v>96</v>
      </c>
      <c r="AJ88" s="1" t="s">
        <v>96</v>
      </c>
      <c r="AK88">
        <v>114.95</v>
      </c>
      <c r="AL88" t="s">
        <v>96</v>
      </c>
      <c r="AM88" t="s">
        <v>96</v>
      </c>
      <c r="AN88" s="1" t="s">
        <v>96</v>
      </c>
      <c r="AO88" t="s">
        <v>96</v>
      </c>
      <c r="AP88" t="s">
        <v>96</v>
      </c>
    </row>
    <row r="89" spans="1:42" ht="15.75">
      <c r="A89" t="s">
        <v>586</v>
      </c>
      <c r="B89" s="2" t="s">
        <v>586</v>
      </c>
      <c r="C89" s="2" t="str">
        <f t="shared" si="1"/>
        <v>TRUE</v>
      </c>
      <c r="D89" s="2" t="s">
        <v>854</v>
      </c>
      <c r="E89" s="2" t="s">
        <v>862</v>
      </c>
      <c r="F89" s="2" t="s">
        <v>856</v>
      </c>
      <c r="G89" s="3">
        <v>34502</v>
      </c>
      <c r="H89" s="3">
        <v>43677</v>
      </c>
      <c r="I89" s="2">
        <v>25</v>
      </c>
      <c r="J89" s="2">
        <v>1</v>
      </c>
      <c r="K89" s="2" t="s">
        <v>861</v>
      </c>
      <c r="L89" s="2">
        <v>769</v>
      </c>
      <c r="M89" s="2" t="s">
        <v>856</v>
      </c>
      <c r="N89">
        <v>21.83</v>
      </c>
      <c r="O89">
        <v>12.42</v>
      </c>
      <c r="P89" s="1">
        <v>3.23</v>
      </c>
      <c r="Q89">
        <v>147.13999999999999</v>
      </c>
      <c r="R89" s="1">
        <v>8.19</v>
      </c>
      <c r="S89">
        <v>73.64</v>
      </c>
      <c r="T89">
        <v>217.14</v>
      </c>
      <c r="U89" s="1">
        <v>63.33</v>
      </c>
      <c r="V89">
        <v>26.78</v>
      </c>
      <c r="W89">
        <v>50.58</v>
      </c>
      <c r="X89">
        <v>52.65</v>
      </c>
      <c r="Y89" s="1" t="s">
        <v>96</v>
      </c>
      <c r="Z89">
        <v>1071.29</v>
      </c>
      <c r="AA89">
        <v>161.43</v>
      </c>
      <c r="AB89">
        <v>82.52</v>
      </c>
      <c r="AC89">
        <v>642.49</v>
      </c>
      <c r="AD89">
        <v>90.05</v>
      </c>
      <c r="AE89">
        <v>441.62</v>
      </c>
      <c r="AF89">
        <v>67.75</v>
      </c>
      <c r="AG89" s="1">
        <v>22.06</v>
      </c>
      <c r="AH89">
        <v>369.12</v>
      </c>
      <c r="AI89">
        <v>31.18</v>
      </c>
      <c r="AJ89" s="1" t="s">
        <v>96</v>
      </c>
      <c r="AK89">
        <v>155.81</v>
      </c>
      <c r="AL89">
        <v>68.14</v>
      </c>
      <c r="AM89">
        <v>27.46</v>
      </c>
      <c r="AN89" s="1">
        <v>38.26</v>
      </c>
      <c r="AO89">
        <v>30.84</v>
      </c>
      <c r="AP89">
        <v>58.41</v>
      </c>
    </row>
    <row r="90" spans="1:42" ht="15.75">
      <c r="A90" t="s">
        <v>622</v>
      </c>
      <c r="B90" s="2" t="s">
        <v>622</v>
      </c>
      <c r="C90" s="2" t="str">
        <f t="shared" si="1"/>
        <v>TRUE</v>
      </c>
      <c r="D90" s="2" t="s">
        <v>858</v>
      </c>
      <c r="E90" s="2" t="s">
        <v>859</v>
      </c>
      <c r="F90" s="2" t="s">
        <v>864</v>
      </c>
      <c r="G90" s="3">
        <v>25311</v>
      </c>
      <c r="H90" s="3">
        <v>43672</v>
      </c>
      <c r="I90" s="2">
        <v>50</v>
      </c>
      <c r="J90" s="2">
        <v>3</v>
      </c>
      <c r="K90" s="2" t="s">
        <v>857</v>
      </c>
      <c r="L90" s="2">
        <v>786</v>
      </c>
      <c r="M90" s="2">
        <v>3</v>
      </c>
      <c r="N90">
        <v>7.83</v>
      </c>
      <c r="O90" t="s">
        <v>96</v>
      </c>
      <c r="P90" s="1">
        <v>1.95</v>
      </c>
      <c r="Q90">
        <v>34.380000000000003</v>
      </c>
      <c r="R90" s="1" t="s">
        <v>96</v>
      </c>
      <c r="S90">
        <v>32.04</v>
      </c>
      <c r="T90">
        <v>16.84</v>
      </c>
      <c r="U90" s="1" t="s">
        <v>96</v>
      </c>
      <c r="V90">
        <v>6.94</v>
      </c>
      <c r="W90">
        <v>35.04</v>
      </c>
      <c r="X90" t="s">
        <v>96</v>
      </c>
      <c r="Y90" s="1">
        <v>2.69</v>
      </c>
      <c r="Z90">
        <v>1887.52</v>
      </c>
      <c r="AA90">
        <v>284.08999999999997</v>
      </c>
      <c r="AB90">
        <v>93.55</v>
      </c>
      <c r="AC90" t="s">
        <v>133</v>
      </c>
      <c r="AD90">
        <v>20.23</v>
      </c>
      <c r="AE90">
        <v>208.38</v>
      </c>
      <c r="AF90">
        <v>52.5</v>
      </c>
      <c r="AG90" s="1">
        <v>2.8</v>
      </c>
      <c r="AH90">
        <v>236.37</v>
      </c>
      <c r="AI90">
        <v>38.35</v>
      </c>
      <c r="AJ90" s="1" t="s">
        <v>96</v>
      </c>
      <c r="AK90">
        <v>146.25</v>
      </c>
      <c r="AL90">
        <v>25.25</v>
      </c>
      <c r="AM90">
        <v>175.88</v>
      </c>
      <c r="AN90" s="1">
        <v>26.77</v>
      </c>
      <c r="AO90">
        <v>25.78</v>
      </c>
      <c r="AP90">
        <v>80.010000000000005</v>
      </c>
    </row>
    <row r="91" spans="1:42" ht="15.75">
      <c r="A91" t="s">
        <v>583</v>
      </c>
      <c r="B91" s="2" t="s">
        <v>583</v>
      </c>
      <c r="C91" s="2" t="str">
        <f t="shared" si="1"/>
        <v>TRUE</v>
      </c>
      <c r="D91" s="2" t="s">
        <v>854</v>
      </c>
      <c r="E91" s="2" t="s">
        <v>862</v>
      </c>
      <c r="F91" s="2" t="s">
        <v>856</v>
      </c>
      <c r="G91" s="3">
        <v>34502</v>
      </c>
      <c r="H91" s="3">
        <v>43726</v>
      </c>
      <c r="I91" s="2">
        <v>25</v>
      </c>
      <c r="J91" s="2">
        <v>2</v>
      </c>
      <c r="K91" s="2" t="s">
        <v>861</v>
      </c>
      <c r="L91" s="2" t="s">
        <v>856</v>
      </c>
      <c r="M91" s="2" t="s">
        <v>856</v>
      </c>
      <c r="N91">
        <v>12.74</v>
      </c>
      <c r="O91">
        <v>1.89</v>
      </c>
      <c r="P91" s="1" t="s">
        <v>96</v>
      </c>
      <c r="Q91">
        <v>18.600000000000001</v>
      </c>
      <c r="R91" s="1" t="s">
        <v>96</v>
      </c>
      <c r="S91">
        <v>8.41</v>
      </c>
      <c r="T91">
        <v>26.49</v>
      </c>
      <c r="U91" s="1" t="s">
        <v>96</v>
      </c>
      <c r="V91">
        <v>5.28</v>
      </c>
      <c r="W91">
        <v>13.94</v>
      </c>
      <c r="X91">
        <v>15.42</v>
      </c>
      <c r="Y91" s="1" t="s">
        <v>96</v>
      </c>
      <c r="Z91">
        <v>362.13</v>
      </c>
      <c r="AA91">
        <v>35.58</v>
      </c>
      <c r="AB91">
        <v>47.69</v>
      </c>
      <c r="AC91">
        <v>60.49</v>
      </c>
      <c r="AD91">
        <v>107.76</v>
      </c>
      <c r="AE91">
        <v>110.4</v>
      </c>
      <c r="AF91">
        <v>15.69</v>
      </c>
      <c r="AG91" s="1">
        <v>21.36</v>
      </c>
      <c r="AH91">
        <v>21.73</v>
      </c>
      <c r="AI91">
        <v>189.78</v>
      </c>
      <c r="AJ91" s="1">
        <v>2.93</v>
      </c>
      <c r="AK91">
        <v>277.27</v>
      </c>
      <c r="AL91">
        <v>156.37</v>
      </c>
      <c r="AM91">
        <v>248.27</v>
      </c>
      <c r="AN91" s="1">
        <v>119.94</v>
      </c>
      <c r="AO91">
        <v>55.36</v>
      </c>
      <c r="AP91">
        <v>141.47</v>
      </c>
    </row>
    <row r="92" spans="1:42" ht="15.75">
      <c r="A92" t="s">
        <v>703</v>
      </c>
      <c r="B92" s="2" t="s">
        <v>703</v>
      </c>
      <c r="C92" s="2" t="str">
        <f t="shared" si="1"/>
        <v>TRUE</v>
      </c>
      <c r="D92" s="2" t="s">
        <v>858</v>
      </c>
      <c r="E92" s="2" t="s">
        <v>859</v>
      </c>
      <c r="F92" s="2" t="s">
        <v>864</v>
      </c>
      <c r="G92" s="3">
        <v>29445</v>
      </c>
      <c r="H92" s="3">
        <v>43679</v>
      </c>
      <c r="I92" s="2">
        <v>38</v>
      </c>
      <c r="J92" s="2">
        <v>3</v>
      </c>
      <c r="K92" s="2" t="s">
        <v>857</v>
      </c>
      <c r="L92" s="2">
        <v>155</v>
      </c>
      <c r="M92" s="2">
        <v>1</v>
      </c>
      <c r="N92">
        <v>13.92</v>
      </c>
      <c r="O92">
        <v>2.09</v>
      </c>
      <c r="P92" s="1">
        <v>7.66</v>
      </c>
      <c r="Q92">
        <v>300.47000000000003</v>
      </c>
      <c r="R92" s="1">
        <v>8.44</v>
      </c>
      <c r="S92">
        <v>171.76</v>
      </c>
      <c r="T92">
        <v>31.13</v>
      </c>
      <c r="U92" s="1">
        <v>313.5</v>
      </c>
      <c r="V92">
        <v>50.93</v>
      </c>
      <c r="W92">
        <v>8.48</v>
      </c>
      <c r="X92">
        <v>3.25</v>
      </c>
      <c r="Y92" s="1">
        <v>3.22</v>
      </c>
      <c r="Z92">
        <v>559.58000000000004</v>
      </c>
      <c r="AA92">
        <v>141.46</v>
      </c>
      <c r="AB92">
        <v>206.2</v>
      </c>
      <c r="AC92">
        <v>130.44999999999999</v>
      </c>
      <c r="AD92">
        <v>20.190000000000001</v>
      </c>
      <c r="AE92">
        <v>32.42</v>
      </c>
      <c r="AF92">
        <v>11.93</v>
      </c>
      <c r="AG92" s="1" t="s">
        <v>96</v>
      </c>
      <c r="AH92">
        <v>9.15</v>
      </c>
      <c r="AI92">
        <v>45.39</v>
      </c>
      <c r="AJ92" s="1">
        <v>3.03</v>
      </c>
      <c r="AK92">
        <v>118.63</v>
      </c>
      <c r="AL92">
        <v>10.57</v>
      </c>
      <c r="AM92">
        <v>372.86</v>
      </c>
      <c r="AN92" s="1">
        <v>13.38</v>
      </c>
      <c r="AO92">
        <v>96.9</v>
      </c>
      <c r="AP92">
        <v>101.65</v>
      </c>
    </row>
    <row r="93" spans="1:42" ht="15.75">
      <c r="A93" t="s">
        <v>181</v>
      </c>
      <c r="B93" s="2" t="s">
        <v>181</v>
      </c>
      <c r="C93" s="2" t="str">
        <f t="shared" si="1"/>
        <v>TRUE</v>
      </c>
      <c r="D93" s="2" t="s">
        <v>858</v>
      </c>
      <c r="E93" s="2" t="s">
        <v>859</v>
      </c>
      <c r="F93" s="2" t="s">
        <v>864</v>
      </c>
      <c r="G93" s="3">
        <v>35211</v>
      </c>
      <c r="H93" s="3">
        <v>43683</v>
      </c>
      <c r="I93" s="2">
        <v>23</v>
      </c>
      <c r="J93" s="2">
        <v>2</v>
      </c>
      <c r="K93" s="2" t="s">
        <v>857</v>
      </c>
      <c r="L93" s="2" t="s">
        <v>856</v>
      </c>
      <c r="M93" s="2">
        <v>3</v>
      </c>
      <c r="N93">
        <v>12.9</v>
      </c>
      <c r="O93" t="s">
        <v>96</v>
      </c>
      <c r="P93" s="1" t="s">
        <v>96</v>
      </c>
      <c r="Q93">
        <v>11.21</v>
      </c>
      <c r="R93" s="1" t="s">
        <v>96</v>
      </c>
      <c r="S93">
        <v>28.47</v>
      </c>
      <c r="T93">
        <v>29.83</v>
      </c>
      <c r="U93" s="1" t="s">
        <v>96</v>
      </c>
      <c r="V93">
        <v>3.91</v>
      </c>
      <c r="W93">
        <v>10.73</v>
      </c>
      <c r="X93">
        <v>3.54</v>
      </c>
      <c r="Y93" s="1" t="s">
        <v>96</v>
      </c>
      <c r="Z93">
        <v>137.41</v>
      </c>
      <c r="AA93">
        <v>31.09</v>
      </c>
      <c r="AB93">
        <v>10.79</v>
      </c>
      <c r="AC93">
        <v>19.59</v>
      </c>
      <c r="AD93">
        <v>4.2699999999999996</v>
      </c>
      <c r="AE93">
        <v>26.74</v>
      </c>
      <c r="AF93">
        <v>4.46</v>
      </c>
      <c r="AG93" s="1" t="s">
        <v>96</v>
      </c>
      <c r="AH93">
        <v>3.97</v>
      </c>
      <c r="AI93">
        <v>36.21</v>
      </c>
      <c r="AJ93" s="1" t="s">
        <v>96</v>
      </c>
      <c r="AK93">
        <v>51.11</v>
      </c>
      <c r="AL93">
        <v>10.97</v>
      </c>
      <c r="AM93">
        <v>107.36</v>
      </c>
      <c r="AN93" s="1">
        <v>13.35</v>
      </c>
      <c r="AO93">
        <v>17.510000000000002</v>
      </c>
      <c r="AP93">
        <v>49.1</v>
      </c>
    </row>
    <row r="94" spans="1:42" ht="15.75">
      <c r="A94" t="s">
        <v>808</v>
      </c>
      <c r="B94" s="2" t="s">
        <v>808</v>
      </c>
      <c r="C94" s="2" t="str">
        <f t="shared" si="1"/>
        <v>TRUE</v>
      </c>
      <c r="D94" s="2" t="s">
        <v>858</v>
      </c>
      <c r="E94" s="2" t="s">
        <v>868</v>
      </c>
      <c r="F94" s="2" t="s">
        <v>864</v>
      </c>
      <c r="G94" s="3">
        <v>25575</v>
      </c>
      <c r="H94" s="3">
        <v>43700</v>
      </c>
      <c r="I94" s="2">
        <v>49</v>
      </c>
      <c r="J94" s="2">
        <v>3</v>
      </c>
      <c r="K94" s="2" t="s">
        <v>857</v>
      </c>
      <c r="L94" s="2">
        <v>15</v>
      </c>
      <c r="M94" s="2">
        <v>2</v>
      </c>
      <c r="N94">
        <v>14.14</v>
      </c>
      <c r="O94">
        <v>1.37</v>
      </c>
      <c r="P94" s="1">
        <v>4.03</v>
      </c>
      <c r="Q94">
        <v>74.83</v>
      </c>
      <c r="R94" s="1">
        <v>16.11</v>
      </c>
      <c r="S94">
        <v>151.56</v>
      </c>
      <c r="T94">
        <v>120.21</v>
      </c>
      <c r="U94" s="1">
        <v>25.77</v>
      </c>
      <c r="V94">
        <v>15.99</v>
      </c>
      <c r="W94">
        <v>60.77</v>
      </c>
      <c r="X94">
        <v>4.3499999999999996</v>
      </c>
      <c r="Y94" s="1" t="s">
        <v>96</v>
      </c>
      <c r="Z94">
        <v>558.91999999999996</v>
      </c>
      <c r="AA94">
        <v>174.59</v>
      </c>
      <c r="AB94">
        <v>56.71</v>
      </c>
      <c r="AC94">
        <v>237.29</v>
      </c>
      <c r="AD94">
        <v>8.01</v>
      </c>
      <c r="AE94">
        <v>53.28</v>
      </c>
      <c r="AF94">
        <v>19.11</v>
      </c>
      <c r="AG94" s="1">
        <v>3.36</v>
      </c>
      <c r="AH94">
        <v>37.479999999999997</v>
      </c>
      <c r="AI94">
        <v>24.93</v>
      </c>
      <c r="AJ94" s="1" t="s">
        <v>96</v>
      </c>
      <c r="AK94">
        <v>64.39</v>
      </c>
      <c r="AL94">
        <v>8.2200000000000006</v>
      </c>
      <c r="AM94">
        <v>132.32</v>
      </c>
      <c r="AN94" s="1">
        <v>5.46</v>
      </c>
      <c r="AO94">
        <v>18.73</v>
      </c>
      <c r="AP94">
        <v>42.36</v>
      </c>
    </row>
    <row r="95" spans="1:42" ht="15.75">
      <c r="A95" t="s">
        <v>469</v>
      </c>
      <c r="B95" s="2" t="s">
        <v>469</v>
      </c>
      <c r="C95" s="2" t="str">
        <f t="shared" si="1"/>
        <v>TRUE</v>
      </c>
      <c r="D95" s="2" t="s">
        <v>865</v>
      </c>
      <c r="E95" s="2" t="s">
        <v>872</v>
      </c>
      <c r="F95" s="2" t="s">
        <v>864</v>
      </c>
      <c r="G95" s="3">
        <v>33519</v>
      </c>
      <c r="H95" s="3">
        <v>43718</v>
      </c>
      <c r="I95" s="2">
        <v>27</v>
      </c>
      <c r="J95" s="2">
        <v>3</v>
      </c>
      <c r="K95" s="2" t="s">
        <v>857</v>
      </c>
      <c r="L95" s="2">
        <v>335</v>
      </c>
      <c r="M95" s="2">
        <v>1</v>
      </c>
      <c r="N95">
        <v>46.77</v>
      </c>
      <c r="O95">
        <v>9.2799999999999994</v>
      </c>
      <c r="P95" s="1">
        <v>14.41</v>
      </c>
      <c r="Q95">
        <v>203.61</v>
      </c>
      <c r="R95" s="1">
        <v>11.61</v>
      </c>
      <c r="S95">
        <v>320.49</v>
      </c>
      <c r="T95">
        <v>62.27</v>
      </c>
      <c r="U95" s="1">
        <v>86.76</v>
      </c>
      <c r="V95" t="s">
        <v>133</v>
      </c>
      <c r="W95">
        <v>51.2</v>
      </c>
      <c r="X95">
        <v>17.829999999999998</v>
      </c>
      <c r="Y95" s="1">
        <v>62.85</v>
      </c>
      <c r="Z95" t="s">
        <v>133</v>
      </c>
      <c r="AA95" t="s">
        <v>133</v>
      </c>
      <c r="AB95" t="s">
        <v>133</v>
      </c>
      <c r="AC95" t="s">
        <v>133</v>
      </c>
      <c r="AD95">
        <v>145.24</v>
      </c>
      <c r="AE95">
        <v>969.19</v>
      </c>
      <c r="AF95">
        <v>402.55</v>
      </c>
      <c r="AG95" s="1">
        <v>26.74</v>
      </c>
      <c r="AH95" t="s">
        <v>133</v>
      </c>
      <c r="AI95">
        <v>512.66</v>
      </c>
      <c r="AJ95" s="1">
        <v>15.4</v>
      </c>
      <c r="AK95">
        <v>631.99</v>
      </c>
      <c r="AL95">
        <v>121.01</v>
      </c>
      <c r="AM95">
        <v>2191.2600000000002</v>
      </c>
      <c r="AN95" s="1">
        <v>154.69999999999999</v>
      </c>
      <c r="AO95" t="s">
        <v>133</v>
      </c>
      <c r="AP95">
        <v>853.18</v>
      </c>
    </row>
    <row r="96" spans="1:42" ht="15.75">
      <c r="A96" t="s">
        <v>259</v>
      </c>
      <c r="B96" s="2" t="s">
        <v>259</v>
      </c>
      <c r="C96" s="2" t="str">
        <f t="shared" si="1"/>
        <v>TRUE</v>
      </c>
      <c r="D96" s="2" t="s">
        <v>858</v>
      </c>
      <c r="E96" s="2" t="s">
        <v>859</v>
      </c>
      <c r="F96" s="2" t="s">
        <v>860</v>
      </c>
      <c r="G96" s="3">
        <v>34403</v>
      </c>
      <c r="H96" s="3">
        <v>43655</v>
      </c>
      <c r="I96" s="2">
        <v>25</v>
      </c>
      <c r="J96" s="2">
        <v>4</v>
      </c>
      <c r="K96" s="2" t="s">
        <v>861</v>
      </c>
      <c r="L96" s="2" t="s">
        <v>856</v>
      </c>
      <c r="M96" s="2">
        <v>5</v>
      </c>
      <c r="N96">
        <v>7.22</v>
      </c>
      <c r="O96">
        <v>2.95</v>
      </c>
      <c r="P96" s="1" t="s">
        <v>96</v>
      </c>
      <c r="Q96">
        <v>2.54</v>
      </c>
      <c r="R96" s="1" t="s">
        <v>96</v>
      </c>
      <c r="S96" t="s">
        <v>96</v>
      </c>
      <c r="T96">
        <v>84.93</v>
      </c>
      <c r="U96" s="1">
        <v>57.58</v>
      </c>
      <c r="V96" t="s">
        <v>96</v>
      </c>
      <c r="W96">
        <v>92.91</v>
      </c>
      <c r="X96">
        <v>3.78</v>
      </c>
      <c r="Y96" s="1" t="s">
        <v>96</v>
      </c>
      <c r="Z96" t="s">
        <v>133</v>
      </c>
      <c r="AA96" t="s">
        <v>96</v>
      </c>
      <c r="AB96">
        <v>6.36</v>
      </c>
      <c r="AC96" t="s">
        <v>133</v>
      </c>
      <c r="AD96">
        <v>42.33</v>
      </c>
      <c r="AE96">
        <v>27.48</v>
      </c>
      <c r="AF96" t="s">
        <v>96</v>
      </c>
      <c r="AG96" s="1" t="s">
        <v>96</v>
      </c>
      <c r="AH96">
        <v>45.7</v>
      </c>
      <c r="AI96" t="s">
        <v>96</v>
      </c>
      <c r="AJ96" s="1" t="s">
        <v>96</v>
      </c>
      <c r="AK96">
        <v>125.88</v>
      </c>
      <c r="AL96" t="s">
        <v>96</v>
      </c>
      <c r="AM96">
        <v>5.7</v>
      </c>
      <c r="AN96" s="1" t="s">
        <v>96</v>
      </c>
      <c r="AO96" t="s">
        <v>96</v>
      </c>
      <c r="AP96" t="s">
        <v>96</v>
      </c>
    </row>
    <row r="97" spans="1:42" ht="15.75">
      <c r="A97" t="s">
        <v>397</v>
      </c>
      <c r="B97" s="2" t="s">
        <v>397</v>
      </c>
      <c r="C97" s="2" t="str">
        <f t="shared" si="1"/>
        <v>TRUE</v>
      </c>
      <c r="D97" s="2" t="s">
        <v>858</v>
      </c>
      <c r="E97" s="2" t="s">
        <v>859</v>
      </c>
      <c r="F97" s="2" t="s">
        <v>864</v>
      </c>
      <c r="G97" s="3">
        <v>23568</v>
      </c>
      <c r="H97" s="3">
        <v>43658</v>
      </c>
      <c r="I97" s="2">
        <v>55</v>
      </c>
      <c r="J97" s="2">
        <v>1</v>
      </c>
      <c r="K97" s="2" t="s">
        <v>857</v>
      </c>
      <c r="L97" s="2">
        <v>4750</v>
      </c>
      <c r="M97" s="2">
        <v>10</v>
      </c>
      <c r="N97">
        <v>13.38</v>
      </c>
      <c r="O97">
        <v>24.96</v>
      </c>
      <c r="P97" s="1">
        <v>6.99</v>
      </c>
      <c r="Q97">
        <v>19.8</v>
      </c>
      <c r="R97" s="1" t="s">
        <v>96</v>
      </c>
      <c r="S97">
        <v>419.89</v>
      </c>
      <c r="T97" t="s">
        <v>133</v>
      </c>
      <c r="U97" s="1">
        <v>710.69</v>
      </c>
      <c r="V97">
        <v>268.08</v>
      </c>
      <c r="W97" t="s">
        <v>133</v>
      </c>
      <c r="X97">
        <v>73.38</v>
      </c>
      <c r="Y97" s="1" t="s">
        <v>96</v>
      </c>
      <c r="Z97" t="s">
        <v>133</v>
      </c>
      <c r="AA97">
        <v>279.10000000000002</v>
      </c>
      <c r="AB97">
        <v>381.59</v>
      </c>
      <c r="AC97">
        <v>599.12</v>
      </c>
      <c r="AD97">
        <v>41.06</v>
      </c>
      <c r="AE97">
        <v>58.19</v>
      </c>
      <c r="AF97">
        <v>5.57</v>
      </c>
      <c r="AG97" s="1" t="s">
        <v>96</v>
      </c>
      <c r="AH97">
        <v>14.45</v>
      </c>
      <c r="AI97">
        <v>13.48</v>
      </c>
      <c r="AJ97" s="1">
        <v>9.0500000000000007</v>
      </c>
      <c r="AK97">
        <v>109.43</v>
      </c>
      <c r="AL97">
        <v>6.45</v>
      </c>
      <c r="AM97">
        <v>173.06</v>
      </c>
      <c r="AN97" s="1" t="s">
        <v>96</v>
      </c>
      <c r="AO97">
        <v>59.79</v>
      </c>
      <c r="AP97">
        <v>35.93</v>
      </c>
    </row>
    <row r="98" spans="1:42" ht="15.75">
      <c r="A98" t="s">
        <v>256</v>
      </c>
      <c r="B98" s="2" t="s">
        <v>256</v>
      </c>
      <c r="C98" s="2" t="str">
        <f t="shared" si="1"/>
        <v>TRUE</v>
      </c>
      <c r="D98" s="2" t="s">
        <v>858</v>
      </c>
      <c r="E98" s="2" t="s">
        <v>859</v>
      </c>
      <c r="F98" s="2" t="s">
        <v>860</v>
      </c>
      <c r="G98" s="3">
        <v>34403</v>
      </c>
      <c r="H98" s="3">
        <v>43664</v>
      </c>
      <c r="I98" s="2">
        <v>25</v>
      </c>
      <c r="J98" s="2">
        <v>5</v>
      </c>
      <c r="K98" s="2" t="s">
        <v>861</v>
      </c>
      <c r="L98" s="2">
        <v>312</v>
      </c>
      <c r="M98" s="2">
        <v>3</v>
      </c>
      <c r="N98">
        <v>10.87</v>
      </c>
      <c r="O98">
        <v>8.67</v>
      </c>
      <c r="P98" s="1" t="s">
        <v>96</v>
      </c>
      <c r="Q98">
        <v>19.010000000000002</v>
      </c>
      <c r="R98" s="1" t="s">
        <v>96</v>
      </c>
      <c r="S98" t="s">
        <v>96</v>
      </c>
      <c r="T98">
        <v>166.79</v>
      </c>
      <c r="U98" s="1">
        <v>594.80999999999995</v>
      </c>
      <c r="V98">
        <v>1.79</v>
      </c>
      <c r="W98">
        <v>280.73</v>
      </c>
      <c r="X98">
        <v>13.48</v>
      </c>
      <c r="Y98" s="1" t="s">
        <v>96</v>
      </c>
      <c r="Z98" t="s">
        <v>133</v>
      </c>
      <c r="AA98" t="s">
        <v>96</v>
      </c>
      <c r="AB98">
        <v>16.62</v>
      </c>
      <c r="AC98" t="s">
        <v>133</v>
      </c>
      <c r="AD98">
        <v>66.7</v>
      </c>
      <c r="AE98">
        <v>37.299999999999997</v>
      </c>
      <c r="AF98" t="s">
        <v>96</v>
      </c>
      <c r="AG98" s="1" t="s">
        <v>96</v>
      </c>
      <c r="AH98">
        <v>62.05</v>
      </c>
      <c r="AI98" t="s">
        <v>96</v>
      </c>
      <c r="AJ98" s="1" t="s">
        <v>96</v>
      </c>
      <c r="AK98">
        <v>180.56</v>
      </c>
      <c r="AL98" t="s">
        <v>96</v>
      </c>
      <c r="AM98">
        <v>5.36</v>
      </c>
      <c r="AN98" s="1" t="s">
        <v>96</v>
      </c>
      <c r="AO98">
        <v>7.95</v>
      </c>
      <c r="AP98" t="s">
        <v>96</v>
      </c>
    </row>
    <row r="99" spans="1:42" ht="15.75">
      <c r="A99" t="s">
        <v>829</v>
      </c>
      <c r="B99" s="2" t="s">
        <v>829</v>
      </c>
      <c r="C99" s="2" t="str">
        <f t="shared" si="1"/>
        <v>TRUE</v>
      </c>
      <c r="D99" s="2" t="s">
        <v>865</v>
      </c>
      <c r="E99" s="2" t="s">
        <v>866</v>
      </c>
      <c r="F99" s="2" t="s">
        <v>864</v>
      </c>
      <c r="G99" s="3">
        <v>22293</v>
      </c>
      <c r="H99" s="3">
        <v>43657</v>
      </c>
      <c r="I99" s="2">
        <v>58</v>
      </c>
      <c r="J99" s="2">
        <v>1</v>
      </c>
      <c r="K99" s="2" t="s">
        <v>861</v>
      </c>
      <c r="L99" s="2">
        <v>1013</v>
      </c>
      <c r="M99" s="2">
        <v>8</v>
      </c>
      <c r="N99">
        <v>9.91</v>
      </c>
      <c r="O99" t="s">
        <v>96</v>
      </c>
      <c r="P99" s="1">
        <v>2.46</v>
      </c>
      <c r="Q99">
        <v>31.08</v>
      </c>
      <c r="R99" s="1" t="s">
        <v>96</v>
      </c>
      <c r="S99">
        <v>49.34</v>
      </c>
      <c r="T99">
        <v>14.52</v>
      </c>
      <c r="U99" s="1" t="s">
        <v>96</v>
      </c>
      <c r="V99">
        <v>3.56</v>
      </c>
      <c r="W99">
        <v>18.13</v>
      </c>
      <c r="X99">
        <v>1.88</v>
      </c>
      <c r="Y99" s="1" t="s">
        <v>96</v>
      </c>
      <c r="Z99">
        <v>156.9</v>
      </c>
      <c r="AA99">
        <v>68.77</v>
      </c>
      <c r="AB99">
        <v>7.98</v>
      </c>
      <c r="AC99">
        <v>46.83</v>
      </c>
      <c r="AD99">
        <v>3.27</v>
      </c>
      <c r="AE99">
        <v>15.54</v>
      </c>
      <c r="AF99">
        <v>7.33</v>
      </c>
      <c r="AG99" s="1" t="s">
        <v>96</v>
      </c>
      <c r="AH99">
        <v>11.75</v>
      </c>
      <c r="AI99">
        <v>58.86</v>
      </c>
      <c r="AJ99" s="1">
        <v>3.14</v>
      </c>
      <c r="AK99">
        <v>35.47</v>
      </c>
      <c r="AL99">
        <v>5.32</v>
      </c>
      <c r="AM99">
        <v>262.2</v>
      </c>
      <c r="AN99" s="1">
        <v>13.65</v>
      </c>
      <c r="AO99">
        <v>14.9</v>
      </c>
      <c r="AP99">
        <v>73.31</v>
      </c>
    </row>
    <row r="100" spans="1:42" ht="15.75">
      <c r="A100" t="s">
        <v>778</v>
      </c>
      <c r="B100" s="2" t="s">
        <v>778</v>
      </c>
      <c r="C100" s="2" t="str">
        <f t="shared" si="1"/>
        <v>TRUE</v>
      </c>
      <c r="D100" s="2" t="s">
        <v>854</v>
      </c>
      <c r="E100" s="2" t="s">
        <v>871</v>
      </c>
      <c r="F100" s="2" t="s">
        <v>856</v>
      </c>
      <c r="G100" s="3">
        <v>34656</v>
      </c>
      <c r="H100" s="3">
        <v>43695</v>
      </c>
      <c r="I100" s="2">
        <v>24</v>
      </c>
      <c r="J100" s="2">
        <v>1</v>
      </c>
      <c r="K100" s="2" t="s">
        <v>857</v>
      </c>
      <c r="L100" s="2" t="s">
        <v>856</v>
      </c>
      <c r="M100" s="2" t="s">
        <v>856</v>
      </c>
      <c r="N100">
        <v>9.7899999999999991</v>
      </c>
      <c r="O100">
        <v>1.63</v>
      </c>
      <c r="P100" s="1" t="s">
        <v>96</v>
      </c>
      <c r="Q100">
        <v>15.66</v>
      </c>
      <c r="R100" s="1" t="s">
        <v>96</v>
      </c>
      <c r="S100">
        <v>7.4</v>
      </c>
      <c r="T100">
        <v>37.6</v>
      </c>
      <c r="U100" s="1" t="s">
        <v>96</v>
      </c>
      <c r="V100">
        <v>6.75</v>
      </c>
      <c r="W100">
        <v>47.89</v>
      </c>
      <c r="X100">
        <v>1.92</v>
      </c>
      <c r="Y100" s="1">
        <v>4.71</v>
      </c>
      <c r="Z100" t="s">
        <v>133</v>
      </c>
      <c r="AA100">
        <v>285.51</v>
      </c>
      <c r="AB100">
        <v>98.36</v>
      </c>
      <c r="AC100" t="s">
        <v>133</v>
      </c>
      <c r="AD100">
        <v>61.38</v>
      </c>
      <c r="AE100">
        <v>720.08</v>
      </c>
      <c r="AF100">
        <v>68.11</v>
      </c>
      <c r="AG100" s="1">
        <v>7.22</v>
      </c>
      <c r="AH100">
        <v>233.36</v>
      </c>
      <c r="AI100">
        <v>262.10000000000002</v>
      </c>
      <c r="AJ100" s="1" t="s">
        <v>96</v>
      </c>
      <c r="AK100">
        <v>298.74</v>
      </c>
      <c r="AL100">
        <v>64.709999999999994</v>
      </c>
      <c r="AM100">
        <v>521</v>
      </c>
      <c r="AN100" s="1">
        <v>19.190000000000001</v>
      </c>
      <c r="AO100">
        <v>29.17</v>
      </c>
      <c r="AP100">
        <v>58.72</v>
      </c>
    </row>
    <row r="101" spans="1:42" ht="15.75">
      <c r="A101" t="s">
        <v>589</v>
      </c>
      <c r="B101" s="2" t="s">
        <v>589</v>
      </c>
      <c r="C101" s="2" t="str">
        <f t="shared" si="1"/>
        <v>TRUE</v>
      </c>
      <c r="D101" s="2" t="s">
        <v>854</v>
      </c>
      <c r="E101" s="2" t="s">
        <v>862</v>
      </c>
      <c r="F101" s="2" t="s">
        <v>856</v>
      </c>
      <c r="G101" s="3">
        <v>34502</v>
      </c>
      <c r="H101" s="3">
        <v>43763</v>
      </c>
      <c r="I101" s="2">
        <v>25</v>
      </c>
      <c r="J101" s="2">
        <v>2</v>
      </c>
      <c r="K101" s="2" t="s">
        <v>861</v>
      </c>
      <c r="L101" s="2">
        <v>106</v>
      </c>
      <c r="M101" s="2" t="s">
        <v>856</v>
      </c>
      <c r="N101">
        <v>21.44</v>
      </c>
      <c r="O101">
        <v>1.29</v>
      </c>
      <c r="P101" s="1">
        <v>2.29</v>
      </c>
      <c r="Q101">
        <v>98.94</v>
      </c>
      <c r="R101" s="1" t="s">
        <v>96</v>
      </c>
      <c r="S101">
        <v>43.49</v>
      </c>
      <c r="T101">
        <v>36.29</v>
      </c>
      <c r="U101" s="1">
        <v>42.03</v>
      </c>
      <c r="V101">
        <v>16.010000000000002</v>
      </c>
      <c r="W101">
        <v>26.57</v>
      </c>
      <c r="X101">
        <v>19.829999999999998</v>
      </c>
      <c r="Y101" s="1" t="s">
        <v>96</v>
      </c>
      <c r="Z101">
        <v>533.77</v>
      </c>
      <c r="AA101">
        <v>109.4</v>
      </c>
      <c r="AB101">
        <v>103.33</v>
      </c>
      <c r="AC101">
        <v>201.66</v>
      </c>
      <c r="AD101">
        <v>68.02</v>
      </c>
      <c r="AE101">
        <v>170.04</v>
      </c>
      <c r="AF101">
        <v>41.5</v>
      </c>
      <c r="AG101" s="1">
        <v>20.190000000000001</v>
      </c>
      <c r="AH101">
        <v>65.89</v>
      </c>
      <c r="AI101">
        <v>48.99</v>
      </c>
      <c r="AJ101" s="1" t="s">
        <v>96</v>
      </c>
      <c r="AK101">
        <v>72.34</v>
      </c>
      <c r="AL101">
        <v>50.01</v>
      </c>
      <c r="AM101">
        <v>65.790000000000006</v>
      </c>
      <c r="AN101" s="1">
        <v>43.54</v>
      </c>
      <c r="AO101">
        <v>33.479999999999997</v>
      </c>
      <c r="AP101">
        <v>56.67</v>
      </c>
    </row>
    <row r="102" spans="1:42" ht="15.75">
      <c r="A102" t="s">
        <v>114</v>
      </c>
      <c r="B102" s="2" t="s">
        <v>114</v>
      </c>
      <c r="C102" s="2" t="str">
        <f t="shared" si="1"/>
        <v>TRUE</v>
      </c>
      <c r="D102" s="2" t="s">
        <v>858</v>
      </c>
      <c r="E102" s="2" t="s">
        <v>859</v>
      </c>
      <c r="F102" s="2" t="s">
        <v>864</v>
      </c>
      <c r="G102" s="3">
        <v>31823</v>
      </c>
      <c r="H102" s="3">
        <v>43726</v>
      </c>
      <c r="I102" s="2">
        <v>32</v>
      </c>
      <c r="J102" s="2">
        <v>3</v>
      </c>
      <c r="K102" s="2" t="s">
        <v>861</v>
      </c>
      <c r="L102" s="2">
        <v>15</v>
      </c>
      <c r="M102" s="2">
        <v>0</v>
      </c>
      <c r="N102">
        <v>11.36</v>
      </c>
      <c r="O102">
        <v>3.23</v>
      </c>
      <c r="P102" s="1">
        <v>9.9700000000000006</v>
      </c>
      <c r="Q102">
        <v>42.15</v>
      </c>
      <c r="R102" s="1">
        <v>15</v>
      </c>
      <c r="S102">
        <v>173.5</v>
      </c>
      <c r="T102">
        <v>159.94</v>
      </c>
      <c r="U102" s="1">
        <v>151.55000000000001</v>
      </c>
      <c r="V102">
        <v>17.93</v>
      </c>
      <c r="W102">
        <v>54.18</v>
      </c>
      <c r="X102">
        <v>4.8</v>
      </c>
      <c r="Y102" s="1">
        <v>6.58</v>
      </c>
      <c r="Z102">
        <v>926.37</v>
      </c>
      <c r="AA102">
        <v>205.3</v>
      </c>
      <c r="AB102">
        <v>48.69</v>
      </c>
      <c r="AC102">
        <v>462.62</v>
      </c>
      <c r="AD102">
        <v>16.13</v>
      </c>
      <c r="AE102">
        <v>563.54999999999995</v>
      </c>
      <c r="AF102">
        <v>142.30000000000001</v>
      </c>
      <c r="AG102" s="1">
        <v>5.99</v>
      </c>
      <c r="AH102">
        <v>232.79</v>
      </c>
      <c r="AI102">
        <v>200.99</v>
      </c>
      <c r="AJ102" s="1">
        <v>4.24</v>
      </c>
      <c r="AK102">
        <v>194.12</v>
      </c>
      <c r="AL102">
        <v>100.41</v>
      </c>
      <c r="AM102">
        <v>343.39</v>
      </c>
      <c r="AN102" s="1">
        <v>75.260000000000005</v>
      </c>
      <c r="AO102">
        <v>31.55</v>
      </c>
      <c r="AP102">
        <v>106.56</v>
      </c>
    </row>
    <row r="103" spans="1:42" ht="15.75">
      <c r="A103" t="s">
        <v>184</v>
      </c>
      <c r="B103" s="2" t="s">
        <v>184</v>
      </c>
      <c r="C103" s="2" t="str">
        <f t="shared" si="1"/>
        <v>TRUE</v>
      </c>
      <c r="D103" s="2" t="s">
        <v>858</v>
      </c>
      <c r="E103" s="2" t="s">
        <v>859</v>
      </c>
      <c r="F103" s="2" t="s">
        <v>864</v>
      </c>
      <c r="G103" s="3">
        <v>35211</v>
      </c>
      <c r="H103" s="3">
        <v>43728</v>
      </c>
      <c r="I103" s="2">
        <v>23</v>
      </c>
      <c r="J103" s="2">
        <v>2</v>
      </c>
      <c r="K103" s="2" t="s">
        <v>857</v>
      </c>
      <c r="L103" s="2">
        <v>64</v>
      </c>
      <c r="M103" s="2">
        <v>2</v>
      </c>
      <c r="N103">
        <v>17.309999999999999</v>
      </c>
      <c r="O103">
        <v>23.03</v>
      </c>
      <c r="P103" s="1">
        <v>8.1199999999999992</v>
      </c>
      <c r="Q103">
        <v>12.87</v>
      </c>
      <c r="R103" s="1">
        <v>10.210000000000001</v>
      </c>
      <c r="S103">
        <v>452.94</v>
      </c>
      <c r="T103">
        <v>508.28</v>
      </c>
      <c r="U103" s="1">
        <v>85.98</v>
      </c>
      <c r="V103">
        <v>27.01</v>
      </c>
      <c r="W103">
        <v>535.67999999999995</v>
      </c>
      <c r="X103">
        <v>13.76</v>
      </c>
      <c r="Y103" s="1">
        <v>8.42</v>
      </c>
      <c r="Z103">
        <v>1891.74</v>
      </c>
      <c r="AA103">
        <v>553.82000000000005</v>
      </c>
      <c r="AB103">
        <v>75.73</v>
      </c>
      <c r="AC103">
        <v>214.66</v>
      </c>
      <c r="AD103">
        <v>7.08</v>
      </c>
      <c r="AE103">
        <v>134.25</v>
      </c>
      <c r="AF103">
        <v>38.32</v>
      </c>
      <c r="AG103" s="1">
        <v>3.09</v>
      </c>
      <c r="AH103">
        <v>23.99</v>
      </c>
      <c r="AI103">
        <v>76.56</v>
      </c>
      <c r="AJ103" s="1">
        <v>8.52</v>
      </c>
      <c r="AK103">
        <v>74.150000000000006</v>
      </c>
      <c r="AL103">
        <v>10.130000000000001</v>
      </c>
      <c r="AM103">
        <v>482.5</v>
      </c>
      <c r="AN103" s="1">
        <v>28.72</v>
      </c>
      <c r="AO103">
        <v>23.76</v>
      </c>
      <c r="AP103">
        <v>127.8</v>
      </c>
    </row>
    <row r="104" spans="1:42" ht="15.75">
      <c r="A104" t="s">
        <v>754</v>
      </c>
      <c r="B104" s="2" t="s">
        <v>754</v>
      </c>
      <c r="C104" s="2" t="str">
        <f t="shared" si="1"/>
        <v>TRUE</v>
      </c>
      <c r="D104" s="2" t="s">
        <v>865</v>
      </c>
      <c r="E104" s="2" t="s">
        <v>873</v>
      </c>
      <c r="F104" s="2" t="s">
        <v>864</v>
      </c>
      <c r="G104" s="3">
        <v>25311</v>
      </c>
      <c r="H104" s="3">
        <v>43731</v>
      </c>
      <c r="I104" s="2">
        <v>50</v>
      </c>
      <c r="J104" s="2">
        <v>1</v>
      </c>
      <c r="K104" s="2" t="s">
        <v>857</v>
      </c>
      <c r="L104" s="2">
        <v>1112</v>
      </c>
      <c r="M104" s="2">
        <v>8</v>
      </c>
      <c r="N104">
        <v>16.54</v>
      </c>
      <c r="O104">
        <v>2.08</v>
      </c>
      <c r="P104" s="1">
        <v>11.73</v>
      </c>
      <c r="Q104">
        <v>208.22</v>
      </c>
      <c r="R104" s="1">
        <v>35.44</v>
      </c>
      <c r="S104">
        <v>291.97000000000003</v>
      </c>
      <c r="T104">
        <v>229.64</v>
      </c>
      <c r="U104" s="1">
        <v>456.32</v>
      </c>
      <c r="V104">
        <v>52.81</v>
      </c>
      <c r="W104">
        <v>20.28</v>
      </c>
      <c r="X104" t="s">
        <v>96</v>
      </c>
      <c r="Y104" s="1">
        <v>3.85</v>
      </c>
      <c r="Z104">
        <v>1035.46</v>
      </c>
      <c r="AA104">
        <v>290.2</v>
      </c>
      <c r="AB104">
        <v>92.94</v>
      </c>
      <c r="AC104">
        <v>180.71</v>
      </c>
      <c r="AD104">
        <v>8.5500000000000007</v>
      </c>
      <c r="AE104">
        <v>70.540000000000006</v>
      </c>
      <c r="AF104">
        <v>21.18</v>
      </c>
      <c r="AG104" s="1" t="s">
        <v>96</v>
      </c>
      <c r="AH104">
        <v>11.71</v>
      </c>
      <c r="AI104">
        <v>153.96</v>
      </c>
      <c r="AJ104" s="1">
        <v>9.9600000000000009</v>
      </c>
      <c r="AK104">
        <v>193.3</v>
      </c>
      <c r="AL104">
        <v>17.600000000000001</v>
      </c>
      <c r="AM104">
        <v>1567.36</v>
      </c>
      <c r="AN104" s="1">
        <v>18.010000000000002</v>
      </c>
      <c r="AO104">
        <v>32.36</v>
      </c>
      <c r="AP104">
        <v>168.56</v>
      </c>
    </row>
    <row r="105" spans="1:42" ht="15.75">
      <c r="A105" t="s">
        <v>565</v>
      </c>
      <c r="B105" s="2" t="s">
        <v>565</v>
      </c>
      <c r="C105" s="2" t="str">
        <f t="shared" si="1"/>
        <v>TRUE</v>
      </c>
      <c r="D105" s="2" t="s">
        <v>858</v>
      </c>
      <c r="E105" s="2" t="s">
        <v>859</v>
      </c>
      <c r="F105" s="2" t="s">
        <v>864</v>
      </c>
      <c r="G105" s="3">
        <v>36196</v>
      </c>
      <c r="H105" s="3">
        <v>43748</v>
      </c>
      <c r="I105" s="2">
        <v>20</v>
      </c>
      <c r="J105" s="2">
        <v>4</v>
      </c>
      <c r="K105" s="2" t="s">
        <v>857</v>
      </c>
      <c r="L105" s="2">
        <v>60</v>
      </c>
      <c r="M105" s="2">
        <v>1</v>
      </c>
      <c r="N105">
        <v>28.1</v>
      </c>
      <c r="O105">
        <v>1.06</v>
      </c>
      <c r="P105" s="1" t="s">
        <v>96</v>
      </c>
      <c r="Q105">
        <v>20.91</v>
      </c>
      <c r="R105" s="1" t="s">
        <v>96</v>
      </c>
      <c r="S105">
        <v>67.37</v>
      </c>
      <c r="T105">
        <v>219.59</v>
      </c>
      <c r="U105" s="1" t="s">
        <v>96</v>
      </c>
      <c r="V105">
        <v>14.82</v>
      </c>
      <c r="W105">
        <v>33.22</v>
      </c>
      <c r="X105">
        <v>9.8000000000000007</v>
      </c>
      <c r="Y105" s="1">
        <v>7.53</v>
      </c>
      <c r="Z105">
        <v>1828.76</v>
      </c>
      <c r="AA105">
        <v>142</v>
      </c>
      <c r="AB105">
        <v>92.01</v>
      </c>
      <c r="AC105">
        <v>325.74</v>
      </c>
      <c r="AD105">
        <v>48.96</v>
      </c>
      <c r="AE105">
        <v>162.13999999999999</v>
      </c>
      <c r="AF105">
        <v>20.309999999999999</v>
      </c>
      <c r="AG105" s="1" t="s">
        <v>96</v>
      </c>
      <c r="AH105">
        <v>34.01</v>
      </c>
      <c r="AI105">
        <v>34.020000000000003</v>
      </c>
      <c r="AJ105" s="1" t="s">
        <v>96</v>
      </c>
      <c r="AK105">
        <v>134.4</v>
      </c>
      <c r="AL105">
        <v>20.36</v>
      </c>
      <c r="AM105">
        <v>167.45</v>
      </c>
      <c r="AN105" s="1">
        <v>8.43</v>
      </c>
      <c r="AO105">
        <v>14.71</v>
      </c>
      <c r="AP105">
        <v>39.85</v>
      </c>
    </row>
    <row r="106" spans="1:42" ht="15.75">
      <c r="A106" t="s">
        <v>493</v>
      </c>
      <c r="B106" s="2" t="s">
        <v>493</v>
      </c>
      <c r="C106" s="2" t="str">
        <f t="shared" si="1"/>
        <v>TRUE</v>
      </c>
      <c r="D106" s="2" t="s">
        <v>858</v>
      </c>
      <c r="E106" s="2" t="s">
        <v>863</v>
      </c>
      <c r="F106" s="2" t="s">
        <v>864</v>
      </c>
      <c r="G106" s="3">
        <v>23573</v>
      </c>
      <c r="H106" s="3">
        <v>43742</v>
      </c>
      <c r="I106" s="2">
        <v>55</v>
      </c>
      <c r="J106" s="2">
        <v>4</v>
      </c>
      <c r="K106" s="2" t="s">
        <v>857</v>
      </c>
      <c r="L106" s="2">
        <v>4476</v>
      </c>
      <c r="M106" s="2">
        <v>1</v>
      </c>
      <c r="N106">
        <v>14.99</v>
      </c>
      <c r="O106">
        <v>2.77</v>
      </c>
      <c r="P106" s="1">
        <v>3.72</v>
      </c>
      <c r="Q106">
        <v>46.81</v>
      </c>
      <c r="R106" s="1" t="s">
        <v>96</v>
      </c>
      <c r="S106">
        <v>125.08</v>
      </c>
      <c r="T106">
        <v>251.04</v>
      </c>
      <c r="U106" s="1" t="s">
        <v>96</v>
      </c>
      <c r="V106">
        <v>30.8</v>
      </c>
      <c r="W106">
        <v>76.3</v>
      </c>
      <c r="X106">
        <v>4.66</v>
      </c>
      <c r="Y106" s="1">
        <v>4.04</v>
      </c>
      <c r="Z106">
        <v>1758.15</v>
      </c>
      <c r="AA106">
        <v>303.01</v>
      </c>
      <c r="AB106">
        <v>137.56</v>
      </c>
      <c r="AC106">
        <v>597.35</v>
      </c>
      <c r="AD106">
        <v>24.71</v>
      </c>
      <c r="AE106">
        <v>263.32</v>
      </c>
      <c r="AF106">
        <v>51.49</v>
      </c>
      <c r="AG106" s="1" t="s">
        <v>96</v>
      </c>
      <c r="AH106">
        <v>95.48</v>
      </c>
      <c r="AI106">
        <v>149.88999999999999</v>
      </c>
      <c r="AJ106" s="1" t="s">
        <v>96</v>
      </c>
      <c r="AK106">
        <v>306.07</v>
      </c>
      <c r="AL106">
        <v>94.35</v>
      </c>
      <c r="AM106">
        <v>621.32000000000005</v>
      </c>
      <c r="AN106" s="1">
        <v>52.57</v>
      </c>
      <c r="AO106">
        <v>66.72</v>
      </c>
      <c r="AP106">
        <v>164.97</v>
      </c>
    </row>
    <row r="107" spans="1:42" ht="15.75">
      <c r="A107" t="s">
        <v>334</v>
      </c>
      <c r="B107" s="2" t="s">
        <v>334</v>
      </c>
      <c r="C107" s="2" t="str">
        <f t="shared" si="1"/>
        <v>TRUE</v>
      </c>
      <c r="D107" s="2" t="s">
        <v>858</v>
      </c>
      <c r="E107" s="2" t="s">
        <v>863</v>
      </c>
      <c r="F107" s="2" t="s">
        <v>864</v>
      </c>
      <c r="G107" s="3">
        <v>29437</v>
      </c>
      <c r="H107" s="3">
        <v>43796</v>
      </c>
      <c r="I107" s="2">
        <v>39</v>
      </c>
      <c r="J107" s="2">
        <v>4</v>
      </c>
      <c r="K107" s="2" t="s">
        <v>857</v>
      </c>
      <c r="L107" s="2">
        <v>98</v>
      </c>
      <c r="M107" s="2">
        <v>0</v>
      </c>
      <c r="N107">
        <v>21.6</v>
      </c>
      <c r="O107">
        <v>2.09</v>
      </c>
      <c r="P107" s="1">
        <v>5.89</v>
      </c>
      <c r="Q107">
        <v>60.62</v>
      </c>
      <c r="R107" s="1">
        <v>16.13</v>
      </c>
      <c r="S107">
        <v>200.22</v>
      </c>
      <c r="T107">
        <v>130.55000000000001</v>
      </c>
      <c r="U107" s="1">
        <v>758.16</v>
      </c>
      <c r="V107">
        <v>31.58</v>
      </c>
      <c r="W107">
        <v>98.58</v>
      </c>
      <c r="X107">
        <v>11.53</v>
      </c>
      <c r="Y107" s="1">
        <v>21.11</v>
      </c>
      <c r="Z107" t="s">
        <v>133</v>
      </c>
      <c r="AA107">
        <v>1405.42</v>
      </c>
      <c r="AB107">
        <v>232.91</v>
      </c>
      <c r="AC107" t="s">
        <v>133</v>
      </c>
      <c r="AD107">
        <v>40.43</v>
      </c>
      <c r="AE107">
        <v>589.41999999999996</v>
      </c>
      <c r="AF107">
        <v>324.29000000000002</v>
      </c>
      <c r="AG107" s="1">
        <v>7.22</v>
      </c>
      <c r="AH107">
        <v>251.25</v>
      </c>
      <c r="AI107">
        <v>429.79</v>
      </c>
      <c r="AJ107" s="1">
        <v>22.92</v>
      </c>
      <c r="AK107">
        <v>348.69</v>
      </c>
      <c r="AL107">
        <v>52.31</v>
      </c>
      <c r="AM107">
        <v>1172.31</v>
      </c>
      <c r="AN107" s="1">
        <v>61.61</v>
      </c>
      <c r="AO107">
        <v>81.28</v>
      </c>
      <c r="AP107">
        <v>211.37</v>
      </c>
    </row>
    <row r="108" spans="1:42" ht="15.75">
      <c r="A108" t="s">
        <v>508</v>
      </c>
      <c r="B108" s="2" t="s">
        <v>508</v>
      </c>
      <c r="C108" s="2" t="str">
        <f t="shared" si="1"/>
        <v>TRUE</v>
      </c>
      <c r="D108" s="2" t="s">
        <v>858</v>
      </c>
      <c r="E108" s="2" t="s">
        <v>868</v>
      </c>
      <c r="F108" s="2" t="s">
        <v>864</v>
      </c>
      <c r="G108" s="3">
        <v>34720</v>
      </c>
      <c r="H108" s="3">
        <v>43812</v>
      </c>
      <c r="I108" s="2">
        <v>24</v>
      </c>
      <c r="J108" s="2">
        <v>1</v>
      </c>
      <c r="K108" s="2" t="s">
        <v>857</v>
      </c>
      <c r="L108" s="2">
        <v>375</v>
      </c>
      <c r="M108" s="2">
        <v>9</v>
      </c>
      <c r="N108">
        <v>18.38</v>
      </c>
      <c r="O108">
        <v>3.57</v>
      </c>
      <c r="P108" s="1">
        <v>19.920000000000002</v>
      </c>
      <c r="Q108">
        <v>92.63</v>
      </c>
      <c r="R108" s="1">
        <v>58.14</v>
      </c>
      <c r="S108">
        <v>409.96</v>
      </c>
      <c r="T108">
        <v>104.58</v>
      </c>
      <c r="U108" s="1">
        <v>1154.25</v>
      </c>
      <c r="V108">
        <v>29.8</v>
      </c>
      <c r="W108">
        <v>74.349999999999994</v>
      </c>
      <c r="X108">
        <v>1.06</v>
      </c>
      <c r="Y108" s="1" t="s">
        <v>96</v>
      </c>
      <c r="Z108">
        <v>1505.83</v>
      </c>
      <c r="AA108">
        <v>1299.6300000000001</v>
      </c>
      <c r="AB108">
        <v>72.989999999999995</v>
      </c>
      <c r="AC108" t="s">
        <v>133</v>
      </c>
      <c r="AD108">
        <v>38.64</v>
      </c>
      <c r="AE108">
        <v>57.84</v>
      </c>
      <c r="AF108">
        <v>87.94</v>
      </c>
      <c r="AG108" s="1">
        <v>8.74</v>
      </c>
      <c r="AH108">
        <v>59.69</v>
      </c>
      <c r="AI108">
        <v>97.14</v>
      </c>
      <c r="AJ108" s="1">
        <v>3.71</v>
      </c>
      <c r="AK108">
        <v>325.49</v>
      </c>
      <c r="AL108">
        <v>14.78</v>
      </c>
      <c r="AM108">
        <v>1360.04</v>
      </c>
      <c r="AN108" s="1">
        <v>119.54</v>
      </c>
      <c r="AO108">
        <v>29.25</v>
      </c>
      <c r="AP108">
        <v>1178.56</v>
      </c>
    </row>
    <row r="109" spans="1:42" ht="15.75">
      <c r="A109" t="s">
        <v>123</v>
      </c>
      <c r="B109" s="2" t="s">
        <v>123</v>
      </c>
      <c r="C109" s="2" t="str">
        <f t="shared" si="1"/>
        <v>TRUE</v>
      </c>
      <c r="D109" s="2" t="s">
        <v>854</v>
      </c>
      <c r="E109" s="2" t="s">
        <v>862</v>
      </c>
      <c r="F109" s="2" t="s">
        <v>856</v>
      </c>
      <c r="G109" s="3">
        <v>29236</v>
      </c>
      <c r="H109" s="3">
        <v>43763</v>
      </c>
      <c r="I109" s="2">
        <v>39</v>
      </c>
      <c r="J109" s="2">
        <v>1</v>
      </c>
      <c r="K109" s="2" t="s">
        <v>857</v>
      </c>
      <c r="L109" s="2">
        <v>2317</v>
      </c>
      <c r="M109" s="2" t="s">
        <v>856</v>
      </c>
      <c r="N109">
        <v>24.6</v>
      </c>
      <c r="O109">
        <v>5.45</v>
      </c>
      <c r="P109" s="1">
        <v>3.05</v>
      </c>
      <c r="Q109">
        <v>364.23</v>
      </c>
      <c r="R109" s="1">
        <v>11.06</v>
      </c>
      <c r="S109">
        <v>106.17</v>
      </c>
      <c r="T109">
        <v>140.9</v>
      </c>
      <c r="U109" s="1">
        <v>66.760000000000005</v>
      </c>
      <c r="V109">
        <v>70.44</v>
      </c>
      <c r="W109">
        <v>153.84</v>
      </c>
      <c r="X109">
        <v>9.67</v>
      </c>
      <c r="Y109" s="1" t="s">
        <v>96</v>
      </c>
      <c r="Z109">
        <v>517.97</v>
      </c>
      <c r="AA109">
        <v>75.84</v>
      </c>
      <c r="AB109">
        <v>104.43</v>
      </c>
      <c r="AC109">
        <v>174.82</v>
      </c>
      <c r="AD109">
        <v>9.6999999999999993</v>
      </c>
      <c r="AE109">
        <v>45.18</v>
      </c>
      <c r="AF109">
        <v>7.4</v>
      </c>
      <c r="AG109" s="1" t="s">
        <v>96</v>
      </c>
      <c r="AH109">
        <v>14.94</v>
      </c>
      <c r="AI109">
        <v>39.799999999999997</v>
      </c>
      <c r="AJ109" s="1">
        <v>3.12</v>
      </c>
      <c r="AK109">
        <v>52.55</v>
      </c>
      <c r="AL109">
        <v>12.55</v>
      </c>
      <c r="AM109">
        <v>122.41</v>
      </c>
      <c r="AN109" s="1">
        <v>10.94</v>
      </c>
      <c r="AO109">
        <v>38.53</v>
      </c>
      <c r="AP109">
        <v>29.1</v>
      </c>
    </row>
    <row r="110" spans="1:42" ht="15.75">
      <c r="A110" t="s">
        <v>628</v>
      </c>
      <c r="B110" s="2" t="s">
        <v>628</v>
      </c>
      <c r="C110" s="2" t="str">
        <f t="shared" si="1"/>
        <v>TRUE</v>
      </c>
      <c r="D110" s="2" t="s">
        <v>854</v>
      </c>
      <c r="E110" s="2" t="s">
        <v>862</v>
      </c>
      <c r="F110" s="2" t="s">
        <v>856</v>
      </c>
      <c r="G110" s="3">
        <v>33514</v>
      </c>
      <c r="H110" s="3">
        <v>43805</v>
      </c>
      <c r="I110" s="2">
        <v>28</v>
      </c>
      <c r="J110" s="2">
        <v>1</v>
      </c>
      <c r="K110" s="2" t="s">
        <v>857</v>
      </c>
      <c r="L110" s="2">
        <v>874</v>
      </c>
      <c r="M110" s="2" t="s">
        <v>856</v>
      </c>
      <c r="N110">
        <v>11.83</v>
      </c>
      <c r="O110">
        <v>60.2</v>
      </c>
      <c r="P110" s="1">
        <v>10.1</v>
      </c>
      <c r="Q110">
        <v>462.25</v>
      </c>
      <c r="R110" s="1">
        <v>15.46</v>
      </c>
      <c r="S110">
        <v>370</v>
      </c>
      <c r="T110">
        <v>343.29</v>
      </c>
      <c r="U110" s="1">
        <v>271.68</v>
      </c>
      <c r="V110">
        <v>97.61</v>
      </c>
      <c r="W110">
        <v>43.61</v>
      </c>
      <c r="X110">
        <v>6.14</v>
      </c>
      <c r="Y110" s="1" t="s">
        <v>96</v>
      </c>
      <c r="Z110">
        <v>1729.73</v>
      </c>
      <c r="AA110">
        <v>344.33</v>
      </c>
      <c r="AB110">
        <v>262.44</v>
      </c>
      <c r="AC110">
        <v>268.06</v>
      </c>
      <c r="AD110">
        <v>25.55</v>
      </c>
      <c r="AE110">
        <v>153.51</v>
      </c>
      <c r="AF110">
        <v>40.54</v>
      </c>
      <c r="AG110" s="1">
        <v>12.95</v>
      </c>
      <c r="AH110">
        <v>32.44</v>
      </c>
      <c r="AI110">
        <v>28.12</v>
      </c>
      <c r="AJ110" s="1" t="s">
        <v>96</v>
      </c>
      <c r="AK110">
        <v>86.93</v>
      </c>
      <c r="AL110">
        <v>12.7</v>
      </c>
      <c r="AM110">
        <v>102.76</v>
      </c>
      <c r="AN110" s="1">
        <v>13.72</v>
      </c>
      <c r="AO110">
        <v>58.46</v>
      </c>
      <c r="AP110">
        <v>64.23</v>
      </c>
    </row>
    <row r="111" spans="1:42" ht="15.75">
      <c r="A111" t="s">
        <v>361</v>
      </c>
      <c r="B111" s="2" t="s">
        <v>361</v>
      </c>
      <c r="C111" s="2" t="str">
        <f t="shared" si="1"/>
        <v>TRUE</v>
      </c>
      <c r="D111" s="2" t="s">
        <v>858</v>
      </c>
      <c r="E111" s="2" t="s">
        <v>863</v>
      </c>
      <c r="F111" s="2" t="s">
        <v>860</v>
      </c>
      <c r="G111" s="3">
        <v>29943</v>
      </c>
      <c r="H111" s="3">
        <v>43733</v>
      </c>
      <c r="I111" s="2">
        <v>37</v>
      </c>
      <c r="J111" s="2">
        <v>3</v>
      </c>
      <c r="K111" s="2" t="s">
        <v>857</v>
      </c>
      <c r="L111" s="2">
        <v>11409</v>
      </c>
      <c r="M111" s="2">
        <v>10</v>
      </c>
      <c r="N111">
        <v>8.7799999999999994</v>
      </c>
      <c r="O111">
        <v>1.07</v>
      </c>
      <c r="P111" s="1">
        <v>1.1499999999999999</v>
      </c>
      <c r="Q111">
        <v>11.98</v>
      </c>
      <c r="R111" s="1" t="s">
        <v>96</v>
      </c>
      <c r="S111">
        <v>68.569999999999993</v>
      </c>
      <c r="T111">
        <v>34.369999999999997</v>
      </c>
      <c r="U111" s="1" t="s">
        <v>96</v>
      </c>
      <c r="V111">
        <v>11.36</v>
      </c>
      <c r="W111">
        <v>12.18</v>
      </c>
      <c r="X111">
        <v>4.6900000000000004</v>
      </c>
      <c r="Y111" s="1" t="s">
        <v>96</v>
      </c>
      <c r="Z111">
        <v>844.42</v>
      </c>
      <c r="AA111">
        <v>269</v>
      </c>
      <c r="AB111">
        <v>82.87</v>
      </c>
      <c r="AC111">
        <v>325.45999999999998</v>
      </c>
      <c r="AD111">
        <v>27.43</v>
      </c>
      <c r="AE111">
        <v>310.77999999999997</v>
      </c>
      <c r="AF111">
        <v>113.48</v>
      </c>
      <c r="AG111" s="1">
        <v>14.42</v>
      </c>
      <c r="AH111">
        <v>145.46</v>
      </c>
      <c r="AI111">
        <v>94.45</v>
      </c>
      <c r="AJ111" s="1" t="s">
        <v>96</v>
      </c>
      <c r="AK111">
        <v>76.97</v>
      </c>
      <c r="AL111">
        <v>44.39</v>
      </c>
      <c r="AM111">
        <v>136.38</v>
      </c>
      <c r="AN111" s="1">
        <v>63.89</v>
      </c>
      <c r="AO111">
        <v>28.81</v>
      </c>
      <c r="AP111">
        <v>87.68</v>
      </c>
    </row>
    <row r="112" spans="1:42" ht="15.75">
      <c r="A112" t="s">
        <v>283</v>
      </c>
      <c r="B112" s="2" t="s">
        <v>283</v>
      </c>
      <c r="C112" s="2" t="str">
        <f t="shared" si="1"/>
        <v>TRUE</v>
      </c>
      <c r="D112" s="2" t="s">
        <v>865</v>
      </c>
      <c r="E112" s="2" t="s">
        <v>874</v>
      </c>
      <c r="F112" s="2" t="s">
        <v>860</v>
      </c>
      <c r="G112" s="3">
        <v>21300</v>
      </c>
      <c r="H112" s="3">
        <v>43741</v>
      </c>
      <c r="I112" s="2">
        <v>61</v>
      </c>
      <c r="J112" s="2">
        <v>1</v>
      </c>
      <c r="K112" s="2" t="s">
        <v>861</v>
      </c>
      <c r="L112" s="2">
        <v>1217</v>
      </c>
      <c r="M112" s="2">
        <v>8</v>
      </c>
      <c r="N112">
        <v>9.1999999999999993</v>
      </c>
      <c r="O112">
        <v>22.07</v>
      </c>
      <c r="P112" s="1" t="s">
        <v>96</v>
      </c>
      <c r="Q112" t="s">
        <v>133</v>
      </c>
      <c r="R112" s="1" t="s">
        <v>96</v>
      </c>
      <c r="S112" t="s">
        <v>96</v>
      </c>
      <c r="T112">
        <v>555.4</v>
      </c>
      <c r="U112" s="1">
        <v>187.81</v>
      </c>
      <c r="V112">
        <v>309.16000000000003</v>
      </c>
      <c r="W112">
        <v>44.23</v>
      </c>
      <c r="X112">
        <v>1.18</v>
      </c>
      <c r="Y112" s="1" t="s">
        <v>96</v>
      </c>
      <c r="Z112">
        <v>2171.29</v>
      </c>
      <c r="AA112" t="s">
        <v>96</v>
      </c>
      <c r="AB112">
        <v>380.93</v>
      </c>
      <c r="AC112">
        <v>453.63</v>
      </c>
      <c r="AD112">
        <v>5.4</v>
      </c>
      <c r="AE112">
        <v>5.74</v>
      </c>
      <c r="AF112" t="s">
        <v>96</v>
      </c>
      <c r="AG112" s="1" t="s">
        <v>96</v>
      </c>
      <c r="AH112" t="s">
        <v>96</v>
      </c>
      <c r="AI112" t="s">
        <v>96</v>
      </c>
      <c r="AJ112" s="1" t="s">
        <v>96</v>
      </c>
      <c r="AK112">
        <v>81.96</v>
      </c>
      <c r="AL112" t="s">
        <v>96</v>
      </c>
      <c r="AM112">
        <v>5.39</v>
      </c>
      <c r="AN112" s="1" t="s">
        <v>96</v>
      </c>
      <c r="AO112">
        <v>113.52</v>
      </c>
      <c r="AP112" t="s">
        <v>96</v>
      </c>
    </row>
    <row r="113" spans="1:42" ht="15.75">
      <c r="A113" t="s">
        <v>640</v>
      </c>
      <c r="B113" s="2" t="s">
        <v>640</v>
      </c>
      <c r="C113" s="2" t="str">
        <f t="shared" si="1"/>
        <v>TRUE</v>
      </c>
      <c r="D113" s="2" t="s">
        <v>858</v>
      </c>
      <c r="E113" s="2" t="s">
        <v>863</v>
      </c>
      <c r="F113" s="2" t="s">
        <v>864</v>
      </c>
      <c r="G113" s="3">
        <v>33760</v>
      </c>
      <c r="H113" s="3">
        <v>43815</v>
      </c>
      <c r="I113" s="2">
        <v>27</v>
      </c>
      <c r="J113" s="2">
        <v>1</v>
      </c>
      <c r="K113" s="2" t="s">
        <v>857</v>
      </c>
      <c r="L113" s="2">
        <v>704</v>
      </c>
      <c r="M113" s="2">
        <v>10</v>
      </c>
      <c r="N113">
        <v>13.26</v>
      </c>
      <c r="O113">
        <v>2.94</v>
      </c>
      <c r="P113" s="1">
        <v>53.62</v>
      </c>
      <c r="Q113">
        <v>252.02</v>
      </c>
      <c r="R113" s="1">
        <v>77.510000000000005</v>
      </c>
      <c r="S113">
        <v>331.16</v>
      </c>
      <c r="T113">
        <v>36.56</v>
      </c>
      <c r="U113" s="1">
        <v>127.48</v>
      </c>
      <c r="V113">
        <v>57.95</v>
      </c>
      <c r="W113">
        <v>31.99</v>
      </c>
      <c r="X113">
        <v>3.62</v>
      </c>
      <c r="Y113" s="1">
        <v>4.43</v>
      </c>
      <c r="Z113">
        <v>503.11</v>
      </c>
      <c r="AA113">
        <v>314.06</v>
      </c>
      <c r="AB113">
        <v>56.47</v>
      </c>
      <c r="AC113">
        <v>349.51</v>
      </c>
      <c r="AD113">
        <v>22.81</v>
      </c>
      <c r="AE113">
        <v>53.7</v>
      </c>
      <c r="AF113">
        <v>34.9</v>
      </c>
      <c r="AG113" s="1">
        <v>3.95</v>
      </c>
      <c r="AH113">
        <v>31.49</v>
      </c>
      <c r="AI113">
        <v>69.72</v>
      </c>
      <c r="AJ113" s="1">
        <v>3.23</v>
      </c>
      <c r="AK113">
        <v>60.5</v>
      </c>
      <c r="AL113">
        <v>9.5299999999999994</v>
      </c>
      <c r="AM113">
        <v>476.69</v>
      </c>
      <c r="AN113" s="1">
        <v>14.06</v>
      </c>
      <c r="AO113">
        <v>11.28</v>
      </c>
      <c r="AP113">
        <v>77.209999999999994</v>
      </c>
    </row>
    <row r="114" spans="1:42" ht="15.75">
      <c r="A114" t="s">
        <v>511</v>
      </c>
      <c r="B114" s="2" t="s">
        <v>511</v>
      </c>
      <c r="C114" s="2" t="str">
        <f t="shared" si="1"/>
        <v>TRUE</v>
      </c>
      <c r="D114" s="2" t="s">
        <v>858</v>
      </c>
      <c r="E114" s="2" t="s">
        <v>868</v>
      </c>
      <c r="F114" s="2" t="s">
        <v>864</v>
      </c>
      <c r="G114" s="3">
        <v>34720</v>
      </c>
      <c r="H114" s="3">
        <v>43832</v>
      </c>
      <c r="I114" s="2">
        <v>24</v>
      </c>
      <c r="J114" s="4">
        <v>1</v>
      </c>
      <c r="K114" s="2" t="s">
        <v>857</v>
      </c>
      <c r="L114" s="2" t="s">
        <v>856</v>
      </c>
      <c r="M114" s="2">
        <v>5</v>
      </c>
      <c r="N114">
        <v>13.79</v>
      </c>
      <c r="O114" t="s">
        <v>96</v>
      </c>
      <c r="P114" s="1">
        <v>1.22</v>
      </c>
      <c r="Q114">
        <v>9.2899999999999991</v>
      </c>
      <c r="R114" s="1" t="s">
        <v>96</v>
      </c>
      <c r="S114">
        <v>70.02</v>
      </c>
      <c r="T114">
        <v>22.15</v>
      </c>
      <c r="U114" s="1">
        <v>646.46</v>
      </c>
      <c r="V114">
        <v>4.16</v>
      </c>
      <c r="W114">
        <v>67.75</v>
      </c>
      <c r="X114" t="s">
        <v>96</v>
      </c>
      <c r="Y114" s="1" t="s">
        <v>96</v>
      </c>
      <c r="Z114">
        <v>884.8</v>
      </c>
      <c r="AA114">
        <v>575.29</v>
      </c>
      <c r="AB114">
        <v>57.36</v>
      </c>
      <c r="AC114">
        <v>387.23</v>
      </c>
      <c r="AD114">
        <v>32.340000000000003</v>
      </c>
      <c r="AE114">
        <v>37.020000000000003</v>
      </c>
      <c r="AF114">
        <v>30.82</v>
      </c>
      <c r="AG114" s="1">
        <v>4.54</v>
      </c>
      <c r="AH114">
        <v>13.94</v>
      </c>
      <c r="AI114">
        <v>80.53</v>
      </c>
      <c r="AJ114" s="1">
        <v>17.16</v>
      </c>
      <c r="AK114">
        <v>213.62</v>
      </c>
      <c r="AL114">
        <v>14.2</v>
      </c>
      <c r="AM114">
        <v>666.98</v>
      </c>
      <c r="AN114" s="1">
        <v>70.58</v>
      </c>
      <c r="AO114">
        <v>33.31</v>
      </c>
      <c r="AP114">
        <v>754.92</v>
      </c>
    </row>
    <row r="115" spans="1:42" ht="15.75">
      <c r="A115" t="s">
        <v>637</v>
      </c>
      <c r="B115" s="2" t="s">
        <v>637</v>
      </c>
      <c r="C115" s="2" t="str">
        <f t="shared" si="1"/>
        <v>TRUE</v>
      </c>
      <c r="D115" s="2" t="s">
        <v>858</v>
      </c>
      <c r="E115" s="2" t="s">
        <v>863</v>
      </c>
      <c r="F115" s="2" t="s">
        <v>864</v>
      </c>
      <c r="G115" s="3">
        <v>33760</v>
      </c>
      <c r="H115" s="3">
        <v>43830</v>
      </c>
      <c r="I115" s="2">
        <v>27</v>
      </c>
      <c r="J115" s="2">
        <v>2</v>
      </c>
      <c r="K115" s="2" t="s">
        <v>857</v>
      </c>
      <c r="L115" s="2">
        <v>129</v>
      </c>
      <c r="M115" s="2">
        <v>0</v>
      </c>
      <c r="N115">
        <v>26.93</v>
      </c>
      <c r="O115">
        <v>6.41</v>
      </c>
      <c r="P115" s="1">
        <v>16.21</v>
      </c>
      <c r="Q115">
        <v>116.19</v>
      </c>
      <c r="R115" s="1">
        <v>33.99</v>
      </c>
      <c r="S115" t="s">
        <v>133</v>
      </c>
      <c r="T115">
        <v>345.56</v>
      </c>
      <c r="U115" s="1">
        <v>72.75</v>
      </c>
      <c r="V115">
        <v>66</v>
      </c>
      <c r="W115">
        <v>30.61</v>
      </c>
      <c r="X115">
        <v>5.1100000000000003</v>
      </c>
      <c r="Y115" s="1">
        <v>28.45</v>
      </c>
      <c r="Z115">
        <v>1415.73</v>
      </c>
      <c r="AA115">
        <v>1281.5999999999999</v>
      </c>
      <c r="AB115">
        <v>116.14</v>
      </c>
      <c r="AC115">
        <v>340.97</v>
      </c>
      <c r="AD115">
        <v>13.42</v>
      </c>
      <c r="AE115">
        <v>202.4</v>
      </c>
      <c r="AF115">
        <v>225.55</v>
      </c>
      <c r="AG115" s="1">
        <v>6.57</v>
      </c>
      <c r="AH115">
        <v>59.45</v>
      </c>
      <c r="AI115">
        <v>305.17</v>
      </c>
      <c r="AJ115" s="1">
        <v>5.86</v>
      </c>
      <c r="AK115">
        <v>86.48</v>
      </c>
      <c r="AL115">
        <v>15.42</v>
      </c>
      <c r="AM115">
        <v>1203.4100000000001</v>
      </c>
      <c r="AN115" s="1">
        <v>66.12</v>
      </c>
      <c r="AO115">
        <v>23.9</v>
      </c>
      <c r="AP115">
        <v>304.77</v>
      </c>
    </row>
    <row r="116" spans="1:42" ht="15.75">
      <c r="A116" t="s">
        <v>370</v>
      </c>
      <c r="B116" s="2" t="s">
        <v>370</v>
      </c>
      <c r="C116" s="2" t="str">
        <f t="shared" si="1"/>
        <v>TRUE</v>
      </c>
      <c r="D116" s="2" t="s">
        <v>858</v>
      </c>
      <c r="E116" s="2" t="s">
        <v>859</v>
      </c>
      <c r="F116" s="2" t="s">
        <v>860</v>
      </c>
      <c r="G116" s="3">
        <v>23236</v>
      </c>
      <c r="H116" s="3">
        <v>43866</v>
      </c>
      <c r="I116" s="2">
        <v>56</v>
      </c>
      <c r="J116" s="2">
        <v>1</v>
      </c>
      <c r="K116" s="2" t="s">
        <v>857</v>
      </c>
      <c r="L116" s="2">
        <v>1854</v>
      </c>
      <c r="M116" s="2">
        <v>14</v>
      </c>
      <c r="N116">
        <v>9.6300000000000008</v>
      </c>
      <c r="O116">
        <v>2.5299999999999998</v>
      </c>
      <c r="P116" s="1">
        <v>16.399999999999999</v>
      </c>
      <c r="Q116">
        <v>90.82</v>
      </c>
      <c r="R116" s="1">
        <v>22.66</v>
      </c>
      <c r="S116">
        <v>182.52</v>
      </c>
      <c r="T116">
        <v>68.599999999999994</v>
      </c>
      <c r="U116" s="1">
        <v>170.47</v>
      </c>
      <c r="V116">
        <v>10.44</v>
      </c>
      <c r="W116">
        <v>24.57</v>
      </c>
      <c r="X116" t="s">
        <v>96</v>
      </c>
      <c r="Y116" s="1" t="s">
        <v>96</v>
      </c>
      <c r="Z116">
        <v>877.53</v>
      </c>
      <c r="AA116">
        <v>954.48</v>
      </c>
      <c r="AB116">
        <v>35.340000000000003</v>
      </c>
      <c r="AC116" t="s">
        <v>133</v>
      </c>
      <c r="AD116">
        <v>10.53</v>
      </c>
      <c r="AE116">
        <v>73.42</v>
      </c>
      <c r="AF116">
        <v>99.07</v>
      </c>
      <c r="AG116" s="1" t="s">
        <v>96</v>
      </c>
      <c r="AH116">
        <v>237.2</v>
      </c>
      <c r="AI116">
        <v>46.08</v>
      </c>
      <c r="AJ116" s="1">
        <v>3.39</v>
      </c>
      <c r="AK116">
        <v>111.13</v>
      </c>
      <c r="AL116">
        <v>8.77</v>
      </c>
      <c r="AM116">
        <v>425.04</v>
      </c>
      <c r="AN116" s="1">
        <v>79.89</v>
      </c>
      <c r="AO116">
        <v>12.91</v>
      </c>
      <c r="AP116">
        <v>650.41999999999996</v>
      </c>
    </row>
    <row r="117" spans="1:42" ht="15.75">
      <c r="A117" t="s">
        <v>793</v>
      </c>
      <c r="B117" s="2" t="s">
        <v>793</v>
      </c>
      <c r="C117" s="2" t="str">
        <f t="shared" si="1"/>
        <v>TRUE</v>
      </c>
      <c r="D117" s="2" t="s">
        <v>865</v>
      </c>
      <c r="E117" s="2" t="s">
        <v>866</v>
      </c>
      <c r="F117" s="2" t="s">
        <v>864</v>
      </c>
      <c r="G117" s="3">
        <v>33242</v>
      </c>
      <c r="H117" s="3">
        <v>43878</v>
      </c>
      <c r="I117" s="2">
        <v>29</v>
      </c>
      <c r="J117" s="2">
        <v>1</v>
      </c>
      <c r="K117" s="2" t="s">
        <v>857</v>
      </c>
      <c r="L117" s="2">
        <v>148</v>
      </c>
      <c r="M117" s="2">
        <v>9</v>
      </c>
      <c r="N117">
        <v>5.3</v>
      </c>
      <c r="O117">
        <v>9.18</v>
      </c>
      <c r="P117" s="1">
        <v>17.100000000000001</v>
      </c>
      <c r="Q117">
        <v>459.95</v>
      </c>
      <c r="R117" s="1">
        <v>110.29</v>
      </c>
      <c r="S117">
        <v>593.26</v>
      </c>
      <c r="T117">
        <v>172.54</v>
      </c>
      <c r="U117" s="1">
        <v>153.46</v>
      </c>
      <c r="V117">
        <v>72.430000000000007</v>
      </c>
      <c r="W117">
        <v>71.650000000000006</v>
      </c>
      <c r="X117">
        <v>9.3699999999999992</v>
      </c>
      <c r="Y117" s="1">
        <v>9.09</v>
      </c>
      <c r="Z117">
        <v>934.92</v>
      </c>
      <c r="AA117">
        <v>404.41</v>
      </c>
      <c r="AB117">
        <v>100.5</v>
      </c>
      <c r="AC117">
        <v>244.26</v>
      </c>
      <c r="AD117">
        <v>17.940000000000001</v>
      </c>
      <c r="AE117">
        <v>13.72</v>
      </c>
      <c r="AF117">
        <v>6.34</v>
      </c>
      <c r="AG117" s="1" t="s">
        <v>96</v>
      </c>
      <c r="AH117">
        <v>3.29</v>
      </c>
      <c r="AI117">
        <v>14.44</v>
      </c>
      <c r="AJ117" s="1">
        <v>8.1999999999999993</v>
      </c>
      <c r="AK117">
        <v>110.46</v>
      </c>
      <c r="AL117" t="s">
        <v>96</v>
      </c>
      <c r="AM117">
        <v>611.29</v>
      </c>
      <c r="AN117" s="1">
        <v>5.9</v>
      </c>
      <c r="AO117">
        <v>51.14</v>
      </c>
      <c r="AP117">
        <v>194.22</v>
      </c>
    </row>
    <row r="118" spans="1:42" ht="15.75">
      <c r="A118" t="s">
        <v>373</v>
      </c>
      <c r="B118" s="2" t="s">
        <v>373</v>
      </c>
      <c r="C118" s="2" t="str">
        <f t="shared" si="1"/>
        <v>TRUE</v>
      </c>
      <c r="D118" s="2" t="s">
        <v>858</v>
      </c>
      <c r="E118" s="2" t="s">
        <v>859</v>
      </c>
      <c r="F118" s="2" t="s">
        <v>860</v>
      </c>
      <c r="G118" s="3">
        <v>23236</v>
      </c>
      <c r="H118" s="3">
        <v>43905</v>
      </c>
      <c r="I118" s="2">
        <v>56</v>
      </c>
      <c r="J118" s="2">
        <v>2</v>
      </c>
      <c r="K118" s="2" t="s">
        <v>857</v>
      </c>
      <c r="L118" s="2">
        <v>373</v>
      </c>
      <c r="M118" s="2">
        <v>4</v>
      </c>
      <c r="N118">
        <v>9.36</v>
      </c>
      <c r="O118" t="s">
        <v>96</v>
      </c>
      <c r="P118" s="1">
        <v>18.510000000000002</v>
      </c>
      <c r="Q118">
        <v>7.24</v>
      </c>
      <c r="R118" s="1">
        <v>8.7100000000000009</v>
      </c>
      <c r="S118">
        <v>252.45</v>
      </c>
      <c r="T118">
        <v>9.19</v>
      </c>
      <c r="U118" s="1">
        <v>108.54</v>
      </c>
      <c r="V118">
        <v>2.5499999999999998</v>
      </c>
      <c r="W118">
        <v>31.69</v>
      </c>
      <c r="X118">
        <v>1.05</v>
      </c>
      <c r="Y118" s="1">
        <v>23.4</v>
      </c>
      <c r="Z118" t="s">
        <v>133</v>
      </c>
      <c r="AA118" t="s">
        <v>133</v>
      </c>
      <c r="AB118">
        <v>62.33</v>
      </c>
      <c r="AC118" t="s">
        <v>133</v>
      </c>
      <c r="AD118">
        <v>31.97</v>
      </c>
      <c r="AE118">
        <v>400.67</v>
      </c>
      <c r="AF118">
        <v>732.61</v>
      </c>
      <c r="AG118" s="1">
        <v>11</v>
      </c>
      <c r="AH118" t="s">
        <v>133</v>
      </c>
      <c r="AI118">
        <v>50.05</v>
      </c>
      <c r="AJ118" s="1">
        <v>8.99</v>
      </c>
      <c r="AK118">
        <v>98.33</v>
      </c>
      <c r="AL118">
        <v>6.76</v>
      </c>
      <c r="AM118">
        <v>526.05999999999995</v>
      </c>
      <c r="AN118" s="1">
        <v>65.72</v>
      </c>
      <c r="AO118" t="s">
        <v>96</v>
      </c>
      <c r="AP118">
        <v>632.80999999999995</v>
      </c>
    </row>
    <row r="119" spans="1:42" ht="15.75">
      <c r="A119" t="s">
        <v>505</v>
      </c>
      <c r="B119" s="2" t="s">
        <v>505</v>
      </c>
      <c r="C119" s="2" t="str">
        <f t="shared" si="1"/>
        <v>TRUE</v>
      </c>
      <c r="D119" s="2" t="s">
        <v>858</v>
      </c>
      <c r="E119" s="2" t="s">
        <v>868</v>
      </c>
      <c r="F119" s="2" t="s">
        <v>864</v>
      </c>
      <c r="G119" s="3">
        <v>34720</v>
      </c>
      <c r="H119" s="3">
        <v>43903</v>
      </c>
      <c r="I119" s="2">
        <v>25</v>
      </c>
      <c r="J119" s="2">
        <v>2</v>
      </c>
      <c r="K119" s="2" t="s">
        <v>857</v>
      </c>
      <c r="L119" s="2">
        <v>172</v>
      </c>
      <c r="M119" s="2">
        <v>0</v>
      </c>
      <c r="N119">
        <v>23.58</v>
      </c>
      <c r="O119">
        <v>2.63</v>
      </c>
      <c r="P119" s="1">
        <v>30.29</v>
      </c>
      <c r="Q119">
        <v>23.76</v>
      </c>
      <c r="R119" s="1">
        <v>69.7</v>
      </c>
      <c r="S119">
        <v>384.8</v>
      </c>
      <c r="T119">
        <v>29.78</v>
      </c>
      <c r="U119" s="1">
        <v>704.74</v>
      </c>
      <c r="V119">
        <v>35.24</v>
      </c>
      <c r="W119">
        <v>29.82</v>
      </c>
      <c r="X119">
        <v>1.92</v>
      </c>
      <c r="Y119" s="1">
        <v>10.88</v>
      </c>
      <c r="Z119">
        <v>898.58</v>
      </c>
      <c r="AA119">
        <v>629.57000000000005</v>
      </c>
      <c r="AB119">
        <v>33.85</v>
      </c>
      <c r="AC119">
        <v>611.92999999999995</v>
      </c>
      <c r="AD119">
        <v>51.1</v>
      </c>
      <c r="AE119">
        <v>29.15</v>
      </c>
      <c r="AF119">
        <v>32.979999999999997</v>
      </c>
      <c r="AG119" s="1">
        <v>5.39</v>
      </c>
      <c r="AH119">
        <v>23.53</v>
      </c>
      <c r="AI119">
        <v>181.6</v>
      </c>
      <c r="AJ119" s="1">
        <v>9.24</v>
      </c>
      <c r="AK119">
        <v>347.59</v>
      </c>
      <c r="AL119">
        <v>17.23</v>
      </c>
      <c r="AM119" t="s">
        <v>133</v>
      </c>
      <c r="AN119" s="1">
        <v>74.02</v>
      </c>
      <c r="AO119">
        <v>12.58</v>
      </c>
      <c r="AP119">
        <v>1055.08</v>
      </c>
    </row>
    <row r="120" spans="1:42" ht="15.75">
      <c r="A120" t="s">
        <v>364</v>
      </c>
      <c r="B120" s="2" t="s">
        <v>364</v>
      </c>
      <c r="C120" s="2" t="str">
        <f t="shared" si="1"/>
        <v>TRUE</v>
      </c>
      <c r="D120" s="2" t="s">
        <v>858</v>
      </c>
      <c r="E120" s="2" t="s">
        <v>859</v>
      </c>
      <c r="F120" s="2" t="s">
        <v>860</v>
      </c>
      <c r="G120" s="3">
        <v>30355</v>
      </c>
      <c r="H120" s="3">
        <v>43854</v>
      </c>
      <c r="I120" s="2">
        <v>36</v>
      </c>
      <c r="J120" s="2">
        <v>1</v>
      </c>
      <c r="K120" s="2" t="s">
        <v>861</v>
      </c>
      <c r="L120" s="2">
        <v>2375</v>
      </c>
      <c r="M120" s="2">
        <v>14</v>
      </c>
      <c r="N120">
        <v>6.05</v>
      </c>
      <c r="O120" t="s">
        <v>96</v>
      </c>
      <c r="P120" s="1">
        <v>1.79</v>
      </c>
      <c r="Q120">
        <v>1.9</v>
      </c>
      <c r="R120" s="1" t="s">
        <v>96</v>
      </c>
      <c r="S120">
        <v>20.61</v>
      </c>
      <c r="T120">
        <v>7.7</v>
      </c>
      <c r="U120" s="1" t="s">
        <v>96</v>
      </c>
      <c r="V120">
        <v>1.89</v>
      </c>
      <c r="W120">
        <v>14.22</v>
      </c>
      <c r="X120" t="s">
        <v>96</v>
      </c>
      <c r="Y120" s="1">
        <v>2.98</v>
      </c>
      <c r="Z120">
        <v>886.15</v>
      </c>
      <c r="AA120">
        <v>61.54</v>
      </c>
      <c r="AB120">
        <v>44.32</v>
      </c>
      <c r="AC120">
        <v>376.42</v>
      </c>
      <c r="AD120">
        <v>9.42</v>
      </c>
      <c r="AE120">
        <v>111.4</v>
      </c>
      <c r="AF120">
        <v>9.48</v>
      </c>
      <c r="AG120" s="1">
        <v>2.67</v>
      </c>
      <c r="AH120">
        <v>49.08</v>
      </c>
      <c r="AI120">
        <v>34.31</v>
      </c>
      <c r="AJ120" s="1" t="s">
        <v>96</v>
      </c>
      <c r="AK120">
        <v>104.72</v>
      </c>
      <c r="AL120">
        <v>22.27</v>
      </c>
      <c r="AM120">
        <v>107.93</v>
      </c>
      <c r="AN120" s="1" t="s">
        <v>96</v>
      </c>
      <c r="AO120">
        <v>16.91</v>
      </c>
      <c r="AP120">
        <v>19.7</v>
      </c>
    </row>
    <row r="121" spans="1:42" ht="15.75">
      <c r="A121" t="s">
        <v>229</v>
      </c>
      <c r="B121" s="2" t="s">
        <v>229</v>
      </c>
      <c r="C121" s="2" t="str">
        <f t="shared" si="1"/>
        <v>TRUE</v>
      </c>
      <c r="D121" s="2" t="s">
        <v>865</v>
      </c>
      <c r="E121" s="2" t="s">
        <v>873</v>
      </c>
      <c r="F121" s="2" t="s">
        <v>864</v>
      </c>
      <c r="G121" s="3">
        <v>34130</v>
      </c>
      <c r="H121" s="3">
        <v>43854</v>
      </c>
      <c r="I121" s="2">
        <v>26</v>
      </c>
      <c r="J121" s="2">
        <v>1</v>
      </c>
      <c r="K121" s="2" t="s">
        <v>861</v>
      </c>
      <c r="L121" s="2">
        <v>647</v>
      </c>
      <c r="M121" s="2">
        <v>4</v>
      </c>
      <c r="N121">
        <v>16.489999999999998</v>
      </c>
      <c r="O121">
        <v>3.95</v>
      </c>
      <c r="P121" s="1">
        <v>1.87</v>
      </c>
      <c r="Q121">
        <v>374.05</v>
      </c>
      <c r="R121" s="1">
        <v>6.16</v>
      </c>
      <c r="S121">
        <v>84.06</v>
      </c>
      <c r="T121">
        <v>83.4</v>
      </c>
      <c r="U121" s="1" t="s">
        <v>96</v>
      </c>
      <c r="V121">
        <v>58.5</v>
      </c>
      <c r="W121">
        <v>57.05</v>
      </c>
      <c r="X121">
        <v>4.75</v>
      </c>
      <c r="Y121" s="1">
        <v>8.84</v>
      </c>
      <c r="Z121" t="s">
        <v>133</v>
      </c>
      <c r="AA121">
        <v>1184.73</v>
      </c>
      <c r="AB121">
        <v>613.33000000000004</v>
      </c>
      <c r="AC121" t="s">
        <v>133</v>
      </c>
      <c r="AD121">
        <v>43.25</v>
      </c>
      <c r="AE121">
        <v>262.12</v>
      </c>
      <c r="AF121">
        <v>117.18</v>
      </c>
      <c r="AG121" s="1">
        <v>10.39</v>
      </c>
      <c r="AH121">
        <v>116.89</v>
      </c>
      <c r="AI121">
        <v>82.89</v>
      </c>
      <c r="AJ121" s="1" t="s">
        <v>96</v>
      </c>
      <c r="AK121">
        <v>136.15</v>
      </c>
      <c r="AL121">
        <v>17.190000000000001</v>
      </c>
      <c r="AM121">
        <v>443.77</v>
      </c>
      <c r="AN121" s="1">
        <v>24.66</v>
      </c>
      <c r="AO121">
        <v>53.54</v>
      </c>
      <c r="AP121">
        <v>153.97999999999999</v>
      </c>
    </row>
    <row r="122" spans="1:42" ht="15.75">
      <c r="A122" t="s">
        <v>271</v>
      </c>
      <c r="B122" s="2" t="s">
        <v>271</v>
      </c>
      <c r="C122" s="2" t="str">
        <f t="shared" si="1"/>
        <v>TRUE</v>
      </c>
      <c r="D122" s="2" t="s">
        <v>858</v>
      </c>
      <c r="E122" s="2" t="s">
        <v>863</v>
      </c>
      <c r="F122" s="2" t="s">
        <v>864</v>
      </c>
      <c r="G122" s="3">
        <v>25518</v>
      </c>
      <c r="H122" s="3">
        <v>43864</v>
      </c>
      <c r="I122" s="2">
        <v>50</v>
      </c>
      <c r="J122" s="2">
        <v>1</v>
      </c>
      <c r="K122" s="2" t="s">
        <v>861</v>
      </c>
      <c r="L122" s="2">
        <v>1982</v>
      </c>
      <c r="M122" s="2">
        <v>10</v>
      </c>
      <c r="N122">
        <v>11.44</v>
      </c>
      <c r="O122">
        <v>1.96</v>
      </c>
      <c r="P122" s="1">
        <v>5.73</v>
      </c>
      <c r="Q122">
        <v>34.4</v>
      </c>
      <c r="R122" s="1" t="s">
        <v>96</v>
      </c>
      <c r="S122">
        <v>201.95</v>
      </c>
      <c r="T122">
        <v>98.57</v>
      </c>
      <c r="U122" s="1">
        <v>370.27</v>
      </c>
      <c r="V122">
        <v>40.86</v>
      </c>
      <c r="W122">
        <v>96.77</v>
      </c>
      <c r="X122">
        <v>8.0500000000000007</v>
      </c>
      <c r="Y122" s="1">
        <v>5.41</v>
      </c>
      <c r="Z122">
        <v>1726.15</v>
      </c>
      <c r="AA122">
        <v>352.14</v>
      </c>
      <c r="AB122">
        <v>104.17</v>
      </c>
      <c r="AC122">
        <v>423.21</v>
      </c>
      <c r="AD122">
        <v>10.25</v>
      </c>
      <c r="AE122">
        <v>368.48</v>
      </c>
      <c r="AF122">
        <v>78.87</v>
      </c>
      <c r="AG122" s="1">
        <v>4.04</v>
      </c>
      <c r="AH122">
        <v>112.32</v>
      </c>
      <c r="AI122">
        <v>29.72</v>
      </c>
      <c r="AJ122" s="1" t="s">
        <v>96</v>
      </c>
      <c r="AK122">
        <v>109.87</v>
      </c>
      <c r="AL122">
        <v>54.54</v>
      </c>
      <c r="AM122">
        <v>110.91</v>
      </c>
      <c r="AN122" s="1">
        <v>41.25</v>
      </c>
      <c r="AO122">
        <v>31.34</v>
      </c>
      <c r="AP122">
        <v>68.709999999999994</v>
      </c>
    </row>
    <row r="123" spans="1:42" ht="15.75">
      <c r="A123" t="s">
        <v>142</v>
      </c>
      <c r="B123" s="2" t="s">
        <v>142</v>
      </c>
      <c r="C123" s="2" t="str">
        <f t="shared" si="1"/>
        <v>TRUE</v>
      </c>
      <c r="D123" s="2" t="s">
        <v>865</v>
      </c>
      <c r="E123" s="2" t="s">
        <v>872</v>
      </c>
      <c r="F123" s="2" t="s">
        <v>860</v>
      </c>
      <c r="G123" s="3">
        <v>34219</v>
      </c>
      <c r="H123" s="3">
        <v>43890</v>
      </c>
      <c r="I123" s="2">
        <v>26</v>
      </c>
      <c r="J123" s="4">
        <v>1</v>
      </c>
      <c r="K123" s="2" t="s">
        <v>861</v>
      </c>
      <c r="L123" s="2" t="s">
        <v>856</v>
      </c>
      <c r="M123" s="2">
        <v>11</v>
      </c>
      <c r="N123">
        <v>19.27</v>
      </c>
      <c r="O123">
        <v>2.13</v>
      </c>
      <c r="P123" s="1" t="s">
        <v>96</v>
      </c>
      <c r="Q123">
        <v>123.6</v>
      </c>
      <c r="R123" s="1" t="s">
        <v>96</v>
      </c>
      <c r="S123" t="s">
        <v>96</v>
      </c>
      <c r="T123">
        <v>18.600000000000001</v>
      </c>
      <c r="U123" s="1">
        <v>167.28</v>
      </c>
      <c r="V123">
        <v>10.3</v>
      </c>
      <c r="W123">
        <v>24.06</v>
      </c>
      <c r="X123">
        <v>3.3</v>
      </c>
      <c r="Y123" s="1" t="s">
        <v>96</v>
      </c>
      <c r="Z123">
        <v>146.1</v>
      </c>
      <c r="AA123" t="s">
        <v>96</v>
      </c>
      <c r="AB123">
        <v>11.9</v>
      </c>
      <c r="AC123">
        <v>103.36</v>
      </c>
      <c r="AD123">
        <v>11.15</v>
      </c>
      <c r="AE123">
        <v>9.42</v>
      </c>
      <c r="AF123" t="s">
        <v>96</v>
      </c>
      <c r="AG123" s="1" t="s">
        <v>96</v>
      </c>
      <c r="AH123">
        <v>4.1100000000000003</v>
      </c>
      <c r="AI123" t="s">
        <v>96</v>
      </c>
      <c r="AJ123" s="1" t="s">
        <v>96</v>
      </c>
      <c r="AK123">
        <v>74.27</v>
      </c>
      <c r="AL123" t="s">
        <v>96</v>
      </c>
      <c r="AM123" t="s">
        <v>96</v>
      </c>
      <c r="AN123" s="1" t="s">
        <v>96</v>
      </c>
      <c r="AO123">
        <v>17.45</v>
      </c>
      <c r="AP123" t="s">
        <v>96</v>
      </c>
    </row>
    <row r="124" spans="1:42" ht="15.75">
      <c r="A124" t="s">
        <v>268</v>
      </c>
      <c r="B124" s="2" t="s">
        <v>268</v>
      </c>
      <c r="C124" s="2" t="str">
        <f t="shared" si="1"/>
        <v>TRUE</v>
      </c>
      <c r="D124" s="2" t="s">
        <v>858</v>
      </c>
      <c r="E124" s="2" t="s">
        <v>863</v>
      </c>
      <c r="F124" s="2" t="s">
        <v>864</v>
      </c>
      <c r="G124" s="3">
        <v>25518</v>
      </c>
      <c r="H124" s="3">
        <v>43916</v>
      </c>
      <c r="I124" s="2">
        <v>50</v>
      </c>
      <c r="J124" s="2">
        <v>2</v>
      </c>
      <c r="K124" s="2" t="s">
        <v>861</v>
      </c>
      <c r="L124" s="2">
        <v>178</v>
      </c>
      <c r="M124" s="2">
        <v>0</v>
      </c>
      <c r="N124">
        <v>9.7899999999999991</v>
      </c>
      <c r="O124" t="s">
        <v>96</v>
      </c>
      <c r="P124" s="1">
        <v>2.58</v>
      </c>
      <c r="Q124">
        <v>21.59</v>
      </c>
      <c r="R124" s="1" t="s">
        <v>96</v>
      </c>
      <c r="S124">
        <v>123.16</v>
      </c>
      <c r="T124">
        <v>51</v>
      </c>
      <c r="U124" s="1">
        <v>68.67</v>
      </c>
      <c r="V124">
        <v>12.52</v>
      </c>
      <c r="W124">
        <v>61.33</v>
      </c>
      <c r="X124">
        <v>1.82</v>
      </c>
      <c r="Y124" s="1">
        <v>21.28</v>
      </c>
      <c r="Z124" t="s">
        <v>133</v>
      </c>
      <c r="AA124">
        <v>1567.22</v>
      </c>
      <c r="AB124">
        <v>250.72</v>
      </c>
      <c r="AC124" t="s">
        <v>133</v>
      </c>
      <c r="AD124">
        <v>11.18</v>
      </c>
      <c r="AE124">
        <v>1726.98</v>
      </c>
      <c r="AF124">
        <v>485.43</v>
      </c>
      <c r="AG124" s="1">
        <v>5.86</v>
      </c>
      <c r="AH124">
        <v>754.42</v>
      </c>
      <c r="AI124">
        <v>118.72</v>
      </c>
      <c r="AJ124" s="1">
        <v>4.7300000000000004</v>
      </c>
      <c r="AK124">
        <v>95.63</v>
      </c>
      <c r="AL124">
        <v>41.79</v>
      </c>
      <c r="AM124">
        <v>511.77</v>
      </c>
      <c r="AN124" s="1">
        <v>47.29</v>
      </c>
      <c r="AO124">
        <v>29.6</v>
      </c>
      <c r="AP124">
        <v>114.39</v>
      </c>
    </row>
    <row r="125" spans="1:42" ht="15.75">
      <c r="A125" t="s">
        <v>120</v>
      </c>
      <c r="B125" s="2" t="s">
        <v>120</v>
      </c>
      <c r="C125" s="2" t="str">
        <f t="shared" si="1"/>
        <v>TRUE</v>
      </c>
      <c r="D125" s="2" t="s">
        <v>854</v>
      </c>
      <c r="E125" s="2" t="s">
        <v>862</v>
      </c>
      <c r="F125" s="2" t="s">
        <v>856</v>
      </c>
      <c r="G125" s="3">
        <v>29236</v>
      </c>
      <c r="H125" s="3">
        <v>43868</v>
      </c>
      <c r="I125" s="2">
        <v>40</v>
      </c>
      <c r="J125" s="2">
        <v>2</v>
      </c>
      <c r="K125" s="2" t="s">
        <v>857</v>
      </c>
      <c r="L125" s="2">
        <v>37</v>
      </c>
      <c r="M125" s="2" t="s">
        <v>856</v>
      </c>
      <c r="N125">
        <v>13.34</v>
      </c>
      <c r="O125">
        <v>4</v>
      </c>
      <c r="P125" s="1">
        <v>1.39</v>
      </c>
      <c r="Q125">
        <v>153.62</v>
      </c>
      <c r="R125" s="1" t="s">
        <v>96</v>
      </c>
      <c r="S125">
        <v>32.71</v>
      </c>
      <c r="T125">
        <v>160.76</v>
      </c>
      <c r="U125" s="1" t="s">
        <v>96</v>
      </c>
      <c r="V125">
        <v>21.58</v>
      </c>
      <c r="W125">
        <v>81.72</v>
      </c>
      <c r="X125">
        <v>11.01</v>
      </c>
      <c r="Y125" s="1">
        <v>6.56</v>
      </c>
      <c r="Z125">
        <v>2470.5700000000002</v>
      </c>
      <c r="AA125">
        <v>121.68</v>
      </c>
      <c r="AB125">
        <v>303.16000000000003</v>
      </c>
      <c r="AC125">
        <v>550.25</v>
      </c>
      <c r="AD125">
        <v>38.409999999999997</v>
      </c>
      <c r="AE125">
        <v>440.37</v>
      </c>
      <c r="AF125">
        <v>25.12</v>
      </c>
      <c r="AG125" s="1" t="s">
        <v>96</v>
      </c>
      <c r="AH125">
        <v>111.75</v>
      </c>
      <c r="AI125">
        <v>149.69</v>
      </c>
      <c r="AJ125" s="1" t="s">
        <v>96</v>
      </c>
      <c r="AK125">
        <v>261.26</v>
      </c>
      <c r="AL125">
        <v>75.58</v>
      </c>
      <c r="AM125">
        <v>339.61</v>
      </c>
      <c r="AN125" s="1">
        <v>18.649999999999999</v>
      </c>
      <c r="AO125">
        <v>73.05</v>
      </c>
      <c r="AP125">
        <v>48.77</v>
      </c>
    </row>
    <row r="126" spans="1:42" ht="15.75">
      <c r="A126" t="s">
        <v>439</v>
      </c>
      <c r="B126" s="2" t="s">
        <v>439</v>
      </c>
      <c r="C126" s="2" t="str">
        <f t="shared" si="1"/>
        <v>TRUE</v>
      </c>
      <c r="D126" s="2" t="s">
        <v>858</v>
      </c>
      <c r="E126" s="2" t="s">
        <v>868</v>
      </c>
      <c r="F126" s="2" t="s">
        <v>864</v>
      </c>
      <c r="G126" s="3">
        <v>21477</v>
      </c>
      <c r="H126" s="3">
        <v>44042</v>
      </c>
      <c r="I126" s="2">
        <v>61</v>
      </c>
      <c r="J126" s="2">
        <v>1</v>
      </c>
      <c r="K126" s="2" t="s">
        <v>857</v>
      </c>
      <c r="L126" s="2">
        <v>394</v>
      </c>
      <c r="M126" s="2">
        <v>6</v>
      </c>
      <c r="N126">
        <v>10.31</v>
      </c>
      <c r="O126">
        <v>12.21</v>
      </c>
      <c r="P126" s="1">
        <v>27.79</v>
      </c>
      <c r="Q126">
        <v>68.680000000000007</v>
      </c>
      <c r="R126" s="1">
        <v>19.05</v>
      </c>
      <c r="S126">
        <v>356.83</v>
      </c>
      <c r="T126">
        <v>170.96</v>
      </c>
      <c r="U126" s="1">
        <v>326.23</v>
      </c>
      <c r="V126">
        <v>63.5</v>
      </c>
      <c r="W126">
        <v>56.79</v>
      </c>
      <c r="X126">
        <v>6.34</v>
      </c>
      <c r="Y126" s="1">
        <v>34.61</v>
      </c>
      <c r="Z126">
        <v>1280.28</v>
      </c>
      <c r="AA126">
        <v>628.24</v>
      </c>
      <c r="AB126">
        <v>134.03</v>
      </c>
      <c r="AC126">
        <v>180.87</v>
      </c>
      <c r="AD126">
        <v>6.4</v>
      </c>
      <c r="AE126">
        <v>58.04</v>
      </c>
      <c r="AF126">
        <v>33.950000000000003</v>
      </c>
      <c r="AG126" s="1" t="s">
        <v>96</v>
      </c>
      <c r="AH126">
        <v>11.66</v>
      </c>
      <c r="AI126">
        <v>45.64</v>
      </c>
      <c r="AJ126" s="1">
        <v>7.82</v>
      </c>
      <c r="AK126">
        <v>40.89</v>
      </c>
      <c r="AL126" t="s">
        <v>96</v>
      </c>
      <c r="AM126">
        <v>359.18</v>
      </c>
      <c r="AN126" s="1">
        <v>5.65</v>
      </c>
      <c r="AO126">
        <v>16.670000000000002</v>
      </c>
      <c r="AP126">
        <v>52.11</v>
      </c>
    </row>
    <row r="127" spans="1:42" ht="15.75">
      <c r="A127" t="s">
        <v>733</v>
      </c>
      <c r="B127" s="2" t="s">
        <v>733</v>
      </c>
      <c r="C127" s="2" t="str">
        <f t="shared" si="1"/>
        <v>TRUE</v>
      </c>
      <c r="D127" s="2" t="s">
        <v>858</v>
      </c>
      <c r="E127" s="2" t="s">
        <v>863</v>
      </c>
      <c r="F127" s="2" t="s">
        <v>864</v>
      </c>
      <c r="G127" s="3">
        <v>36030</v>
      </c>
      <c r="H127" s="3">
        <v>44054</v>
      </c>
      <c r="I127" s="2">
        <v>21</v>
      </c>
      <c r="J127" s="2">
        <v>1</v>
      </c>
      <c r="K127" s="2" t="s">
        <v>857</v>
      </c>
      <c r="L127" s="2">
        <v>2208</v>
      </c>
      <c r="M127" s="2">
        <v>5</v>
      </c>
      <c r="N127">
        <v>11.54</v>
      </c>
      <c r="O127" t="s">
        <v>96</v>
      </c>
      <c r="P127" s="1">
        <v>17.850000000000001</v>
      </c>
      <c r="Q127">
        <v>22.31</v>
      </c>
      <c r="R127" s="1">
        <v>16.27</v>
      </c>
      <c r="S127">
        <v>131.24</v>
      </c>
      <c r="T127">
        <v>20.18</v>
      </c>
      <c r="U127" s="1">
        <v>48.72</v>
      </c>
      <c r="V127">
        <v>15.87</v>
      </c>
      <c r="W127">
        <v>41.1</v>
      </c>
      <c r="X127" t="s">
        <v>96</v>
      </c>
      <c r="Y127" s="1">
        <v>4.72</v>
      </c>
      <c r="Z127">
        <v>2476.71</v>
      </c>
      <c r="AA127">
        <v>814.65</v>
      </c>
      <c r="AB127">
        <v>100.8</v>
      </c>
      <c r="AC127" t="s">
        <v>133</v>
      </c>
      <c r="AD127">
        <v>35.54</v>
      </c>
      <c r="AE127">
        <v>510.65</v>
      </c>
      <c r="AF127">
        <v>225.62</v>
      </c>
      <c r="AG127" s="1">
        <v>7.53</v>
      </c>
      <c r="AH127">
        <v>350.47</v>
      </c>
      <c r="AI127">
        <v>169.55</v>
      </c>
      <c r="AJ127" s="1" t="s">
        <v>96</v>
      </c>
      <c r="AK127">
        <v>172.36</v>
      </c>
      <c r="AL127">
        <v>43.82</v>
      </c>
      <c r="AM127">
        <v>425.92</v>
      </c>
      <c r="AN127" s="1">
        <v>71.25</v>
      </c>
      <c r="AO127">
        <v>19.54</v>
      </c>
      <c r="AP127">
        <v>216.3</v>
      </c>
    </row>
    <row r="128" spans="1:42" ht="15.75">
      <c r="A128" t="s">
        <v>367</v>
      </c>
      <c r="B128" s="2" t="s">
        <v>367</v>
      </c>
      <c r="C128" s="2" t="str">
        <f t="shared" si="1"/>
        <v>TRUE</v>
      </c>
      <c r="D128" s="2" t="s">
        <v>858</v>
      </c>
      <c r="E128" s="2" t="s">
        <v>859</v>
      </c>
      <c r="F128" s="2" t="s">
        <v>860</v>
      </c>
      <c r="G128" s="3">
        <v>30355</v>
      </c>
      <c r="H128" s="3">
        <v>43978</v>
      </c>
      <c r="I128" s="2">
        <v>37</v>
      </c>
      <c r="J128" s="2">
        <v>2</v>
      </c>
      <c r="K128" s="2" t="s">
        <v>861</v>
      </c>
      <c r="L128" s="2">
        <v>3372</v>
      </c>
      <c r="M128" s="2">
        <v>13</v>
      </c>
      <c r="N128">
        <v>12.86</v>
      </c>
      <c r="O128">
        <v>1.8</v>
      </c>
      <c r="P128" s="1" t="s">
        <v>96</v>
      </c>
      <c r="Q128">
        <v>30.95</v>
      </c>
      <c r="R128" s="1" t="s">
        <v>96</v>
      </c>
      <c r="S128">
        <v>27.24</v>
      </c>
      <c r="T128">
        <v>62.66</v>
      </c>
      <c r="U128" s="1">
        <v>34.78</v>
      </c>
      <c r="V128">
        <v>18.510000000000002</v>
      </c>
      <c r="W128">
        <v>27.92</v>
      </c>
      <c r="X128">
        <v>2.8</v>
      </c>
      <c r="Y128" s="1" t="s">
        <v>96</v>
      </c>
      <c r="Z128">
        <v>401.56</v>
      </c>
      <c r="AA128">
        <v>13.13</v>
      </c>
      <c r="AB128">
        <v>23.73</v>
      </c>
      <c r="AC128">
        <v>96.29</v>
      </c>
      <c r="AD128" t="s">
        <v>96</v>
      </c>
      <c r="AE128">
        <v>16.27</v>
      </c>
      <c r="AF128" t="s">
        <v>96</v>
      </c>
      <c r="AG128" s="1" t="s">
        <v>96</v>
      </c>
      <c r="AH128">
        <v>4.6900000000000004</v>
      </c>
      <c r="AI128" t="s">
        <v>96</v>
      </c>
      <c r="AJ128" s="1" t="s">
        <v>96</v>
      </c>
      <c r="AK128">
        <v>27</v>
      </c>
      <c r="AL128" t="s">
        <v>96</v>
      </c>
      <c r="AM128">
        <v>9.4600000000000009</v>
      </c>
      <c r="AN128" s="1" t="s">
        <v>96</v>
      </c>
      <c r="AO128">
        <v>23.85</v>
      </c>
      <c r="AP128" t="s">
        <v>96</v>
      </c>
    </row>
    <row r="129" spans="1:42" ht="15.75">
      <c r="A129" t="s">
        <v>526</v>
      </c>
      <c r="B129" s="2" t="s">
        <v>526</v>
      </c>
      <c r="C129" s="2" t="str">
        <f t="shared" si="1"/>
        <v>TRUE</v>
      </c>
      <c r="D129" s="2" t="s">
        <v>865</v>
      </c>
      <c r="E129" s="2" t="s">
        <v>869</v>
      </c>
      <c r="F129" s="2" t="s">
        <v>860</v>
      </c>
      <c r="G129" s="3">
        <v>32221</v>
      </c>
      <c r="H129" s="3">
        <v>44063</v>
      </c>
      <c r="I129" s="2">
        <v>32</v>
      </c>
      <c r="J129" s="2">
        <v>1</v>
      </c>
      <c r="K129" s="2" t="s">
        <v>857</v>
      </c>
      <c r="L129" s="2">
        <v>700</v>
      </c>
      <c r="M129" s="2">
        <v>4</v>
      </c>
      <c r="N129">
        <v>18.100000000000001</v>
      </c>
      <c r="O129">
        <v>13.05</v>
      </c>
      <c r="P129" s="1">
        <v>2.48</v>
      </c>
      <c r="Q129" t="s">
        <v>133</v>
      </c>
      <c r="R129" s="1">
        <v>31.14</v>
      </c>
      <c r="S129">
        <v>218.42</v>
      </c>
      <c r="T129">
        <v>601.01</v>
      </c>
      <c r="U129" s="1">
        <v>100.15</v>
      </c>
      <c r="V129">
        <v>259.88</v>
      </c>
      <c r="W129">
        <v>141.52000000000001</v>
      </c>
      <c r="X129">
        <v>11.54</v>
      </c>
      <c r="Y129" s="1">
        <v>18.27</v>
      </c>
      <c r="Z129" t="s">
        <v>133</v>
      </c>
      <c r="AA129">
        <v>1233.22</v>
      </c>
      <c r="AB129">
        <v>1858.42</v>
      </c>
      <c r="AC129" t="s">
        <v>133</v>
      </c>
      <c r="AD129">
        <v>78.28</v>
      </c>
      <c r="AE129">
        <v>382.15</v>
      </c>
      <c r="AF129">
        <v>80.73</v>
      </c>
      <c r="AG129" s="1" t="s">
        <v>96</v>
      </c>
      <c r="AH129">
        <v>200.17</v>
      </c>
      <c r="AI129">
        <v>14.22</v>
      </c>
      <c r="AJ129" s="1" t="s">
        <v>96</v>
      </c>
      <c r="AK129">
        <v>282.91000000000003</v>
      </c>
      <c r="AL129">
        <v>21.89</v>
      </c>
      <c r="AM129">
        <v>273.01</v>
      </c>
      <c r="AN129" s="1">
        <v>6.91</v>
      </c>
      <c r="AO129">
        <v>170.52</v>
      </c>
      <c r="AP129">
        <v>78.81</v>
      </c>
    </row>
    <row r="130" spans="1:42" ht="15.75">
      <c r="A130" t="s">
        <v>757</v>
      </c>
      <c r="B130" s="2" t="s">
        <v>757</v>
      </c>
      <c r="C130" s="2" t="str">
        <f t="shared" si="1"/>
        <v>TRUE</v>
      </c>
      <c r="D130" s="2" t="s">
        <v>854</v>
      </c>
      <c r="E130" s="2" t="s">
        <v>862</v>
      </c>
      <c r="F130" s="2" t="s">
        <v>856</v>
      </c>
      <c r="G130" s="7">
        <v>23988</v>
      </c>
      <c r="H130" s="3">
        <v>44084</v>
      </c>
      <c r="I130" s="2">
        <v>55</v>
      </c>
      <c r="K130" s="2" t="s">
        <v>857</v>
      </c>
      <c r="L130" s="2">
        <v>264</v>
      </c>
      <c r="M130" t="s">
        <v>856</v>
      </c>
      <c r="N130">
        <v>7.84</v>
      </c>
      <c r="O130">
        <v>1.25</v>
      </c>
      <c r="P130" s="1">
        <v>8.58</v>
      </c>
      <c r="Q130">
        <v>47.23</v>
      </c>
      <c r="R130" s="1">
        <v>29.48</v>
      </c>
      <c r="S130">
        <v>224.04</v>
      </c>
      <c r="T130">
        <v>36.96</v>
      </c>
      <c r="U130" s="1" t="s">
        <v>96</v>
      </c>
      <c r="V130">
        <v>22.71</v>
      </c>
      <c r="W130">
        <v>43.95</v>
      </c>
      <c r="X130" t="s">
        <v>96</v>
      </c>
      <c r="Y130" s="1" t="s">
        <v>96</v>
      </c>
      <c r="Z130">
        <v>571.36</v>
      </c>
      <c r="AA130">
        <v>364.38</v>
      </c>
      <c r="AB130">
        <v>43.1</v>
      </c>
      <c r="AC130">
        <v>225.4</v>
      </c>
      <c r="AD130" t="s">
        <v>96</v>
      </c>
      <c r="AE130">
        <v>53.68</v>
      </c>
      <c r="AF130">
        <v>41.69</v>
      </c>
      <c r="AG130" s="1" t="s">
        <v>96</v>
      </c>
      <c r="AH130">
        <v>22.18</v>
      </c>
      <c r="AI130">
        <v>124.68</v>
      </c>
      <c r="AJ130" s="1" t="s">
        <v>96</v>
      </c>
      <c r="AK130">
        <v>140.22999999999999</v>
      </c>
      <c r="AL130">
        <v>20.45</v>
      </c>
      <c r="AM130">
        <v>368.11</v>
      </c>
      <c r="AN130" s="1">
        <v>47.3</v>
      </c>
      <c r="AO130">
        <v>25.17</v>
      </c>
      <c r="AP130">
        <v>238.29</v>
      </c>
    </row>
    <row r="131" spans="1:42" ht="15.75">
      <c r="A131" t="s">
        <v>442</v>
      </c>
      <c r="B131" s="2" t="s">
        <v>442</v>
      </c>
      <c r="C131" s="2" t="str">
        <f t="shared" ref="C131:C194" si="2">IF(A131=B131, "TRUE", "FALSE")</f>
        <v>TRUE</v>
      </c>
      <c r="D131" s="2" t="s">
        <v>854</v>
      </c>
      <c r="E131" s="2" t="s">
        <v>862</v>
      </c>
      <c r="F131" s="2" t="s">
        <v>856</v>
      </c>
      <c r="G131" s="3">
        <v>34492</v>
      </c>
      <c r="H131" s="3">
        <v>44084</v>
      </c>
      <c r="I131" s="2">
        <v>26</v>
      </c>
      <c r="J131" s="2">
        <v>1</v>
      </c>
      <c r="K131" s="2" t="s">
        <v>857</v>
      </c>
      <c r="L131" s="2">
        <v>1928</v>
      </c>
      <c r="M131" s="2" t="s">
        <v>856</v>
      </c>
      <c r="N131">
        <v>26.17</v>
      </c>
      <c r="O131">
        <v>5.37</v>
      </c>
      <c r="P131" s="1">
        <v>6.37</v>
      </c>
      <c r="Q131">
        <v>216.11</v>
      </c>
      <c r="R131" s="1">
        <v>24.48</v>
      </c>
      <c r="S131">
        <v>315.48</v>
      </c>
      <c r="T131">
        <v>102</v>
      </c>
      <c r="U131" s="1" t="s">
        <v>96</v>
      </c>
      <c r="V131">
        <v>49.04</v>
      </c>
      <c r="W131">
        <v>33.880000000000003</v>
      </c>
      <c r="X131">
        <v>4.71</v>
      </c>
      <c r="Y131" s="1">
        <v>10.64</v>
      </c>
      <c r="Z131">
        <v>1328.42</v>
      </c>
      <c r="AA131">
        <v>446.92</v>
      </c>
      <c r="AB131">
        <v>107.72</v>
      </c>
      <c r="AC131">
        <v>395.08</v>
      </c>
      <c r="AD131">
        <v>13.63</v>
      </c>
      <c r="AE131">
        <v>136.72999999999999</v>
      </c>
      <c r="AF131">
        <v>61.22</v>
      </c>
      <c r="AG131" s="1" t="s">
        <v>96</v>
      </c>
      <c r="AH131">
        <v>35.369999999999997</v>
      </c>
      <c r="AI131">
        <v>29.75</v>
      </c>
      <c r="AJ131" s="1" t="s">
        <v>96</v>
      </c>
      <c r="AK131">
        <v>57.18</v>
      </c>
      <c r="AL131">
        <v>8.36</v>
      </c>
      <c r="AM131">
        <v>140.63</v>
      </c>
      <c r="AN131" s="1">
        <v>10.87</v>
      </c>
      <c r="AO131">
        <v>17.27</v>
      </c>
      <c r="AP131">
        <v>45.75</v>
      </c>
    </row>
    <row r="132" spans="1:42" ht="15.75">
      <c r="A132" t="s">
        <v>775</v>
      </c>
      <c r="B132" s="2" t="s">
        <v>775</v>
      </c>
      <c r="C132" s="2" t="str">
        <f t="shared" si="2"/>
        <v>TRUE</v>
      </c>
      <c r="D132" s="2" t="s">
        <v>858</v>
      </c>
      <c r="E132" s="2" t="s">
        <v>868</v>
      </c>
      <c r="F132" s="2" t="s">
        <v>864</v>
      </c>
      <c r="G132" s="3">
        <v>33194</v>
      </c>
      <c r="H132" s="3">
        <v>44084</v>
      </c>
      <c r="I132" s="2">
        <v>29</v>
      </c>
      <c r="J132" s="2">
        <v>1</v>
      </c>
      <c r="K132" s="2" t="s">
        <v>861</v>
      </c>
      <c r="L132" s="2">
        <v>6689</v>
      </c>
      <c r="M132" s="2">
        <v>4</v>
      </c>
      <c r="N132">
        <v>15.18</v>
      </c>
      <c r="O132">
        <v>25.82</v>
      </c>
      <c r="P132" s="1">
        <v>1.43</v>
      </c>
      <c r="Q132">
        <v>8.92</v>
      </c>
      <c r="R132" s="1" t="s">
        <v>96</v>
      </c>
      <c r="S132">
        <v>120.31</v>
      </c>
      <c r="T132">
        <v>841.39</v>
      </c>
      <c r="U132" s="1">
        <v>306.43</v>
      </c>
      <c r="V132">
        <v>44.45</v>
      </c>
      <c r="W132" t="s">
        <v>133</v>
      </c>
      <c r="X132">
        <v>96.67</v>
      </c>
      <c r="Y132" s="1" t="s">
        <v>96</v>
      </c>
      <c r="Z132">
        <v>513.37</v>
      </c>
      <c r="AA132">
        <v>50</v>
      </c>
      <c r="AB132">
        <v>36.69</v>
      </c>
      <c r="AC132">
        <v>284.5</v>
      </c>
      <c r="AD132">
        <v>41.17</v>
      </c>
      <c r="AE132">
        <v>77.349999999999994</v>
      </c>
      <c r="AF132">
        <v>9.2899999999999991</v>
      </c>
      <c r="AG132" s="1">
        <v>7.63</v>
      </c>
      <c r="AH132">
        <v>28.67</v>
      </c>
      <c r="AI132">
        <v>136.53</v>
      </c>
      <c r="AJ132" s="1">
        <v>7.73</v>
      </c>
      <c r="AK132">
        <v>218.73</v>
      </c>
      <c r="AL132">
        <v>71</v>
      </c>
      <c r="AM132">
        <v>230.97</v>
      </c>
      <c r="AN132" s="1">
        <v>18.68</v>
      </c>
      <c r="AO132">
        <v>28.89</v>
      </c>
      <c r="AP132">
        <v>53.34</v>
      </c>
    </row>
    <row r="133" spans="1:42" ht="15.75">
      <c r="A133" t="s">
        <v>139</v>
      </c>
      <c r="B133" s="2" t="s">
        <v>139</v>
      </c>
      <c r="C133" s="2" t="str">
        <f t="shared" si="2"/>
        <v>TRUE</v>
      </c>
      <c r="D133" s="2" t="s">
        <v>865</v>
      </c>
      <c r="E133" s="2" t="s">
        <v>872</v>
      </c>
      <c r="F133" s="2" t="s">
        <v>860</v>
      </c>
      <c r="G133" s="3">
        <v>34219</v>
      </c>
      <c r="H133" s="3">
        <v>44092</v>
      </c>
      <c r="I133" s="2">
        <v>27</v>
      </c>
      <c r="J133" s="2">
        <v>1</v>
      </c>
      <c r="K133" s="2" t="s">
        <v>861</v>
      </c>
      <c r="L133" s="2">
        <v>2255</v>
      </c>
      <c r="M133" s="2">
        <v>11</v>
      </c>
      <c r="N133">
        <v>21.27</v>
      </c>
      <c r="O133">
        <v>21.69</v>
      </c>
      <c r="P133" s="1" t="s">
        <v>96</v>
      </c>
      <c r="Q133" t="s">
        <v>133</v>
      </c>
      <c r="R133" s="1" t="s">
        <v>96</v>
      </c>
      <c r="S133" t="s">
        <v>96</v>
      </c>
      <c r="T133">
        <v>366.54</v>
      </c>
      <c r="U133" s="1">
        <v>108.02</v>
      </c>
      <c r="V133">
        <v>231.39</v>
      </c>
      <c r="W133">
        <v>56.98</v>
      </c>
      <c r="X133">
        <v>3.24</v>
      </c>
      <c r="Y133" s="1" t="s">
        <v>96</v>
      </c>
      <c r="Z133">
        <v>282.26</v>
      </c>
      <c r="AA133" t="s">
        <v>96</v>
      </c>
      <c r="AB133">
        <v>86.03</v>
      </c>
      <c r="AC133">
        <v>134.46</v>
      </c>
      <c r="AD133">
        <v>5.83</v>
      </c>
      <c r="AE133">
        <v>23.75</v>
      </c>
      <c r="AF133" t="s">
        <v>96</v>
      </c>
      <c r="AG133" s="1" t="s">
        <v>96</v>
      </c>
      <c r="AH133">
        <v>11.34</v>
      </c>
      <c r="AI133" t="s">
        <v>96</v>
      </c>
      <c r="AJ133" s="1" t="s">
        <v>96</v>
      </c>
      <c r="AK133">
        <v>45.62</v>
      </c>
      <c r="AL133">
        <v>5.23</v>
      </c>
      <c r="AM133" t="s">
        <v>96</v>
      </c>
      <c r="AN133" s="1" t="s">
        <v>96</v>
      </c>
      <c r="AO133">
        <v>84.99</v>
      </c>
      <c r="AP133" t="s">
        <v>96</v>
      </c>
    </row>
    <row r="134" spans="1:42" ht="15.75">
      <c r="A134" t="s">
        <v>712</v>
      </c>
      <c r="B134" s="2" t="s">
        <v>712</v>
      </c>
      <c r="C134" s="2" t="str">
        <f t="shared" si="2"/>
        <v>TRUE</v>
      </c>
      <c r="D134" s="2" t="s">
        <v>854</v>
      </c>
      <c r="E134" s="2" t="s">
        <v>855</v>
      </c>
      <c r="F134" s="2" t="s">
        <v>856</v>
      </c>
      <c r="G134" s="3">
        <v>30903</v>
      </c>
      <c r="H134" s="3">
        <v>44095</v>
      </c>
      <c r="I134" s="2">
        <v>36</v>
      </c>
      <c r="J134" s="2">
        <v>1</v>
      </c>
      <c r="K134" s="2" t="s">
        <v>857</v>
      </c>
      <c r="L134" s="2">
        <v>1036</v>
      </c>
      <c r="M134" s="2" t="s">
        <v>856</v>
      </c>
      <c r="N134">
        <v>24.33</v>
      </c>
      <c r="O134">
        <v>1.29</v>
      </c>
      <c r="P134" s="1">
        <v>9.98</v>
      </c>
      <c r="Q134">
        <v>21.21</v>
      </c>
      <c r="R134" s="1">
        <v>43.74</v>
      </c>
      <c r="S134">
        <v>597.99</v>
      </c>
      <c r="T134">
        <v>117.24</v>
      </c>
      <c r="U134" s="1" t="s">
        <v>96</v>
      </c>
      <c r="V134">
        <v>20.55</v>
      </c>
      <c r="W134">
        <v>107.09</v>
      </c>
      <c r="X134">
        <v>2.29</v>
      </c>
      <c r="Y134" s="1">
        <v>14.09</v>
      </c>
      <c r="Z134">
        <v>1458.66</v>
      </c>
      <c r="AA134">
        <v>874.07</v>
      </c>
      <c r="AB134">
        <v>37</v>
      </c>
      <c r="AC134">
        <v>632.72</v>
      </c>
      <c r="AD134">
        <v>7.26</v>
      </c>
      <c r="AE134">
        <v>51.12</v>
      </c>
      <c r="AF134">
        <v>35.1</v>
      </c>
      <c r="AG134" s="1" t="s">
        <v>96</v>
      </c>
      <c r="AH134">
        <v>28.22</v>
      </c>
      <c r="AI134">
        <v>18.149999999999999</v>
      </c>
      <c r="AJ134" s="1">
        <v>3.34</v>
      </c>
      <c r="AK134">
        <v>85.29</v>
      </c>
      <c r="AL134">
        <v>5.4</v>
      </c>
      <c r="AM134">
        <v>358.52</v>
      </c>
      <c r="AN134" s="1">
        <v>5.73</v>
      </c>
      <c r="AO134">
        <v>5.0599999999999996</v>
      </c>
      <c r="AP134">
        <v>97.02</v>
      </c>
    </row>
    <row r="135" spans="1:42" ht="15.75">
      <c r="A135" t="s">
        <v>436</v>
      </c>
      <c r="B135" s="2" t="s">
        <v>436</v>
      </c>
      <c r="C135" s="2" t="str">
        <f t="shared" si="2"/>
        <v>TRUE</v>
      </c>
      <c r="D135" s="2" t="s">
        <v>858</v>
      </c>
      <c r="E135" s="2" t="s">
        <v>868</v>
      </c>
      <c r="F135" s="2" t="s">
        <v>864</v>
      </c>
      <c r="G135" s="3">
        <v>21477</v>
      </c>
      <c r="H135" s="3">
        <v>44098</v>
      </c>
      <c r="I135" s="2">
        <v>61</v>
      </c>
      <c r="J135" s="2">
        <v>2</v>
      </c>
      <c r="K135" s="2" t="s">
        <v>857</v>
      </c>
      <c r="L135" s="2">
        <v>66</v>
      </c>
      <c r="M135" s="2">
        <v>1</v>
      </c>
      <c r="N135">
        <v>23.45</v>
      </c>
      <c r="O135">
        <v>19.149999999999999</v>
      </c>
      <c r="P135" s="1">
        <v>21.09</v>
      </c>
      <c r="Q135">
        <v>84.81</v>
      </c>
      <c r="R135" s="1">
        <v>21.67</v>
      </c>
      <c r="S135" t="s">
        <v>133</v>
      </c>
      <c r="T135" t="s">
        <v>133</v>
      </c>
      <c r="U135" s="1">
        <v>998.05</v>
      </c>
      <c r="V135">
        <v>341.02</v>
      </c>
      <c r="W135">
        <v>320.8</v>
      </c>
      <c r="X135">
        <v>15.85</v>
      </c>
      <c r="Y135" s="1">
        <v>13.15</v>
      </c>
      <c r="Z135">
        <v>476.43</v>
      </c>
      <c r="AA135">
        <v>314.16000000000003</v>
      </c>
      <c r="AB135">
        <v>183.47</v>
      </c>
      <c r="AC135">
        <v>34.72</v>
      </c>
      <c r="AD135">
        <v>2.73</v>
      </c>
      <c r="AE135">
        <v>39.729999999999997</v>
      </c>
      <c r="AF135">
        <v>25.39</v>
      </c>
      <c r="AG135" s="1" t="s">
        <v>96</v>
      </c>
      <c r="AH135">
        <v>4.79</v>
      </c>
      <c r="AI135">
        <v>59.17</v>
      </c>
      <c r="AJ135" s="1">
        <v>39.19</v>
      </c>
      <c r="AK135">
        <v>14.6</v>
      </c>
      <c r="AL135" t="s">
        <v>96</v>
      </c>
      <c r="AM135">
        <v>336.11</v>
      </c>
      <c r="AN135" s="1">
        <v>8.02</v>
      </c>
      <c r="AO135">
        <v>34.799999999999997</v>
      </c>
      <c r="AP135">
        <v>24.44</v>
      </c>
    </row>
    <row r="136" spans="1:42" ht="15.75">
      <c r="A136" t="s">
        <v>655</v>
      </c>
      <c r="B136" s="2" t="s">
        <v>655</v>
      </c>
      <c r="C136" s="2" t="str">
        <f t="shared" si="2"/>
        <v>TRUE</v>
      </c>
      <c r="D136" s="2" t="s">
        <v>858</v>
      </c>
      <c r="E136" s="2" t="s">
        <v>868</v>
      </c>
      <c r="F136" s="2" t="s">
        <v>864</v>
      </c>
      <c r="G136" s="3">
        <v>29096</v>
      </c>
      <c r="H136" s="3">
        <v>44099</v>
      </c>
      <c r="I136" s="2">
        <v>41</v>
      </c>
      <c r="J136" s="2">
        <v>1</v>
      </c>
      <c r="K136" s="2" t="s">
        <v>857</v>
      </c>
      <c r="L136" s="2">
        <v>1897</v>
      </c>
      <c r="M136" s="2">
        <v>13</v>
      </c>
      <c r="N136">
        <v>26.37</v>
      </c>
      <c r="O136">
        <v>4.5999999999999996</v>
      </c>
      <c r="P136" s="1">
        <v>36.54</v>
      </c>
      <c r="Q136">
        <v>50.79</v>
      </c>
      <c r="R136" s="1">
        <v>35.71</v>
      </c>
      <c r="S136">
        <v>683.84</v>
      </c>
      <c r="T136">
        <v>70.319999999999993</v>
      </c>
      <c r="U136" s="1" t="s">
        <v>133</v>
      </c>
      <c r="V136">
        <v>71.38</v>
      </c>
      <c r="W136">
        <v>21.66</v>
      </c>
      <c r="X136">
        <v>2.91</v>
      </c>
      <c r="Y136" s="1">
        <v>33.53</v>
      </c>
      <c r="Z136">
        <v>434.91</v>
      </c>
      <c r="AA136">
        <v>545.20000000000005</v>
      </c>
      <c r="AB136">
        <v>55.16</v>
      </c>
      <c r="AC136">
        <v>35.35</v>
      </c>
      <c r="AD136" t="s">
        <v>96</v>
      </c>
      <c r="AE136">
        <v>18.22</v>
      </c>
      <c r="AF136">
        <v>22.86</v>
      </c>
      <c r="AG136" s="1" t="s">
        <v>96</v>
      </c>
      <c r="AH136">
        <v>2.5099999999999998</v>
      </c>
      <c r="AI136">
        <v>22.05</v>
      </c>
      <c r="AJ136" s="1">
        <v>8.3000000000000007</v>
      </c>
      <c r="AK136">
        <v>10.039999999999999</v>
      </c>
      <c r="AL136" t="s">
        <v>96</v>
      </c>
      <c r="AM136">
        <v>311.79000000000002</v>
      </c>
      <c r="AN136" s="1">
        <v>5.71</v>
      </c>
      <c r="AO136">
        <v>5.76</v>
      </c>
      <c r="AP136">
        <v>52.3</v>
      </c>
    </row>
    <row r="137" spans="1:42" ht="15.75">
      <c r="A137" t="s">
        <v>649</v>
      </c>
      <c r="B137" s="2" t="s">
        <v>649</v>
      </c>
      <c r="C137" s="2" t="str">
        <f t="shared" si="2"/>
        <v>TRUE</v>
      </c>
      <c r="D137" s="2" t="s">
        <v>858</v>
      </c>
      <c r="E137" s="2" t="s">
        <v>863</v>
      </c>
      <c r="F137" s="2" t="s">
        <v>860</v>
      </c>
      <c r="G137" s="3">
        <v>24431</v>
      </c>
      <c r="H137" s="3">
        <v>44099</v>
      </c>
      <c r="I137" s="2">
        <v>53</v>
      </c>
      <c r="J137" s="2">
        <v>1</v>
      </c>
      <c r="K137" s="2" t="s">
        <v>861</v>
      </c>
      <c r="L137" s="2">
        <v>1126</v>
      </c>
      <c r="M137" s="2">
        <v>15</v>
      </c>
      <c r="N137">
        <v>19.62</v>
      </c>
      <c r="O137">
        <v>1.22</v>
      </c>
      <c r="P137" s="1">
        <v>53.9</v>
      </c>
      <c r="Q137">
        <v>24.76</v>
      </c>
      <c r="R137" s="1">
        <v>94.62</v>
      </c>
      <c r="S137">
        <v>792.09</v>
      </c>
      <c r="T137">
        <v>139.36000000000001</v>
      </c>
      <c r="U137" s="1">
        <v>493.72</v>
      </c>
      <c r="V137">
        <v>47.6</v>
      </c>
      <c r="W137">
        <v>29.48</v>
      </c>
      <c r="X137">
        <v>1.73</v>
      </c>
      <c r="Y137" s="1">
        <v>20.05</v>
      </c>
      <c r="Z137">
        <v>2147.42</v>
      </c>
      <c r="AA137">
        <v>1635.78</v>
      </c>
      <c r="AB137">
        <v>42.45</v>
      </c>
      <c r="AC137">
        <v>541.92999999999995</v>
      </c>
      <c r="AD137">
        <v>15.04</v>
      </c>
      <c r="AE137">
        <v>113.68</v>
      </c>
      <c r="AF137">
        <v>99.85</v>
      </c>
      <c r="AG137" s="1" t="s">
        <v>96</v>
      </c>
      <c r="AH137">
        <v>39.74</v>
      </c>
      <c r="AI137">
        <v>107.56</v>
      </c>
      <c r="AJ137" s="1">
        <v>14.75</v>
      </c>
      <c r="AK137">
        <v>83.65</v>
      </c>
      <c r="AL137">
        <v>5.59</v>
      </c>
      <c r="AM137">
        <v>1575.59</v>
      </c>
      <c r="AN137" s="1">
        <v>20.09</v>
      </c>
      <c r="AO137">
        <v>9.8699999999999992</v>
      </c>
      <c r="AP137">
        <v>204.77</v>
      </c>
    </row>
    <row r="138" spans="1:42" ht="15.75">
      <c r="A138" t="s">
        <v>520</v>
      </c>
      <c r="B138" s="2" t="s">
        <v>520</v>
      </c>
      <c r="C138" s="2" t="str">
        <f t="shared" si="2"/>
        <v>TRUE</v>
      </c>
      <c r="D138" s="2" t="s">
        <v>865</v>
      </c>
      <c r="E138" s="2" t="s">
        <v>872</v>
      </c>
      <c r="F138" s="2" t="s">
        <v>864</v>
      </c>
      <c r="G138" s="3">
        <v>35213</v>
      </c>
      <c r="H138" s="3">
        <v>44104</v>
      </c>
      <c r="I138" s="2">
        <v>24</v>
      </c>
      <c r="J138" s="2">
        <v>1</v>
      </c>
      <c r="K138" s="2" t="s">
        <v>857</v>
      </c>
      <c r="L138" s="2">
        <v>1123</v>
      </c>
      <c r="M138" s="2">
        <v>6</v>
      </c>
      <c r="N138">
        <v>14.25</v>
      </c>
      <c r="O138">
        <v>4.47</v>
      </c>
      <c r="P138" s="1">
        <v>10.97</v>
      </c>
      <c r="Q138">
        <v>190.65</v>
      </c>
      <c r="R138" s="1">
        <v>43.28</v>
      </c>
      <c r="S138">
        <v>222.54</v>
      </c>
      <c r="T138">
        <v>84.51</v>
      </c>
      <c r="U138" s="1">
        <v>335.63</v>
      </c>
      <c r="V138">
        <v>52.44</v>
      </c>
      <c r="W138">
        <v>46.94</v>
      </c>
      <c r="X138">
        <v>12.72</v>
      </c>
      <c r="Y138" s="1">
        <v>46.45</v>
      </c>
      <c r="Z138">
        <v>957.27</v>
      </c>
      <c r="AA138">
        <v>329.86</v>
      </c>
      <c r="AB138">
        <v>71.760000000000005</v>
      </c>
      <c r="AC138">
        <v>181.93</v>
      </c>
      <c r="AD138">
        <v>8.7200000000000006</v>
      </c>
      <c r="AE138">
        <v>20.57</v>
      </c>
      <c r="AF138">
        <v>7.73</v>
      </c>
      <c r="AG138" s="1" t="s">
        <v>96</v>
      </c>
      <c r="AH138">
        <v>5.22</v>
      </c>
      <c r="AI138">
        <v>18.600000000000001</v>
      </c>
      <c r="AJ138" s="1">
        <v>13.98</v>
      </c>
      <c r="AK138">
        <v>21.8</v>
      </c>
      <c r="AL138" t="s">
        <v>96</v>
      </c>
      <c r="AM138">
        <v>498.29</v>
      </c>
      <c r="AN138" s="1" t="s">
        <v>96</v>
      </c>
      <c r="AO138">
        <v>8.32</v>
      </c>
      <c r="AP138">
        <v>15.93</v>
      </c>
    </row>
    <row r="139" spans="1:42" ht="15.75">
      <c r="A139" t="s">
        <v>532</v>
      </c>
      <c r="B139" s="2" t="s">
        <v>532</v>
      </c>
      <c r="C139" s="2" t="str">
        <f t="shared" si="2"/>
        <v>TRUE</v>
      </c>
      <c r="D139" s="2" t="s">
        <v>858</v>
      </c>
      <c r="E139" s="2" t="s">
        <v>863</v>
      </c>
      <c r="F139" s="2" t="s">
        <v>864</v>
      </c>
      <c r="G139" s="3">
        <v>23988</v>
      </c>
      <c r="H139" s="3">
        <v>44104</v>
      </c>
      <c r="I139" s="2">
        <v>55</v>
      </c>
      <c r="J139" s="2">
        <v>1</v>
      </c>
      <c r="K139" s="2" t="s">
        <v>861</v>
      </c>
      <c r="L139" s="2">
        <v>4713</v>
      </c>
      <c r="M139" s="2">
        <v>6</v>
      </c>
      <c r="N139">
        <v>25.95</v>
      </c>
      <c r="O139">
        <v>12.98</v>
      </c>
      <c r="P139" s="1">
        <v>70.3</v>
      </c>
      <c r="Q139">
        <v>245.82</v>
      </c>
      <c r="R139" s="1">
        <v>39.24</v>
      </c>
      <c r="S139">
        <v>704.49</v>
      </c>
      <c r="T139">
        <v>176.21</v>
      </c>
      <c r="U139" s="1">
        <v>38</v>
      </c>
      <c r="V139">
        <v>119.5</v>
      </c>
      <c r="W139">
        <v>61.9</v>
      </c>
      <c r="X139">
        <v>4.74</v>
      </c>
      <c r="Y139" s="1">
        <v>70.83</v>
      </c>
      <c r="Z139" t="s">
        <v>133</v>
      </c>
      <c r="AA139" t="s">
        <v>133</v>
      </c>
      <c r="AB139">
        <v>841.5</v>
      </c>
      <c r="AC139" t="s">
        <v>133</v>
      </c>
      <c r="AD139">
        <v>17.850000000000001</v>
      </c>
      <c r="AE139">
        <v>714.03</v>
      </c>
      <c r="AF139">
        <v>462.89</v>
      </c>
      <c r="AG139" s="1">
        <v>3.3</v>
      </c>
      <c r="AH139">
        <v>676.54</v>
      </c>
      <c r="AI139">
        <v>31.08</v>
      </c>
      <c r="AJ139" s="1">
        <v>3.68</v>
      </c>
      <c r="AK139">
        <v>112.69</v>
      </c>
      <c r="AL139">
        <v>5.65</v>
      </c>
      <c r="AM139">
        <v>437.23</v>
      </c>
      <c r="AN139" s="1">
        <v>14.58</v>
      </c>
      <c r="AO139">
        <v>54.14</v>
      </c>
      <c r="AP139">
        <v>196.88</v>
      </c>
    </row>
    <row r="140" spans="1:42" ht="15.75">
      <c r="A140" t="s">
        <v>262</v>
      </c>
      <c r="B140" s="2" t="s">
        <v>262</v>
      </c>
      <c r="C140" s="2" t="str">
        <f t="shared" si="2"/>
        <v>TRUE</v>
      </c>
      <c r="D140" s="2" t="s">
        <v>858</v>
      </c>
      <c r="E140" s="2" t="s">
        <v>859</v>
      </c>
      <c r="F140" s="2" t="s">
        <v>864</v>
      </c>
      <c r="G140" s="3">
        <v>16624</v>
      </c>
      <c r="H140" s="3">
        <v>44106</v>
      </c>
      <c r="I140" s="2">
        <v>75</v>
      </c>
      <c r="J140" s="2">
        <v>1</v>
      </c>
      <c r="K140" s="2" t="s">
        <v>861</v>
      </c>
      <c r="L140" s="2">
        <v>4146</v>
      </c>
      <c r="M140" s="2">
        <v>6</v>
      </c>
      <c r="N140">
        <v>4.8</v>
      </c>
      <c r="O140">
        <v>1.86</v>
      </c>
      <c r="P140" s="1">
        <v>15.63</v>
      </c>
      <c r="Q140">
        <v>34.74</v>
      </c>
      <c r="R140" s="1">
        <v>40.159999999999997</v>
      </c>
      <c r="S140">
        <v>245.24</v>
      </c>
      <c r="T140">
        <v>135.12</v>
      </c>
      <c r="U140" s="1" t="s">
        <v>96</v>
      </c>
      <c r="V140">
        <v>29.82</v>
      </c>
      <c r="W140">
        <v>26.34</v>
      </c>
      <c r="X140">
        <v>1.21</v>
      </c>
      <c r="Y140" s="1">
        <v>5.6</v>
      </c>
      <c r="Z140">
        <v>1165.78</v>
      </c>
      <c r="AA140">
        <v>201.57</v>
      </c>
      <c r="AB140">
        <v>13.52</v>
      </c>
      <c r="AC140">
        <v>221.28</v>
      </c>
      <c r="AD140" t="s">
        <v>96</v>
      </c>
      <c r="AE140">
        <v>21.55</v>
      </c>
      <c r="AF140">
        <v>5.4</v>
      </c>
      <c r="AG140" s="1" t="s">
        <v>96</v>
      </c>
      <c r="AH140">
        <v>6.26</v>
      </c>
      <c r="AI140">
        <v>14.37</v>
      </c>
      <c r="AJ140" s="1">
        <v>4.01</v>
      </c>
      <c r="AK140">
        <v>236.33</v>
      </c>
      <c r="AL140" t="s">
        <v>96</v>
      </c>
      <c r="AM140">
        <v>677.69</v>
      </c>
      <c r="AN140" s="1" t="s">
        <v>96</v>
      </c>
      <c r="AO140">
        <v>22.03</v>
      </c>
      <c r="AP140">
        <v>93.68</v>
      </c>
    </row>
    <row r="141" spans="1:42" ht="15.75">
      <c r="A141" t="s">
        <v>796</v>
      </c>
      <c r="B141" s="2" t="s">
        <v>796</v>
      </c>
      <c r="C141" s="2" t="str">
        <f t="shared" si="2"/>
        <v>TRUE</v>
      </c>
      <c r="D141" s="2" t="s">
        <v>858</v>
      </c>
      <c r="E141" s="2" t="s">
        <v>859</v>
      </c>
      <c r="F141" s="2" t="s">
        <v>860</v>
      </c>
      <c r="G141" s="3">
        <v>33801</v>
      </c>
      <c r="H141" s="3">
        <v>44110</v>
      </c>
      <c r="I141" s="2">
        <v>28</v>
      </c>
      <c r="J141" s="2">
        <v>1</v>
      </c>
      <c r="K141" s="2" t="s">
        <v>857</v>
      </c>
      <c r="L141" s="2">
        <v>2363</v>
      </c>
      <c r="M141" s="2">
        <v>9</v>
      </c>
      <c r="N141">
        <v>22.38</v>
      </c>
      <c r="O141">
        <v>1.73</v>
      </c>
      <c r="P141" s="1">
        <v>7.91</v>
      </c>
      <c r="Q141">
        <v>63.47</v>
      </c>
      <c r="R141" s="1">
        <v>33.6</v>
      </c>
      <c r="S141">
        <v>99.87</v>
      </c>
      <c r="T141">
        <v>38.229999999999997</v>
      </c>
      <c r="U141" s="1">
        <v>44.2</v>
      </c>
      <c r="V141">
        <v>12.43</v>
      </c>
      <c r="W141">
        <v>39.979999999999997</v>
      </c>
      <c r="X141">
        <v>4.74</v>
      </c>
      <c r="Y141" s="1">
        <v>11.83</v>
      </c>
      <c r="Z141">
        <v>701.15</v>
      </c>
      <c r="AA141">
        <v>135.55000000000001</v>
      </c>
      <c r="AB141">
        <v>42.7</v>
      </c>
      <c r="AC141">
        <v>118.31</v>
      </c>
      <c r="AD141">
        <v>8.06</v>
      </c>
      <c r="AE141">
        <v>13.49</v>
      </c>
      <c r="AF141">
        <v>3.13</v>
      </c>
      <c r="AG141" s="1" t="s">
        <v>96</v>
      </c>
      <c r="AH141">
        <v>2.68</v>
      </c>
      <c r="AI141" t="s">
        <v>96</v>
      </c>
      <c r="AJ141" s="1" t="s">
        <v>96</v>
      </c>
      <c r="AK141">
        <v>26.51</v>
      </c>
      <c r="AL141" t="s">
        <v>96</v>
      </c>
      <c r="AM141">
        <v>110.22</v>
      </c>
      <c r="AN141" s="1" t="s">
        <v>96</v>
      </c>
      <c r="AO141" t="s">
        <v>96</v>
      </c>
      <c r="AP141">
        <v>13.03</v>
      </c>
    </row>
    <row r="142" spans="1:42" ht="15.75">
      <c r="A142" t="s">
        <v>790</v>
      </c>
      <c r="B142" s="2" t="s">
        <v>790</v>
      </c>
      <c r="C142" s="2" t="str">
        <f t="shared" si="2"/>
        <v>TRUE</v>
      </c>
      <c r="D142" s="2" t="s">
        <v>865</v>
      </c>
      <c r="E142" s="2" t="s">
        <v>866</v>
      </c>
      <c r="F142" s="2" t="s">
        <v>864</v>
      </c>
      <c r="G142" s="3">
        <v>33242</v>
      </c>
      <c r="H142" s="3">
        <v>44113</v>
      </c>
      <c r="I142" s="2">
        <v>29</v>
      </c>
      <c r="J142" s="2">
        <v>1</v>
      </c>
      <c r="K142" s="2" t="s">
        <v>857</v>
      </c>
      <c r="L142" s="2">
        <v>38</v>
      </c>
      <c r="M142" s="2">
        <v>1</v>
      </c>
      <c r="N142">
        <v>23.23</v>
      </c>
      <c r="O142">
        <v>9.42</v>
      </c>
      <c r="P142" s="1">
        <v>15.09</v>
      </c>
      <c r="Q142">
        <v>272.27</v>
      </c>
      <c r="R142" s="1">
        <v>33.549999999999997</v>
      </c>
      <c r="S142">
        <v>240.78</v>
      </c>
      <c r="T142">
        <v>135.87</v>
      </c>
      <c r="U142" s="1">
        <v>88.35</v>
      </c>
      <c r="V142">
        <v>63.26</v>
      </c>
      <c r="W142">
        <v>47.97</v>
      </c>
      <c r="X142">
        <v>12.02</v>
      </c>
      <c r="Y142" s="1">
        <v>12.66</v>
      </c>
      <c r="Z142">
        <v>1796.61</v>
      </c>
      <c r="AA142">
        <v>350.54</v>
      </c>
      <c r="AB142">
        <v>250.15</v>
      </c>
      <c r="AC142">
        <v>328.47</v>
      </c>
      <c r="AD142">
        <v>21.14</v>
      </c>
      <c r="AE142">
        <v>85.36</v>
      </c>
      <c r="AF142">
        <v>22.87</v>
      </c>
      <c r="AG142" s="1" t="s">
        <v>96</v>
      </c>
      <c r="AH142">
        <v>17.29</v>
      </c>
      <c r="AI142">
        <v>22.13</v>
      </c>
      <c r="AJ142" s="1">
        <v>2.78</v>
      </c>
      <c r="AK142">
        <v>129.99</v>
      </c>
      <c r="AL142">
        <v>9.49</v>
      </c>
      <c r="AM142">
        <v>258.73</v>
      </c>
      <c r="AN142" s="1">
        <v>20.56</v>
      </c>
      <c r="AO142">
        <v>50.81</v>
      </c>
      <c r="AP142">
        <v>178.08</v>
      </c>
    </row>
    <row r="143" spans="1:42" ht="15.75">
      <c r="A143" t="s">
        <v>126</v>
      </c>
      <c r="B143" s="2" t="s">
        <v>126</v>
      </c>
      <c r="C143" s="2" t="str">
        <f t="shared" si="2"/>
        <v>TRUE</v>
      </c>
      <c r="D143" s="2" t="s">
        <v>854</v>
      </c>
      <c r="E143" s="2" t="s">
        <v>855</v>
      </c>
      <c r="F143" s="2" t="s">
        <v>856</v>
      </c>
      <c r="G143" s="3">
        <v>24811</v>
      </c>
      <c r="H143" s="3">
        <v>44118</v>
      </c>
      <c r="I143" s="2">
        <v>52</v>
      </c>
      <c r="J143" s="2">
        <v>1</v>
      </c>
      <c r="K143" s="2" t="s">
        <v>861</v>
      </c>
      <c r="L143" s="2">
        <v>236</v>
      </c>
      <c r="M143" s="2" t="s">
        <v>856</v>
      </c>
      <c r="N143">
        <v>14.85</v>
      </c>
      <c r="O143">
        <v>3.87</v>
      </c>
      <c r="P143" s="1">
        <v>3.26</v>
      </c>
      <c r="Q143">
        <v>237.45</v>
      </c>
      <c r="R143" s="1">
        <v>5.78</v>
      </c>
      <c r="S143">
        <v>105.8</v>
      </c>
      <c r="T143">
        <v>41.77</v>
      </c>
      <c r="U143" s="1">
        <v>106.08</v>
      </c>
      <c r="V143">
        <v>44.1</v>
      </c>
      <c r="W143">
        <v>6.55</v>
      </c>
      <c r="X143" t="s">
        <v>96</v>
      </c>
      <c r="Y143" s="1" t="s">
        <v>96</v>
      </c>
      <c r="Z143">
        <v>225.44</v>
      </c>
      <c r="AA143">
        <v>44.32</v>
      </c>
      <c r="AB143">
        <v>56.14</v>
      </c>
      <c r="AC143">
        <v>90.78</v>
      </c>
      <c r="AD143">
        <v>3.32</v>
      </c>
      <c r="AE143">
        <v>17.86</v>
      </c>
      <c r="AF143">
        <v>4.99</v>
      </c>
      <c r="AG143" s="1" t="s">
        <v>96</v>
      </c>
      <c r="AH143">
        <v>9.5399999999999991</v>
      </c>
      <c r="AI143">
        <v>18.5</v>
      </c>
      <c r="AJ143" s="1" t="s">
        <v>96</v>
      </c>
      <c r="AK143">
        <v>45.69</v>
      </c>
      <c r="AL143">
        <v>7.07</v>
      </c>
      <c r="AM143">
        <v>77.16</v>
      </c>
      <c r="AN143" s="1">
        <v>9.68</v>
      </c>
      <c r="AO143">
        <v>55.38</v>
      </c>
      <c r="AP143">
        <v>50.34</v>
      </c>
    </row>
    <row r="144" spans="1:42" ht="15.75">
      <c r="A144" t="s">
        <v>634</v>
      </c>
      <c r="B144" s="2" t="s">
        <v>634</v>
      </c>
      <c r="C144" s="2" t="str">
        <f t="shared" si="2"/>
        <v>TRUE</v>
      </c>
      <c r="D144" s="2" t="s">
        <v>865</v>
      </c>
      <c r="E144" s="2" t="s">
        <v>872</v>
      </c>
      <c r="F144" s="2" t="s">
        <v>860</v>
      </c>
      <c r="G144" s="3">
        <v>19739</v>
      </c>
      <c r="H144" s="3">
        <v>44119</v>
      </c>
      <c r="I144" s="2">
        <v>66</v>
      </c>
      <c r="J144" s="2">
        <v>1</v>
      </c>
      <c r="K144" s="2" t="s">
        <v>857</v>
      </c>
      <c r="L144" s="2">
        <v>900</v>
      </c>
      <c r="M144" s="2">
        <v>10</v>
      </c>
      <c r="N144">
        <v>14.02</v>
      </c>
      <c r="O144">
        <v>19.649999999999999</v>
      </c>
      <c r="P144" s="1">
        <v>4.38</v>
      </c>
      <c r="Q144">
        <v>33.56</v>
      </c>
      <c r="R144" s="1" t="s">
        <v>96</v>
      </c>
      <c r="S144">
        <v>170.85</v>
      </c>
      <c r="T144">
        <v>393.15</v>
      </c>
      <c r="U144" s="1">
        <v>541.88</v>
      </c>
      <c r="V144">
        <v>22.99</v>
      </c>
      <c r="W144">
        <v>296.49</v>
      </c>
      <c r="X144">
        <v>5.34</v>
      </c>
      <c r="Y144" s="1">
        <v>2.91</v>
      </c>
      <c r="Z144">
        <v>628.49</v>
      </c>
      <c r="AA144">
        <v>136.54</v>
      </c>
      <c r="AB144">
        <v>61.68</v>
      </c>
      <c r="AC144">
        <v>199.58</v>
      </c>
      <c r="AD144">
        <v>4.67</v>
      </c>
      <c r="AE144">
        <v>74.930000000000007</v>
      </c>
      <c r="AF144">
        <v>16.37</v>
      </c>
      <c r="AG144" s="1" t="s">
        <v>96</v>
      </c>
      <c r="AH144">
        <v>24.92</v>
      </c>
      <c r="AI144">
        <v>99.79</v>
      </c>
      <c r="AJ144" s="1">
        <v>21.1</v>
      </c>
      <c r="AK144">
        <v>177.98</v>
      </c>
      <c r="AL144">
        <v>46.52</v>
      </c>
      <c r="AM144">
        <v>670.95</v>
      </c>
      <c r="AN144" s="1">
        <v>24.77</v>
      </c>
      <c r="AO144">
        <v>75.599999999999994</v>
      </c>
      <c r="AP144">
        <v>107.53</v>
      </c>
    </row>
    <row r="145" spans="1:42" ht="15.75">
      <c r="A145" t="s">
        <v>670</v>
      </c>
      <c r="B145" s="2" t="s">
        <v>670</v>
      </c>
      <c r="C145" s="2" t="str">
        <f t="shared" si="2"/>
        <v>TRUE</v>
      </c>
      <c r="D145" s="2" t="s">
        <v>865</v>
      </c>
      <c r="E145" s="2" t="s">
        <v>872</v>
      </c>
      <c r="F145" s="2" t="s">
        <v>864</v>
      </c>
      <c r="G145" s="3">
        <v>34804</v>
      </c>
      <c r="H145" s="3">
        <v>44127</v>
      </c>
      <c r="I145" s="2">
        <v>25</v>
      </c>
      <c r="J145" s="2">
        <v>1</v>
      </c>
      <c r="K145" s="2" t="s">
        <v>857</v>
      </c>
      <c r="L145" s="2">
        <v>904</v>
      </c>
      <c r="M145" s="2">
        <v>6</v>
      </c>
      <c r="N145">
        <v>18.47</v>
      </c>
      <c r="O145" t="s">
        <v>96</v>
      </c>
      <c r="P145" s="1">
        <v>2.34</v>
      </c>
      <c r="Q145">
        <v>45.64</v>
      </c>
      <c r="R145" s="1">
        <v>8.34</v>
      </c>
      <c r="S145">
        <v>46.21</v>
      </c>
      <c r="T145">
        <v>18.39</v>
      </c>
      <c r="U145" s="1" t="s">
        <v>96</v>
      </c>
      <c r="V145">
        <v>6.5</v>
      </c>
      <c r="W145">
        <v>43.66</v>
      </c>
      <c r="X145">
        <v>4.6399999999999997</v>
      </c>
      <c r="Y145" s="1" t="s">
        <v>96</v>
      </c>
      <c r="Z145">
        <v>640.95000000000005</v>
      </c>
      <c r="AA145">
        <v>110.76</v>
      </c>
      <c r="AB145">
        <v>47.64</v>
      </c>
      <c r="AC145">
        <v>352.91</v>
      </c>
      <c r="AD145">
        <v>29.82</v>
      </c>
      <c r="AE145">
        <v>47.1</v>
      </c>
      <c r="AF145">
        <v>10.14</v>
      </c>
      <c r="AG145" s="1" t="s">
        <v>96</v>
      </c>
      <c r="AH145">
        <v>22.98</v>
      </c>
      <c r="AI145">
        <v>39.1</v>
      </c>
      <c r="AJ145" s="1">
        <v>2.54</v>
      </c>
      <c r="AK145">
        <v>330.91</v>
      </c>
      <c r="AL145">
        <v>25.1</v>
      </c>
      <c r="AM145">
        <v>520.74</v>
      </c>
      <c r="AN145" s="1">
        <v>26.79</v>
      </c>
      <c r="AO145">
        <v>47.5</v>
      </c>
      <c r="AP145">
        <v>185.27</v>
      </c>
    </row>
    <row r="146" spans="1:42" ht="15.75">
      <c r="A146" t="s">
        <v>472</v>
      </c>
      <c r="B146" s="2" t="s">
        <v>472</v>
      </c>
      <c r="C146" s="2" t="str">
        <f t="shared" si="2"/>
        <v>TRUE</v>
      </c>
      <c r="D146" s="2" t="s">
        <v>865</v>
      </c>
      <c r="E146" s="2" t="s">
        <v>866</v>
      </c>
      <c r="F146" s="2" t="s">
        <v>864</v>
      </c>
      <c r="G146" s="3">
        <v>23778</v>
      </c>
      <c r="H146" s="3">
        <v>44130</v>
      </c>
      <c r="I146" s="2">
        <v>55</v>
      </c>
      <c r="J146" s="2">
        <v>1</v>
      </c>
      <c r="K146" s="2" t="s">
        <v>857</v>
      </c>
      <c r="L146" s="2">
        <v>319</v>
      </c>
      <c r="M146" s="2">
        <v>11</v>
      </c>
      <c r="N146">
        <v>11.67</v>
      </c>
      <c r="O146">
        <v>4.28</v>
      </c>
      <c r="P146" s="1">
        <v>17.899999999999999</v>
      </c>
      <c r="Q146">
        <v>244.35</v>
      </c>
      <c r="R146" s="1">
        <v>84.2</v>
      </c>
      <c r="S146">
        <v>834.8</v>
      </c>
      <c r="T146">
        <v>227.59</v>
      </c>
      <c r="U146" s="1">
        <v>369.49</v>
      </c>
      <c r="V146">
        <v>70.69</v>
      </c>
      <c r="W146">
        <v>41.4</v>
      </c>
      <c r="X146">
        <v>2.3199999999999998</v>
      </c>
      <c r="Y146" s="1">
        <v>13.16</v>
      </c>
      <c r="Z146">
        <v>917.41</v>
      </c>
      <c r="AA146">
        <v>721.21</v>
      </c>
      <c r="AB146">
        <v>93.93</v>
      </c>
      <c r="AC146">
        <v>224.2</v>
      </c>
      <c r="AD146">
        <v>6.87</v>
      </c>
      <c r="AE146">
        <v>112.97</v>
      </c>
      <c r="AF146">
        <v>126.67</v>
      </c>
      <c r="AG146" s="1" t="s">
        <v>96</v>
      </c>
      <c r="AH146">
        <v>63.75</v>
      </c>
      <c r="AI146">
        <v>177.76</v>
      </c>
      <c r="AJ146" s="1">
        <v>8.6999999999999993</v>
      </c>
      <c r="AK146">
        <v>68.11</v>
      </c>
      <c r="AL146">
        <v>11.1</v>
      </c>
      <c r="AM146">
        <v>970.93</v>
      </c>
      <c r="AN146" s="1">
        <v>36.67</v>
      </c>
      <c r="AO146">
        <v>41.59</v>
      </c>
      <c r="AP146">
        <v>164.18</v>
      </c>
    </row>
    <row r="147" spans="1:42" ht="15.75">
      <c r="A147" t="s">
        <v>736</v>
      </c>
      <c r="B147" s="2" t="s">
        <v>736</v>
      </c>
      <c r="C147" s="2" t="str">
        <f t="shared" si="2"/>
        <v>TRUE</v>
      </c>
      <c r="D147" s="2" t="s">
        <v>858</v>
      </c>
      <c r="E147" s="2" t="s">
        <v>863</v>
      </c>
      <c r="F147" s="2" t="s">
        <v>864</v>
      </c>
      <c r="G147" s="3">
        <v>36030</v>
      </c>
      <c r="H147" s="3">
        <v>44134</v>
      </c>
      <c r="I147" s="2">
        <v>22</v>
      </c>
      <c r="J147" s="2">
        <v>2</v>
      </c>
      <c r="K147" s="2" t="s">
        <v>857</v>
      </c>
      <c r="L147" s="2">
        <v>73</v>
      </c>
      <c r="M147" s="2">
        <v>0</v>
      </c>
      <c r="N147">
        <v>12.42</v>
      </c>
      <c r="O147" t="s">
        <v>96</v>
      </c>
      <c r="P147" s="1">
        <v>7.92</v>
      </c>
      <c r="Q147">
        <v>28.9</v>
      </c>
      <c r="R147" s="1">
        <v>8.4700000000000006</v>
      </c>
      <c r="S147">
        <v>174.61</v>
      </c>
      <c r="T147">
        <v>13.17</v>
      </c>
      <c r="U147" s="1">
        <v>31.94</v>
      </c>
      <c r="V147">
        <v>7.37</v>
      </c>
      <c r="W147">
        <v>8.2100000000000009</v>
      </c>
      <c r="X147">
        <v>1.72</v>
      </c>
      <c r="Y147" s="1">
        <v>4</v>
      </c>
      <c r="Z147">
        <v>911.47</v>
      </c>
      <c r="AA147">
        <v>359.79</v>
      </c>
      <c r="AB147">
        <v>74.13</v>
      </c>
      <c r="AC147">
        <v>157.29</v>
      </c>
      <c r="AD147">
        <v>13.75</v>
      </c>
      <c r="AE147">
        <v>156.34</v>
      </c>
      <c r="AF147">
        <v>80.28</v>
      </c>
      <c r="AG147" s="1">
        <v>5.22</v>
      </c>
      <c r="AH147">
        <v>28.59</v>
      </c>
      <c r="AI147">
        <v>147.68</v>
      </c>
      <c r="AJ147" s="1">
        <v>3.45</v>
      </c>
      <c r="AK147">
        <v>124.89</v>
      </c>
      <c r="AL147">
        <v>32.15</v>
      </c>
      <c r="AM147">
        <v>440.2</v>
      </c>
      <c r="AN147" s="1">
        <v>59.13</v>
      </c>
      <c r="AO147">
        <v>15.52</v>
      </c>
      <c r="AP147">
        <v>186.41</v>
      </c>
    </row>
    <row r="148" spans="1:42" ht="15.75">
      <c r="A148" t="s">
        <v>457</v>
      </c>
      <c r="B148" s="2" t="s">
        <v>457</v>
      </c>
      <c r="C148" s="2" t="str">
        <f t="shared" si="2"/>
        <v>TRUE</v>
      </c>
      <c r="D148" s="2" t="s">
        <v>854</v>
      </c>
      <c r="E148" s="2" t="s">
        <v>871</v>
      </c>
      <c r="F148" s="2" t="s">
        <v>856</v>
      </c>
      <c r="G148" s="3">
        <v>37328</v>
      </c>
      <c r="H148" s="3">
        <v>44146</v>
      </c>
      <c r="I148" s="2">
        <v>18</v>
      </c>
      <c r="J148" s="2">
        <v>1</v>
      </c>
      <c r="K148" s="2" t="s">
        <v>857</v>
      </c>
      <c r="L148" s="2">
        <v>472</v>
      </c>
      <c r="M148" s="2" t="s">
        <v>856</v>
      </c>
      <c r="N148">
        <v>16.440000000000001</v>
      </c>
      <c r="O148">
        <v>21.19</v>
      </c>
      <c r="P148" s="1">
        <v>2.25</v>
      </c>
      <c r="Q148" t="s">
        <v>133</v>
      </c>
      <c r="R148" s="1">
        <v>22.63</v>
      </c>
      <c r="S148">
        <v>164.77</v>
      </c>
      <c r="T148">
        <v>240.1</v>
      </c>
      <c r="U148" s="1">
        <v>217.87</v>
      </c>
      <c r="V148">
        <v>191.06</v>
      </c>
      <c r="W148">
        <v>54.83</v>
      </c>
      <c r="X148">
        <v>10.43</v>
      </c>
      <c r="Y148" s="1">
        <v>3.34</v>
      </c>
      <c r="Z148">
        <v>2229.1999999999998</v>
      </c>
      <c r="AA148">
        <v>396.96</v>
      </c>
      <c r="AB148">
        <v>757.42</v>
      </c>
      <c r="AC148">
        <v>587.78</v>
      </c>
      <c r="AD148">
        <v>20.75</v>
      </c>
      <c r="AE148">
        <v>461.52</v>
      </c>
      <c r="AF148">
        <v>108.99</v>
      </c>
      <c r="AG148" s="1">
        <v>15.69</v>
      </c>
      <c r="AH148">
        <v>140.88999999999999</v>
      </c>
      <c r="AI148" t="s">
        <v>96</v>
      </c>
      <c r="AJ148" s="1" t="s">
        <v>96</v>
      </c>
      <c r="AK148">
        <v>67.69</v>
      </c>
      <c r="AL148">
        <v>15.71</v>
      </c>
      <c r="AM148">
        <v>54.05</v>
      </c>
      <c r="AN148" s="1">
        <v>11.93</v>
      </c>
      <c r="AO148">
        <v>144.38</v>
      </c>
      <c r="AP148">
        <v>31.53</v>
      </c>
    </row>
    <row r="149" spans="1:42" ht="15.75">
      <c r="A149" t="s">
        <v>658</v>
      </c>
      <c r="B149" s="2" t="s">
        <v>658</v>
      </c>
      <c r="C149" s="2" t="str">
        <f t="shared" si="2"/>
        <v>TRUE</v>
      </c>
      <c r="D149" s="2" t="s">
        <v>858</v>
      </c>
      <c r="E149" s="2" t="s">
        <v>868</v>
      </c>
      <c r="F149" s="2" t="s">
        <v>864</v>
      </c>
      <c r="G149" s="3">
        <v>29096</v>
      </c>
      <c r="H149" s="3">
        <v>44148</v>
      </c>
      <c r="I149" s="2">
        <v>41</v>
      </c>
      <c r="J149" s="2">
        <v>2</v>
      </c>
      <c r="K149" s="2" t="s">
        <v>857</v>
      </c>
      <c r="L149" s="2">
        <v>55</v>
      </c>
      <c r="M149" s="2">
        <v>1</v>
      </c>
      <c r="N149">
        <v>26.72</v>
      </c>
      <c r="O149">
        <v>5</v>
      </c>
      <c r="P149" s="1">
        <v>24.44</v>
      </c>
      <c r="Q149">
        <v>46.88</v>
      </c>
      <c r="R149" s="1">
        <v>28.21</v>
      </c>
      <c r="S149">
        <v>689.63</v>
      </c>
      <c r="T149">
        <v>117.13</v>
      </c>
      <c r="U149" s="1">
        <v>1012.35</v>
      </c>
      <c r="V149">
        <v>57.64</v>
      </c>
      <c r="W149">
        <v>55.82</v>
      </c>
      <c r="X149">
        <v>3.68</v>
      </c>
      <c r="Y149" s="1">
        <v>21.38</v>
      </c>
      <c r="Z149">
        <v>592.03</v>
      </c>
      <c r="AA149">
        <v>732.05</v>
      </c>
      <c r="AB149">
        <v>70.739999999999995</v>
      </c>
      <c r="AC149">
        <v>69.16</v>
      </c>
      <c r="AD149">
        <v>5.91</v>
      </c>
      <c r="AE149">
        <v>25.56</v>
      </c>
      <c r="AF149">
        <v>33.43</v>
      </c>
      <c r="AG149" s="1" t="s">
        <v>96</v>
      </c>
      <c r="AH149">
        <v>5.27</v>
      </c>
      <c r="AI149">
        <v>56.92</v>
      </c>
      <c r="AJ149" s="1">
        <v>16.37</v>
      </c>
      <c r="AK149">
        <v>10.029999999999999</v>
      </c>
      <c r="AL149" t="s">
        <v>96</v>
      </c>
      <c r="AM149">
        <v>301.89</v>
      </c>
      <c r="AN149" s="1">
        <v>9.15</v>
      </c>
      <c r="AO149" t="s">
        <v>96</v>
      </c>
      <c r="AP149">
        <v>62.72</v>
      </c>
    </row>
    <row r="150" spans="1:42" ht="15.75">
      <c r="A150" t="s">
        <v>652</v>
      </c>
      <c r="B150" s="2" t="s">
        <v>652</v>
      </c>
      <c r="C150" s="2" t="str">
        <f t="shared" si="2"/>
        <v>TRUE</v>
      </c>
      <c r="D150" s="2" t="s">
        <v>858</v>
      </c>
      <c r="E150" s="2" t="s">
        <v>863</v>
      </c>
      <c r="F150" s="2" t="s">
        <v>860</v>
      </c>
      <c r="G150" s="3">
        <v>24431</v>
      </c>
      <c r="H150" s="3">
        <v>44148</v>
      </c>
      <c r="I150" s="2">
        <v>53</v>
      </c>
      <c r="J150" s="2">
        <v>2</v>
      </c>
      <c r="K150" s="2" t="s">
        <v>861</v>
      </c>
      <c r="L150" s="2">
        <v>1780</v>
      </c>
      <c r="M150" s="2">
        <v>5</v>
      </c>
      <c r="N150">
        <v>16.489999999999998</v>
      </c>
      <c r="O150">
        <v>1.21</v>
      </c>
      <c r="P150" s="1">
        <v>39.56</v>
      </c>
      <c r="Q150">
        <v>6.61</v>
      </c>
      <c r="R150" s="1">
        <v>29.84</v>
      </c>
      <c r="S150">
        <v>397.36</v>
      </c>
      <c r="T150">
        <v>136.52000000000001</v>
      </c>
      <c r="U150" s="1">
        <v>69.39</v>
      </c>
      <c r="V150">
        <v>16.78</v>
      </c>
      <c r="W150">
        <v>31.09</v>
      </c>
      <c r="X150">
        <v>3.09</v>
      </c>
      <c r="Y150" s="1">
        <v>21.23</v>
      </c>
      <c r="Z150">
        <v>1534.58</v>
      </c>
      <c r="AA150">
        <v>645.29</v>
      </c>
      <c r="AB150">
        <v>25.42</v>
      </c>
      <c r="AC150">
        <v>358.49</v>
      </c>
      <c r="AD150">
        <v>14.99</v>
      </c>
      <c r="AE150">
        <v>74.39</v>
      </c>
      <c r="AF150">
        <v>38.08</v>
      </c>
      <c r="AG150" s="1" t="s">
        <v>96</v>
      </c>
      <c r="AH150">
        <v>26.95</v>
      </c>
      <c r="AI150">
        <v>61.54</v>
      </c>
      <c r="AJ150" s="1">
        <v>5.6</v>
      </c>
      <c r="AK150">
        <v>113.77</v>
      </c>
      <c r="AL150">
        <v>6.99</v>
      </c>
      <c r="AM150">
        <v>626.78</v>
      </c>
      <c r="AN150" s="1">
        <v>14.42</v>
      </c>
      <c r="AO150">
        <v>7.5</v>
      </c>
      <c r="AP150">
        <v>164.31</v>
      </c>
    </row>
    <row r="151" spans="1:42" ht="15.75">
      <c r="A151" t="s">
        <v>193</v>
      </c>
      <c r="B151" s="2" t="s">
        <v>193</v>
      </c>
      <c r="C151" s="2" t="str">
        <f t="shared" si="2"/>
        <v>TRUE</v>
      </c>
      <c r="D151" s="2" t="s">
        <v>858</v>
      </c>
      <c r="E151" s="2" t="s">
        <v>863</v>
      </c>
      <c r="F151" s="2" t="s">
        <v>860</v>
      </c>
      <c r="G151" s="3">
        <v>34311</v>
      </c>
      <c r="H151" s="3">
        <v>44148</v>
      </c>
      <c r="I151" s="2">
        <v>26</v>
      </c>
      <c r="J151" s="2">
        <v>1</v>
      </c>
      <c r="K151" s="2" t="s">
        <v>857</v>
      </c>
      <c r="L151" s="2">
        <v>1823</v>
      </c>
      <c r="M151" s="2">
        <v>9</v>
      </c>
      <c r="N151">
        <v>17.100000000000001</v>
      </c>
      <c r="O151">
        <v>3.51</v>
      </c>
      <c r="P151" s="1">
        <v>5.82</v>
      </c>
      <c r="Q151">
        <v>16.16</v>
      </c>
      <c r="R151" s="1">
        <v>11.82</v>
      </c>
      <c r="S151">
        <v>264.5</v>
      </c>
      <c r="T151">
        <v>204.83</v>
      </c>
      <c r="U151" s="1">
        <v>1022.17</v>
      </c>
      <c r="V151">
        <v>20.75</v>
      </c>
      <c r="W151">
        <v>318.43</v>
      </c>
      <c r="X151">
        <v>3.23</v>
      </c>
      <c r="Y151" s="1" t="s">
        <v>96</v>
      </c>
      <c r="Z151">
        <v>552.89</v>
      </c>
      <c r="AA151">
        <v>305.87</v>
      </c>
      <c r="AB151">
        <v>29.3</v>
      </c>
      <c r="AC151">
        <v>173.43</v>
      </c>
      <c r="AD151">
        <v>21.44</v>
      </c>
      <c r="AE151">
        <v>172.13</v>
      </c>
      <c r="AF151">
        <v>179.59</v>
      </c>
      <c r="AG151" s="1">
        <v>23.07</v>
      </c>
      <c r="AH151">
        <v>69.91</v>
      </c>
      <c r="AI151">
        <v>267.56</v>
      </c>
      <c r="AJ151" s="1">
        <v>3.48</v>
      </c>
      <c r="AK151">
        <v>51.54</v>
      </c>
      <c r="AL151">
        <v>39.590000000000003</v>
      </c>
      <c r="AM151">
        <v>214.79</v>
      </c>
      <c r="AN151" s="1">
        <v>136.66999999999999</v>
      </c>
      <c r="AO151">
        <v>7.17</v>
      </c>
      <c r="AP151">
        <v>103.68</v>
      </c>
    </row>
    <row r="152" spans="1:42" ht="15.75">
      <c r="A152" t="s">
        <v>145</v>
      </c>
      <c r="B152" s="2" t="s">
        <v>145</v>
      </c>
      <c r="C152" s="2" t="str">
        <f t="shared" si="2"/>
        <v>TRUE</v>
      </c>
      <c r="D152" s="2" t="s">
        <v>865</v>
      </c>
      <c r="E152" s="2" t="s">
        <v>872</v>
      </c>
      <c r="F152" s="2" t="s">
        <v>860</v>
      </c>
      <c r="G152" s="3">
        <v>34219</v>
      </c>
      <c r="H152" s="3">
        <v>44151</v>
      </c>
      <c r="I152" s="2">
        <v>27</v>
      </c>
      <c r="J152" s="2">
        <v>2</v>
      </c>
      <c r="K152" s="2" t="s">
        <v>861</v>
      </c>
      <c r="L152" s="2">
        <v>2739</v>
      </c>
      <c r="M152" s="2">
        <v>8</v>
      </c>
      <c r="N152">
        <v>16.71</v>
      </c>
      <c r="O152">
        <v>9.23</v>
      </c>
      <c r="P152" s="1" t="s">
        <v>96</v>
      </c>
      <c r="Q152">
        <v>85.94</v>
      </c>
      <c r="R152" s="1" t="s">
        <v>96</v>
      </c>
      <c r="S152" t="s">
        <v>96</v>
      </c>
      <c r="T152">
        <v>302.93</v>
      </c>
      <c r="U152" s="1" t="s">
        <v>96</v>
      </c>
      <c r="V152">
        <v>35.299999999999997</v>
      </c>
      <c r="W152">
        <v>270.72000000000003</v>
      </c>
      <c r="X152">
        <v>10.119999999999999</v>
      </c>
      <c r="Y152" s="1" t="s">
        <v>96</v>
      </c>
      <c r="Z152">
        <v>243.74</v>
      </c>
      <c r="AA152" t="s">
        <v>96</v>
      </c>
      <c r="AB152">
        <v>18.16</v>
      </c>
      <c r="AC152">
        <v>200.39</v>
      </c>
      <c r="AD152">
        <v>5.77</v>
      </c>
      <c r="AE152">
        <v>20.82</v>
      </c>
      <c r="AF152" t="s">
        <v>96</v>
      </c>
      <c r="AG152" s="1" t="s">
        <v>96</v>
      </c>
      <c r="AH152">
        <v>12.54</v>
      </c>
      <c r="AI152" t="s">
        <v>96</v>
      </c>
      <c r="AJ152" s="1" t="s">
        <v>96</v>
      </c>
      <c r="AK152">
        <v>52.61</v>
      </c>
      <c r="AL152">
        <v>6.55</v>
      </c>
      <c r="AM152" t="s">
        <v>96</v>
      </c>
      <c r="AN152" s="1" t="s">
        <v>96</v>
      </c>
      <c r="AO152">
        <v>17.940000000000001</v>
      </c>
      <c r="AP152" t="s">
        <v>96</v>
      </c>
    </row>
    <row r="153" spans="1:42" ht="15.75">
      <c r="A153" t="s">
        <v>379</v>
      </c>
      <c r="B153" s="2" t="s">
        <v>379</v>
      </c>
      <c r="C153" s="2" t="str">
        <f t="shared" si="2"/>
        <v>TRUE</v>
      </c>
      <c r="D153" s="2" t="s">
        <v>858</v>
      </c>
      <c r="E153" s="2" t="s">
        <v>863</v>
      </c>
      <c r="F153" s="2" t="s">
        <v>864</v>
      </c>
      <c r="G153" s="3">
        <v>33826</v>
      </c>
      <c r="H153" s="3">
        <v>44152</v>
      </c>
      <c r="I153" s="2">
        <v>28</v>
      </c>
      <c r="J153" s="2">
        <v>1</v>
      </c>
      <c r="K153" s="2" t="s">
        <v>857</v>
      </c>
      <c r="L153" s="2">
        <v>221</v>
      </c>
      <c r="M153" s="2">
        <v>10</v>
      </c>
      <c r="N153">
        <v>12.37</v>
      </c>
      <c r="O153" t="s">
        <v>96</v>
      </c>
      <c r="P153" s="1">
        <v>16.73</v>
      </c>
      <c r="Q153">
        <v>9.09</v>
      </c>
      <c r="R153" s="1">
        <v>32.1</v>
      </c>
      <c r="S153">
        <v>345.77</v>
      </c>
      <c r="T153">
        <v>9.65</v>
      </c>
      <c r="U153" s="1">
        <v>257.76</v>
      </c>
      <c r="V153">
        <v>55.11</v>
      </c>
      <c r="W153">
        <v>9.39</v>
      </c>
      <c r="X153" t="s">
        <v>96</v>
      </c>
      <c r="Y153" s="1">
        <v>9.11</v>
      </c>
      <c r="Z153">
        <v>575.85</v>
      </c>
      <c r="AA153">
        <v>724.71</v>
      </c>
      <c r="AB153">
        <v>13.63</v>
      </c>
      <c r="AC153">
        <v>130.16999999999999</v>
      </c>
      <c r="AD153">
        <v>2.77</v>
      </c>
      <c r="AE153">
        <v>84.83</v>
      </c>
      <c r="AF153">
        <v>143.38</v>
      </c>
      <c r="AG153" s="1" t="s">
        <v>96</v>
      </c>
      <c r="AH153">
        <v>21.58</v>
      </c>
      <c r="AI153">
        <v>111.71</v>
      </c>
      <c r="AJ153" s="1">
        <v>3.67</v>
      </c>
      <c r="AK153">
        <v>22.44</v>
      </c>
      <c r="AL153">
        <v>7.36</v>
      </c>
      <c r="AM153">
        <v>398.55</v>
      </c>
      <c r="AN153" s="1">
        <v>27.7</v>
      </c>
      <c r="AO153" t="s">
        <v>96</v>
      </c>
      <c r="AP153">
        <v>66.739999999999995</v>
      </c>
    </row>
    <row r="154" spans="1:42" ht="15.75">
      <c r="A154" t="s">
        <v>751</v>
      </c>
      <c r="B154" s="2" t="s">
        <v>751</v>
      </c>
      <c r="C154" s="2" t="str">
        <f t="shared" si="2"/>
        <v>TRUE</v>
      </c>
      <c r="D154" s="2" t="s">
        <v>865</v>
      </c>
      <c r="E154" s="2" t="s">
        <v>873</v>
      </c>
      <c r="F154" s="2" t="s">
        <v>864</v>
      </c>
      <c r="G154" s="3">
        <v>25311</v>
      </c>
      <c r="H154" s="3">
        <v>44161</v>
      </c>
      <c r="I154" s="2">
        <v>51</v>
      </c>
      <c r="J154" s="2">
        <v>1</v>
      </c>
      <c r="K154" s="2" t="s">
        <v>857</v>
      </c>
      <c r="L154" s="2">
        <v>496</v>
      </c>
      <c r="M154" s="2">
        <v>3</v>
      </c>
      <c r="N154">
        <v>17.87</v>
      </c>
      <c r="O154">
        <v>1.22</v>
      </c>
      <c r="P154" s="1">
        <v>41.15</v>
      </c>
      <c r="Q154">
        <v>56.3</v>
      </c>
      <c r="R154" s="1">
        <v>90.72</v>
      </c>
      <c r="S154">
        <v>698.35</v>
      </c>
      <c r="T154">
        <v>54.56</v>
      </c>
      <c r="U154" s="1">
        <v>1546.59</v>
      </c>
      <c r="V154">
        <v>81.650000000000006</v>
      </c>
      <c r="W154">
        <v>7.39</v>
      </c>
      <c r="X154" t="s">
        <v>96</v>
      </c>
      <c r="Y154" s="1">
        <v>7.96</v>
      </c>
      <c r="Z154">
        <v>523.22</v>
      </c>
      <c r="AA154">
        <v>310.97000000000003</v>
      </c>
      <c r="AB154">
        <v>26.69</v>
      </c>
      <c r="AC154">
        <v>82.09</v>
      </c>
      <c r="AD154">
        <v>5.27</v>
      </c>
      <c r="AE154">
        <v>58.12</v>
      </c>
      <c r="AF154">
        <v>46.97</v>
      </c>
      <c r="AG154" s="1" t="s">
        <v>96</v>
      </c>
      <c r="AH154">
        <v>9.27</v>
      </c>
      <c r="AI154">
        <v>275.24</v>
      </c>
      <c r="AJ154" s="1">
        <v>9.33</v>
      </c>
      <c r="AK154">
        <v>48.2</v>
      </c>
      <c r="AL154">
        <v>7.99</v>
      </c>
      <c r="AM154">
        <v>1398.1</v>
      </c>
      <c r="AN154" s="1">
        <v>25.31</v>
      </c>
      <c r="AO154">
        <v>10.99</v>
      </c>
      <c r="AP154">
        <v>110.67</v>
      </c>
    </row>
    <row r="155" spans="1:42" ht="15.75">
      <c r="A155" t="s">
        <v>430</v>
      </c>
      <c r="B155" s="2" t="s">
        <v>430</v>
      </c>
      <c r="C155" s="2" t="str">
        <f t="shared" si="2"/>
        <v>TRUE</v>
      </c>
      <c r="D155" s="2" t="s">
        <v>858</v>
      </c>
      <c r="E155" s="2" t="s">
        <v>863</v>
      </c>
      <c r="F155" s="2" t="s">
        <v>864</v>
      </c>
      <c r="G155" s="3">
        <v>35769</v>
      </c>
      <c r="H155" s="3">
        <v>44162</v>
      </c>
      <c r="I155" s="2">
        <v>22</v>
      </c>
      <c r="J155" s="2">
        <v>1</v>
      </c>
      <c r="K155" s="2" t="s">
        <v>861</v>
      </c>
      <c r="L155" s="2">
        <v>7900</v>
      </c>
      <c r="M155" s="2">
        <v>13</v>
      </c>
      <c r="N155">
        <v>17.04</v>
      </c>
      <c r="O155">
        <v>6.31</v>
      </c>
      <c r="P155" s="1">
        <v>5.54</v>
      </c>
      <c r="Q155">
        <v>224.98</v>
      </c>
      <c r="R155" s="1">
        <v>13.04</v>
      </c>
      <c r="S155">
        <v>244.97</v>
      </c>
      <c r="T155">
        <v>122.4</v>
      </c>
      <c r="U155" s="1">
        <v>93.42</v>
      </c>
      <c r="V155">
        <v>79.06</v>
      </c>
      <c r="W155">
        <v>51.01</v>
      </c>
      <c r="X155">
        <v>7.06</v>
      </c>
      <c r="Y155" s="1">
        <v>10.23</v>
      </c>
      <c r="Z155">
        <v>2020.47</v>
      </c>
      <c r="AA155">
        <v>425.91</v>
      </c>
      <c r="AB155">
        <v>340.75</v>
      </c>
      <c r="AC155">
        <v>676.84</v>
      </c>
      <c r="AD155">
        <v>44.14</v>
      </c>
      <c r="AE155">
        <v>285.7</v>
      </c>
      <c r="AF155">
        <v>83.09</v>
      </c>
      <c r="AG155" s="1">
        <v>5.73</v>
      </c>
      <c r="AH155">
        <v>92.62</v>
      </c>
      <c r="AI155">
        <v>105.01</v>
      </c>
      <c r="AJ155" s="1">
        <v>6.1</v>
      </c>
      <c r="AK155">
        <v>120.54</v>
      </c>
      <c r="AL155">
        <v>30.19</v>
      </c>
      <c r="AM155">
        <v>290.32</v>
      </c>
      <c r="AN155" s="1">
        <v>15.01</v>
      </c>
      <c r="AO155">
        <v>63.15</v>
      </c>
      <c r="AP155">
        <v>47.58</v>
      </c>
    </row>
    <row r="156" spans="1:42" ht="15.75">
      <c r="A156" t="s">
        <v>571</v>
      </c>
      <c r="B156" s="2" t="s">
        <v>571</v>
      </c>
      <c r="C156" s="2" t="str">
        <f t="shared" si="2"/>
        <v>TRUE</v>
      </c>
      <c r="D156" s="2" t="s">
        <v>858</v>
      </c>
      <c r="E156" s="2" t="s">
        <v>863</v>
      </c>
      <c r="F156" s="2" t="s">
        <v>864</v>
      </c>
      <c r="G156" s="3">
        <v>28094</v>
      </c>
      <c r="H156" s="3">
        <v>44169</v>
      </c>
      <c r="I156" s="2">
        <v>44</v>
      </c>
      <c r="J156" s="2">
        <v>1</v>
      </c>
      <c r="K156" s="2" t="s">
        <v>857</v>
      </c>
      <c r="L156" s="2">
        <v>659</v>
      </c>
      <c r="M156" s="2">
        <v>6</v>
      </c>
      <c r="N156">
        <v>29.18</v>
      </c>
      <c r="O156">
        <v>2.15</v>
      </c>
      <c r="P156" s="1">
        <v>16.920000000000002</v>
      </c>
      <c r="Q156">
        <v>67.61</v>
      </c>
      <c r="R156" s="1">
        <v>27.19</v>
      </c>
      <c r="S156">
        <v>254.9</v>
      </c>
      <c r="T156">
        <v>75.66</v>
      </c>
      <c r="U156" s="1">
        <v>94.78</v>
      </c>
      <c r="V156">
        <v>46.22</v>
      </c>
      <c r="W156">
        <v>72.349999999999994</v>
      </c>
      <c r="X156">
        <v>5.83</v>
      </c>
      <c r="Y156" s="1">
        <v>25.56</v>
      </c>
      <c r="Z156">
        <v>1940</v>
      </c>
      <c r="AA156">
        <v>661.35</v>
      </c>
      <c r="AB156">
        <v>191.94</v>
      </c>
      <c r="AC156">
        <v>445.55</v>
      </c>
      <c r="AD156">
        <v>7.68</v>
      </c>
      <c r="AE156">
        <v>114.34</v>
      </c>
      <c r="AF156">
        <v>39.54</v>
      </c>
      <c r="AG156" s="1" t="s">
        <v>96</v>
      </c>
      <c r="AH156">
        <v>28.22</v>
      </c>
      <c r="AI156">
        <v>25.23</v>
      </c>
      <c r="AJ156" s="1">
        <v>5.72</v>
      </c>
      <c r="AK156">
        <v>41.29</v>
      </c>
      <c r="AL156" t="s">
        <v>96</v>
      </c>
      <c r="AM156">
        <v>354.88</v>
      </c>
      <c r="AN156" s="1" t="s">
        <v>96</v>
      </c>
      <c r="AO156">
        <v>20.98</v>
      </c>
      <c r="AP156">
        <v>40.28</v>
      </c>
    </row>
    <row r="157" spans="1:42" ht="15.75">
      <c r="A157" t="s">
        <v>772</v>
      </c>
      <c r="B157" s="2" t="s">
        <v>772</v>
      </c>
      <c r="C157" s="2" t="str">
        <f t="shared" si="2"/>
        <v>TRUE</v>
      </c>
      <c r="D157" s="2" t="s">
        <v>865</v>
      </c>
      <c r="E157" s="2" t="s">
        <v>872</v>
      </c>
      <c r="F157" s="2" t="s">
        <v>864</v>
      </c>
      <c r="G157" s="3">
        <v>25846</v>
      </c>
      <c r="H157" s="3">
        <v>44172</v>
      </c>
      <c r="I157" s="2">
        <v>50</v>
      </c>
      <c r="J157" s="2">
        <v>1</v>
      </c>
      <c r="K157" s="2" t="s">
        <v>861</v>
      </c>
      <c r="L157" s="2">
        <v>549</v>
      </c>
      <c r="M157" s="2">
        <v>9</v>
      </c>
      <c r="N157">
        <v>10.18</v>
      </c>
      <c r="O157">
        <v>2.35</v>
      </c>
      <c r="P157" s="1">
        <v>30.9</v>
      </c>
      <c r="Q157">
        <v>17.91</v>
      </c>
      <c r="R157" s="1">
        <v>34.18</v>
      </c>
      <c r="S157">
        <v>412.26</v>
      </c>
      <c r="T157">
        <v>52.33</v>
      </c>
      <c r="U157" s="1" t="s">
        <v>96</v>
      </c>
      <c r="V157">
        <v>44.07</v>
      </c>
      <c r="W157">
        <v>56.57</v>
      </c>
      <c r="X157" t="s">
        <v>96</v>
      </c>
      <c r="Y157" s="1" t="s">
        <v>96</v>
      </c>
      <c r="Z157">
        <v>110.1</v>
      </c>
      <c r="AA157">
        <v>231.47</v>
      </c>
      <c r="AB157">
        <v>10.35</v>
      </c>
      <c r="AC157">
        <v>47.78</v>
      </c>
      <c r="AD157" t="s">
        <v>96</v>
      </c>
      <c r="AE157">
        <v>39.119999999999997</v>
      </c>
      <c r="AF157">
        <v>66.08</v>
      </c>
      <c r="AG157" s="1" t="s">
        <v>96</v>
      </c>
      <c r="AH157">
        <v>11.75</v>
      </c>
      <c r="AI157">
        <v>23.53</v>
      </c>
      <c r="AJ157" s="1" t="s">
        <v>96</v>
      </c>
      <c r="AK157">
        <v>9.73</v>
      </c>
      <c r="AL157" t="s">
        <v>96</v>
      </c>
      <c r="AM157">
        <v>110.71</v>
      </c>
      <c r="AN157" s="1">
        <v>13.47</v>
      </c>
      <c r="AO157" t="s">
        <v>96</v>
      </c>
      <c r="AP157">
        <v>30.85</v>
      </c>
    </row>
    <row r="158" spans="1:42" ht="15.75">
      <c r="A158" t="s">
        <v>799</v>
      </c>
      <c r="B158" s="2" t="s">
        <v>799</v>
      </c>
      <c r="C158" s="2" t="str">
        <f t="shared" si="2"/>
        <v>TRUE</v>
      </c>
      <c r="D158" s="2" t="s">
        <v>858</v>
      </c>
      <c r="E158" s="2" t="s">
        <v>859</v>
      </c>
      <c r="F158" s="2" t="s">
        <v>860</v>
      </c>
      <c r="G158" s="3">
        <v>33801</v>
      </c>
      <c r="H158" s="3">
        <v>44173</v>
      </c>
      <c r="I158" s="2">
        <v>28</v>
      </c>
      <c r="J158" s="2">
        <v>2</v>
      </c>
      <c r="K158" s="2" t="s">
        <v>857</v>
      </c>
      <c r="L158" s="2">
        <v>470</v>
      </c>
      <c r="M158" s="2">
        <v>0</v>
      </c>
      <c r="N158">
        <v>23.02</v>
      </c>
      <c r="O158">
        <v>3.59</v>
      </c>
      <c r="P158" s="1">
        <v>12.22</v>
      </c>
      <c r="Q158">
        <v>52.16</v>
      </c>
      <c r="R158" s="1">
        <v>8.0299999999999994</v>
      </c>
      <c r="S158">
        <v>220</v>
      </c>
      <c r="T158">
        <v>47.29</v>
      </c>
      <c r="U158" s="1">
        <v>99.12</v>
      </c>
      <c r="V158">
        <v>21</v>
      </c>
      <c r="W158">
        <v>78.680000000000007</v>
      </c>
      <c r="X158">
        <v>10.33</v>
      </c>
      <c r="Y158" s="1">
        <v>20.68</v>
      </c>
      <c r="Z158">
        <v>2362.12</v>
      </c>
      <c r="AA158">
        <v>948.75</v>
      </c>
      <c r="AB158">
        <v>281.94</v>
      </c>
      <c r="AC158" t="s">
        <v>133</v>
      </c>
      <c r="AD158">
        <v>71.599999999999994</v>
      </c>
      <c r="AE158">
        <v>179.9</v>
      </c>
      <c r="AF158">
        <v>69.5</v>
      </c>
      <c r="AG158" s="1">
        <v>10.92</v>
      </c>
      <c r="AH158">
        <v>71.180000000000007</v>
      </c>
      <c r="AI158">
        <v>35.950000000000003</v>
      </c>
      <c r="AJ158" s="1">
        <v>2.75</v>
      </c>
      <c r="AK158">
        <v>133.82</v>
      </c>
      <c r="AL158">
        <v>20.29</v>
      </c>
      <c r="AM158">
        <v>402.06</v>
      </c>
      <c r="AN158" s="1">
        <v>20.72</v>
      </c>
      <c r="AO158">
        <v>20.239999999999998</v>
      </c>
      <c r="AP158">
        <v>142.81</v>
      </c>
    </row>
    <row r="159" spans="1:42" ht="15.75">
      <c r="A159" t="s">
        <v>667</v>
      </c>
      <c r="B159" s="2" t="s">
        <v>667</v>
      </c>
      <c r="C159" s="2" t="str">
        <f t="shared" si="2"/>
        <v>TRUE</v>
      </c>
      <c r="D159" s="2" t="s">
        <v>865</v>
      </c>
      <c r="E159" s="2" t="s">
        <v>872</v>
      </c>
      <c r="F159" s="2" t="s">
        <v>864</v>
      </c>
      <c r="G159" s="3">
        <v>34804</v>
      </c>
      <c r="H159" s="3">
        <v>44174</v>
      </c>
      <c r="I159" s="2">
        <v>25</v>
      </c>
      <c r="J159" s="2">
        <v>2</v>
      </c>
      <c r="K159" s="2" t="s">
        <v>857</v>
      </c>
      <c r="L159" s="2">
        <v>44</v>
      </c>
      <c r="M159" s="2">
        <v>3</v>
      </c>
      <c r="N159">
        <v>28.42</v>
      </c>
      <c r="O159" t="s">
        <v>96</v>
      </c>
      <c r="P159" s="1">
        <v>2.5</v>
      </c>
      <c r="Q159">
        <v>29.22</v>
      </c>
      <c r="R159" s="1">
        <v>8.7799999999999994</v>
      </c>
      <c r="S159">
        <v>77.83</v>
      </c>
      <c r="T159">
        <v>33.15</v>
      </c>
      <c r="U159" s="1" t="s">
        <v>96</v>
      </c>
      <c r="V159">
        <v>10.56</v>
      </c>
      <c r="W159">
        <v>50.75</v>
      </c>
      <c r="X159">
        <v>4.42</v>
      </c>
      <c r="Y159" s="1" t="s">
        <v>96</v>
      </c>
      <c r="Z159">
        <v>1137.3900000000001</v>
      </c>
      <c r="AA159">
        <v>136.94</v>
      </c>
      <c r="AB159">
        <v>63.48</v>
      </c>
      <c r="AC159">
        <v>566.26</v>
      </c>
      <c r="AD159">
        <v>104.03</v>
      </c>
      <c r="AE159">
        <v>51.21</v>
      </c>
      <c r="AF159">
        <v>10.130000000000001</v>
      </c>
      <c r="AG159" s="1" t="s">
        <v>96</v>
      </c>
      <c r="AH159">
        <v>33.130000000000003</v>
      </c>
      <c r="AI159">
        <v>62.16</v>
      </c>
      <c r="AJ159" s="1" t="s">
        <v>96</v>
      </c>
      <c r="AK159">
        <v>566.63</v>
      </c>
      <c r="AL159">
        <v>44.79</v>
      </c>
      <c r="AM159">
        <v>556.01</v>
      </c>
      <c r="AN159" s="1">
        <v>26.23</v>
      </c>
      <c r="AO159">
        <v>42.58</v>
      </c>
      <c r="AP159">
        <v>227.56</v>
      </c>
    </row>
    <row r="160" spans="1:42" ht="15.75">
      <c r="A160" t="s">
        <v>631</v>
      </c>
      <c r="B160" s="2" t="s">
        <v>631</v>
      </c>
      <c r="C160" s="2" t="str">
        <f t="shared" si="2"/>
        <v>TRUE</v>
      </c>
      <c r="D160" s="2" t="s">
        <v>865</v>
      </c>
      <c r="E160" s="2" t="s">
        <v>866</v>
      </c>
      <c r="F160" s="2" t="s">
        <v>864</v>
      </c>
      <c r="G160" s="3">
        <v>35547</v>
      </c>
      <c r="H160" s="3">
        <v>44181</v>
      </c>
      <c r="I160" s="2">
        <v>23</v>
      </c>
      <c r="J160" s="2">
        <v>1</v>
      </c>
      <c r="K160" s="2" t="s">
        <v>861</v>
      </c>
      <c r="L160" s="2">
        <v>338</v>
      </c>
      <c r="M160" s="2">
        <v>7</v>
      </c>
      <c r="N160">
        <v>18.5</v>
      </c>
      <c r="O160">
        <v>24.16</v>
      </c>
      <c r="P160" s="1">
        <v>1.79</v>
      </c>
      <c r="Q160">
        <v>337.42</v>
      </c>
      <c r="R160" s="1">
        <v>6.25</v>
      </c>
      <c r="S160">
        <v>71.459999999999994</v>
      </c>
      <c r="T160">
        <v>400.74</v>
      </c>
      <c r="U160" s="1">
        <v>461.64</v>
      </c>
      <c r="V160">
        <v>72.760000000000005</v>
      </c>
      <c r="W160">
        <v>116.36</v>
      </c>
      <c r="X160">
        <v>19.100000000000001</v>
      </c>
      <c r="Y160" s="1" t="s">
        <v>96</v>
      </c>
      <c r="Z160">
        <v>759.86</v>
      </c>
      <c r="AA160">
        <v>151.62</v>
      </c>
      <c r="AB160">
        <v>150.72999999999999</v>
      </c>
      <c r="AC160">
        <v>231.38</v>
      </c>
      <c r="AD160">
        <v>28.2</v>
      </c>
      <c r="AE160">
        <v>73.260000000000005</v>
      </c>
      <c r="AF160">
        <v>15.65</v>
      </c>
      <c r="AG160" s="1">
        <v>3.8</v>
      </c>
      <c r="AH160">
        <v>18.13</v>
      </c>
      <c r="AI160">
        <v>12.67</v>
      </c>
      <c r="AJ160" s="1" t="s">
        <v>96</v>
      </c>
      <c r="AK160">
        <v>102.31</v>
      </c>
      <c r="AL160">
        <v>12.95</v>
      </c>
      <c r="AM160">
        <v>67.31</v>
      </c>
      <c r="AN160" s="1">
        <v>14.32</v>
      </c>
      <c r="AO160">
        <v>71.11</v>
      </c>
      <c r="AP160">
        <v>93.89</v>
      </c>
    </row>
    <row r="161" spans="1:42" ht="15.75">
      <c r="A161" t="s">
        <v>433</v>
      </c>
      <c r="B161" s="2" t="s">
        <v>433</v>
      </c>
      <c r="C161" s="2" t="str">
        <f t="shared" si="2"/>
        <v>TRUE</v>
      </c>
      <c r="D161" s="2" t="s">
        <v>858</v>
      </c>
      <c r="E161" s="2" t="s">
        <v>863</v>
      </c>
      <c r="F161" s="2" t="s">
        <v>864</v>
      </c>
      <c r="G161" s="3">
        <v>35769</v>
      </c>
      <c r="H161" s="3">
        <v>44182</v>
      </c>
      <c r="I161" s="2">
        <v>23</v>
      </c>
      <c r="J161" s="2">
        <v>2</v>
      </c>
      <c r="K161" s="2" t="s">
        <v>861</v>
      </c>
      <c r="L161" s="2">
        <v>282</v>
      </c>
      <c r="M161" s="2">
        <v>1</v>
      </c>
      <c r="N161">
        <v>22.02</v>
      </c>
      <c r="O161">
        <v>8.42</v>
      </c>
      <c r="P161" s="1">
        <v>1.61</v>
      </c>
      <c r="Q161">
        <v>35.119999999999997</v>
      </c>
      <c r="R161" s="1" t="s">
        <v>96</v>
      </c>
      <c r="S161">
        <v>74.73</v>
      </c>
      <c r="T161">
        <v>146.88999999999999</v>
      </c>
      <c r="U161" s="1">
        <v>39.450000000000003</v>
      </c>
      <c r="V161">
        <v>14.15</v>
      </c>
      <c r="W161">
        <v>49.38</v>
      </c>
      <c r="X161">
        <v>11.5</v>
      </c>
      <c r="Y161" s="1" t="s">
        <v>96</v>
      </c>
      <c r="Z161">
        <v>414.36</v>
      </c>
      <c r="AA161">
        <v>44.52</v>
      </c>
      <c r="AB161">
        <v>27.16</v>
      </c>
      <c r="AC161">
        <v>110.47</v>
      </c>
      <c r="AD161">
        <v>11.72</v>
      </c>
      <c r="AE161">
        <v>32.619999999999997</v>
      </c>
      <c r="AF161">
        <v>5.35</v>
      </c>
      <c r="AG161" s="1" t="s">
        <v>96</v>
      </c>
      <c r="AH161">
        <v>6.97</v>
      </c>
      <c r="AI161">
        <v>12.94</v>
      </c>
      <c r="AJ161" s="1" t="s">
        <v>96</v>
      </c>
      <c r="AK161">
        <v>43.77</v>
      </c>
      <c r="AL161">
        <v>6.88</v>
      </c>
      <c r="AM161">
        <v>66.510000000000005</v>
      </c>
      <c r="AN161" s="1" t="s">
        <v>96</v>
      </c>
      <c r="AO161">
        <v>12.21</v>
      </c>
      <c r="AP161">
        <v>9.3800000000000008</v>
      </c>
    </row>
    <row r="162" spans="1:42" ht="15.75">
      <c r="A162" t="s">
        <v>490</v>
      </c>
      <c r="B162" s="2" t="s">
        <v>490</v>
      </c>
      <c r="C162" s="2" t="str">
        <f t="shared" si="2"/>
        <v>TRUE</v>
      </c>
      <c r="D162" s="2" t="s">
        <v>858</v>
      </c>
      <c r="E162" s="2" t="s">
        <v>863</v>
      </c>
      <c r="F162" s="2" t="s">
        <v>864</v>
      </c>
      <c r="G162" s="3">
        <v>23573</v>
      </c>
      <c r="H162" s="3">
        <v>43560</v>
      </c>
      <c r="I162" s="2">
        <v>54</v>
      </c>
      <c r="J162" s="2">
        <v>3</v>
      </c>
      <c r="K162" s="2" t="s">
        <v>857</v>
      </c>
      <c r="L162" s="2">
        <v>35</v>
      </c>
      <c r="M162" s="2">
        <v>0</v>
      </c>
      <c r="N162">
        <v>15.91</v>
      </c>
      <c r="O162">
        <v>7.8</v>
      </c>
      <c r="P162" s="1">
        <v>1.66</v>
      </c>
      <c r="Q162">
        <v>57.14</v>
      </c>
      <c r="R162" s="1" t="s">
        <v>96</v>
      </c>
      <c r="S162">
        <v>61.9</v>
      </c>
      <c r="T162">
        <v>381.91</v>
      </c>
      <c r="U162" s="1">
        <v>78.14</v>
      </c>
      <c r="V162">
        <v>16.16</v>
      </c>
      <c r="W162">
        <v>243.03</v>
      </c>
      <c r="X162">
        <v>5.39</v>
      </c>
      <c r="Y162" s="1">
        <v>3.09</v>
      </c>
      <c r="Z162">
        <v>1114.1500000000001</v>
      </c>
      <c r="AA162">
        <v>108.19</v>
      </c>
      <c r="AB162">
        <v>73.56</v>
      </c>
      <c r="AC162">
        <v>444.62</v>
      </c>
      <c r="AD162">
        <v>23.57</v>
      </c>
      <c r="AE162">
        <v>168.72</v>
      </c>
      <c r="AF162">
        <v>16.010000000000002</v>
      </c>
      <c r="AG162" s="1" t="s">
        <v>96</v>
      </c>
      <c r="AH162">
        <v>60.54</v>
      </c>
      <c r="AI162">
        <v>155.33000000000001</v>
      </c>
      <c r="AJ162" s="1">
        <v>4.21</v>
      </c>
      <c r="AK162">
        <v>562.92999999999995</v>
      </c>
      <c r="AL162">
        <v>145.21</v>
      </c>
      <c r="AM162">
        <v>624.92999999999995</v>
      </c>
      <c r="AN162" s="1">
        <v>45.81</v>
      </c>
      <c r="AO162">
        <v>73.78</v>
      </c>
      <c r="AP162">
        <v>161.22</v>
      </c>
    </row>
    <row r="163" spans="1:42" ht="15.75">
      <c r="A163" t="s">
        <v>523</v>
      </c>
      <c r="B163" s="2" t="s">
        <v>523</v>
      </c>
      <c r="C163" s="2" t="str">
        <f t="shared" si="2"/>
        <v>TRUE</v>
      </c>
      <c r="D163" s="2" t="s">
        <v>865</v>
      </c>
      <c r="E163" s="2" t="s">
        <v>872</v>
      </c>
      <c r="F163" s="2" t="s">
        <v>864</v>
      </c>
      <c r="G163" s="3">
        <v>35213</v>
      </c>
      <c r="H163" s="3">
        <v>44169</v>
      </c>
      <c r="I163" s="2">
        <v>24</v>
      </c>
      <c r="J163" s="2">
        <v>2</v>
      </c>
      <c r="K163" s="2" t="s">
        <v>857</v>
      </c>
      <c r="L163" s="2">
        <v>1858</v>
      </c>
      <c r="M163" s="2">
        <v>0</v>
      </c>
      <c r="N163">
        <v>20.57</v>
      </c>
      <c r="O163">
        <v>5.78</v>
      </c>
      <c r="P163" s="1">
        <v>15.3</v>
      </c>
      <c r="Q163">
        <v>336.5</v>
      </c>
      <c r="R163" s="1">
        <v>31.92</v>
      </c>
      <c r="S163">
        <v>306.73</v>
      </c>
      <c r="T163">
        <v>586.25</v>
      </c>
      <c r="U163" s="1">
        <v>293.66000000000003</v>
      </c>
      <c r="V163">
        <v>87.19</v>
      </c>
      <c r="W163">
        <v>471.12</v>
      </c>
      <c r="X163">
        <v>10.98</v>
      </c>
      <c r="Y163" s="1">
        <v>23.44</v>
      </c>
      <c r="Z163">
        <v>1819.39</v>
      </c>
      <c r="AA163">
        <v>503.25</v>
      </c>
      <c r="AB163">
        <v>188.45</v>
      </c>
      <c r="AC163">
        <v>449.18</v>
      </c>
      <c r="AD163">
        <v>18.87</v>
      </c>
      <c r="AE163">
        <v>48.59</v>
      </c>
      <c r="AF163">
        <v>14.15</v>
      </c>
      <c r="AG163" s="1">
        <v>2.71</v>
      </c>
      <c r="AH163">
        <v>12.04</v>
      </c>
      <c r="AI163">
        <v>14.75</v>
      </c>
      <c r="AJ163" s="1">
        <v>10.14</v>
      </c>
      <c r="AK163">
        <v>64.150000000000006</v>
      </c>
      <c r="AL163">
        <v>5.05</v>
      </c>
      <c r="AM163">
        <v>453.36</v>
      </c>
      <c r="AN163" s="1" t="s">
        <v>96</v>
      </c>
      <c r="AO163">
        <v>13.35</v>
      </c>
      <c r="AP163">
        <v>36.89</v>
      </c>
    </row>
    <row r="164" spans="1:42" ht="15.75">
      <c r="A164" t="s">
        <v>265</v>
      </c>
      <c r="B164" s="2" t="s">
        <v>265</v>
      </c>
      <c r="C164" s="2" t="str">
        <f t="shared" si="2"/>
        <v>TRUE</v>
      </c>
      <c r="D164" s="2" t="s">
        <v>858</v>
      </c>
      <c r="E164" s="2" t="s">
        <v>859</v>
      </c>
      <c r="F164" s="2" t="s">
        <v>864</v>
      </c>
      <c r="G164" s="3">
        <v>16624</v>
      </c>
      <c r="H164" s="3">
        <v>44172</v>
      </c>
      <c r="I164" s="2">
        <v>75</v>
      </c>
      <c r="J164" s="2">
        <v>2</v>
      </c>
      <c r="K164" s="2" t="s">
        <v>861</v>
      </c>
      <c r="L164" s="2">
        <v>324</v>
      </c>
      <c r="M164" s="2">
        <v>0</v>
      </c>
      <c r="N164">
        <v>4.8600000000000003</v>
      </c>
      <c r="O164">
        <v>2.89</v>
      </c>
      <c r="P164" s="1">
        <v>19.75</v>
      </c>
      <c r="Q164">
        <v>71.95</v>
      </c>
      <c r="R164" s="1">
        <v>19.86</v>
      </c>
      <c r="S164">
        <v>309.3</v>
      </c>
      <c r="T164">
        <v>130.94</v>
      </c>
      <c r="U164" s="1" t="s">
        <v>96</v>
      </c>
      <c r="V164">
        <v>42.17</v>
      </c>
      <c r="W164">
        <v>21.76</v>
      </c>
      <c r="X164">
        <v>1.06</v>
      </c>
      <c r="Y164" s="1">
        <v>8.52</v>
      </c>
      <c r="Z164">
        <v>809.7</v>
      </c>
      <c r="AA164">
        <v>338.44</v>
      </c>
      <c r="AB164">
        <v>29.65</v>
      </c>
      <c r="AC164">
        <v>268.08</v>
      </c>
      <c r="AD164">
        <v>2.85</v>
      </c>
      <c r="AE164">
        <v>40.229999999999997</v>
      </c>
      <c r="AF164">
        <v>23.16</v>
      </c>
      <c r="AG164" s="1" t="s">
        <v>96</v>
      </c>
      <c r="AH164">
        <v>23.02</v>
      </c>
      <c r="AI164">
        <v>29.22</v>
      </c>
      <c r="AJ164" s="1">
        <v>2.52</v>
      </c>
      <c r="AK164">
        <v>81.97</v>
      </c>
      <c r="AL164" t="s">
        <v>96</v>
      </c>
      <c r="AM164">
        <v>426.26</v>
      </c>
      <c r="AN164" s="1">
        <v>7.29</v>
      </c>
      <c r="AO164">
        <v>23.08</v>
      </c>
      <c r="AP164">
        <v>78.67</v>
      </c>
    </row>
    <row r="165" spans="1:42" ht="15.75">
      <c r="A165" t="s">
        <v>460</v>
      </c>
      <c r="B165" s="2" t="s">
        <v>460</v>
      </c>
      <c r="C165" s="2" t="str">
        <f t="shared" si="2"/>
        <v>TRUE</v>
      </c>
      <c r="D165" s="2" t="s">
        <v>870</v>
      </c>
      <c r="E165" s="2" t="s">
        <v>862</v>
      </c>
      <c r="F165" s="2" t="s">
        <v>856</v>
      </c>
      <c r="G165" s="3">
        <v>21616</v>
      </c>
      <c r="H165" s="3">
        <v>43237</v>
      </c>
      <c r="I165" s="2">
        <v>59</v>
      </c>
      <c r="J165" s="2">
        <v>1</v>
      </c>
      <c r="K165" s="2" t="s">
        <v>857</v>
      </c>
      <c r="L165" s="2">
        <v>206</v>
      </c>
      <c r="M165" s="2" t="s">
        <v>856</v>
      </c>
      <c r="N165">
        <v>15.46</v>
      </c>
      <c r="O165">
        <v>41.46</v>
      </c>
      <c r="P165" s="1">
        <v>13.21</v>
      </c>
      <c r="Q165">
        <v>268.31</v>
      </c>
      <c r="R165" s="1">
        <v>10.59</v>
      </c>
      <c r="S165">
        <v>868.14</v>
      </c>
      <c r="T165" t="s">
        <v>133</v>
      </c>
      <c r="U165" s="1">
        <v>2298.23</v>
      </c>
      <c r="V165">
        <v>334.75</v>
      </c>
      <c r="W165">
        <v>868.36</v>
      </c>
      <c r="X165">
        <v>16.690000000000001</v>
      </c>
      <c r="Y165" s="1">
        <v>8.31</v>
      </c>
      <c r="Z165">
        <v>1164.79</v>
      </c>
      <c r="AA165">
        <v>565.96</v>
      </c>
      <c r="AB165">
        <v>390.59</v>
      </c>
      <c r="AC165">
        <v>284.79000000000002</v>
      </c>
      <c r="AD165">
        <v>8.76</v>
      </c>
      <c r="AE165">
        <v>39.58</v>
      </c>
      <c r="AF165">
        <v>22.85</v>
      </c>
      <c r="AG165" s="1" t="s">
        <v>96</v>
      </c>
      <c r="AH165">
        <v>9.77</v>
      </c>
      <c r="AI165">
        <v>42.02</v>
      </c>
      <c r="AJ165" s="1">
        <v>22.02</v>
      </c>
      <c r="AK165">
        <v>72.319999999999993</v>
      </c>
      <c r="AL165" t="s">
        <v>96</v>
      </c>
      <c r="AM165">
        <v>296.48</v>
      </c>
      <c r="AN165" s="1">
        <v>7.43</v>
      </c>
      <c r="AO165">
        <v>139.58000000000001</v>
      </c>
      <c r="AP165">
        <v>93.17</v>
      </c>
    </row>
    <row r="166" spans="1:42" ht="15.75">
      <c r="A166" t="s">
        <v>214</v>
      </c>
      <c r="B166" s="2" t="s">
        <v>214</v>
      </c>
      <c r="C166" s="2" t="str">
        <f t="shared" si="2"/>
        <v>TRUE</v>
      </c>
      <c r="D166" s="2" t="s">
        <v>865</v>
      </c>
      <c r="E166" s="2" t="s">
        <v>873</v>
      </c>
      <c r="F166" s="2" t="s">
        <v>864</v>
      </c>
      <c r="G166" s="3">
        <v>19925</v>
      </c>
      <c r="H166" s="3">
        <v>43677</v>
      </c>
      <c r="I166" s="2">
        <v>65</v>
      </c>
      <c r="J166" s="2">
        <v>1</v>
      </c>
      <c r="K166" s="2" t="s">
        <v>861</v>
      </c>
      <c r="L166" s="2">
        <v>329</v>
      </c>
      <c r="M166" s="2">
        <v>2</v>
      </c>
      <c r="N166">
        <v>15.33</v>
      </c>
      <c r="O166">
        <v>11.03</v>
      </c>
      <c r="P166" s="1">
        <v>46.38</v>
      </c>
      <c r="Q166">
        <v>50.22</v>
      </c>
      <c r="R166" s="1">
        <v>37.85</v>
      </c>
      <c r="S166" t="s">
        <v>133</v>
      </c>
      <c r="T166">
        <v>173.17</v>
      </c>
      <c r="U166" s="1">
        <v>383.25</v>
      </c>
      <c r="V166">
        <v>32.979999999999997</v>
      </c>
      <c r="W166">
        <v>13.92</v>
      </c>
      <c r="X166" t="s">
        <v>96</v>
      </c>
      <c r="Y166" s="1">
        <v>18.920000000000002</v>
      </c>
      <c r="Z166">
        <v>705.49</v>
      </c>
      <c r="AA166">
        <v>706.87</v>
      </c>
      <c r="AB166">
        <v>30.88</v>
      </c>
      <c r="AC166">
        <v>63.57</v>
      </c>
      <c r="AD166" t="s">
        <v>96</v>
      </c>
      <c r="AE166">
        <v>23.96</v>
      </c>
      <c r="AF166">
        <v>32.39</v>
      </c>
      <c r="AG166" s="1" t="s">
        <v>96</v>
      </c>
      <c r="AH166">
        <v>4.67</v>
      </c>
      <c r="AI166">
        <v>32.14</v>
      </c>
      <c r="AJ166" s="1">
        <v>6.46</v>
      </c>
      <c r="AK166">
        <v>16.260000000000002</v>
      </c>
      <c r="AL166" t="s">
        <v>96</v>
      </c>
      <c r="AM166">
        <v>453.22</v>
      </c>
      <c r="AN166" s="1" t="s">
        <v>96</v>
      </c>
      <c r="AO166">
        <v>10.93</v>
      </c>
      <c r="AP166">
        <v>64.78</v>
      </c>
    </row>
    <row r="167" spans="1:42" ht="15.75">
      <c r="A167" t="s">
        <v>385</v>
      </c>
      <c r="B167" s="2" t="s">
        <v>385</v>
      </c>
      <c r="C167" s="2" t="str">
        <f t="shared" si="2"/>
        <v>TRUE</v>
      </c>
      <c r="D167" s="2" t="s">
        <v>858</v>
      </c>
      <c r="E167" s="2" t="s">
        <v>859</v>
      </c>
      <c r="F167" s="2" t="s">
        <v>864</v>
      </c>
      <c r="G167" s="3">
        <v>23568</v>
      </c>
      <c r="H167" s="3">
        <v>43679</v>
      </c>
      <c r="I167" s="2">
        <v>55</v>
      </c>
      <c r="J167" s="2">
        <v>2</v>
      </c>
      <c r="K167" s="2" t="s">
        <v>857</v>
      </c>
      <c r="L167" s="2" t="s">
        <v>856</v>
      </c>
      <c r="M167" s="2">
        <v>6</v>
      </c>
      <c r="N167">
        <v>15.23</v>
      </c>
      <c r="O167">
        <v>1.1200000000000001</v>
      </c>
      <c r="P167" s="1">
        <v>6.76</v>
      </c>
      <c r="Q167">
        <v>52.94</v>
      </c>
      <c r="R167" s="1" t="s">
        <v>96</v>
      </c>
      <c r="S167">
        <v>38.96</v>
      </c>
      <c r="T167">
        <v>46.64</v>
      </c>
      <c r="U167" s="1" t="s">
        <v>96</v>
      </c>
      <c r="V167">
        <v>10.37</v>
      </c>
      <c r="W167">
        <v>75.92</v>
      </c>
      <c r="X167">
        <v>8.08</v>
      </c>
      <c r="Y167" s="1" t="s">
        <v>96</v>
      </c>
      <c r="Z167">
        <v>874.36</v>
      </c>
      <c r="AA167">
        <v>146.66999999999999</v>
      </c>
      <c r="AB167">
        <v>257.52999999999997</v>
      </c>
      <c r="AC167">
        <v>366.63</v>
      </c>
      <c r="AD167">
        <v>35.67</v>
      </c>
      <c r="AE167">
        <v>41.42</v>
      </c>
      <c r="AF167">
        <v>7.66</v>
      </c>
      <c r="AG167" s="1">
        <v>3.33</v>
      </c>
      <c r="AH167">
        <v>16.989999999999998</v>
      </c>
      <c r="AI167">
        <v>28.25</v>
      </c>
      <c r="AJ167" s="1">
        <v>5.94</v>
      </c>
      <c r="AK167">
        <v>159.12</v>
      </c>
      <c r="AL167">
        <v>19.66</v>
      </c>
      <c r="AM167">
        <v>325.73</v>
      </c>
      <c r="AN167" s="1">
        <v>7.01</v>
      </c>
      <c r="AO167">
        <v>78.42</v>
      </c>
      <c r="AP167">
        <v>80.709999999999994</v>
      </c>
    </row>
    <row r="168" spans="1:42" ht="15.75">
      <c r="A168" t="s">
        <v>211</v>
      </c>
      <c r="B168" s="2" t="s">
        <v>211</v>
      </c>
      <c r="C168" s="2" t="str">
        <f t="shared" si="2"/>
        <v>TRUE</v>
      </c>
      <c r="D168" s="2" t="s">
        <v>865</v>
      </c>
      <c r="E168" s="2" t="s">
        <v>873</v>
      </c>
      <c r="F168" s="2" t="s">
        <v>864</v>
      </c>
      <c r="G168" s="3">
        <v>19925</v>
      </c>
      <c r="H168" s="3">
        <v>43684</v>
      </c>
      <c r="I168" s="2">
        <v>65</v>
      </c>
      <c r="J168" s="2">
        <v>2</v>
      </c>
      <c r="K168" s="2" t="s">
        <v>861</v>
      </c>
      <c r="L168" s="2" t="s">
        <v>856</v>
      </c>
      <c r="M168" s="2">
        <v>1</v>
      </c>
      <c r="N168">
        <v>9.5399999999999991</v>
      </c>
      <c r="O168">
        <v>2.46</v>
      </c>
      <c r="P168" s="1">
        <v>62.45</v>
      </c>
      <c r="Q168">
        <v>28.95</v>
      </c>
      <c r="R168" s="1">
        <v>35.54</v>
      </c>
      <c r="S168">
        <v>911.09</v>
      </c>
      <c r="T168">
        <v>65.8</v>
      </c>
      <c r="U168" s="1">
        <v>118.89</v>
      </c>
      <c r="V168">
        <v>38.770000000000003</v>
      </c>
      <c r="W168">
        <v>79.599999999999994</v>
      </c>
      <c r="X168">
        <v>1.37</v>
      </c>
      <c r="Y168" s="1">
        <v>32.630000000000003</v>
      </c>
      <c r="Z168">
        <v>1207.3599999999999</v>
      </c>
      <c r="AA168">
        <v>1051.4100000000001</v>
      </c>
      <c r="AB168">
        <v>44.78</v>
      </c>
      <c r="AC168">
        <v>230.52</v>
      </c>
      <c r="AD168" t="s">
        <v>96</v>
      </c>
      <c r="AE168">
        <v>47.37</v>
      </c>
      <c r="AF168">
        <v>49.58</v>
      </c>
      <c r="AG168" s="1" t="s">
        <v>96</v>
      </c>
      <c r="AH168">
        <v>12.06</v>
      </c>
      <c r="AI168">
        <v>72.53</v>
      </c>
      <c r="AJ168" s="1">
        <v>16.04</v>
      </c>
      <c r="AK168">
        <v>77.13</v>
      </c>
      <c r="AL168" t="s">
        <v>96</v>
      </c>
      <c r="AM168">
        <v>1553.49</v>
      </c>
      <c r="AN168" s="1">
        <v>13.35</v>
      </c>
      <c r="AO168">
        <v>31.75</v>
      </c>
      <c r="AP168">
        <v>256.69</v>
      </c>
    </row>
    <row r="169" spans="1:42" ht="15.75">
      <c r="A169" t="s">
        <v>301</v>
      </c>
      <c r="B169" s="2" t="s">
        <v>301</v>
      </c>
      <c r="C169" s="2" t="str">
        <f t="shared" si="2"/>
        <v>TRUE</v>
      </c>
      <c r="D169" s="2" t="s">
        <v>858</v>
      </c>
      <c r="E169" s="2" t="s">
        <v>859</v>
      </c>
      <c r="F169" s="2" t="s">
        <v>864</v>
      </c>
      <c r="G169" s="3">
        <v>34948</v>
      </c>
      <c r="H169" s="3">
        <v>43690</v>
      </c>
      <c r="I169" s="2">
        <v>23</v>
      </c>
      <c r="J169" s="2">
        <v>1</v>
      </c>
      <c r="K169" s="2" t="s">
        <v>861</v>
      </c>
      <c r="L169" s="2">
        <v>7699</v>
      </c>
      <c r="M169" s="2">
        <v>6</v>
      </c>
      <c r="N169">
        <v>13.36</v>
      </c>
      <c r="O169">
        <v>4.72</v>
      </c>
      <c r="P169" s="1">
        <v>13.11</v>
      </c>
      <c r="Q169">
        <v>97.08</v>
      </c>
      <c r="R169" s="1">
        <v>17.010000000000002</v>
      </c>
      <c r="S169">
        <v>427.12</v>
      </c>
      <c r="T169">
        <v>288.26</v>
      </c>
      <c r="U169" s="1">
        <v>215.22</v>
      </c>
      <c r="V169">
        <v>49.19</v>
      </c>
      <c r="W169">
        <v>109.02</v>
      </c>
      <c r="X169">
        <v>4.84</v>
      </c>
      <c r="Y169" s="1">
        <v>15.08</v>
      </c>
      <c r="Z169">
        <v>2489.0700000000002</v>
      </c>
      <c r="AA169">
        <v>1117.07</v>
      </c>
      <c r="AB169">
        <v>192.73</v>
      </c>
      <c r="AC169" t="s">
        <v>133</v>
      </c>
      <c r="AD169">
        <v>34.19</v>
      </c>
      <c r="AE169">
        <v>264.39</v>
      </c>
      <c r="AF169">
        <v>140.76</v>
      </c>
      <c r="AG169" s="1">
        <v>3.51</v>
      </c>
      <c r="AH169">
        <v>209.42</v>
      </c>
      <c r="AI169">
        <v>29.98</v>
      </c>
      <c r="AJ169" s="1">
        <v>2.62</v>
      </c>
      <c r="AK169">
        <v>76.31</v>
      </c>
      <c r="AL169">
        <v>8.9</v>
      </c>
      <c r="AM169">
        <v>220.15</v>
      </c>
      <c r="AN169" s="1">
        <v>25.62</v>
      </c>
      <c r="AO169">
        <v>27.98</v>
      </c>
      <c r="AP169">
        <v>125.96</v>
      </c>
    </row>
    <row r="170" spans="1:42" ht="15.75">
      <c r="A170" t="s">
        <v>244</v>
      </c>
      <c r="B170" s="2" t="s">
        <v>244</v>
      </c>
      <c r="C170" s="2" t="str">
        <f t="shared" si="2"/>
        <v>TRUE</v>
      </c>
      <c r="D170" s="2" t="s">
        <v>858</v>
      </c>
      <c r="E170" s="2" t="s">
        <v>859</v>
      </c>
      <c r="F170" s="2" t="s">
        <v>860</v>
      </c>
      <c r="G170" s="3">
        <v>34403</v>
      </c>
      <c r="H170" s="3">
        <v>43690</v>
      </c>
      <c r="I170" s="2">
        <v>25</v>
      </c>
      <c r="J170" s="2">
        <v>6</v>
      </c>
      <c r="K170" s="2" t="s">
        <v>861</v>
      </c>
      <c r="L170" s="2">
        <v>3772</v>
      </c>
      <c r="M170" s="2">
        <v>7</v>
      </c>
      <c r="N170">
        <v>17.37</v>
      </c>
      <c r="O170">
        <v>6.57</v>
      </c>
      <c r="P170" s="1" t="s">
        <v>96</v>
      </c>
      <c r="Q170">
        <v>5.22</v>
      </c>
      <c r="R170" s="1" t="s">
        <v>96</v>
      </c>
      <c r="S170" t="s">
        <v>96</v>
      </c>
      <c r="T170">
        <v>258.64</v>
      </c>
      <c r="U170" s="1">
        <v>329.16</v>
      </c>
      <c r="V170">
        <v>3.7</v>
      </c>
      <c r="W170">
        <v>396.43</v>
      </c>
      <c r="X170">
        <v>17.559999999999999</v>
      </c>
      <c r="Y170" s="1" t="s">
        <v>96</v>
      </c>
      <c r="Z170" t="s">
        <v>133</v>
      </c>
      <c r="AA170">
        <v>4.38</v>
      </c>
      <c r="AB170">
        <v>52.82</v>
      </c>
      <c r="AC170" t="s">
        <v>133</v>
      </c>
      <c r="AD170">
        <v>58.26</v>
      </c>
      <c r="AE170">
        <v>93.5</v>
      </c>
      <c r="AF170" t="s">
        <v>96</v>
      </c>
      <c r="AG170" s="1" t="s">
        <v>96</v>
      </c>
      <c r="AH170">
        <v>133.33000000000001</v>
      </c>
      <c r="AI170" t="s">
        <v>96</v>
      </c>
      <c r="AJ170" s="1" t="s">
        <v>96</v>
      </c>
      <c r="AK170">
        <v>161.44999999999999</v>
      </c>
      <c r="AL170" t="s">
        <v>96</v>
      </c>
      <c r="AM170">
        <v>8.5399999999999991</v>
      </c>
      <c r="AN170" s="1" t="s">
        <v>96</v>
      </c>
      <c r="AO170">
        <v>10.55</v>
      </c>
      <c r="AP170" t="s">
        <v>96</v>
      </c>
    </row>
    <row r="171" spans="1:42" ht="15.75">
      <c r="A171" t="s">
        <v>199</v>
      </c>
      <c r="B171" s="2" t="s">
        <v>199</v>
      </c>
      <c r="C171" s="2" t="str">
        <f t="shared" si="2"/>
        <v>TRUE</v>
      </c>
      <c r="D171" s="2" t="s">
        <v>865</v>
      </c>
      <c r="E171" s="2" t="s">
        <v>873</v>
      </c>
      <c r="F171" s="2" t="s">
        <v>864</v>
      </c>
      <c r="G171" s="3">
        <v>19925</v>
      </c>
      <c r="H171" s="3">
        <v>43691</v>
      </c>
      <c r="I171" s="2">
        <v>65</v>
      </c>
      <c r="J171" s="2">
        <v>3</v>
      </c>
      <c r="K171" s="2" t="s">
        <v>861</v>
      </c>
      <c r="L171" s="2" t="s">
        <v>856</v>
      </c>
      <c r="M171" s="2">
        <v>2</v>
      </c>
      <c r="N171">
        <v>14.6</v>
      </c>
      <c r="O171">
        <v>2.7</v>
      </c>
      <c r="P171" s="1">
        <v>24.62</v>
      </c>
      <c r="Q171">
        <v>48.92</v>
      </c>
      <c r="R171" s="1">
        <v>15.96</v>
      </c>
      <c r="S171">
        <v>406.69</v>
      </c>
      <c r="T171">
        <v>39.25</v>
      </c>
      <c r="U171" s="1">
        <v>34.130000000000003</v>
      </c>
      <c r="V171">
        <v>22.82</v>
      </c>
      <c r="W171">
        <v>12.69</v>
      </c>
      <c r="X171" t="s">
        <v>96</v>
      </c>
      <c r="Y171" s="1">
        <v>17.579999999999998</v>
      </c>
      <c r="Z171">
        <v>1195.44</v>
      </c>
      <c r="AA171">
        <v>509.86</v>
      </c>
      <c r="AB171">
        <v>41.24</v>
      </c>
      <c r="AC171">
        <v>232.47</v>
      </c>
      <c r="AD171">
        <v>3.51</v>
      </c>
      <c r="AE171">
        <v>58.33</v>
      </c>
      <c r="AF171">
        <v>31.73</v>
      </c>
      <c r="AG171" s="1" t="s">
        <v>96</v>
      </c>
      <c r="AH171">
        <v>11.98</v>
      </c>
      <c r="AI171">
        <v>30.54</v>
      </c>
      <c r="AJ171" s="1">
        <v>6.81</v>
      </c>
      <c r="AK171">
        <v>96.93</v>
      </c>
      <c r="AL171" t="s">
        <v>96</v>
      </c>
      <c r="AM171">
        <v>912.62</v>
      </c>
      <c r="AN171" s="1">
        <v>8.2100000000000009</v>
      </c>
      <c r="AO171">
        <v>52.27</v>
      </c>
      <c r="AP171">
        <v>125.82</v>
      </c>
    </row>
    <row r="172" spans="1:42" ht="15.75">
      <c r="A172" t="s">
        <v>388</v>
      </c>
      <c r="B172" s="2" t="s">
        <v>388</v>
      </c>
      <c r="C172" s="2" t="str">
        <f t="shared" si="2"/>
        <v>TRUE</v>
      </c>
      <c r="D172" s="2" t="s">
        <v>858</v>
      </c>
      <c r="E172" s="2" t="s">
        <v>859</v>
      </c>
      <c r="F172" s="2" t="s">
        <v>864</v>
      </c>
      <c r="G172" s="3">
        <v>23568</v>
      </c>
      <c r="H172" s="3">
        <v>43686</v>
      </c>
      <c r="I172" s="2">
        <v>55</v>
      </c>
      <c r="J172" s="2">
        <v>3</v>
      </c>
      <c r="K172" s="2" t="s">
        <v>857</v>
      </c>
      <c r="L172" s="2" t="s">
        <v>856</v>
      </c>
      <c r="M172" s="2">
        <v>5</v>
      </c>
      <c r="N172">
        <v>27.06</v>
      </c>
      <c r="O172">
        <v>38.15</v>
      </c>
      <c r="P172" s="1">
        <v>16.73</v>
      </c>
      <c r="Q172">
        <v>56.57</v>
      </c>
      <c r="R172" s="1">
        <v>5.8</v>
      </c>
      <c r="S172">
        <v>559.23</v>
      </c>
      <c r="T172" t="s">
        <v>133</v>
      </c>
      <c r="U172" s="1" t="s">
        <v>133</v>
      </c>
      <c r="V172">
        <v>284.29000000000002</v>
      </c>
      <c r="W172" t="s">
        <v>133</v>
      </c>
      <c r="X172">
        <v>88.94</v>
      </c>
      <c r="Y172" s="1" t="s">
        <v>96</v>
      </c>
      <c r="Z172">
        <v>607.69000000000005</v>
      </c>
      <c r="AA172">
        <v>108.06</v>
      </c>
      <c r="AB172">
        <v>140.44999999999999</v>
      </c>
      <c r="AC172">
        <v>131.28</v>
      </c>
      <c r="AD172">
        <v>9.59</v>
      </c>
      <c r="AE172">
        <v>22.54</v>
      </c>
      <c r="AF172">
        <v>3.11</v>
      </c>
      <c r="AG172" s="1">
        <v>3.76</v>
      </c>
      <c r="AH172">
        <v>7.6</v>
      </c>
      <c r="AI172">
        <v>13.97</v>
      </c>
      <c r="AJ172" s="1">
        <v>59.59</v>
      </c>
      <c r="AK172">
        <v>52.36</v>
      </c>
      <c r="AL172">
        <v>11.85</v>
      </c>
      <c r="AM172">
        <v>189.45</v>
      </c>
      <c r="AN172" s="1" t="s">
        <v>96</v>
      </c>
      <c r="AO172">
        <v>53.24</v>
      </c>
      <c r="AP172">
        <v>28.57</v>
      </c>
    </row>
    <row r="173" spans="1:42" ht="15.75">
      <c r="A173" t="s">
        <v>208</v>
      </c>
      <c r="B173" s="2" t="s">
        <v>208</v>
      </c>
      <c r="C173" s="2" t="str">
        <f t="shared" si="2"/>
        <v>TRUE</v>
      </c>
      <c r="D173" s="2" t="s">
        <v>865</v>
      </c>
      <c r="E173" s="2" t="s">
        <v>873</v>
      </c>
      <c r="F173" s="2" t="s">
        <v>864</v>
      </c>
      <c r="G173" s="3">
        <v>19925</v>
      </c>
      <c r="H173" s="3">
        <v>43698</v>
      </c>
      <c r="I173" s="2">
        <v>65</v>
      </c>
      <c r="J173" s="2">
        <v>4</v>
      </c>
      <c r="K173" s="2" t="s">
        <v>861</v>
      </c>
      <c r="L173" s="2" t="s">
        <v>856</v>
      </c>
      <c r="M173" s="2">
        <v>1</v>
      </c>
      <c r="N173">
        <v>12.17</v>
      </c>
      <c r="O173">
        <v>2.68</v>
      </c>
      <c r="P173" s="1">
        <v>48.53</v>
      </c>
      <c r="Q173">
        <v>29.03</v>
      </c>
      <c r="R173" s="1">
        <v>21.28</v>
      </c>
      <c r="S173">
        <v>669.73</v>
      </c>
      <c r="T173">
        <v>39.340000000000003</v>
      </c>
      <c r="U173" s="1" t="s">
        <v>96</v>
      </c>
      <c r="V173">
        <v>38.28</v>
      </c>
      <c r="W173">
        <v>15.73</v>
      </c>
      <c r="X173" t="s">
        <v>96</v>
      </c>
      <c r="Y173" s="1">
        <v>29.52</v>
      </c>
      <c r="Z173">
        <v>1080.3399999999999</v>
      </c>
      <c r="AA173">
        <v>576.95000000000005</v>
      </c>
      <c r="AB173">
        <v>35.700000000000003</v>
      </c>
      <c r="AC173">
        <v>214.07</v>
      </c>
      <c r="AD173">
        <v>2.65</v>
      </c>
      <c r="AE173">
        <v>48.34</v>
      </c>
      <c r="AF173">
        <v>31.25</v>
      </c>
      <c r="AG173" s="1" t="s">
        <v>96</v>
      </c>
      <c r="AH173">
        <v>14.37</v>
      </c>
      <c r="AI173">
        <v>68.64</v>
      </c>
      <c r="AJ173" s="1">
        <v>9</v>
      </c>
      <c r="AK173">
        <v>64.06</v>
      </c>
      <c r="AL173" t="s">
        <v>96</v>
      </c>
      <c r="AM173">
        <v>1369.83</v>
      </c>
      <c r="AN173" s="1">
        <v>8.1</v>
      </c>
      <c r="AO173">
        <v>36.97</v>
      </c>
      <c r="AP173">
        <v>101.1</v>
      </c>
    </row>
    <row r="174" spans="1:42" ht="15.75">
      <c r="A174" t="s">
        <v>394</v>
      </c>
      <c r="B174" s="2" t="s">
        <v>394</v>
      </c>
      <c r="C174" s="2" t="str">
        <f t="shared" si="2"/>
        <v>TRUE</v>
      </c>
      <c r="D174" s="2" t="s">
        <v>858</v>
      </c>
      <c r="E174" s="2" t="s">
        <v>859</v>
      </c>
      <c r="F174" s="2" t="s">
        <v>864</v>
      </c>
      <c r="G174" s="3">
        <v>23568</v>
      </c>
      <c r="H174" s="3">
        <v>43692</v>
      </c>
      <c r="I174" s="2">
        <v>55</v>
      </c>
      <c r="J174" s="2">
        <v>4</v>
      </c>
      <c r="K174" s="2" t="s">
        <v>857</v>
      </c>
      <c r="L174" s="2" t="s">
        <v>856</v>
      </c>
      <c r="M174" s="2">
        <v>6</v>
      </c>
      <c r="N174">
        <v>15.55</v>
      </c>
      <c r="O174" t="s">
        <v>96</v>
      </c>
      <c r="P174" s="1" t="s">
        <v>96</v>
      </c>
      <c r="Q174">
        <v>23.7</v>
      </c>
      <c r="R174" s="1" t="s">
        <v>96</v>
      </c>
      <c r="S174">
        <v>29.81</v>
      </c>
      <c r="T174">
        <v>85.64</v>
      </c>
      <c r="U174" s="1" t="s">
        <v>96</v>
      </c>
      <c r="V174">
        <v>10.93</v>
      </c>
      <c r="W174">
        <v>95.99</v>
      </c>
      <c r="X174">
        <v>8.51</v>
      </c>
      <c r="Y174" s="1" t="s">
        <v>96</v>
      </c>
      <c r="Z174">
        <v>1504.21</v>
      </c>
      <c r="AA174">
        <v>257.02</v>
      </c>
      <c r="AB174">
        <v>269.25</v>
      </c>
      <c r="AC174">
        <v>520.77</v>
      </c>
      <c r="AD174">
        <v>22.39</v>
      </c>
      <c r="AE174">
        <v>72.03</v>
      </c>
      <c r="AF174">
        <v>14.65</v>
      </c>
      <c r="AG174" s="1" t="s">
        <v>96</v>
      </c>
      <c r="AH174">
        <v>19.41</v>
      </c>
      <c r="AI174">
        <v>27.34</v>
      </c>
      <c r="AJ174" s="1">
        <v>3.47</v>
      </c>
      <c r="AK174">
        <v>97.16</v>
      </c>
      <c r="AL174">
        <v>8</v>
      </c>
      <c r="AM174">
        <v>166.58</v>
      </c>
      <c r="AN174" s="1">
        <v>6.05</v>
      </c>
      <c r="AO174">
        <v>72.06</v>
      </c>
      <c r="AP174">
        <v>88.9</v>
      </c>
    </row>
    <row r="175" spans="1:42" ht="15.75">
      <c r="A175" t="s">
        <v>310</v>
      </c>
      <c r="B175" s="2" t="s">
        <v>310</v>
      </c>
      <c r="C175" s="2" t="str">
        <f t="shared" si="2"/>
        <v>TRUE</v>
      </c>
      <c r="D175" s="2" t="s">
        <v>858</v>
      </c>
      <c r="E175" s="2" t="s">
        <v>859</v>
      </c>
      <c r="F175" s="2" t="s">
        <v>864</v>
      </c>
      <c r="G175" s="3">
        <v>34948</v>
      </c>
      <c r="H175" s="3">
        <v>43698</v>
      </c>
      <c r="I175" s="2">
        <v>23</v>
      </c>
      <c r="J175" s="2">
        <v>2</v>
      </c>
      <c r="K175" s="2" t="s">
        <v>861</v>
      </c>
      <c r="L175" s="2" t="s">
        <v>856</v>
      </c>
      <c r="M175" s="2">
        <v>4</v>
      </c>
      <c r="N175">
        <v>17.29</v>
      </c>
      <c r="O175">
        <v>11.39</v>
      </c>
      <c r="P175" s="1">
        <v>33.299999999999997</v>
      </c>
      <c r="Q175">
        <v>150.77000000000001</v>
      </c>
      <c r="R175" s="1">
        <v>35.799999999999997</v>
      </c>
      <c r="S175">
        <v>702.61</v>
      </c>
      <c r="T175">
        <v>168.02</v>
      </c>
      <c r="U175" s="1">
        <v>416.42</v>
      </c>
      <c r="V175">
        <v>58.1</v>
      </c>
      <c r="W175">
        <v>67.33</v>
      </c>
      <c r="X175">
        <v>5.35</v>
      </c>
      <c r="Y175" s="1">
        <v>28.24</v>
      </c>
      <c r="Z175" t="s">
        <v>133</v>
      </c>
      <c r="AA175">
        <v>2042.35</v>
      </c>
      <c r="AB175">
        <v>227.5</v>
      </c>
      <c r="AC175" t="s">
        <v>133</v>
      </c>
      <c r="AD175">
        <v>20.82</v>
      </c>
      <c r="AE175">
        <v>316.44</v>
      </c>
      <c r="AF175">
        <v>272.18</v>
      </c>
      <c r="AG175" s="1">
        <v>3.79</v>
      </c>
      <c r="AH175">
        <v>220.75</v>
      </c>
      <c r="AI175">
        <v>74.599999999999994</v>
      </c>
      <c r="AJ175" s="1">
        <v>8.0299999999999994</v>
      </c>
      <c r="AK175">
        <v>75.02</v>
      </c>
      <c r="AL175">
        <v>8.82</v>
      </c>
      <c r="AM175">
        <v>550.76</v>
      </c>
      <c r="AN175" s="1">
        <v>35.89</v>
      </c>
      <c r="AO175">
        <v>41.9</v>
      </c>
      <c r="AP175">
        <v>192.02</v>
      </c>
    </row>
    <row r="176" spans="1:42" ht="15.75">
      <c r="A176" t="s">
        <v>400</v>
      </c>
      <c r="B176" s="2" t="s">
        <v>400</v>
      </c>
      <c r="C176" s="2" t="str">
        <f t="shared" si="2"/>
        <v>TRUE</v>
      </c>
      <c r="D176" s="2" t="s">
        <v>858</v>
      </c>
      <c r="E176" s="2" t="s">
        <v>859</v>
      </c>
      <c r="F176" s="2" t="s">
        <v>864</v>
      </c>
      <c r="G176" s="3">
        <v>23568</v>
      </c>
      <c r="H176" s="3">
        <v>43699</v>
      </c>
      <c r="I176" s="2">
        <v>55</v>
      </c>
      <c r="J176" s="2">
        <v>5</v>
      </c>
      <c r="K176" s="2" t="s">
        <v>857</v>
      </c>
      <c r="L176" s="2">
        <v>57</v>
      </c>
      <c r="M176" s="2">
        <v>4</v>
      </c>
      <c r="N176">
        <v>26.67</v>
      </c>
      <c r="O176">
        <v>75.55</v>
      </c>
      <c r="P176" s="1">
        <v>11.06</v>
      </c>
      <c r="Q176">
        <v>41.76</v>
      </c>
      <c r="R176" s="1" t="s">
        <v>96</v>
      </c>
      <c r="S176">
        <v>631.72</v>
      </c>
      <c r="T176" t="s">
        <v>133</v>
      </c>
      <c r="U176" s="1">
        <v>2150.5100000000002</v>
      </c>
      <c r="V176">
        <v>261.69</v>
      </c>
      <c r="W176" t="s">
        <v>133</v>
      </c>
      <c r="X176">
        <v>95.3</v>
      </c>
      <c r="Y176" s="1" t="s">
        <v>96</v>
      </c>
      <c r="Z176">
        <v>1287.8599999999999</v>
      </c>
      <c r="AA176">
        <v>243.55</v>
      </c>
      <c r="AB176">
        <v>222.51</v>
      </c>
      <c r="AC176">
        <v>577.45000000000005</v>
      </c>
      <c r="AD176">
        <v>23.27</v>
      </c>
      <c r="AE176">
        <v>105.25</v>
      </c>
      <c r="AF176">
        <v>21.15</v>
      </c>
      <c r="AG176" s="1">
        <v>7.46</v>
      </c>
      <c r="AH176">
        <v>39.97</v>
      </c>
      <c r="AI176">
        <v>47.82</v>
      </c>
      <c r="AJ176" s="1">
        <v>31.42</v>
      </c>
      <c r="AK176">
        <v>69.33</v>
      </c>
      <c r="AL176">
        <v>17.66</v>
      </c>
      <c r="AM176">
        <v>125.19</v>
      </c>
      <c r="AN176" s="1">
        <v>11.81</v>
      </c>
      <c r="AO176">
        <v>41.85</v>
      </c>
      <c r="AP176">
        <v>34.32</v>
      </c>
    </row>
    <row r="177" spans="1:42" ht="15.75">
      <c r="A177" t="s">
        <v>295</v>
      </c>
      <c r="B177" s="2" t="s">
        <v>295</v>
      </c>
      <c r="C177" s="2" t="str">
        <f t="shared" si="2"/>
        <v>TRUE</v>
      </c>
      <c r="D177" s="2" t="s">
        <v>858</v>
      </c>
      <c r="E177" s="2" t="s">
        <v>859</v>
      </c>
      <c r="F177" s="2" t="s">
        <v>864</v>
      </c>
      <c r="G177" s="3">
        <v>34948</v>
      </c>
      <c r="H177" s="3">
        <v>43705</v>
      </c>
      <c r="I177" s="2">
        <v>23</v>
      </c>
      <c r="J177" s="2">
        <v>3</v>
      </c>
      <c r="K177" s="2" t="s">
        <v>861</v>
      </c>
      <c r="L177" s="2" t="s">
        <v>856</v>
      </c>
      <c r="M177" s="2">
        <v>4</v>
      </c>
      <c r="N177">
        <v>10.55</v>
      </c>
      <c r="O177">
        <v>3.86</v>
      </c>
      <c r="P177" s="1">
        <v>20.84</v>
      </c>
      <c r="Q177">
        <v>137.41999999999999</v>
      </c>
      <c r="R177" s="1">
        <v>24.78</v>
      </c>
      <c r="S177">
        <v>483.83</v>
      </c>
      <c r="T177">
        <v>117.28</v>
      </c>
      <c r="U177" s="1">
        <v>408.57</v>
      </c>
      <c r="V177">
        <v>43.86</v>
      </c>
      <c r="W177">
        <v>32.869999999999997</v>
      </c>
      <c r="X177">
        <v>1.89</v>
      </c>
      <c r="Y177" s="1">
        <v>27.8</v>
      </c>
      <c r="Z177">
        <v>1715.95</v>
      </c>
      <c r="AA177">
        <v>1079.2</v>
      </c>
      <c r="AB177">
        <v>174.44</v>
      </c>
      <c r="AC177">
        <v>950.67</v>
      </c>
      <c r="AD177">
        <v>16.03</v>
      </c>
      <c r="AE177">
        <v>171.56</v>
      </c>
      <c r="AF177">
        <v>143.38</v>
      </c>
      <c r="AG177" s="1">
        <v>3.13</v>
      </c>
      <c r="AH177">
        <v>105.81</v>
      </c>
      <c r="AI177">
        <v>93.86</v>
      </c>
      <c r="AJ177" s="1">
        <v>4.2</v>
      </c>
      <c r="AK177">
        <v>80.75</v>
      </c>
      <c r="AL177">
        <v>8.77</v>
      </c>
      <c r="AM177">
        <v>535.82000000000005</v>
      </c>
      <c r="AN177" s="1">
        <v>24.9</v>
      </c>
      <c r="AO177">
        <v>31.65</v>
      </c>
      <c r="AP177">
        <v>142.51</v>
      </c>
    </row>
    <row r="178" spans="1:42" ht="15.75">
      <c r="A178" t="s">
        <v>232</v>
      </c>
      <c r="B178" s="2" t="s">
        <v>232</v>
      </c>
      <c r="C178" s="2" t="str">
        <f t="shared" si="2"/>
        <v>TRUE</v>
      </c>
      <c r="D178" s="2" t="s">
        <v>858</v>
      </c>
      <c r="E178" s="2" t="s">
        <v>859</v>
      </c>
      <c r="F178" s="2" t="s">
        <v>860</v>
      </c>
      <c r="G178" s="3">
        <v>34403</v>
      </c>
      <c r="H178" s="3">
        <v>43718</v>
      </c>
      <c r="I178" s="2">
        <v>25</v>
      </c>
      <c r="J178" s="2">
        <v>7</v>
      </c>
      <c r="K178" s="2" t="s">
        <v>861</v>
      </c>
      <c r="L178" s="2">
        <v>904</v>
      </c>
      <c r="M178" s="2">
        <v>5</v>
      </c>
      <c r="N178">
        <v>10.57</v>
      </c>
      <c r="O178" t="s">
        <v>96</v>
      </c>
      <c r="P178" s="1" t="s">
        <v>96</v>
      </c>
      <c r="Q178">
        <v>3.75</v>
      </c>
      <c r="R178" s="1" t="s">
        <v>96</v>
      </c>
      <c r="S178" t="s">
        <v>96</v>
      </c>
      <c r="T178">
        <v>63.07</v>
      </c>
      <c r="U178" s="1" t="s">
        <v>96</v>
      </c>
      <c r="V178">
        <v>1.32</v>
      </c>
      <c r="W178">
        <v>62.53</v>
      </c>
      <c r="X178" t="s">
        <v>96</v>
      </c>
      <c r="Y178" s="1" t="s">
        <v>96</v>
      </c>
      <c r="Z178" t="s">
        <v>133</v>
      </c>
      <c r="AA178" t="s">
        <v>96</v>
      </c>
      <c r="AB178">
        <v>23.33</v>
      </c>
      <c r="AC178" t="s">
        <v>133</v>
      </c>
      <c r="AD178">
        <v>23.11</v>
      </c>
      <c r="AE178">
        <v>37.26</v>
      </c>
      <c r="AF178" t="s">
        <v>96</v>
      </c>
      <c r="AG178" s="1" t="s">
        <v>96</v>
      </c>
      <c r="AH178">
        <v>41.63</v>
      </c>
      <c r="AI178" t="s">
        <v>96</v>
      </c>
      <c r="AJ178" s="1" t="s">
        <v>96</v>
      </c>
      <c r="AK178">
        <v>97.54</v>
      </c>
      <c r="AL178" t="s">
        <v>96</v>
      </c>
      <c r="AM178" t="s">
        <v>96</v>
      </c>
      <c r="AN178" s="1" t="s">
        <v>96</v>
      </c>
      <c r="AO178">
        <v>6.27</v>
      </c>
      <c r="AP178" t="s">
        <v>96</v>
      </c>
    </row>
    <row r="179" spans="1:42" ht="15.75">
      <c r="A179" t="s">
        <v>484</v>
      </c>
      <c r="B179" s="2" t="s">
        <v>484</v>
      </c>
      <c r="C179" s="2" t="str">
        <f t="shared" si="2"/>
        <v>TRUE</v>
      </c>
      <c r="D179" s="2" t="s">
        <v>865</v>
      </c>
      <c r="E179" s="2" t="s">
        <v>872</v>
      </c>
      <c r="F179" s="2" t="s">
        <v>860</v>
      </c>
      <c r="G179" s="3">
        <v>18937</v>
      </c>
      <c r="H179" s="3">
        <v>43711</v>
      </c>
      <c r="I179" s="2">
        <v>67</v>
      </c>
      <c r="J179" s="2">
        <v>1</v>
      </c>
      <c r="K179" s="2" t="s">
        <v>857</v>
      </c>
      <c r="L179" s="2">
        <v>715</v>
      </c>
      <c r="M179" s="2">
        <v>5</v>
      </c>
      <c r="N179">
        <v>8.8000000000000007</v>
      </c>
      <c r="O179">
        <v>15.61</v>
      </c>
      <c r="P179" s="1">
        <v>42.52</v>
      </c>
      <c r="Q179">
        <v>38.159999999999997</v>
      </c>
      <c r="R179" s="1">
        <v>43.8</v>
      </c>
      <c r="S179">
        <v>618.66999999999996</v>
      </c>
      <c r="T179">
        <v>279.35000000000002</v>
      </c>
      <c r="U179" s="1">
        <v>1057.1300000000001</v>
      </c>
      <c r="V179">
        <v>31.48</v>
      </c>
      <c r="W179">
        <v>261.49</v>
      </c>
      <c r="X179">
        <v>11.68</v>
      </c>
      <c r="Y179" s="1">
        <v>8.98</v>
      </c>
      <c r="Z179">
        <v>1462.81</v>
      </c>
      <c r="AA179">
        <v>1007.1</v>
      </c>
      <c r="AB179">
        <v>52.62</v>
      </c>
      <c r="AC179">
        <v>864.47</v>
      </c>
      <c r="AD179">
        <v>4.88</v>
      </c>
      <c r="AE179">
        <v>151.31</v>
      </c>
      <c r="AF179">
        <v>66.08</v>
      </c>
      <c r="AG179" s="1" t="s">
        <v>96</v>
      </c>
      <c r="AH179">
        <v>111.51</v>
      </c>
      <c r="AI179">
        <v>23.83</v>
      </c>
      <c r="AJ179" s="1">
        <v>50.52</v>
      </c>
      <c r="AK179">
        <v>68.72</v>
      </c>
      <c r="AL179">
        <v>8.7100000000000009</v>
      </c>
      <c r="AM179">
        <v>479.68</v>
      </c>
      <c r="AN179" s="1">
        <v>9.08</v>
      </c>
      <c r="AO179">
        <v>25.2</v>
      </c>
      <c r="AP179">
        <v>86.5</v>
      </c>
    </row>
    <row r="180" spans="1:42" ht="15.75">
      <c r="A180" t="s">
        <v>304</v>
      </c>
      <c r="B180" s="2" t="s">
        <v>304</v>
      </c>
      <c r="C180" s="2" t="str">
        <f t="shared" si="2"/>
        <v>TRUE</v>
      </c>
      <c r="D180" s="2" t="s">
        <v>858</v>
      </c>
      <c r="E180" s="2" t="s">
        <v>859</v>
      </c>
      <c r="F180" s="2" t="s">
        <v>864</v>
      </c>
      <c r="G180" s="3">
        <v>34948</v>
      </c>
      <c r="H180" s="3">
        <v>43713</v>
      </c>
      <c r="I180" s="2">
        <v>23</v>
      </c>
      <c r="J180" s="2">
        <v>4</v>
      </c>
      <c r="K180" s="2" t="s">
        <v>861</v>
      </c>
      <c r="L180" s="2" t="s">
        <v>856</v>
      </c>
      <c r="M180" s="2">
        <v>3</v>
      </c>
      <c r="N180">
        <v>9.76</v>
      </c>
      <c r="O180">
        <v>5.12</v>
      </c>
      <c r="P180" s="1">
        <v>11.2</v>
      </c>
      <c r="Q180">
        <v>88.14</v>
      </c>
      <c r="R180" s="1">
        <v>20.25</v>
      </c>
      <c r="S180">
        <v>378.28</v>
      </c>
      <c r="T180">
        <v>237.4</v>
      </c>
      <c r="U180" s="1">
        <v>155.91999999999999</v>
      </c>
      <c r="V180">
        <v>41.77</v>
      </c>
      <c r="W180">
        <v>270.33</v>
      </c>
      <c r="X180">
        <v>6.43</v>
      </c>
      <c r="Y180" s="1">
        <v>9.25</v>
      </c>
      <c r="Z180">
        <v>1579.18</v>
      </c>
      <c r="AA180">
        <v>639.16</v>
      </c>
      <c r="AB180">
        <v>165.88</v>
      </c>
      <c r="AC180">
        <v>931.63</v>
      </c>
      <c r="AD180">
        <v>27.93</v>
      </c>
      <c r="AE180">
        <v>136.66999999999999</v>
      </c>
      <c r="AF180">
        <v>80.010000000000005</v>
      </c>
      <c r="AG180" s="1">
        <v>3.29</v>
      </c>
      <c r="AH180">
        <v>100.58</v>
      </c>
      <c r="AI180">
        <v>59.1</v>
      </c>
      <c r="AJ180" s="1">
        <v>2.63</v>
      </c>
      <c r="AK180">
        <v>196.04</v>
      </c>
      <c r="AL180">
        <v>21.95</v>
      </c>
      <c r="AM180">
        <v>399.59</v>
      </c>
      <c r="AN180" s="1">
        <v>39.64</v>
      </c>
      <c r="AO180">
        <v>70.650000000000006</v>
      </c>
      <c r="AP180">
        <v>226.31</v>
      </c>
    </row>
    <row r="181" spans="1:42" ht="15.75">
      <c r="A181" t="s">
        <v>478</v>
      </c>
      <c r="B181" s="2" t="s">
        <v>478</v>
      </c>
      <c r="C181" s="2" t="str">
        <f t="shared" si="2"/>
        <v>TRUE</v>
      </c>
      <c r="D181" s="2" t="s">
        <v>865</v>
      </c>
      <c r="E181" s="2" t="s">
        <v>872</v>
      </c>
      <c r="F181" s="2" t="s">
        <v>860</v>
      </c>
      <c r="G181" s="3">
        <v>18937</v>
      </c>
      <c r="H181" s="3">
        <v>43721</v>
      </c>
      <c r="I181" s="2">
        <v>67</v>
      </c>
      <c r="J181" s="2">
        <v>2</v>
      </c>
      <c r="K181" s="2" t="s">
        <v>857</v>
      </c>
      <c r="L181" s="2" t="s">
        <v>856</v>
      </c>
      <c r="M181" s="2">
        <v>0</v>
      </c>
      <c r="N181">
        <v>9.83</v>
      </c>
      <c r="O181">
        <v>7.67</v>
      </c>
      <c r="P181" s="1">
        <v>19.809999999999999</v>
      </c>
      <c r="Q181">
        <v>62.49</v>
      </c>
      <c r="R181" s="1">
        <v>10.07</v>
      </c>
      <c r="S181">
        <v>294.94</v>
      </c>
      <c r="T181">
        <v>187.05</v>
      </c>
      <c r="U181" s="1">
        <v>125.71</v>
      </c>
      <c r="V181">
        <v>19.54</v>
      </c>
      <c r="W181">
        <v>191.57</v>
      </c>
      <c r="X181">
        <v>6.9</v>
      </c>
      <c r="Y181" s="1">
        <v>4.3600000000000003</v>
      </c>
      <c r="Z181">
        <v>1199.98</v>
      </c>
      <c r="AA181">
        <v>933.85</v>
      </c>
      <c r="AB181">
        <v>69.319999999999993</v>
      </c>
      <c r="AC181" t="s">
        <v>133</v>
      </c>
      <c r="AD181">
        <v>6.9</v>
      </c>
      <c r="AE181">
        <v>256.92</v>
      </c>
      <c r="AF181">
        <v>148.22</v>
      </c>
      <c r="AG181" s="1" t="s">
        <v>96</v>
      </c>
      <c r="AH181">
        <v>210.19</v>
      </c>
      <c r="AI181">
        <v>113.27</v>
      </c>
      <c r="AJ181" s="1">
        <v>21.4</v>
      </c>
      <c r="AK181">
        <v>162.52000000000001</v>
      </c>
      <c r="AL181">
        <v>21.43</v>
      </c>
      <c r="AM181">
        <v>525.91999999999996</v>
      </c>
      <c r="AN181" s="1">
        <v>23.25</v>
      </c>
      <c r="AO181">
        <v>35.520000000000003</v>
      </c>
      <c r="AP181">
        <v>171.49</v>
      </c>
    </row>
    <row r="182" spans="1:42" ht="15.75">
      <c r="A182" t="s">
        <v>298</v>
      </c>
      <c r="B182" s="2" t="s">
        <v>298</v>
      </c>
      <c r="C182" s="2" t="str">
        <f t="shared" si="2"/>
        <v>TRUE</v>
      </c>
      <c r="D182" s="2" t="s">
        <v>858</v>
      </c>
      <c r="E182" s="2" t="s">
        <v>859</v>
      </c>
      <c r="F182" s="2" t="s">
        <v>864</v>
      </c>
      <c r="G182" s="3">
        <v>34948</v>
      </c>
      <c r="H182" s="3">
        <v>43719</v>
      </c>
      <c r="I182" s="2">
        <v>24</v>
      </c>
      <c r="J182" s="2">
        <v>5</v>
      </c>
      <c r="K182" s="2" t="s">
        <v>861</v>
      </c>
      <c r="L182" s="2">
        <v>251</v>
      </c>
      <c r="M182" s="2">
        <v>4</v>
      </c>
      <c r="N182">
        <v>14.85</v>
      </c>
      <c r="O182">
        <v>8.11</v>
      </c>
      <c r="P182" s="1">
        <v>18.98</v>
      </c>
      <c r="Q182">
        <v>61.53</v>
      </c>
      <c r="R182" s="1">
        <v>15.16</v>
      </c>
      <c r="S182">
        <v>724.56</v>
      </c>
      <c r="T182">
        <v>380.8</v>
      </c>
      <c r="U182" s="1">
        <v>432.51</v>
      </c>
      <c r="V182">
        <v>62.33</v>
      </c>
      <c r="W182">
        <v>60.76</v>
      </c>
      <c r="X182">
        <v>9.59</v>
      </c>
      <c r="Y182" s="1">
        <v>8.19</v>
      </c>
      <c r="Z182">
        <v>506.78</v>
      </c>
      <c r="AA182">
        <v>246.59</v>
      </c>
      <c r="AB182">
        <v>34.74</v>
      </c>
      <c r="AC182">
        <v>184.48</v>
      </c>
      <c r="AD182">
        <v>6.43</v>
      </c>
      <c r="AE182">
        <v>90.07</v>
      </c>
      <c r="AF182">
        <v>56.31</v>
      </c>
      <c r="AG182" s="1" t="s">
        <v>96</v>
      </c>
      <c r="AH182">
        <v>32.68</v>
      </c>
      <c r="AI182">
        <v>45.26</v>
      </c>
      <c r="AJ182" s="1">
        <v>8.91</v>
      </c>
      <c r="AK182">
        <v>26.6</v>
      </c>
      <c r="AL182">
        <v>5.98</v>
      </c>
      <c r="AM182">
        <v>203.38</v>
      </c>
      <c r="AN182" s="1">
        <v>17.7</v>
      </c>
      <c r="AO182">
        <v>17.25</v>
      </c>
      <c r="AP182">
        <v>50.74</v>
      </c>
    </row>
    <row r="183" spans="1:42" ht="15.75">
      <c r="A183" t="s">
        <v>403</v>
      </c>
      <c r="B183" s="2" t="s">
        <v>403</v>
      </c>
      <c r="C183" s="2" t="str">
        <f t="shared" si="2"/>
        <v>TRUE</v>
      </c>
      <c r="D183" s="2" t="s">
        <v>858</v>
      </c>
      <c r="E183" s="2" t="s">
        <v>859</v>
      </c>
      <c r="F183" s="2" t="s">
        <v>864</v>
      </c>
      <c r="G183" s="3">
        <v>23568</v>
      </c>
      <c r="H183" s="3">
        <v>43728</v>
      </c>
      <c r="I183" s="2">
        <v>55</v>
      </c>
      <c r="J183" s="2">
        <v>6</v>
      </c>
      <c r="K183" s="2" t="s">
        <v>857</v>
      </c>
      <c r="L183" s="2">
        <v>15</v>
      </c>
      <c r="M183" s="2">
        <v>3</v>
      </c>
      <c r="N183">
        <v>19.95</v>
      </c>
      <c r="O183">
        <v>1.66</v>
      </c>
      <c r="P183" s="1" t="s">
        <v>96</v>
      </c>
      <c r="Q183">
        <v>22.23</v>
      </c>
      <c r="R183" s="1" t="s">
        <v>96</v>
      </c>
      <c r="S183">
        <v>10.41</v>
      </c>
      <c r="T183">
        <v>40.520000000000003</v>
      </c>
      <c r="U183" s="1" t="s">
        <v>96</v>
      </c>
      <c r="V183">
        <v>5.17</v>
      </c>
      <c r="W183">
        <v>54.32</v>
      </c>
      <c r="X183">
        <v>3.22</v>
      </c>
      <c r="Y183" s="1" t="s">
        <v>96</v>
      </c>
      <c r="Z183" t="s">
        <v>133</v>
      </c>
      <c r="AA183">
        <v>373.83</v>
      </c>
      <c r="AB183">
        <v>231.85</v>
      </c>
      <c r="AC183" t="s">
        <v>133</v>
      </c>
      <c r="AD183">
        <v>51.68</v>
      </c>
      <c r="AE183">
        <v>682.16</v>
      </c>
      <c r="AF183">
        <v>93.07</v>
      </c>
      <c r="AG183" s="1">
        <v>32.74</v>
      </c>
      <c r="AH183">
        <v>289.52</v>
      </c>
      <c r="AI183">
        <v>93.67</v>
      </c>
      <c r="AJ183" s="1" t="s">
        <v>96</v>
      </c>
      <c r="AK183">
        <v>244.49</v>
      </c>
      <c r="AL183">
        <v>58.42</v>
      </c>
      <c r="AM183">
        <v>190.1</v>
      </c>
      <c r="AN183" s="1">
        <v>24.59</v>
      </c>
      <c r="AO183">
        <v>64.849999999999994</v>
      </c>
      <c r="AP183">
        <v>76.59</v>
      </c>
    </row>
    <row r="184" spans="1:42" ht="15.75">
      <c r="A184" t="s">
        <v>481</v>
      </c>
      <c r="B184" s="2" t="s">
        <v>481</v>
      </c>
      <c r="C184" s="2" t="str">
        <f t="shared" si="2"/>
        <v>TRUE</v>
      </c>
      <c r="D184" s="2" t="s">
        <v>865</v>
      </c>
      <c r="E184" s="2" t="s">
        <v>872</v>
      </c>
      <c r="F184" s="2" t="s">
        <v>860</v>
      </c>
      <c r="G184" s="3">
        <v>18937</v>
      </c>
      <c r="H184" s="3">
        <v>43728</v>
      </c>
      <c r="I184" s="2">
        <v>67</v>
      </c>
      <c r="J184" s="2">
        <v>3</v>
      </c>
      <c r="K184" s="2" t="s">
        <v>857</v>
      </c>
      <c r="L184" s="2" t="s">
        <v>856</v>
      </c>
      <c r="M184" s="2">
        <v>0</v>
      </c>
      <c r="N184">
        <v>10.89</v>
      </c>
      <c r="O184">
        <v>19.37</v>
      </c>
      <c r="P184" s="1">
        <v>27.5</v>
      </c>
      <c r="Q184">
        <v>75.900000000000006</v>
      </c>
      <c r="R184" s="1">
        <v>17.440000000000001</v>
      </c>
      <c r="S184">
        <v>455.05</v>
      </c>
      <c r="T184">
        <v>330.67</v>
      </c>
      <c r="U184" s="1">
        <v>113.82</v>
      </c>
      <c r="V184">
        <v>34.83</v>
      </c>
      <c r="W184">
        <v>189.31</v>
      </c>
      <c r="X184">
        <v>8.82</v>
      </c>
      <c r="Y184" s="1">
        <v>5.28</v>
      </c>
      <c r="Z184">
        <v>1200.21</v>
      </c>
      <c r="AA184">
        <v>838.73</v>
      </c>
      <c r="AB184">
        <v>107.91</v>
      </c>
      <c r="AC184" t="s">
        <v>133</v>
      </c>
      <c r="AD184">
        <v>13.48</v>
      </c>
      <c r="AE184">
        <v>158.87</v>
      </c>
      <c r="AF184">
        <v>99.19</v>
      </c>
      <c r="AG184" s="1" t="s">
        <v>96</v>
      </c>
      <c r="AH184">
        <v>141.82</v>
      </c>
      <c r="AI184">
        <v>100.33</v>
      </c>
      <c r="AJ184" s="1">
        <v>38.67</v>
      </c>
      <c r="AK184">
        <v>165.94</v>
      </c>
      <c r="AL184">
        <v>17.399999999999999</v>
      </c>
      <c r="AM184">
        <v>610.95000000000005</v>
      </c>
      <c r="AN184" s="1">
        <v>19.45</v>
      </c>
      <c r="AO184">
        <v>54.49</v>
      </c>
      <c r="AP184">
        <v>160.21</v>
      </c>
    </row>
    <row r="185" spans="1:42" ht="15.75">
      <c r="A185" t="s">
        <v>820</v>
      </c>
      <c r="B185" s="2" t="s">
        <v>820</v>
      </c>
      <c r="C185" s="2" t="str">
        <f t="shared" si="2"/>
        <v>TRUE</v>
      </c>
      <c r="D185" s="2" t="s">
        <v>865</v>
      </c>
      <c r="E185" s="2" t="s">
        <v>866</v>
      </c>
      <c r="F185" s="2" t="s">
        <v>864</v>
      </c>
      <c r="G185" s="3">
        <v>22293</v>
      </c>
      <c r="H185" s="3">
        <v>43733</v>
      </c>
      <c r="I185" s="2">
        <v>58</v>
      </c>
      <c r="J185" s="2">
        <v>2</v>
      </c>
      <c r="K185" s="2" t="s">
        <v>861</v>
      </c>
      <c r="L185" s="2" t="s">
        <v>856</v>
      </c>
      <c r="M185" s="2">
        <v>4</v>
      </c>
      <c r="N185">
        <v>17.71</v>
      </c>
      <c r="O185">
        <v>1.03</v>
      </c>
      <c r="P185" s="1">
        <v>34.81</v>
      </c>
      <c r="Q185">
        <v>92.65</v>
      </c>
      <c r="R185" s="1">
        <v>183.49</v>
      </c>
      <c r="S185">
        <v>652.84</v>
      </c>
      <c r="T185">
        <v>151.63999999999999</v>
      </c>
      <c r="U185" s="1" t="s">
        <v>96</v>
      </c>
      <c r="V185">
        <v>65.95</v>
      </c>
      <c r="W185">
        <v>27.8</v>
      </c>
      <c r="X185">
        <v>1.81</v>
      </c>
      <c r="Y185" s="1">
        <v>46.26</v>
      </c>
      <c r="Z185">
        <v>774.9</v>
      </c>
      <c r="AA185">
        <v>436.84</v>
      </c>
      <c r="AB185">
        <v>45.09</v>
      </c>
      <c r="AC185">
        <v>159.59</v>
      </c>
      <c r="AD185">
        <v>7.05</v>
      </c>
      <c r="AE185">
        <v>118.93</v>
      </c>
      <c r="AF185">
        <v>83.52</v>
      </c>
      <c r="AG185" s="1">
        <v>7.31</v>
      </c>
      <c r="AH185">
        <v>34.479999999999997</v>
      </c>
      <c r="AI185">
        <v>211.98</v>
      </c>
      <c r="AJ185" s="1">
        <v>9.01</v>
      </c>
      <c r="AK185">
        <v>100.08</v>
      </c>
      <c r="AL185">
        <v>17.05</v>
      </c>
      <c r="AM185">
        <v>1294.31</v>
      </c>
      <c r="AN185" s="1">
        <v>44.94</v>
      </c>
      <c r="AO185">
        <v>40.869999999999997</v>
      </c>
      <c r="AP185">
        <v>183.54</v>
      </c>
    </row>
    <row r="186" spans="1:42" ht="15.75">
      <c r="A186" t="s">
        <v>196</v>
      </c>
      <c r="B186" s="2" t="s">
        <v>196</v>
      </c>
      <c r="C186" s="2" t="str">
        <f t="shared" si="2"/>
        <v>TRUE</v>
      </c>
      <c r="D186" s="2" t="s">
        <v>865</v>
      </c>
      <c r="E186" s="2" t="s">
        <v>873</v>
      </c>
      <c r="F186" s="2" t="s">
        <v>864</v>
      </c>
      <c r="G186" s="3">
        <v>19925</v>
      </c>
      <c r="H186" s="3">
        <v>43733</v>
      </c>
      <c r="I186" s="2">
        <v>65</v>
      </c>
      <c r="J186" s="2">
        <v>6</v>
      </c>
      <c r="K186" s="2" t="s">
        <v>861</v>
      </c>
      <c r="L186" s="2">
        <v>220</v>
      </c>
      <c r="M186" s="2">
        <v>2</v>
      </c>
      <c r="N186">
        <v>10.58</v>
      </c>
      <c r="O186">
        <v>4.07</v>
      </c>
      <c r="P186" s="1">
        <v>72.39</v>
      </c>
      <c r="Q186">
        <v>82.55</v>
      </c>
      <c r="R186" s="1">
        <v>43.14</v>
      </c>
      <c r="S186">
        <v>867.28</v>
      </c>
      <c r="T186">
        <v>28.82</v>
      </c>
      <c r="U186" s="1">
        <v>213.27</v>
      </c>
      <c r="V186">
        <v>52.25</v>
      </c>
      <c r="W186">
        <v>4.6100000000000003</v>
      </c>
      <c r="X186" t="s">
        <v>96</v>
      </c>
      <c r="Y186" s="1">
        <v>36.299999999999997</v>
      </c>
      <c r="Z186">
        <v>634.20000000000005</v>
      </c>
      <c r="AA186">
        <v>516.24</v>
      </c>
      <c r="AB186">
        <v>31.56</v>
      </c>
      <c r="AC186">
        <v>65.45</v>
      </c>
      <c r="AD186" t="s">
        <v>96</v>
      </c>
      <c r="AE186">
        <v>36.31</v>
      </c>
      <c r="AF186">
        <v>33.32</v>
      </c>
      <c r="AG186" s="1" t="s">
        <v>96</v>
      </c>
      <c r="AH186">
        <v>5.4</v>
      </c>
      <c r="AI186">
        <v>57.9</v>
      </c>
      <c r="AJ186" s="1">
        <v>8.65</v>
      </c>
      <c r="AK186">
        <v>28.22</v>
      </c>
      <c r="AL186" t="s">
        <v>96</v>
      </c>
      <c r="AM186">
        <v>1088.19</v>
      </c>
      <c r="AN186" s="1">
        <v>7.26</v>
      </c>
      <c r="AO186">
        <v>26.35</v>
      </c>
      <c r="AP186">
        <v>83.76</v>
      </c>
    </row>
    <row r="187" spans="1:42" ht="15.75">
      <c r="A187" t="s">
        <v>487</v>
      </c>
      <c r="B187" s="2" t="s">
        <v>487</v>
      </c>
      <c r="C187" s="2" t="str">
        <f t="shared" si="2"/>
        <v>TRUE</v>
      </c>
      <c r="D187" s="2" t="s">
        <v>865</v>
      </c>
      <c r="E187" s="2" t="s">
        <v>872</v>
      </c>
      <c r="F187" s="2" t="s">
        <v>860</v>
      </c>
      <c r="G187" s="3">
        <v>18937</v>
      </c>
      <c r="H187" s="3">
        <v>43735</v>
      </c>
      <c r="I187" s="2">
        <v>67</v>
      </c>
      <c r="J187" s="2">
        <v>4</v>
      </c>
      <c r="K187" s="2" t="s">
        <v>857</v>
      </c>
      <c r="L187" s="2" t="s">
        <v>856</v>
      </c>
      <c r="M187" s="2">
        <v>9</v>
      </c>
      <c r="N187">
        <v>7.03</v>
      </c>
      <c r="O187">
        <v>1.21</v>
      </c>
      <c r="P187" s="1">
        <v>27.39</v>
      </c>
      <c r="Q187">
        <v>9.06</v>
      </c>
      <c r="R187" s="1">
        <v>11.36</v>
      </c>
      <c r="S187">
        <v>145.93</v>
      </c>
      <c r="T187">
        <v>8.76</v>
      </c>
      <c r="U187" s="1">
        <v>56.84</v>
      </c>
      <c r="V187">
        <v>6.74</v>
      </c>
      <c r="W187">
        <v>6.07</v>
      </c>
      <c r="X187" t="s">
        <v>96</v>
      </c>
      <c r="Y187" s="1">
        <v>3.71</v>
      </c>
      <c r="Z187">
        <v>731.24</v>
      </c>
      <c r="AA187">
        <v>624.77</v>
      </c>
      <c r="AB187">
        <v>26.1</v>
      </c>
      <c r="AC187">
        <v>573.99</v>
      </c>
      <c r="AD187">
        <v>5.92</v>
      </c>
      <c r="AE187">
        <v>374.63</v>
      </c>
      <c r="AF187">
        <v>405.72</v>
      </c>
      <c r="AG187" s="1" t="s">
        <v>96</v>
      </c>
      <c r="AH187">
        <v>310.39</v>
      </c>
      <c r="AI187">
        <v>522.82000000000005</v>
      </c>
      <c r="AJ187" s="1">
        <v>18.05</v>
      </c>
      <c r="AK187">
        <v>240.13</v>
      </c>
      <c r="AL187">
        <v>71.62</v>
      </c>
      <c r="AM187">
        <v>1131.3399999999999</v>
      </c>
      <c r="AN187" s="1">
        <v>230.21</v>
      </c>
      <c r="AO187">
        <v>49.34</v>
      </c>
      <c r="AP187">
        <v>432.28</v>
      </c>
    </row>
    <row r="188" spans="1:42" ht="15.75">
      <c r="A188" t="s">
        <v>823</v>
      </c>
      <c r="B188" s="2" t="s">
        <v>823</v>
      </c>
      <c r="C188" s="2" t="str">
        <f t="shared" si="2"/>
        <v>TRUE</v>
      </c>
      <c r="D188" s="2" t="s">
        <v>865</v>
      </c>
      <c r="E188" s="2" t="s">
        <v>866</v>
      </c>
      <c r="F188" s="2" t="s">
        <v>864</v>
      </c>
      <c r="G188" s="3">
        <v>22293</v>
      </c>
      <c r="H188" s="3">
        <v>43741</v>
      </c>
      <c r="I188" s="2">
        <v>58</v>
      </c>
      <c r="J188" s="2">
        <v>3</v>
      </c>
      <c r="K188" s="2" t="s">
        <v>861</v>
      </c>
      <c r="L188" s="2" t="s">
        <v>856</v>
      </c>
      <c r="M188" s="2">
        <v>1</v>
      </c>
      <c r="N188">
        <v>22.45</v>
      </c>
      <c r="O188">
        <v>4.7</v>
      </c>
      <c r="P188" s="1">
        <v>27.79</v>
      </c>
      <c r="Q188">
        <v>228.07</v>
      </c>
      <c r="R188" s="1">
        <v>115.78</v>
      </c>
      <c r="S188">
        <v>644.25</v>
      </c>
      <c r="T188">
        <v>305.22000000000003</v>
      </c>
      <c r="U188" s="1" t="s">
        <v>96</v>
      </c>
      <c r="V188">
        <v>83.45</v>
      </c>
      <c r="W188">
        <v>26.66</v>
      </c>
      <c r="X188">
        <v>3.73</v>
      </c>
      <c r="Y188" s="1">
        <v>22.62</v>
      </c>
      <c r="Z188">
        <v>1403.93</v>
      </c>
      <c r="AA188">
        <v>859.75</v>
      </c>
      <c r="AB188">
        <v>71.62</v>
      </c>
      <c r="AC188">
        <v>519.6</v>
      </c>
      <c r="AD188">
        <v>13.46</v>
      </c>
      <c r="AE188">
        <v>373.44</v>
      </c>
      <c r="AF188">
        <v>226.29</v>
      </c>
      <c r="AG188" s="1">
        <v>30.81</v>
      </c>
      <c r="AH188">
        <v>214.65</v>
      </c>
      <c r="AI188">
        <v>267.02999999999997</v>
      </c>
      <c r="AJ188" s="1">
        <v>5.32</v>
      </c>
      <c r="AK188">
        <v>129.38999999999999</v>
      </c>
      <c r="AL188">
        <v>31.12</v>
      </c>
      <c r="AM188">
        <v>950.96</v>
      </c>
      <c r="AN188" s="1">
        <v>117.43</v>
      </c>
      <c r="AO188">
        <v>49.95</v>
      </c>
      <c r="AP188">
        <v>338.69</v>
      </c>
    </row>
    <row r="189" spans="1:42" ht="15.75">
      <c r="A189" t="s">
        <v>307</v>
      </c>
      <c r="B189" s="2" t="s">
        <v>307</v>
      </c>
      <c r="C189" s="2" t="str">
        <f t="shared" si="2"/>
        <v>TRUE</v>
      </c>
      <c r="D189" s="2" t="s">
        <v>858</v>
      </c>
      <c r="E189" s="2" t="s">
        <v>859</v>
      </c>
      <c r="F189" s="2" t="s">
        <v>864</v>
      </c>
      <c r="G189" s="3">
        <v>34948</v>
      </c>
      <c r="H189" s="3">
        <v>43755</v>
      </c>
      <c r="I189" s="2">
        <v>24</v>
      </c>
      <c r="J189" s="2">
        <v>6</v>
      </c>
      <c r="K189" s="2" t="s">
        <v>861</v>
      </c>
      <c r="L189" s="2">
        <v>15</v>
      </c>
      <c r="M189" s="2">
        <v>1</v>
      </c>
      <c r="N189">
        <v>21.85</v>
      </c>
      <c r="O189">
        <v>5.12</v>
      </c>
      <c r="P189" s="1">
        <v>16.260000000000002</v>
      </c>
      <c r="Q189">
        <v>291.70999999999998</v>
      </c>
      <c r="R189" s="1">
        <v>77.739999999999995</v>
      </c>
      <c r="S189">
        <v>751.41</v>
      </c>
      <c r="T189">
        <v>113.4</v>
      </c>
      <c r="U189" s="1">
        <v>328.97</v>
      </c>
      <c r="V189">
        <v>84.41</v>
      </c>
      <c r="W189">
        <v>23.95</v>
      </c>
      <c r="X189">
        <v>6.84</v>
      </c>
      <c r="Y189" s="1">
        <v>29.76</v>
      </c>
      <c r="Z189" t="s">
        <v>133</v>
      </c>
      <c r="AA189">
        <v>1910.24</v>
      </c>
      <c r="AB189">
        <v>376.68</v>
      </c>
      <c r="AC189" t="s">
        <v>133</v>
      </c>
      <c r="AD189">
        <v>40.42</v>
      </c>
      <c r="AE189">
        <v>548.29999999999995</v>
      </c>
      <c r="AF189">
        <v>469.51</v>
      </c>
      <c r="AG189" s="1">
        <v>26.1</v>
      </c>
      <c r="AH189">
        <v>474.79</v>
      </c>
      <c r="AI189">
        <v>159.46</v>
      </c>
      <c r="AJ189" s="1">
        <v>9.4700000000000006</v>
      </c>
      <c r="AK189">
        <v>85.28</v>
      </c>
      <c r="AL189">
        <v>25.47</v>
      </c>
      <c r="AM189">
        <v>429.71</v>
      </c>
      <c r="AN189" s="1">
        <v>50.96</v>
      </c>
      <c r="AO189">
        <v>40.340000000000003</v>
      </c>
      <c r="AP189">
        <v>115.5</v>
      </c>
    </row>
    <row r="190" spans="1:42" ht="15.75">
      <c r="A190" t="s">
        <v>817</v>
      </c>
      <c r="B190" s="2" t="s">
        <v>817</v>
      </c>
      <c r="C190" s="2" t="str">
        <f t="shared" si="2"/>
        <v>TRUE</v>
      </c>
      <c r="D190" s="2" t="s">
        <v>865</v>
      </c>
      <c r="E190" s="2" t="s">
        <v>866</v>
      </c>
      <c r="F190" s="2" t="s">
        <v>864</v>
      </c>
      <c r="G190" s="3">
        <v>22293</v>
      </c>
      <c r="H190" s="3">
        <v>43754</v>
      </c>
      <c r="I190" s="2">
        <v>58</v>
      </c>
      <c r="J190" s="2">
        <v>5</v>
      </c>
      <c r="K190" s="2" t="s">
        <v>861</v>
      </c>
      <c r="L190" s="2">
        <v>254</v>
      </c>
      <c r="M190" s="2">
        <v>2</v>
      </c>
      <c r="N190">
        <v>17.059999999999999</v>
      </c>
      <c r="O190">
        <v>1.47</v>
      </c>
      <c r="P190" s="1">
        <v>12.44</v>
      </c>
      <c r="Q190">
        <v>73.010000000000005</v>
      </c>
      <c r="R190" s="1">
        <v>32.79</v>
      </c>
      <c r="S190">
        <v>188.27</v>
      </c>
      <c r="T190">
        <v>117.66</v>
      </c>
      <c r="U190" s="1" t="s">
        <v>96</v>
      </c>
      <c r="V190">
        <v>24.4</v>
      </c>
      <c r="W190">
        <v>34.85</v>
      </c>
      <c r="X190">
        <v>2.09</v>
      </c>
      <c r="Y190" s="1">
        <v>22.49</v>
      </c>
      <c r="Z190" t="s">
        <v>133</v>
      </c>
      <c r="AA190">
        <v>982.63</v>
      </c>
      <c r="AB190">
        <v>79.599999999999994</v>
      </c>
      <c r="AC190" t="s">
        <v>133</v>
      </c>
      <c r="AD190">
        <v>16.93</v>
      </c>
      <c r="AE190">
        <v>674.78</v>
      </c>
      <c r="AF190">
        <v>232.16</v>
      </c>
      <c r="AG190" s="1">
        <v>24.75</v>
      </c>
      <c r="AH190">
        <v>371.78</v>
      </c>
      <c r="AI190">
        <v>259.02999999999997</v>
      </c>
      <c r="AJ190" s="1">
        <v>4.93</v>
      </c>
      <c r="AK190">
        <v>131.87</v>
      </c>
      <c r="AL190">
        <v>27.39</v>
      </c>
      <c r="AM190">
        <v>857.24</v>
      </c>
      <c r="AN190" s="1">
        <v>43.69</v>
      </c>
      <c r="AO190">
        <v>22.44</v>
      </c>
      <c r="AP190">
        <v>149.94999999999999</v>
      </c>
    </row>
    <row r="191" spans="1:42" ht="15.75">
      <c r="A191" t="s">
        <v>205</v>
      </c>
      <c r="B191" s="2" t="s">
        <v>205</v>
      </c>
      <c r="C191" s="2" t="str">
        <f t="shared" si="2"/>
        <v>TRUE</v>
      </c>
      <c r="D191" s="2" t="s">
        <v>865</v>
      </c>
      <c r="E191" s="2" t="s">
        <v>873</v>
      </c>
      <c r="F191" s="2" t="s">
        <v>864</v>
      </c>
      <c r="G191" s="3">
        <v>19925</v>
      </c>
      <c r="H191" s="3">
        <v>43705</v>
      </c>
      <c r="I191" s="2">
        <v>65</v>
      </c>
      <c r="J191" s="2">
        <v>5</v>
      </c>
      <c r="K191" s="2" t="s">
        <v>861</v>
      </c>
      <c r="L191" s="2">
        <v>122</v>
      </c>
      <c r="M191" s="2">
        <v>2</v>
      </c>
      <c r="N191">
        <v>13.38</v>
      </c>
      <c r="O191">
        <v>2.15</v>
      </c>
      <c r="P191" s="1">
        <v>65.16</v>
      </c>
      <c r="Q191">
        <v>34.11</v>
      </c>
      <c r="R191" s="1">
        <v>50.65</v>
      </c>
      <c r="S191">
        <v>809.03</v>
      </c>
      <c r="T191">
        <v>22.13</v>
      </c>
      <c r="U191" s="1">
        <v>199.75</v>
      </c>
      <c r="V191">
        <v>35.65</v>
      </c>
      <c r="W191">
        <v>3.75</v>
      </c>
      <c r="X191" t="s">
        <v>96</v>
      </c>
      <c r="Y191" s="1">
        <v>37.950000000000003</v>
      </c>
      <c r="Z191">
        <v>626.05999999999995</v>
      </c>
      <c r="AA191">
        <v>567</v>
      </c>
      <c r="AB191">
        <v>15.7</v>
      </c>
      <c r="AC191">
        <v>74.11</v>
      </c>
      <c r="AD191" t="s">
        <v>96</v>
      </c>
      <c r="AE191">
        <v>34.92</v>
      </c>
      <c r="AF191">
        <v>36.380000000000003</v>
      </c>
      <c r="AG191" s="1" t="s">
        <v>96</v>
      </c>
      <c r="AH191">
        <v>5.23</v>
      </c>
      <c r="AI191">
        <v>45.08</v>
      </c>
      <c r="AJ191" s="1">
        <v>12.65</v>
      </c>
      <c r="AK191">
        <v>32.64</v>
      </c>
      <c r="AL191" t="s">
        <v>96</v>
      </c>
      <c r="AM191">
        <v>982.25</v>
      </c>
      <c r="AN191" s="1">
        <v>7.67</v>
      </c>
      <c r="AO191">
        <v>14.67</v>
      </c>
      <c r="AP191">
        <v>102.44</v>
      </c>
    </row>
    <row r="192" spans="1:42" ht="15.75">
      <c r="A192" t="s">
        <v>685</v>
      </c>
      <c r="B192" s="2" t="s">
        <v>685</v>
      </c>
      <c r="C192" s="2" t="str">
        <f t="shared" si="2"/>
        <v>TRUE</v>
      </c>
      <c r="D192" s="2" t="s">
        <v>865</v>
      </c>
      <c r="E192" s="2" t="s">
        <v>869</v>
      </c>
      <c r="F192" s="2" t="s">
        <v>860</v>
      </c>
      <c r="G192" s="3">
        <v>31009</v>
      </c>
      <c r="H192" s="3">
        <v>43699</v>
      </c>
      <c r="I192" s="2">
        <v>34</v>
      </c>
      <c r="J192" s="2">
        <v>1</v>
      </c>
      <c r="K192" s="2" t="s">
        <v>857</v>
      </c>
      <c r="L192" s="2">
        <v>2000</v>
      </c>
      <c r="M192" s="2">
        <v>10</v>
      </c>
      <c r="N192">
        <v>25.78</v>
      </c>
      <c r="O192">
        <v>4.3499999999999996</v>
      </c>
      <c r="P192" s="1">
        <v>3.22</v>
      </c>
      <c r="Q192">
        <v>25.1</v>
      </c>
      <c r="R192" s="1">
        <v>10.220000000000001</v>
      </c>
      <c r="S192">
        <v>68.400000000000006</v>
      </c>
      <c r="T192">
        <v>48.67</v>
      </c>
      <c r="U192" s="1" t="s">
        <v>96</v>
      </c>
      <c r="V192">
        <v>19.690000000000001</v>
      </c>
      <c r="W192">
        <v>8.4499999999999993</v>
      </c>
      <c r="X192">
        <v>1.82</v>
      </c>
      <c r="Y192" s="1" t="s">
        <v>96</v>
      </c>
      <c r="Z192">
        <v>524.76</v>
      </c>
      <c r="AA192">
        <v>67.099999999999994</v>
      </c>
      <c r="AB192">
        <v>17.04</v>
      </c>
      <c r="AC192">
        <v>75.569999999999993</v>
      </c>
      <c r="AD192">
        <v>8.92</v>
      </c>
      <c r="AE192">
        <v>80.81</v>
      </c>
      <c r="AF192">
        <v>18.38</v>
      </c>
      <c r="AG192" s="1" t="s">
        <v>96</v>
      </c>
      <c r="AH192">
        <v>23.23</v>
      </c>
      <c r="AI192">
        <v>45.01</v>
      </c>
      <c r="AJ192" s="1" t="s">
        <v>96</v>
      </c>
      <c r="AK192">
        <v>78.930000000000007</v>
      </c>
      <c r="AL192">
        <v>16.89</v>
      </c>
      <c r="AM192">
        <v>123.13</v>
      </c>
      <c r="AN192" s="1">
        <v>15.75</v>
      </c>
      <c r="AO192">
        <v>16.75</v>
      </c>
      <c r="AP192">
        <v>40.89</v>
      </c>
    </row>
    <row r="193" spans="1:42" ht="15.75">
      <c r="A193" t="s">
        <v>826</v>
      </c>
      <c r="B193" s="2" t="s">
        <v>826</v>
      </c>
      <c r="C193" s="2" t="str">
        <f t="shared" si="2"/>
        <v>TRUE</v>
      </c>
      <c r="D193" s="2" t="s">
        <v>865</v>
      </c>
      <c r="E193" s="2" t="s">
        <v>866</v>
      </c>
      <c r="F193" s="2" t="s">
        <v>864</v>
      </c>
      <c r="G193" s="3">
        <v>22293</v>
      </c>
      <c r="H193" s="3">
        <v>43788</v>
      </c>
      <c r="I193" s="2">
        <v>58</v>
      </c>
      <c r="J193" s="2">
        <v>6</v>
      </c>
      <c r="K193" s="2" t="s">
        <v>861</v>
      </c>
      <c r="L193" s="2">
        <v>467</v>
      </c>
      <c r="M193" s="2">
        <v>1</v>
      </c>
      <c r="N193">
        <v>22.39</v>
      </c>
      <c r="O193">
        <v>3.35</v>
      </c>
      <c r="P193" s="1">
        <v>26.56</v>
      </c>
      <c r="Q193">
        <v>220.07</v>
      </c>
      <c r="R193" s="1">
        <v>96.74</v>
      </c>
      <c r="S193">
        <v>526.70000000000005</v>
      </c>
      <c r="T193">
        <v>211.03</v>
      </c>
      <c r="U193" s="1" t="s">
        <v>96</v>
      </c>
      <c r="V193">
        <v>61.17</v>
      </c>
      <c r="W193">
        <v>54.03</v>
      </c>
      <c r="X193">
        <v>4.8899999999999997</v>
      </c>
      <c r="Y193" s="1">
        <v>17.350000000000001</v>
      </c>
      <c r="Z193">
        <v>914.87</v>
      </c>
      <c r="AA193">
        <v>430.8</v>
      </c>
      <c r="AB193">
        <v>60.48</v>
      </c>
      <c r="AC193">
        <v>215.71</v>
      </c>
      <c r="AD193">
        <v>11</v>
      </c>
      <c r="AE193">
        <v>108.3</v>
      </c>
      <c r="AF193">
        <v>57.71</v>
      </c>
      <c r="AG193" s="1">
        <v>6.72</v>
      </c>
      <c r="AH193">
        <v>35.51</v>
      </c>
      <c r="AI193">
        <v>174.6</v>
      </c>
      <c r="AJ193" s="1">
        <v>6.3</v>
      </c>
      <c r="AK193">
        <v>95.91</v>
      </c>
      <c r="AL193">
        <v>14.78</v>
      </c>
      <c r="AM193">
        <v>1038.3599999999999</v>
      </c>
      <c r="AN193" s="1">
        <v>32.08</v>
      </c>
      <c r="AO193">
        <v>27.54</v>
      </c>
      <c r="AP193">
        <v>147.28</v>
      </c>
    </row>
    <row r="194" spans="1:42" ht="15.75">
      <c r="A194" t="s">
        <v>550</v>
      </c>
      <c r="B194" s="2" t="s">
        <v>550</v>
      </c>
      <c r="C194" s="2" t="str">
        <f t="shared" si="2"/>
        <v>TRUE</v>
      </c>
      <c r="D194" s="2" t="s">
        <v>865</v>
      </c>
      <c r="E194" s="2" t="s">
        <v>869</v>
      </c>
      <c r="F194" s="2" t="s">
        <v>864</v>
      </c>
      <c r="G194" s="3">
        <v>29371</v>
      </c>
      <c r="H194" s="3">
        <v>43791</v>
      </c>
      <c r="I194" s="2">
        <v>39</v>
      </c>
      <c r="J194" s="2">
        <v>2</v>
      </c>
      <c r="K194" s="2" t="s">
        <v>861</v>
      </c>
      <c r="L194" s="2" t="s">
        <v>856</v>
      </c>
      <c r="M194" s="2">
        <v>5</v>
      </c>
      <c r="N194">
        <v>24.49</v>
      </c>
      <c r="O194">
        <v>35.119999999999997</v>
      </c>
      <c r="P194" s="1" t="s">
        <v>96</v>
      </c>
      <c r="Q194">
        <v>143.82</v>
      </c>
      <c r="R194" s="1" t="s">
        <v>96</v>
      </c>
      <c r="S194" t="s">
        <v>96</v>
      </c>
      <c r="T194" t="s">
        <v>133</v>
      </c>
      <c r="U194" s="1">
        <v>643.94000000000005</v>
      </c>
      <c r="V194">
        <v>181.14</v>
      </c>
      <c r="W194" t="s">
        <v>133</v>
      </c>
      <c r="X194">
        <v>29.84</v>
      </c>
      <c r="Y194" s="1" t="s">
        <v>96</v>
      </c>
      <c r="Z194">
        <v>1576.5</v>
      </c>
      <c r="AA194" t="s">
        <v>96</v>
      </c>
      <c r="AB194">
        <v>269.94</v>
      </c>
      <c r="AC194">
        <v>618.21</v>
      </c>
      <c r="AD194">
        <v>25.44</v>
      </c>
      <c r="AE194">
        <v>134.56</v>
      </c>
      <c r="AF194" t="s">
        <v>96</v>
      </c>
      <c r="AG194" s="1" t="s">
        <v>96</v>
      </c>
      <c r="AH194">
        <v>49.61</v>
      </c>
      <c r="AI194" t="s">
        <v>96</v>
      </c>
      <c r="AJ194" s="1" t="s">
        <v>96</v>
      </c>
      <c r="AK194">
        <v>219.25</v>
      </c>
      <c r="AL194">
        <v>28.44</v>
      </c>
      <c r="AM194" t="s">
        <v>96</v>
      </c>
      <c r="AN194" s="1" t="s">
        <v>96</v>
      </c>
      <c r="AO194">
        <v>109.88</v>
      </c>
      <c r="AP194" t="s">
        <v>96</v>
      </c>
    </row>
    <row r="195" spans="1:42" ht="15.75">
      <c r="A195" t="s">
        <v>544</v>
      </c>
      <c r="B195" s="2" t="s">
        <v>544</v>
      </c>
      <c r="C195" s="2" t="str">
        <f t="shared" ref="C195:C254" si="3">IF(A195=B195, "TRUE", "FALSE")</f>
        <v>TRUE</v>
      </c>
      <c r="D195" s="2" t="s">
        <v>865</v>
      </c>
      <c r="E195" s="2" t="s">
        <v>869</v>
      </c>
      <c r="F195" s="2" t="s">
        <v>864</v>
      </c>
      <c r="G195" s="3">
        <v>29371</v>
      </c>
      <c r="H195" s="3">
        <v>43798</v>
      </c>
      <c r="I195" s="2">
        <v>39</v>
      </c>
      <c r="J195" s="2">
        <v>3</v>
      </c>
      <c r="K195" s="2" t="s">
        <v>861</v>
      </c>
      <c r="L195" s="2" t="s">
        <v>856</v>
      </c>
      <c r="M195" s="2">
        <v>5</v>
      </c>
      <c r="N195">
        <v>13.66</v>
      </c>
      <c r="O195">
        <v>20.75</v>
      </c>
      <c r="P195" s="1" t="s">
        <v>96</v>
      </c>
      <c r="Q195">
        <v>97.16</v>
      </c>
      <c r="R195" s="1" t="s">
        <v>96</v>
      </c>
      <c r="S195">
        <v>2.12</v>
      </c>
      <c r="T195" t="s">
        <v>133</v>
      </c>
      <c r="U195" s="1">
        <v>596.04999999999995</v>
      </c>
      <c r="V195">
        <v>298.61</v>
      </c>
      <c r="W195" t="s">
        <v>133</v>
      </c>
      <c r="X195">
        <v>27.63</v>
      </c>
      <c r="Y195" s="1" t="s">
        <v>96</v>
      </c>
      <c r="Z195" t="s">
        <v>133</v>
      </c>
      <c r="AA195">
        <v>2.94</v>
      </c>
      <c r="AB195">
        <v>303.70999999999998</v>
      </c>
      <c r="AC195">
        <v>996.11</v>
      </c>
      <c r="AD195">
        <v>13.65</v>
      </c>
      <c r="AE195">
        <v>270.95</v>
      </c>
      <c r="AF195" t="s">
        <v>96</v>
      </c>
      <c r="AG195" s="1" t="s">
        <v>96</v>
      </c>
      <c r="AH195">
        <v>101.89</v>
      </c>
      <c r="AI195" t="s">
        <v>96</v>
      </c>
      <c r="AJ195" s="1" t="s">
        <v>96</v>
      </c>
      <c r="AK195">
        <v>81.12</v>
      </c>
      <c r="AL195">
        <v>10.09</v>
      </c>
      <c r="AM195" t="s">
        <v>96</v>
      </c>
      <c r="AN195" s="1" t="s">
        <v>96</v>
      </c>
      <c r="AO195">
        <v>50.08</v>
      </c>
      <c r="AP195" t="s">
        <v>96</v>
      </c>
    </row>
    <row r="196" spans="1:42" ht="15.75">
      <c r="A196" t="s">
        <v>832</v>
      </c>
      <c r="B196" s="2" t="s">
        <v>832</v>
      </c>
      <c r="C196" s="2" t="str">
        <f t="shared" si="3"/>
        <v>TRUE</v>
      </c>
      <c r="D196" s="2" t="s">
        <v>865</v>
      </c>
      <c r="E196" s="2" t="s">
        <v>866</v>
      </c>
      <c r="F196" s="2" t="s">
        <v>864</v>
      </c>
      <c r="G196" s="3">
        <v>33023</v>
      </c>
      <c r="H196" s="3">
        <v>43798</v>
      </c>
      <c r="I196" s="2">
        <v>29</v>
      </c>
      <c r="J196" s="2">
        <v>2</v>
      </c>
      <c r="K196" s="2" t="s">
        <v>857</v>
      </c>
      <c r="L196" s="2" t="s">
        <v>856</v>
      </c>
      <c r="M196" s="2">
        <v>3</v>
      </c>
      <c r="N196">
        <v>11.27</v>
      </c>
      <c r="O196">
        <v>12.74</v>
      </c>
      <c r="P196" s="1">
        <v>9.0299999999999994</v>
      </c>
      <c r="Q196" t="s">
        <v>133</v>
      </c>
      <c r="R196" s="1">
        <v>59.35</v>
      </c>
      <c r="S196">
        <v>752.38</v>
      </c>
      <c r="T196">
        <v>86.84</v>
      </c>
      <c r="U196" s="1">
        <v>704.77</v>
      </c>
      <c r="V196">
        <v>226.34</v>
      </c>
      <c r="W196">
        <v>36.299999999999997</v>
      </c>
      <c r="X196">
        <v>3.71</v>
      </c>
      <c r="Y196" s="1">
        <v>6.51</v>
      </c>
      <c r="Z196">
        <v>759.96</v>
      </c>
      <c r="AA196">
        <v>483.85</v>
      </c>
      <c r="AB196">
        <v>210.89</v>
      </c>
      <c r="AC196">
        <v>265.17</v>
      </c>
      <c r="AD196">
        <v>4.42</v>
      </c>
      <c r="AE196">
        <v>119.82</v>
      </c>
      <c r="AF196">
        <v>129.85</v>
      </c>
      <c r="AG196" s="1">
        <v>3.62</v>
      </c>
      <c r="AH196">
        <v>51.57</v>
      </c>
      <c r="AI196">
        <v>101.9</v>
      </c>
      <c r="AJ196" s="1">
        <v>3.94</v>
      </c>
      <c r="AK196">
        <v>63.55</v>
      </c>
      <c r="AL196">
        <v>17.079999999999998</v>
      </c>
      <c r="AM196">
        <v>302.45</v>
      </c>
      <c r="AN196" s="1">
        <v>66.67</v>
      </c>
      <c r="AO196">
        <v>104.5</v>
      </c>
      <c r="AP196">
        <v>135.08000000000001</v>
      </c>
    </row>
    <row r="197" spans="1:42" ht="15.75">
      <c r="A197" t="s">
        <v>475</v>
      </c>
      <c r="B197" s="2" t="s">
        <v>475</v>
      </c>
      <c r="C197" s="2" t="str">
        <f t="shared" si="3"/>
        <v>TRUE</v>
      </c>
      <c r="D197" s="2" t="s">
        <v>865</v>
      </c>
      <c r="E197" s="2" t="s">
        <v>872</v>
      </c>
      <c r="F197" s="2" t="s">
        <v>860</v>
      </c>
      <c r="G197" s="3">
        <v>18937</v>
      </c>
      <c r="H197" s="3">
        <v>43802</v>
      </c>
      <c r="I197" s="2">
        <v>68</v>
      </c>
      <c r="J197" s="2">
        <v>5</v>
      </c>
      <c r="K197" s="2" t="s">
        <v>857</v>
      </c>
      <c r="L197" s="2">
        <v>2388</v>
      </c>
      <c r="M197" s="2">
        <v>6</v>
      </c>
      <c r="N197">
        <v>8.81</v>
      </c>
      <c r="O197">
        <v>6.42</v>
      </c>
      <c r="P197" s="1">
        <v>17.170000000000002</v>
      </c>
      <c r="Q197">
        <v>114.69</v>
      </c>
      <c r="R197" s="1">
        <v>5.82</v>
      </c>
      <c r="S197">
        <v>402.76</v>
      </c>
      <c r="T197">
        <v>773.9</v>
      </c>
      <c r="U197" s="1">
        <v>45.02</v>
      </c>
      <c r="V197">
        <v>95.18</v>
      </c>
      <c r="W197">
        <v>350</v>
      </c>
      <c r="X197">
        <v>6.95</v>
      </c>
      <c r="Y197" s="1">
        <v>3.49</v>
      </c>
      <c r="Z197">
        <v>1237.01</v>
      </c>
      <c r="AA197">
        <v>401.76</v>
      </c>
      <c r="AB197">
        <v>138.44999999999999</v>
      </c>
      <c r="AC197">
        <v>538.08000000000004</v>
      </c>
      <c r="AD197">
        <v>5.96</v>
      </c>
      <c r="AE197">
        <v>166.92</v>
      </c>
      <c r="AF197">
        <v>38.28</v>
      </c>
      <c r="AG197" s="1" t="s">
        <v>96</v>
      </c>
      <c r="AH197">
        <v>108.45</v>
      </c>
      <c r="AI197">
        <v>18.63</v>
      </c>
      <c r="AJ197" s="1">
        <v>10.02</v>
      </c>
      <c r="AK197">
        <v>89.98</v>
      </c>
      <c r="AL197">
        <v>8.74</v>
      </c>
      <c r="AM197">
        <v>218.73</v>
      </c>
      <c r="AN197" s="1">
        <v>6.95</v>
      </c>
      <c r="AO197">
        <v>68.75</v>
      </c>
      <c r="AP197">
        <v>50.47</v>
      </c>
    </row>
    <row r="198" spans="1:42" ht="15.75">
      <c r="A198" t="s">
        <v>538</v>
      </c>
      <c r="B198" s="2" t="s">
        <v>538</v>
      </c>
      <c r="C198" s="2" t="str">
        <f t="shared" si="3"/>
        <v>TRUE</v>
      </c>
      <c r="D198" s="2" t="s">
        <v>865</v>
      </c>
      <c r="E198" s="2" t="s">
        <v>869</v>
      </c>
      <c r="F198" s="2" t="s">
        <v>864</v>
      </c>
      <c r="G198" s="3">
        <v>29371</v>
      </c>
      <c r="H198" s="3">
        <v>43805</v>
      </c>
      <c r="I198" s="2">
        <v>39</v>
      </c>
      <c r="J198" s="2">
        <v>4</v>
      </c>
      <c r="K198" s="2" t="s">
        <v>861</v>
      </c>
      <c r="L198" s="2" t="s">
        <v>856</v>
      </c>
      <c r="M198" s="2">
        <v>4</v>
      </c>
      <c r="N198">
        <v>16.559999999999999</v>
      </c>
      <c r="O198">
        <v>7.27</v>
      </c>
      <c r="P198" s="1" t="s">
        <v>96</v>
      </c>
      <c r="Q198">
        <v>86.98</v>
      </c>
      <c r="R198" s="1" t="s">
        <v>96</v>
      </c>
      <c r="S198" t="s">
        <v>96</v>
      </c>
      <c r="T198">
        <v>633.52</v>
      </c>
      <c r="U198" s="1">
        <v>61.18</v>
      </c>
      <c r="V198">
        <v>69.709999999999994</v>
      </c>
      <c r="W198">
        <v>172.66</v>
      </c>
      <c r="X198">
        <v>14.65</v>
      </c>
      <c r="Y198" s="1" t="s">
        <v>96</v>
      </c>
      <c r="Z198" t="s">
        <v>133</v>
      </c>
      <c r="AA198">
        <v>3.91</v>
      </c>
      <c r="AB198">
        <v>281.74</v>
      </c>
      <c r="AC198" t="s">
        <v>133</v>
      </c>
      <c r="AD198">
        <v>16.559999999999999</v>
      </c>
      <c r="AE198">
        <v>333.27</v>
      </c>
      <c r="AF198" t="s">
        <v>96</v>
      </c>
      <c r="AG198" s="1" t="s">
        <v>96</v>
      </c>
      <c r="AH198">
        <v>95.37</v>
      </c>
      <c r="AI198" t="s">
        <v>96</v>
      </c>
      <c r="AJ198" s="1" t="s">
        <v>96</v>
      </c>
      <c r="AK198">
        <v>140.44999999999999</v>
      </c>
      <c r="AL198">
        <v>18.98</v>
      </c>
      <c r="AM198" t="s">
        <v>96</v>
      </c>
      <c r="AN198" s="1" t="s">
        <v>96</v>
      </c>
      <c r="AO198">
        <v>55.7</v>
      </c>
      <c r="AP198" t="s">
        <v>96</v>
      </c>
    </row>
    <row r="199" spans="1:42" ht="15.75">
      <c r="A199" t="s">
        <v>841</v>
      </c>
      <c r="B199" s="2" t="s">
        <v>841</v>
      </c>
      <c r="C199" s="2" t="str">
        <f t="shared" si="3"/>
        <v>TRUE</v>
      </c>
      <c r="D199" s="2" t="s">
        <v>865</v>
      </c>
      <c r="E199" s="2" t="s">
        <v>866</v>
      </c>
      <c r="F199" s="2" t="s">
        <v>864</v>
      </c>
      <c r="G199" s="3">
        <v>33023</v>
      </c>
      <c r="H199" s="3">
        <v>43805</v>
      </c>
      <c r="I199" s="2">
        <v>29</v>
      </c>
      <c r="J199" s="2">
        <v>3</v>
      </c>
      <c r="K199" s="2" t="s">
        <v>857</v>
      </c>
      <c r="L199" s="2" t="s">
        <v>856</v>
      </c>
      <c r="M199" s="2">
        <v>6</v>
      </c>
      <c r="N199">
        <v>8.34</v>
      </c>
      <c r="O199">
        <v>2.62</v>
      </c>
      <c r="P199" s="1">
        <v>5.41</v>
      </c>
      <c r="Q199">
        <v>352.53</v>
      </c>
      <c r="R199" s="1">
        <v>30.77</v>
      </c>
      <c r="S199">
        <v>365.56</v>
      </c>
      <c r="T199">
        <v>19.97</v>
      </c>
      <c r="U199" s="1">
        <v>106.57</v>
      </c>
      <c r="V199">
        <v>52.97</v>
      </c>
      <c r="W199">
        <v>13.03</v>
      </c>
      <c r="X199">
        <v>1.84</v>
      </c>
      <c r="Y199" s="1">
        <v>7.52</v>
      </c>
      <c r="Z199">
        <v>403.53</v>
      </c>
      <c r="AA199">
        <v>268.97000000000003</v>
      </c>
      <c r="AB199">
        <v>149.88999999999999</v>
      </c>
      <c r="AC199">
        <v>124.23</v>
      </c>
      <c r="AD199">
        <v>4.58</v>
      </c>
      <c r="AE199">
        <v>42.2</v>
      </c>
      <c r="AF199">
        <v>36.450000000000003</v>
      </c>
      <c r="AG199" s="1" t="s">
        <v>96</v>
      </c>
      <c r="AH199">
        <v>15.27</v>
      </c>
      <c r="AI199">
        <v>53.16</v>
      </c>
      <c r="AJ199" s="1">
        <v>2.98</v>
      </c>
      <c r="AK199">
        <v>65.349999999999994</v>
      </c>
      <c r="AL199">
        <v>11.95</v>
      </c>
      <c r="AM199">
        <v>286.83999999999997</v>
      </c>
      <c r="AN199" s="1">
        <v>35.11</v>
      </c>
      <c r="AO199">
        <v>81.67</v>
      </c>
      <c r="AP199">
        <v>132.91999999999999</v>
      </c>
    </row>
    <row r="200" spans="1:42" ht="15.75">
      <c r="A200" t="s">
        <v>838</v>
      </c>
      <c r="B200" s="2" t="s">
        <v>838</v>
      </c>
      <c r="C200" s="2" t="str">
        <f t="shared" si="3"/>
        <v>TRUE</v>
      </c>
      <c r="D200" s="2" t="s">
        <v>865</v>
      </c>
      <c r="E200" s="2" t="s">
        <v>866</v>
      </c>
      <c r="F200" s="2" t="s">
        <v>864</v>
      </c>
      <c r="G200" s="3">
        <v>33023</v>
      </c>
      <c r="H200" s="3">
        <v>43812</v>
      </c>
      <c r="I200" s="2">
        <v>29</v>
      </c>
      <c r="J200" s="2">
        <v>4</v>
      </c>
      <c r="K200" s="2" t="s">
        <v>857</v>
      </c>
      <c r="L200" s="2" t="s">
        <v>856</v>
      </c>
      <c r="M200" s="2">
        <v>6</v>
      </c>
      <c r="N200">
        <v>9.86</v>
      </c>
      <c r="O200">
        <v>12.24</v>
      </c>
      <c r="P200" s="1">
        <v>7.98</v>
      </c>
      <c r="Q200">
        <v>609.62</v>
      </c>
      <c r="R200" s="1">
        <v>32.83</v>
      </c>
      <c r="S200">
        <v>529.19000000000005</v>
      </c>
      <c r="T200">
        <v>64.290000000000006</v>
      </c>
      <c r="U200" s="1">
        <v>825.35</v>
      </c>
      <c r="V200">
        <v>164.48</v>
      </c>
      <c r="W200">
        <v>10.89</v>
      </c>
      <c r="X200">
        <v>4.62</v>
      </c>
      <c r="Y200" s="1">
        <v>3.62</v>
      </c>
      <c r="Z200">
        <v>124</v>
      </c>
      <c r="AA200">
        <v>149.04</v>
      </c>
      <c r="AB200">
        <v>69</v>
      </c>
      <c r="AC200">
        <v>20.91</v>
      </c>
      <c r="AD200">
        <v>3.26</v>
      </c>
      <c r="AE200">
        <v>19.91</v>
      </c>
      <c r="AF200">
        <v>26.26</v>
      </c>
      <c r="AG200" s="1">
        <v>2.67</v>
      </c>
      <c r="AH200">
        <v>4.08</v>
      </c>
      <c r="AI200">
        <v>131.07</v>
      </c>
      <c r="AJ200" s="1">
        <v>5.77</v>
      </c>
      <c r="AK200">
        <v>54.17</v>
      </c>
      <c r="AL200">
        <v>14.2</v>
      </c>
      <c r="AM200">
        <v>315.74</v>
      </c>
      <c r="AN200" s="1">
        <v>48.21</v>
      </c>
      <c r="AO200">
        <v>95.37</v>
      </c>
      <c r="AP200">
        <v>123.85</v>
      </c>
    </row>
    <row r="201" spans="1:42" ht="15.75">
      <c r="A201" t="s">
        <v>682</v>
      </c>
      <c r="B201" s="2" t="s">
        <v>682</v>
      </c>
      <c r="C201" s="2" t="str">
        <f t="shared" si="3"/>
        <v>TRUE</v>
      </c>
      <c r="D201" s="2" t="s">
        <v>865</v>
      </c>
      <c r="E201" s="2" t="s">
        <v>869</v>
      </c>
      <c r="F201" s="2" t="s">
        <v>860</v>
      </c>
      <c r="G201" s="3">
        <v>31009</v>
      </c>
      <c r="H201" s="3">
        <v>43812</v>
      </c>
      <c r="I201" s="2">
        <v>35</v>
      </c>
      <c r="J201" s="2">
        <v>5</v>
      </c>
      <c r="K201" s="2" t="s">
        <v>857</v>
      </c>
      <c r="L201" s="2">
        <v>545</v>
      </c>
      <c r="M201" s="2">
        <v>4</v>
      </c>
      <c r="N201">
        <v>28.22</v>
      </c>
      <c r="O201">
        <v>3.48</v>
      </c>
      <c r="P201" s="1">
        <v>2.58</v>
      </c>
      <c r="Q201">
        <v>38.83</v>
      </c>
      <c r="R201" s="1">
        <v>11.14</v>
      </c>
      <c r="S201">
        <v>128.66</v>
      </c>
      <c r="T201">
        <v>60.96</v>
      </c>
      <c r="U201" s="1">
        <v>49.65</v>
      </c>
      <c r="V201">
        <v>12.58</v>
      </c>
      <c r="W201">
        <v>19.670000000000002</v>
      </c>
      <c r="X201">
        <v>4.17</v>
      </c>
      <c r="Y201" s="1">
        <v>7.02</v>
      </c>
      <c r="Z201">
        <v>1163.4100000000001</v>
      </c>
      <c r="AA201">
        <v>265.83999999999997</v>
      </c>
      <c r="AB201">
        <v>26.64</v>
      </c>
      <c r="AC201">
        <v>226.6</v>
      </c>
      <c r="AD201">
        <v>28.47</v>
      </c>
      <c r="AE201">
        <v>156.97999999999999</v>
      </c>
      <c r="AF201">
        <v>49.23</v>
      </c>
      <c r="AG201" s="1">
        <v>3.17</v>
      </c>
      <c r="AH201">
        <v>47.4</v>
      </c>
      <c r="AI201">
        <v>101.06</v>
      </c>
      <c r="AJ201" s="1">
        <v>2.74</v>
      </c>
      <c r="AK201">
        <v>103.92</v>
      </c>
      <c r="AL201">
        <v>19.7</v>
      </c>
      <c r="AM201">
        <v>511.99</v>
      </c>
      <c r="AN201" s="1">
        <v>21.47</v>
      </c>
      <c r="AO201">
        <v>7.88</v>
      </c>
      <c r="AP201">
        <v>71.25</v>
      </c>
    </row>
    <row r="202" spans="1:42" ht="15.75">
      <c r="A202" t="s">
        <v>541</v>
      </c>
      <c r="B202" s="2" t="s">
        <v>541</v>
      </c>
      <c r="C202" s="2" t="str">
        <f t="shared" si="3"/>
        <v>TRUE</v>
      </c>
      <c r="D202" s="2" t="s">
        <v>865</v>
      </c>
      <c r="E202" s="2" t="s">
        <v>869</v>
      </c>
      <c r="F202" s="2" t="s">
        <v>864</v>
      </c>
      <c r="G202" s="3">
        <v>29371</v>
      </c>
      <c r="H202" s="3">
        <v>43812</v>
      </c>
      <c r="I202" s="2">
        <v>39</v>
      </c>
      <c r="J202" s="2">
        <v>5</v>
      </c>
      <c r="K202" s="2" t="s">
        <v>861</v>
      </c>
      <c r="L202" s="2">
        <v>45</v>
      </c>
      <c r="M202" s="2">
        <v>2</v>
      </c>
      <c r="N202">
        <v>20.49</v>
      </c>
      <c r="O202">
        <v>2.71</v>
      </c>
      <c r="P202" s="1" t="s">
        <v>96</v>
      </c>
      <c r="Q202">
        <v>23.09</v>
      </c>
      <c r="R202" s="1" t="s">
        <v>96</v>
      </c>
      <c r="S202" t="s">
        <v>96</v>
      </c>
      <c r="T202">
        <v>271.33</v>
      </c>
      <c r="U202" s="1">
        <v>42.85</v>
      </c>
      <c r="V202">
        <v>41.83</v>
      </c>
      <c r="W202">
        <v>113.65</v>
      </c>
      <c r="X202">
        <v>19.84</v>
      </c>
      <c r="Y202" s="1" t="s">
        <v>96</v>
      </c>
      <c r="Z202" t="s">
        <v>133</v>
      </c>
      <c r="AA202">
        <v>2.71</v>
      </c>
      <c r="AB202">
        <v>295.70999999999998</v>
      </c>
      <c r="AC202" t="s">
        <v>133</v>
      </c>
      <c r="AD202">
        <v>34.94</v>
      </c>
      <c r="AE202">
        <v>488.9</v>
      </c>
      <c r="AF202" t="s">
        <v>96</v>
      </c>
      <c r="AG202" s="1" t="s">
        <v>96</v>
      </c>
      <c r="AH202">
        <v>175.68</v>
      </c>
      <c r="AI202" t="s">
        <v>96</v>
      </c>
      <c r="AJ202" s="1" t="s">
        <v>96</v>
      </c>
      <c r="AK202">
        <v>190.34</v>
      </c>
      <c r="AL202">
        <v>42.11</v>
      </c>
      <c r="AM202" t="s">
        <v>96</v>
      </c>
      <c r="AN202" s="1" t="s">
        <v>96</v>
      </c>
      <c r="AO202">
        <v>70.45</v>
      </c>
      <c r="AP202" t="s">
        <v>96</v>
      </c>
    </row>
    <row r="203" spans="1:42" ht="15.75">
      <c r="A203" t="s">
        <v>835</v>
      </c>
      <c r="B203" s="2" t="s">
        <v>835</v>
      </c>
      <c r="C203" s="2" t="str">
        <f t="shared" si="3"/>
        <v>TRUE</v>
      </c>
      <c r="D203" s="2" t="s">
        <v>865</v>
      </c>
      <c r="E203" s="2" t="s">
        <v>866</v>
      </c>
      <c r="F203" s="2" t="s">
        <v>864</v>
      </c>
      <c r="G203" s="3">
        <v>33023</v>
      </c>
      <c r="H203" s="3">
        <v>43817</v>
      </c>
      <c r="I203" s="2">
        <v>29</v>
      </c>
      <c r="J203" s="2">
        <v>5</v>
      </c>
      <c r="K203" s="2" t="s">
        <v>857</v>
      </c>
      <c r="L203" s="2">
        <v>368</v>
      </c>
      <c r="M203" s="2">
        <v>7</v>
      </c>
      <c r="N203">
        <v>11.85</v>
      </c>
      <c r="O203">
        <v>1.39</v>
      </c>
      <c r="P203" s="1">
        <v>1.71</v>
      </c>
      <c r="Q203">
        <v>191.04</v>
      </c>
      <c r="R203" s="1">
        <v>5.28</v>
      </c>
      <c r="S203">
        <v>192.96</v>
      </c>
      <c r="T203">
        <v>27.03</v>
      </c>
      <c r="U203" s="1">
        <v>179.03</v>
      </c>
      <c r="V203">
        <v>41.83</v>
      </c>
      <c r="W203">
        <v>30.13</v>
      </c>
      <c r="X203">
        <v>1.62</v>
      </c>
      <c r="Y203" s="1">
        <v>2.57</v>
      </c>
      <c r="Z203">
        <v>1308.0899999999999</v>
      </c>
      <c r="AA203">
        <v>613.74</v>
      </c>
      <c r="AB203">
        <v>349.25</v>
      </c>
      <c r="AC203">
        <v>475.05</v>
      </c>
      <c r="AD203">
        <v>9.64</v>
      </c>
      <c r="AE203">
        <v>202.04</v>
      </c>
      <c r="AF203">
        <v>121.84</v>
      </c>
      <c r="AG203" s="1">
        <v>6.24</v>
      </c>
      <c r="AH203">
        <v>72.3</v>
      </c>
      <c r="AI203">
        <v>32.07</v>
      </c>
      <c r="AJ203" s="1" t="s">
        <v>96</v>
      </c>
      <c r="AK203">
        <v>107.44</v>
      </c>
      <c r="AL203">
        <v>23.98</v>
      </c>
      <c r="AM203">
        <v>145.28</v>
      </c>
      <c r="AN203" s="1">
        <v>50</v>
      </c>
      <c r="AO203">
        <v>139.56</v>
      </c>
      <c r="AP203">
        <v>142.02000000000001</v>
      </c>
    </row>
    <row r="204" spans="1:42" ht="15.75">
      <c r="A204" t="s">
        <v>547</v>
      </c>
      <c r="B204" s="2" t="s">
        <v>547</v>
      </c>
      <c r="C204" s="2" t="str">
        <f t="shared" si="3"/>
        <v>TRUE</v>
      </c>
      <c r="D204" s="2" t="s">
        <v>865</v>
      </c>
      <c r="E204" s="2" t="s">
        <v>869</v>
      </c>
      <c r="F204" s="2" t="s">
        <v>864</v>
      </c>
      <c r="G204" s="3">
        <v>29371</v>
      </c>
      <c r="H204" s="3">
        <v>43840</v>
      </c>
      <c r="I204" s="2">
        <v>39</v>
      </c>
      <c r="J204" s="2">
        <v>6</v>
      </c>
      <c r="K204" s="2" t="s">
        <v>861</v>
      </c>
      <c r="L204" s="2">
        <v>29</v>
      </c>
      <c r="M204" s="2">
        <v>2</v>
      </c>
      <c r="N204">
        <v>24.91</v>
      </c>
      <c r="O204">
        <v>3.84</v>
      </c>
      <c r="P204" s="1" t="s">
        <v>96</v>
      </c>
      <c r="Q204">
        <v>108.83</v>
      </c>
      <c r="R204" s="1" t="s">
        <v>96</v>
      </c>
      <c r="S204">
        <v>1.33</v>
      </c>
      <c r="T204">
        <v>316.89999999999998</v>
      </c>
      <c r="U204" s="1" t="s">
        <v>96</v>
      </c>
      <c r="V204">
        <v>49.2</v>
      </c>
      <c r="W204">
        <v>77.099999999999994</v>
      </c>
      <c r="X204">
        <v>22.68</v>
      </c>
      <c r="Y204" s="1" t="s">
        <v>96</v>
      </c>
      <c r="Z204" t="s">
        <v>133</v>
      </c>
      <c r="AA204" t="s">
        <v>96</v>
      </c>
      <c r="AB204">
        <v>163.75</v>
      </c>
      <c r="AC204">
        <v>430.22</v>
      </c>
      <c r="AD204">
        <v>28.19</v>
      </c>
      <c r="AE204">
        <v>290.42</v>
      </c>
      <c r="AF204" t="s">
        <v>96</v>
      </c>
      <c r="AG204" s="1" t="s">
        <v>96</v>
      </c>
      <c r="AH204">
        <v>47.58</v>
      </c>
      <c r="AI204" t="s">
        <v>96</v>
      </c>
      <c r="AJ204" s="1" t="s">
        <v>96</v>
      </c>
      <c r="AK204">
        <v>242.52</v>
      </c>
      <c r="AL204">
        <v>57.99</v>
      </c>
      <c r="AM204">
        <v>8.2799999999999994</v>
      </c>
      <c r="AN204" s="1" t="s">
        <v>96</v>
      </c>
      <c r="AO204">
        <v>33.47</v>
      </c>
      <c r="AP204" t="s">
        <v>96</v>
      </c>
    </row>
    <row r="205" spans="1:42" ht="15.75">
      <c r="A205" t="s">
        <v>850</v>
      </c>
      <c r="B205" s="2" t="s">
        <v>850</v>
      </c>
      <c r="C205" s="2" t="str">
        <f t="shared" si="3"/>
        <v>TRUE</v>
      </c>
      <c r="D205" s="2" t="s">
        <v>865</v>
      </c>
      <c r="E205" s="2" t="s">
        <v>866</v>
      </c>
      <c r="F205" s="2" t="s">
        <v>864</v>
      </c>
      <c r="G205" s="3">
        <v>33023</v>
      </c>
      <c r="H205" s="3">
        <v>43847</v>
      </c>
      <c r="I205" s="2">
        <v>29</v>
      </c>
      <c r="J205" s="2">
        <v>6</v>
      </c>
      <c r="K205" s="2" t="s">
        <v>857</v>
      </c>
      <c r="L205" s="2">
        <v>426</v>
      </c>
      <c r="M205" s="2">
        <v>3</v>
      </c>
      <c r="N205">
        <v>10.06</v>
      </c>
      <c r="O205">
        <v>3.06</v>
      </c>
      <c r="P205" s="1">
        <v>3.97</v>
      </c>
      <c r="Q205">
        <v>348.39</v>
      </c>
      <c r="R205" s="1">
        <v>13.6</v>
      </c>
      <c r="S205">
        <v>302.97000000000003</v>
      </c>
      <c r="T205">
        <v>18.989999999999998</v>
      </c>
      <c r="U205" s="1">
        <v>461.96</v>
      </c>
      <c r="V205">
        <v>68.400000000000006</v>
      </c>
      <c r="W205">
        <v>23.11</v>
      </c>
      <c r="X205">
        <v>3.31</v>
      </c>
      <c r="Y205" s="1">
        <v>6.4</v>
      </c>
      <c r="Z205">
        <v>865.28</v>
      </c>
      <c r="AA205">
        <v>706.71</v>
      </c>
      <c r="AB205">
        <v>324.86</v>
      </c>
      <c r="AC205">
        <v>358.49</v>
      </c>
      <c r="AD205">
        <v>7.56</v>
      </c>
      <c r="AE205">
        <v>178.61</v>
      </c>
      <c r="AF205">
        <v>185.82</v>
      </c>
      <c r="AG205" s="1">
        <v>3.86</v>
      </c>
      <c r="AH205">
        <v>82.52</v>
      </c>
      <c r="AI205">
        <v>58.79</v>
      </c>
      <c r="AJ205" s="1">
        <v>3.5</v>
      </c>
      <c r="AK205">
        <v>29.03</v>
      </c>
      <c r="AL205">
        <v>8.5299999999999994</v>
      </c>
      <c r="AM205">
        <v>156.33000000000001</v>
      </c>
      <c r="AN205" s="1">
        <v>32.619999999999997</v>
      </c>
      <c r="AO205">
        <v>54.9</v>
      </c>
      <c r="AP205">
        <v>59.29</v>
      </c>
    </row>
    <row r="206" spans="1:42" ht="15.75">
      <c r="A206" t="s">
        <v>601</v>
      </c>
      <c r="B206" s="2" t="s">
        <v>601</v>
      </c>
      <c r="C206" s="2" t="str">
        <f t="shared" si="3"/>
        <v>TRUE</v>
      </c>
      <c r="D206" s="2" t="s">
        <v>858</v>
      </c>
      <c r="E206" s="2" t="s">
        <v>863</v>
      </c>
      <c r="F206" s="2" t="s">
        <v>864</v>
      </c>
      <c r="G206" s="3">
        <v>29354</v>
      </c>
      <c r="H206" s="3">
        <v>43868</v>
      </c>
      <c r="I206" s="2">
        <v>39</v>
      </c>
      <c r="J206" s="2">
        <v>1</v>
      </c>
      <c r="K206" s="2" t="s">
        <v>857</v>
      </c>
      <c r="L206" s="2">
        <v>11611</v>
      </c>
      <c r="M206" s="2">
        <v>10</v>
      </c>
      <c r="N206">
        <v>10.9</v>
      </c>
      <c r="O206">
        <v>27.41</v>
      </c>
      <c r="P206" s="1">
        <v>12.96</v>
      </c>
      <c r="Q206">
        <v>264.91000000000003</v>
      </c>
      <c r="R206" s="1">
        <v>63.77</v>
      </c>
      <c r="S206">
        <v>580.25</v>
      </c>
      <c r="T206">
        <v>416.61</v>
      </c>
      <c r="U206" s="1">
        <v>127.68</v>
      </c>
      <c r="V206">
        <v>43.34</v>
      </c>
      <c r="W206">
        <v>37.58</v>
      </c>
      <c r="X206">
        <v>3.81</v>
      </c>
      <c r="Y206" s="1">
        <v>10.35</v>
      </c>
      <c r="Z206">
        <v>1326.33</v>
      </c>
      <c r="AA206">
        <v>714.22</v>
      </c>
      <c r="AB206">
        <v>70.84</v>
      </c>
      <c r="AC206">
        <v>784.19</v>
      </c>
      <c r="AD206">
        <v>11.17</v>
      </c>
      <c r="AE206">
        <v>536.25</v>
      </c>
      <c r="AF206">
        <v>405.13</v>
      </c>
      <c r="AG206" s="1">
        <v>3.97</v>
      </c>
      <c r="AH206">
        <v>565.20000000000005</v>
      </c>
      <c r="AI206">
        <v>257.85000000000002</v>
      </c>
      <c r="AJ206" s="1">
        <v>2.56</v>
      </c>
      <c r="AK206">
        <v>110.36</v>
      </c>
      <c r="AL206">
        <v>49.1</v>
      </c>
      <c r="AM206">
        <v>260.13</v>
      </c>
      <c r="AN206" s="1">
        <v>85.76</v>
      </c>
      <c r="AO206">
        <v>21.48</v>
      </c>
      <c r="AP206">
        <v>122.95</v>
      </c>
    </row>
    <row r="207" spans="1:42" ht="15.75">
      <c r="A207" t="s">
        <v>604</v>
      </c>
      <c r="B207" s="2" t="s">
        <v>604</v>
      </c>
      <c r="C207" s="2" t="str">
        <f t="shared" si="3"/>
        <v>TRUE</v>
      </c>
      <c r="D207" s="2" t="s">
        <v>858</v>
      </c>
      <c r="E207" s="2" t="s">
        <v>863</v>
      </c>
      <c r="F207" s="2" t="s">
        <v>864</v>
      </c>
      <c r="G207" s="3">
        <v>29354</v>
      </c>
      <c r="H207" s="3">
        <v>43875</v>
      </c>
      <c r="I207" s="2">
        <v>39</v>
      </c>
      <c r="J207" s="2">
        <v>2</v>
      </c>
      <c r="K207" s="2" t="s">
        <v>857</v>
      </c>
      <c r="L207" s="2" t="s">
        <v>856</v>
      </c>
      <c r="M207" s="2">
        <v>10</v>
      </c>
      <c r="N207">
        <v>9.4600000000000009</v>
      </c>
      <c r="O207">
        <v>3.58</v>
      </c>
      <c r="P207" s="1">
        <v>9.2200000000000006</v>
      </c>
      <c r="Q207">
        <v>112.5</v>
      </c>
      <c r="R207" s="1">
        <v>22.11</v>
      </c>
      <c r="S207">
        <v>341.6</v>
      </c>
      <c r="T207">
        <v>68.92</v>
      </c>
      <c r="U207" s="1" t="s">
        <v>96</v>
      </c>
      <c r="V207">
        <v>30.18</v>
      </c>
      <c r="W207">
        <v>28.74</v>
      </c>
      <c r="X207">
        <v>2.98</v>
      </c>
      <c r="Y207" s="1">
        <v>3.36</v>
      </c>
      <c r="Z207">
        <v>362.35</v>
      </c>
      <c r="AA207">
        <v>213.79</v>
      </c>
      <c r="AB207">
        <v>31.35</v>
      </c>
      <c r="AC207">
        <v>68.95</v>
      </c>
      <c r="AD207">
        <v>4.03</v>
      </c>
      <c r="AE207">
        <v>64.72</v>
      </c>
      <c r="AF207">
        <v>59.34</v>
      </c>
      <c r="AG207" s="1" t="s">
        <v>96</v>
      </c>
      <c r="AH207">
        <v>29.49</v>
      </c>
      <c r="AI207">
        <v>239.76</v>
      </c>
      <c r="AJ207" s="1" t="s">
        <v>96</v>
      </c>
      <c r="AK207">
        <v>62.98</v>
      </c>
      <c r="AL207">
        <v>15.15</v>
      </c>
      <c r="AM207">
        <v>284.77999999999997</v>
      </c>
      <c r="AN207" s="1">
        <v>27.26</v>
      </c>
      <c r="AO207">
        <v>16.899999999999999</v>
      </c>
      <c r="AP207">
        <v>50.57</v>
      </c>
    </row>
    <row r="208" spans="1:42" ht="15.75">
      <c r="A208" t="s">
        <v>847</v>
      </c>
      <c r="B208" s="2" t="s">
        <v>847</v>
      </c>
      <c r="C208" s="2" t="str">
        <f t="shared" si="3"/>
        <v>TRUE</v>
      </c>
      <c r="D208" s="2" t="s">
        <v>865</v>
      </c>
      <c r="E208" s="2" t="s">
        <v>866</v>
      </c>
      <c r="F208" s="2" t="s">
        <v>864</v>
      </c>
      <c r="G208" s="3">
        <v>33023</v>
      </c>
      <c r="H208" s="3">
        <v>43875</v>
      </c>
      <c r="I208" s="2">
        <v>29</v>
      </c>
      <c r="J208" s="2">
        <v>7</v>
      </c>
      <c r="K208" s="2" t="s">
        <v>857</v>
      </c>
      <c r="L208" s="2">
        <v>391</v>
      </c>
      <c r="M208" s="2">
        <v>2</v>
      </c>
      <c r="N208">
        <v>12.48</v>
      </c>
      <c r="O208">
        <v>4.42</v>
      </c>
      <c r="P208" s="1">
        <v>3.15</v>
      </c>
      <c r="Q208">
        <v>301.16000000000003</v>
      </c>
      <c r="R208" s="1">
        <v>22.9</v>
      </c>
      <c r="S208">
        <v>338.5</v>
      </c>
      <c r="T208">
        <v>31.74</v>
      </c>
      <c r="U208" s="1">
        <v>37.89</v>
      </c>
      <c r="V208">
        <v>86.67</v>
      </c>
      <c r="W208">
        <v>11.68</v>
      </c>
      <c r="X208">
        <v>5.22</v>
      </c>
      <c r="Y208" s="1">
        <v>15.85</v>
      </c>
      <c r="Z208">
        <v>890.67</v>
      </c>
      <c r="AA208">
        <v>513.73</v>
      </c>
      <c r="AB208">
        <v>325.99</v>
      </c>
      <c r="AC208">
        <v>189.2</v>
      </c>
      <c r="AD208">
        <v>11.52</v>
      </c>
      <c r="AE208">
        <v>150</v>
      </c>
      <c r="AF208">
        <v>124.33</v>
      </c>
      <c r="AG208" s="1">
        <v>9.74</v>
      </c>
      <c r="AH208">
        <v>40.909999999999997</v>
      </c>
      <c r="AI208">
        <v>240.99</v>
      </c>
      <c r="AJ208" s="1">
        <v>9.74</v>
      </c>
      <c r="AK208">
        <v>65.3</v>
      </c>
      <c r="AL208">
        <v>15.55</v>
      </c>
      <c r="AM208">
        <v>907.15</v>
      </c>
      <c r="AN208" s="1">
        <v>52.27</v>
      </c>
      <c r="AO208">
        <v>119.29</v>
      </c>
      <c r="AP208">
        <v>133.22</v>
      </c>
    </row>
    <row r="209" spans="1:42" ht="15.75">
      <c r="A209" t="s">
        <v>607</v>
      </c>
      <c r="B209" s="2" t="s">
        <v>607</v>
      </c>
      <c r="C209" s="2" t="str">
        <f t="shared" si="3"/>
        <v>TRUE</v>
      </c>
      <c r="D209" s="2" t="s">
        <v>858</v>
      </c>
      <c r="E209" s="2" t="s">
        <v>863</v>
      </c>
      <c r="F209" s="2" t="s">
        <v>864</v>
      </c>
      <c r="G209" s="3">
        <v>29354</v>
      </c>
      <c r="H209" s="3">
        <v>43882</v>
      </c>
      <c r="I209" s="2">
        <v>39</v>
      </c>
      <c r="J209" s="2">
        <v>3</v>
      </c>
      <c r="K209" s="2" t="s">
        <v>857</v>
      </c>
      <c r="L209" s="2" t="s">
        <v>856</v>
      </c>
      <c r="M209" s="2">
        <v>6</v>
      </c>
      <c r="N209">
        <v>9.51</v>
      </c>
      <c r="O209">
        <v>7.53</v>
      </c>
      <c r="P209" s="1">
        <v>7.72</v>
      </c>
      <c r="Q209">
        <v>240.13</v>
      </c>
      <c r="R209" s="1">
        <v>19.34</v>
      </c>
      <c r="S209">
        <v>306.32</v>
      </c>
      <c r="T209">
        <v>124.96</v>
      </c>
      <c r="U209" s="1" t="s">
        <v>96</v>
      </c>
      <c r="V209">
        <v>51.43</v>
      </c>
      <c r="W209">
        <v>29.72</v>
      </c>
      <c r="X209">
        <v>2.73</v>
      </c>
      <c r="Y209" s="1">
        <v>7.52</v>
      </c>
      <c r="Z209">
        <v>859.73</v>
      </c>
      <c r="AA209">
        <v>312.89</v>
      </c>
      <c r="AB209">
        <v>95.07</v>
      </c>
      <c r="AC209">
        <v>242.93</v>
      </c>
      <c r="AD209">
        <v>7.82</v>
      </c>
      <c r="AE209">
        <v>173.55</v>
      </c>
      <c r="AF209">
        <v>97.21</v>
      </c>
      <c r="AG209" s="1" t="s">
        <v>96</v>
      </c>
      <c r="AH209">
        <v>86.47</v>
      </c>
      <c r="AI209">
        <v>48.79</v>
      </c>
      <c r="AJ209" s="1" t="s">
        <v>96</v>
      </c>
      <c r="AK209">
        <v>64.290000000000006</v>
      </c>
      <c r="AL209">
        <v>21.92</v>
      </c>
      <c r="AM209">
        <v>106</v>
      </c>
      <c r="AN209" s="1">
        <v>27.23</v>
      </c>
      <c r="AO209">
        <v>23.32</v>
      </c>
      <c r="AP209">
        <v>53.82</v>
      </c>
    </row>
    <row r="210" spans="1:42" ht="15.75">
      <c r="A210" t="s">
        <v>814</v>
      </c>
      <c r="B210" s="2" t="s">
        <v>814</v>
      </c>
      <c r="C210" s="2" t="str">
        <f t="shared" si="3"/>
        <v>TRUE</v>
      </c>
      <c r="D210" s="2" t="s">
        <v>865</v>
      </c>
      <c r="E210" s="2" t="s">
        <v>873</v>
      </c>
      <c r="F210" s="2" t="s">
        <v>860</v>
      </c>
      <c r="G210" s="3">
        <v>26203</v>
      </c>
      <c r="H210" s="3">
        <v>43885</v>
      </c>
      <c r="I210" s="2">
        <v>48</v>
      </c>
      <c r="J210" s="2">
        <v>1</v>
      </c>
      <c r="K210" s="2" t="s">
        <v>861</v>
      </c>
      <c r="L210" s="2">
        <v>247</v>
      </c>
      <c r="M210" s="2">
        <v>6</v>
      </c>
      <c r="N210">
        <v>11.95</v>
      </c>
      <c r="O210">
        <v>9.5299999999999994</v>
      </c>
      <c r="P210" s="1">
        <v>38.53</v>
      </c>
      <c r="Q210">
        <v>233.6</v>
      </c>
      <c r="R210" s="1">
        <v>115.86</v>
      </c>
      <c r="S210" t="s">
        <v>133</v>
      </c>
      <c r="T210">
        <v>135.32</v>
      </c>
      <c r="U210" s="1">
        <v>62.5</v>
      </c>
      <c r="V210">
        <v>57.89</v>
      </c>
      <c r="W210">
        <v>23.05</v>
      </c>
      <c r="X210">
        <v>4.24</v>
      </c>
      <c r="Y210" s="1">
        <v>43.64</v>
      </c>
      <c r="Z210">
        <v>1590.55</v>
      </c>
      <c r="AA210">
        <v>1319.33</v>
      </c>
      <c r="AB210">
        <v>120.9</v>
      </c>
      <c r="AC210">
        <v>415.94</v>
      </c>
      <c r="AD210">
        <v>15.11</v>
      </c>
      <c r="AE210">
        <v>387.72</v>
      </c>
      <c r="AF210">
        <v>436.27</v>
      </c>
      <c r="AG210" s="1">
        <v>17.13</v>
      </c>
      <c r="AH210">
        <v>145.91999999999999</v>
      </c>
      <c r="AI210">
        <v>455.9</v>
      </c>
      <c r="AJ210" s="1">
        <v>8.66</v>
      </c>
      <c r="AK210">
        <v>63.57</v>
      </c>
      <c r="AL210">
        <v>19.72</v>
      </c>
      <c r="AM210">
        <v>1125.74</v>
      </c>
      <c r="AN210" s="1">
        <v>175.95</v>
      </c>
      <c r="AO210">
        <v>33.58</v>
      </c>
      <c r="AP210">
        <v>261.58999999999997</v>
      </c>
    </row>
    <row r="211" spans="1:42" ht="15.75">
      <c r="A211" t="s">
        <v>598</v>
      </c>
      <c r="B211" s="2" t="s">
        <v>598</v>
      </c>
      <c r="C211" s="2" t="str">
        <f t="shared" si="3"/>
        <v>TRUE</v>
      </c>
      <c r="D211" s="2" t="s">
        <v>858</v>
      </c>
      <c r="E211" s="2" t="s">
        <v>863</v>
      </c>
      <c r="F211" s="2" t="s">
        <v>864</v>
      </c>
      <c r="G211" s="3">
        <v>29354</v>
      </c>
      <c r="H211" s="3">
        <v>43889</v>
      </c>
      <c r="I211" s="2">
        <v>39</v>
      </c>
      <c r="J211" s="2">
        <v>4</v>
      </c>
      <c r="K211" s="2" t="s">
        <v>857</v>
      </c>
      <c r="L211" s="2" t="s">
        <v>856</v>
      </c>
      <c r="M211" s="2">
        <v>8</v>
      </c>
      <c r="N211">
        <v>13.68</v>
      </c>
      <c r="O211">
        <v>6.31</v>
      </c>
      <c r="P211" s="1">
        <v>11.8</v>
      </c>
      <c r="Q211">
        <v>213.01</v>
      </c>
      <c r="R211" s="1">
        <v>29.23</v>
      </c>
      <c r="S211">
        <v>499.75</v>
      </c>
      <c r="T211">
        <v>126.8</v>
      </c>
      <c r="U211" s="1">
        <v>53.1</v>
      </c>
      <c r="V211">
        <v>52.71</v>
      </c>
      <c r="W211">
        <v>29.44</v>
      </c>
      <c r="X211">
        <v>4.91</v>
      </c>
      <c r="Y211" s="1">
        <v>26.35</v>
      </c>
      <c r="Z211" t="s">
        <v>133</v>
      </c>
      <c r="AA211">
        <v>1576.1</v>
      </c>
      <c r="AB211">
        <v>267.51</v>
      </c>
      <c r="AC211" t="s">
        <v>133</v>
      </c>
      <c r="AD211">
        <v>9.91</v>
      </c>
      <c r="AE211">
        <v>1177.3499999999999</v>
      </c>
      <c r="AF211">
        <v>716.92</v>
      </c>
      <c r="AG211" s="1">
        <v>4.66</v>
      </c>
      <c r="AH211">
        <v>694.86</v>
      </c>
      <c r="AI211">
        <v>159.69</v>
      </c>
      <c r="AJ211" s="1">
        <v>3.24</v>
      </c>
      <c r="AK211">
        <v>47.23</v>
      </c>
      <c r="AL211">
        <v>22.52</v>
      </c>
      <c r="AM211">
        <v>368.85</v>
      </c>
      <c r="AN211" s="1">
        <v>40.270000000000003</v>
      </c>
      <c r="AO211">
        <v>28.24</v>
      </c>
      <c r="AP211">
        <v>64.05</v>
      </c>
    </row>
    <row r="212" spans="1:42" ht="15.75">
      <c r="A212" t="s">
        <v>610</v>
      </c>
      <c r="B212" s="2" t="s">
        <v>610</v>
      </c>
      <c r="C212" s="2" t="str">
        <f t="shared" si="3"/>
        <v>TRUE</v>
      </c>
      <c r="D212" s="2" t="s">
        <v>858</v>
      </c>
      <c r="E212" s="2" t="s">
        <v>863</v>
      </c>
      <c r="F212" s="2" t="s">
        <v>864</v>
      </c>
      <c r="G212" s="3">
        <v>29354</v>
      </c>
      <c r="H212" s="3">
        <v>43894</v>
      </c>
      <c r="I212" s="2">
        <v>39</v>
      </c>
      <c r="J212" s="2">
        <v>5</v>
      </c>
      <c r="K212" s="2" t="s">
        <v>857</v>
      </c>
      <c r="L212" s="2">
        <v>4033</v>
      </c>
      <c r="M212" s="2">
        <v>8</v>
      </c>
      <c r="N212">
        <v>12.56</v>
      </c>
      <c r="O212">
        <v>8.9600000000000009</v>
      </c>
      <c r="P212" s="1">
        <v>13.19</v>
      </c>
      <c r="Q212">
        <v>122.08</v>
      </c>
      <c r="R212" s="1">
        <v>18.760000000000002</v>
      </c>
      <c r="S212">
        <v>924.66</v>
      </c>
      <c r="T212">
        <v>885.16</v>
      </c>
      <c r="U212" s="1">
        <v>67.73</v>
      </c>
      <c r="V212">
        <v>78.91</v>
      </c>
      <c r="W212">
        <v>637.77</v>
      </c>
      <c r="X212">
        <v>14.2</v>
      </c>
      <c r="Y212" s="1">
        <v>22.55</v>
      </c>
      <c r="Z212">
        <v>2036.46</v>
      </c>
      <c r="AA212">
        <v>1164.5</v>
      </c>
      <c r="AB212">
        <v>143.78</v>
      </c>
      <c r="AC212">
        <v>703.18</v>
      </c>
      <c r="AD212">
        <v>8.1999999999999993</v>
      </c>
      <c r="AE212">
        <v>687.16</v>
      </c>
      <c r="AF212">
        <v>515.54999999999995</v>
      </c>
      <c r="AG212" s="1">
        <v>3.06</v>
      </c>
      <c r="AH212">
        <v>365.35</v>
      </c>
      <c r="AI212">
        <v>138.04</v>
      </c>
      <c r="AJ212" s="1">
        <v>4.09</v>
      </c>
      <c r="AK212">
        <v>75.77</v>
      </c>
      <c r="AL212">
        <v>28.84</v>
      </c>
      <c r="AM212">
        <v>343.13</v>
      </c>
      <c r="AN212" s="1">
        <v>54.03</v>
      </c>
      <c r="AO212">
        <v>26.59</v>
      </c>
      <c r="AP212">
        <v>85.61</v>
      </c>
    </row>
    <row r="213" spans="1:42" ht="15.75">
      <c r="A213" t="s">
        <v>352</v>
      </c>
      <c r="B213" s="2" t="s">
        <v>352</v>
      </c>
      <c r="C213" s="2" t="str">
        <f t="shared" si="3"/>
        <v>TRUE</v>
      </c>
      <c r="D213" s="2" t="s">
        <v>858</v>
      </c>
      <c r="E213" s="2" t="s">
        <v>863</v>
      </c>
      <c r="F213" s="2" t="s">
        <v>864</v>
      </c>
      <c r="G213" s="3">
        <v>29943</v>
      </c>
      <c r="H213" s="3">
        <v>43865</v>
      </c>
      <c r="I213" s="2">
        <v>38</v>
      </c>
      <c r="J213" s="2">
        <v>2</v>
      </c>
      <c r="K213" s="2" t="s">
        <v>857</v>
      </c>
      <c r="L213" s="2" t="s">
        <v>856</v>
      </c>
      <c r="M213" s="2">
        <v>8</v>
      </c>
      <c r="N213">
        <v>14.8</v>
      </c>
      <c r="O213">
        <v>12.59</v>
      </c>
      <c r="P213" s="1">
        <v>1.98</v>
      </c>
      <c r="Q213">
        <v>296.86</v>
      </c>
      <c r="R213" s="1">
        <v>8.1999999999999993</v>
      </c>
      <c r="S213">
        <v>144.4</v>
      </c>
      <c r="T213">
        <v>179.31</v>
      </c>
      <c r="U213" s="1">
        <v>61.93</v>
      </c>
      <c r="V213">
        <v>106.05</v>
      </c>
      <c r="W213">
        <v>79.849999999999994</v>
      </c>
      <c r="X213">
        <v>9.52</v>
      </c>
      <c r="Y213" s="1" t="s">
        <v>96</v>
      </c>
      <c r="Z213">
        <v>478.41</v>
      </c>
      <c r="AA213">
        <v>113.99</v>
      </c>
      <c r="AB213">
        <v>133.86000000000001</v>
      </c>
      <c r="AC213">
        <v>168.36</v>
      </c>
      <c r="AD213">
        <v>10.65</v>
      </c>
      <c r="AE213">
        <v>53.36</v>
      </c>
      <c r="AF213">
        <v>15.29</v>
      </c>
      <c r="AG213" s="1" t="s">
        <v>96</v>
      </c>
      <c r="AH213">
        <v>21.6</v>
      </c>
      <c r="AI213">
        <v>25.03</v>
      </c>
      <c r="AJ213" s="1">
        <v>2.64</v>
      </c>
      <c r="AK213">
        <v>50.71</v>
      </c>
      <c r="AL213">
        <v>15.19</v>
      </c>
      <c r="AM213">
        <v>100.03</v>
      </c>
      <c r="AN213" s="1">
        <v>12.64</v>
      </c>
      <c r="AO213">
        <v>34.11</v>
      </c>
      <c r="AP213">
        <v>33.130000000000003</v>
      </c>
    </row>
    <row r="214" spans="1:42" ht="15.75">
      <c r="A214" t="s">
        <v>340</v>
      </c>
      <c r="B214" s="2" t="s">
        <v>340</v>
      </c>
      <c r="C214" s="2" t="str">
        <f t="shared" si="3"/>
        <v>TRUE</v>
      </c>
      <c r="D214" s="2" t="s">
        <v>858</v>
      </c>
      <c r="E214" s="2" t="s">
        <v>863</v>
      </c>
      <c r="F214" s="2" t="s">
        <v>864</v>
      </c>
      <c r="G214" s="3">
        <v>29943</v>
      </c>
      <c r="H214" s="3">
        <v>43882</v>
      </c>
      <c r="I214" s="2">
        <v>38</v>
      </c>
      <c r="J214" s="2">
        <v>3</v>
      </c>
      <c r="K214" s="2" t="s">
        <v>857</v>
      </c>
      <c r="L214" s="2" t="s">
        <v>856</v>
      </c>
      <c r="M214" s="2">
        <v>11</v>
      </c>
      <c r="N214">
        <v>16.98</v>
      </c>
      <c r="O214">
        <v>6.48</v>
      </c>
      <c r="P214" s="1">
        <v>1.55</v>
      </c>
      <c r="Q214">
        <v>18.739999999999998</v>
      </c>
      <c r="R214" s="1" t="s">
        <v>96</v>
      </c>
      <c r="S214">
        <v>46.56</v>
      </c>
      <c r="T214">
        <v>116.08</v>
      </c>
      <c r="U214" s="1">
        <v>42.79</v>
      </c>
      <c r="V214">
        <v>13.62</v>
      </c>
      <c r="W214">
        <v>42.54</v>
      </c>
      <c r="X214">
        <v>7.3</v>
      </c>
      <c r="Y214" s="1" t="s">
        <v>96</v>
      </c>
      <c r="Z214">
        <v>1214.82</v>
      </c>
      <c r="AA214">
        <v>249.13</v>
      </c>
      <c r="AB214">
        <v>148.38</v>
      </c>
      <c r="AC214">
        <v>567.84</v>
      </c>
      <c r="AD214">
        <v>42.47</v>
      </c>
      <c r="AE214">
        <v>165.82</v>
      </c>
      <c r="AF214">
        <v>39.5</v>
      </c>
      <c r="AG214" s="1">
        <v>4.1500000000000004</v>
      </c>
      <c r="AH214">
        <v>61.21</v>
      </c>
      <c r="AI214">
        <v>26.88</v>
      </c>
      <c r="AJ214" s="1">
        <v>3.3</v>
      </c>
      <c r="AK214">
        <v>157.77000000000001</v>
      </c>
      <c r="AL214">
        <v>47.64</v>
      </c>
      <c r="AM214">
        <v>194.85</v>
      </c>
      <c r="AN214" s="1">
        <v>19.23</v>
      </c>
      <c r="AO214">
        <v>27.32</v>
      </c>
      <c r="AP214">
        <v>77.77</v>
      </c>
    </row>
    <row r="215" spans="1:42" ht="15.75">
      <c r="A215" t="s">
        <v>343</v>
      </c>
      <c r="B215" s="2" t="s">
        <v>343</v>
      </c>
      <c r="C215" s="2" t="str">
        <f t="shared" si="3"/>
        <v>TRUE</v>
      </c>
      <c r="D215" s="2" t="s">
        <v>858</v>
      </c>
      <c r="E215" s="2" t="s">
        <v>863</v>
      </c>
      <c r="F215" s="2" t="s">
        <v>860</v>
      </c>
      <c r="G215" s="3">
        <v>29943</v>
      </c>
      <c r="H215" s="3">
        <v>43889</v>
      </c>
      <c r="I215" s="2">
        <v>38</v>
      </c>
      <c r="J215" s="2">
        <v>4</v>
      </c>
      <c r="K215" s="2" t="s">
        <v>857</v>
      </c>
      <c r="L215" s="2" t="s">
        <v>856</v>
      </c>
      <c r="M215" s="2">
        <v>10</v>
      </c>
      <c r="N215">
        <v>15.82</v>
      </c>
      <c r="O215">
        <v>1.52</v>
      </c>
      <c r="P215" s="1" t="s">
        <v>96</v>
      </c>
      <c r="Q215">
        <v>13.9</v>
      </c>
      <c r="R215" s="1" t="s">
        <v>96</v>
      </c>
      <c r="S215">
        <v>17.11</v>
      </c>
      <c r="T215">
        <v>61.69</v>
      </c>
      <c r="U215" s="1" t="s">
        <v>96</v>
      </c>
      <c r="V215">
        <v>5.47</v>
      </c>
      <c r="W215">
        <v>31.73</v>
      </c>
      <c r="X215">
        <v>3.77</v>
      </c>
      <c r="Y215" s="1" t="s">
        <v>96</v>
      </c>
      <c r="Z215" t="s">
        <v>133</v>
      </c>
      <c r="AA215">
        <v>353.45</v>
      </c>
      <c r="AB215">
        <v>117.73</v>
      </c>
      <c r="AC215">
        <v>974.17</v>
      </c>
      <c r="AD215">
        <v>24.75</v>
      </c>
      <c r="AE215">
        <v>682.45</v>
      </c>
      <c r="AF215">
        <v>107.94</v>
      </c>
      <c r="AG215" s="1">
        <v>2.69</v>
      </c>
      <c r="AH215">
        <v>239.18</v>
      </c>
      <c r="AI215">
        <v>39.520000000000003</v>
      </c>
      <c r="AJ215" s="1" t="s">
        <v>96</v>
      </c>
      <c r="AK215">
        <v>115.46</v>
      </c>
      <c r="AL215">
        <v>28.19</v>
      </c>
      <c r="AM215">
        <v>82.78</v>
      </c>
      <c r="AN215" s="1">
        <v>13.17</v>
      </c>
      <c r="AO215">
        <v>11.23</v>
      </c>
      <c r="AP215">
        <v>28.52</v>
      </c>
    </row>
    <row r="216" spans="1:42" ht="15.75">
      <c r="A216" t="s">
        <v>355</v>
      </c>
      <c r="B216" s="2" t="s">
        <v>355</v>
      </c>
      <c r="C216" s="2" t="str">
        <f t="shared" si="3"/>
        <v>TRUE</v>
      </c>
      <c r="D216" s="2" t="s">
        <v>858</v>
      </c>
      <c r="E216" s="2" t="s">
        <v>863</v>
      </c>
      <c r="F216" s="2" t="s">
        <v>860</v>
      </c>
      <c r="G216" s="3">
        <v>29943</v>
      </c>
      <c r="H216" s="3">
        <v>43896</v>
      </c>
      <c r="I216" s="2">
        <v>38</v>
      </c>
      <c r="J216" s="2">
        <v>4</v>
      </c>
      <c r="K216" s="2" t="s">
        <v>857</v>
      </c>
      <c r="L216" s="2">
        <v>1144</v>
      </c>
      <c r="M216" s="2">
        <v>5</v>
      </c>
      <c r="N216">
        <v>9.25</v>
      </c>
      <c r="O216">
        <v>10.74</v>
      </c>
      <c r="P216" s="1" t="s">
        <v>96</v>
      </c>
      <c r="Q216">
        <v>22.29</v>
      </c>
      <c r="R216" s="1" t="s">
        <v>96</v>
      </c>
      <c r="S216">
        <v>87.58</v>
      </c>
      <c r="T216">
        <v>452.65</v>
      </c>
      <c r="U216" s="1">
        <v>64.23</v>
      </c>
      <c r="V216">
        <v>13.67</v>
      </c>
      <c r="W216">
        <v>270.92</v>
      </c>
      <c r="X216">
        <v>11.93</v>
      </c>
      <c r="Y216" s="1" t="s">
        <v>96</v>
      </c>
      <c r="Z216">
        <v>964.24</v>
      </c>
      <c r="AA216">
        <v>118.98</v>
      </c>
      <c r="AB216">
        <v>41.18</v>
      </c>
      <c r="AC216">
        <v>290.02</v>
      </c>
      <c r="AD216">
        <v>19.39</v>
      </c>
      <c r="AE216">
        <v>145.81</v>
      </c>
      <c r="AF216">
        <v>20.18</v>
      </c>
      <c r="AG216" s="1" t="s">
        <v>96</v>
      </c>
      <c r="AH216">
        <v>58.6</v>
      </c>
      <c r="AI216">
        <v>28.25</v>
      </c>
      <c r="AJ216" s="1" t="s">
        <v>96</v>
      </c>
      <c r="AK216">
        <v>135.55000000000001</v>
      </c>
      <c r="AL216">
        <v>29.73</v>
      </c>
      <c r="AM216">
        <v>122.62</v>
      </c>
      <c r="AN216" s="1">
        <v>13.15</v>
      </c>
      <c r="AO216">
        <v>9.36</v>
      </c>
      <c r="AP216">
        <v>47.85</v>
      </c>
    </row>
    <row r="217" spans="1:42" ht="15.75">
      <c r="A217" t="s">
        <v>556</v>
      </c>
      <c r="B217" s="2" t="s">
        <v>556</v>
      </c>
      <c r="C217" s="2" t="str">
        <f t="shared" si="3"/>
        <v>TRUE</v>
      </c>
      <c r="D217" s="2" t="s">
        <v>865</v>
      </c>
      <c r="E217" s="2" t="s">
        <v>869</v>
      </c>
      <c r="F217" s="2" t="s">
        <v>864</v>
      </c>
      <c r="G217" s="3">
        <v>29371</v>
      </c>
      <c r="H217" s="3">
        <v>43896</v>
      </c>
      <c r="I217" s="2">
        <v>39</v>
      </c>
      <c r="J217" s="2">
        <v>7</v>
      </c>
      <c r="K217" s="2" t="s">
        <v>861</v>
      </c>
      <c r="L217" s="2">
        <v>1822</v>
      </c>
      <c r="M217" s="2">
        <v>3</v>
      </c>
      <c r="N217">
        <v>20.64</v>
      </c>
      <c r="O217">
        <v>9.33</v>
      </c>
      <c r="P217" s="1">
        <v>4.18</v>
      </c>
      <c r="Q217">
        <v>390.94</v>
      </c>
      <c r="R217" s="1">
        <v>20.96</v>
      </c>
      <c r="S217">
        <v>376.36</v>
      </c>
      <c r="T217">
        <v>605.01</v>
      </c>
      <c r="U217" s="1">
        <v>97.36</v>
      </c>
      <c r="V217">
        <v>94.67</v>
      </c>
      <c r="W217">
        <v>442.22</v>
      </c>
      <c r="X217">
        <v>9.32</v>
      </c>
      <c r="Y217" s="1">
        <v>9.57</v>
      </c>
      <c r="Z217">
        <v>1229.3599999999999</v>
      </c>
      <c r="AA217">
        <v>275.54000000000002</v>
      </c>
      <c r="AB217">
        <v>97.51</v>
      </c>
      <c r="AC217">
        <v>307.5</v>
      </c>
      <c r="AD217">
        <v>7.06</v>
      </c>
      <c r="AE217">
        <v>250.66</v>
      </c>
      <c r="AF217">
        <v>60.11</v>
      </c>
      <c r="AG217" s="1">
        <v>3.76</v>
      </c>
      <c r="AH217">
        <v>84.26</v>
      </c>
      <c r="AI217">
        <v>34.89</v>
      </c>
      <c r="AJ217" s="1" t="s">
        <v>96</v>
      </c>
      <c r="AK217">
        <v>67.989999999999995</v>
      </c>
      <c r="AL217">
        <v>12.73</v>
      </c>
      <c r="AM217">
        <v>167.13</v>
      </c>
      <c r="AN217" s="1">
        <v>36.590000000000003</v>
      </c>
      <c r="AO217">
        <v>26.04</v>
      </c>
      <c r="AP217">
        <v>95.35</v>
      </c>
    </row>
    <row r="218" spans="1:42" ht="15.75">
      <c r="A218" t="s">
        <v>613</v>
      </c>
      <c r="B218" s="2" t="s">
        <v>613</v>
      </c>
      <c r="C218" s="2" t="str">
        <f t="shared" si="3"/>
        <v>TRUE</v>
      </c>
      <c r="D218" s="2" t="s">
        <v>858</v>
      </c>
      <c r="E218" s="2" t="s">
        <v>863</v>
      </c>
      <c r="F218" s="2" t="s">
        <v>864</v>
      </c>
      <c r="G218" s="3">
        <v>29354</v>
      </c>
      <c r="H218" s="3">
        <v>44007</v>
      </c>
      <c r="I218" s="2">
        <v>40</v>
      </c>
      <c r="J218" s="2">
        <v>6</v>
      </c>
      <c r="K218" s="2" t="s">
        <v>857</v>
      </c>
      <c r="L218" s="2">
        <v>43</v>
      </c>
      <c r="M218" s="2">
        <v>2</v>
      </c>
      <c r="N218">
        <v>14.32</v>
      </c>
      <c r="O218">
        <v>1.78</v>
      </c>
      <c r="P218" s="1">
        <v>4.5599999999999996</v>
      </c>
      <c r="Q218">
        <v>202.05</v>
      </c>
      <c r="R218" s="1">
        <v>12.09</v>
      </c>
      <c r="S218">
        <v>235.16</v>
      </c>
      <c r="T218">
        <v>191.55</v>
      </c>
      <c r="U218" s="1" t="s">
        <v>96</v>
      </c>
      <c r="V218">
        <v>29.68</v>
      </c>
      <c r="W218">
        <v>185.12</v>
      </c>
      <c r="X218">
        <v>5.28</v>
      </c>
      <c r="Y218" s="1" t="s">
        <v>96</v>
      </c>
      <c r="Z218">
        <v>1002.68</v>
      </c>
      <c r="AA218">
        <v>571.64</v>
      </c>
      <c r="AB218">
        <v>115.66</v>
      </c>
      <c r="AC218">
        <v>342.88</v>
      </c>
      <c r="AD218">
        <v>9.94</v>
      </c>
      <c r="AE218">
        <v>318.06</v>
      </c>
      <c r="AF218">
        <v>188.03</v>
      </c>
      <c r="AG218" s="1">
        <v>2.52</v>
      </c>
      <c r="AH218">
        <v>150.30000000000001</v>
      </c>
      <c r="AI218">
        <v>275.02</v>
      </c>
      <c r="AJ218" s="1" t="s">
        <v>96</v>
      </c>
      <c r="AK218">
        <v>121.42</v>
      </c>
      <c r="AL218">
        <v>33.229999999999997</v>
      </c>
      <c r="AM218">
        <v>424.35</v>
      </c>
      <c r="AN218" s="1">
        <v>42.01</v>
      </c>
      <c r="AO218">
        <v>33.909999999999997</v>
      </c>
      <c r="AP218">
        <v>126.88</v>
      </c>
    </row>
    <row r="219" spans="1:42" ht="15.75">
      <c r="A219" t="s">
        <v>346</v>
      </c>
      <c r="B219" s="2" t="s">
        <v>346</v>
      </c>
      <c r="C219" s="2" t="str">
        <f t="shared" si="3"/>
        <v>TRUE</v>
      </c>
      <c r="D219" s="2" t="s">
        <v>858</v>
      </c>
      <c r="E219" s="2" t="s">
        <v>863</v>
      </c>
      <c r="F219" s="2" t="s">
        <v>860</v>
      </c>
      <c r="G219" s="3">
        <v>29943</v>
      </c>
      <c r="H219" s="3">
        <v>44011</v>
      </c>
      <c r="I219" s="2">
        <v>38</v>
      </c>
      <c r="J219" s="2">
        <v>4</v>
      </c>
      <c r="K219" s="2" t="s">
        <v>857</v>
      </c>
      <c r="L219" s="2">
        <v>20</v>
      </c>
      <c r="M219" s="2">
        <v>0</v>
      </c>
      <c r="N219">
        <v>13.58</v>
      </c>
      <c r="O219">
        <v>1.18</v>
      </c>
      <c r="P219" s="1" t="s">
        <v>96</v>
      </c>
      <c r="Q219">
        <v>24.85</v>
      </c>
      <c r="R219" s="1" t="s">
        <v>96</v>
      </c>
      <c r="S219">
        <v>24.72</v>
      </c>
      <c r="T219">
        <v>113.99</v>
      </c>
      <c r="U219" s="1" t="s">
        <v>96</v>
      </c>
      <c r="V219">
        <v>10.27</v>
      </c>
      <c r="W219">
        <v>87.25</v>
      </c>
      <c r="X219">
        <v>2.86</v>
      </c>
      <c r="Y219" s="1" t="s">
        <v>96</v>
      </c>
      <c r="Z219">
        <v>628.82000000000005</v>
      </c>
      <c r="AA219">
        <v>52.98</v>
      </c>
      <c r="AB219">
        <v>107.9</v>
      </c>
      <c r="AC219">
        <v>228.21</v>
      </c>
      <c r="AD219">
        <v>16.600000000000001</v>
      </c>
      <c r="AE219">
        <v>98.27</v>
      </c>
      <c r="AF219">
        <v>9.73</v>
      </c>
      <c r="AG219" s="1" t="s">
        <v>96</v>
      </c>
      <c r="AH219">
        <v>25.74</v>
      </c>
      <c r="AI219">
        <v>31.46</v>
      </c>
      <c r="AJ219" s="1" t="s">
        <v>96</v>
      </c>
      <c r="AK219">
        <v>208.8</v>
      </c>
      <c r="AL219">
        <v>40.08</v>
      </c>
      <c r="AM219">
        <v>180.19</v>
      </c>
      <c r="AN219" s="1">
        <v>16.239999999999998</v>
      </c>
      <c r="AO219">
        <v>37.57</v>
      </c>
      <c r="AP219">
        <v>66.42</v>
      </c>
    </row>
    <row r="220" spans="1:42" ht="15.75">
      <c r="A220" t="s">
        <v>202</v>
      </c>
      <c r="B220" s="2" t="s">
        <v>202</v>
      </c>
      <c r="C220" s="2" t="str">
        <f t="shared" si="3"/>
        <v>TRUE</v>
      </c>
      <c r="D220" s="2" t="s">
        <v>865</v>
      </c>
      <c r="E220" s="2" t="s">
        <v>873</v>
      </c>
      <c r="F220" s="2" t="s">
        <v>864</v>
      </c>
      <c r="G220" s="3">
        <v>19925</v>
      </c>
      <c r="H220" s="3">
        <v>43768</v>
      </c>
      <c r="I220" s="2">
        <v>65</v>
      </c>
      <c r="J220" s="2">
        <v>7</v>
      </c>
      <c r="K220" s="2" t="s">
        <v>861</v>
      </c>
      <c r="L220" s="2">
        <v>157</v>
      </c>
      <c r="M220" s="2">
        <v>3</v>
      </c>
      <c r="N220">
        <v>9.51</v>
      </c>
      <c r="O220">
        <v>1.75</v>
      </c>
      <c r="P220" s="1">
        <v>50.67</v>
      </c>
      <c r="Q220">
        <v>23.88</v>
      </c>
      <c r="R220" s="1">
        <v>49.54</v>
      </c>
      <c r="S220">
        <v>775.79</v>
      </c>
      <c r="T220">
        <v>34.020000000000003</v>
      </c>
      <c r="U220" s="1">
        <v>417.06</v>
      </c>
      <c r="V220">
        <v>34.770000000000003</v>
      </c>
      <c r="W220">
        <v>11.9</v>
      </c>
      <c r="X220" t="s">
        <v>96</v>
      </c>
      <c r="Y220" s="1">
        <v>14.56</v>
      </c>
      <c r="Z220">
        <v>700.74</v>
      </c>
      <c r="AA220">
        <v>754.88</v>
      </c>
      <c r="AB220">
        <v>18.38</v>
      </c>
      <c r="AC220">
        <v>160.76</v>
      </c>
      <c r="AD220" t="s">
        <v>96</v>
      </c>
      <c r="AE220">
        <v>66.16</v>
      </c>
      <c r="AF220">
        <v>87.45</v>
      </c>
      <c r="AG220" s="1" t="s">
        <v>96</v>
      </c>
      <c r="AH220">
        <v>19.84</v>
      </c>
      <c r="AI220">
        <v>97.46</v>
      </c>
      <c r="AJ220" s="1">
        <v>7.47</v>
      </c>
      <c r="AK220">
        <v>34.909999999999997</v>
      </c>
      <c r="AL220" t="s">
        <v>96</v>
      </c>
      <c r="AM220">
        <v>778.73</v>
      </c>
      <c r="AN220" s="1">
        <v>16.89</v>
      </c>
      <c r="AO220">
        <v>11.36</v>
      </c>
      <c r="AP220">
        <v>123.65</v>
      </c>
    </row>
    <row r="221" spans="1:42" ht="15.75">
      <c r="A221" t="s">
        <v>274</v>
      </c>
      <c r="B221" s="2" t="s">
        <v>274</v>
      </c>
      <c r="C221" s="2" t="str">
        <f t="shared" si="3"/>
        <v>TRUE</v>
      </c>
      <c r="D221" s="2" t="s">
        <v>865</v>
      </c>
      <c r="E221" s="2" t="s">
        <v>874</v>
      </c>
      <c r="F221" s="2" t="s">
        <v>860</v>
      </c>
      <c r="G221" s="3">
        <v>21300</v>
      </c>
      <c r="H221" s="3">
        <v>43770</v>
      </c>
      <c r="I221" s="2">
        <v>61</v>
      </c>
      <c r="J221" s="2">
        <v>2</v>
      </c>
      <c r="K221" s="2" t="s">
        <v>861</v>
      </c>
      <c r="L221" s="2">
        <v>921</v>
      </c>
      <c r="M221" s="2">
        <v>12</v>
      </c>
      <c r="N221">
        <v>8.86</v>
      </c>
      <c r="O221">
        <v>1.99</v>
      </c>
      <c r="P221" s="1" t="s">
        <v>96</v>
      </c>
      <c r="Q221">
        <v>146.91</v>
      </c>
      <c r="R221" s="1" t="s">
        <v>96</v>
      </c>
      <c r="S221" t="s">
        <v>96</v>
      </c>
      <c r="T221">
        <v>79.72</v>
      </c>
      <c r="U221" s="1">
        <v>104.77</v>
      </c>
      <c r="V221">
        <v>37.83</v>
      </c>
      <c r="W221">
        <v>74.89</v>
      </c>
      <c r="X221">
        <v>1.37</v>
      </c>
      <c r="Y221" s="1" t="s">
        <v>96</v>
      </c>
      <c r="Z221">
        <v>1877.72</v>
      </c>
      <c r="AA221" t="s">
        <v>96</v>
      </c>
      <c r="AB221">
        <v>331.38</v>
      </c>
      <c r="AC221">
        <v>648.49</v>
      </c>
      <c r="AD221">
        <v>8.17</v>
      </c>
      <c r="AE221">
        <v>10.32</v>
      </c>
      <c r="AF221" t="s">
        <v>96</v>
      </c>
      <c r="AG221" s="1" t="s">
        <v>96</v>
      </c>
      <c r="AH221">
        <v>3.24</v>
      </c>
      <c r="AI221" t="s">
        <v>96</v>
      </c>
      <c r="AJ221" s="1" t="s">
        <v>96</v>
      </c>
      <c r="AK221">
        <v>70.5</v>
      </c>
      <c r="AL221" t="s">
        <v>96</v>
      </c>
      <c r="AM221" t="s">
        <v>96</v>
      </c>
      <c r="AN221" s="1" t="s">
        <v>96</v>
      </c>
      <c r="AO221">
        <v>84.96</v>
      </c>
      <c r="AP221" t="s">
        <v>96</v>
      </c>
    </row>
    <row r="222" spans="1:42" ht="15.75">
      <c r="A222" t="s">
        <v>277</v>
      </c>
      <c r="B222" s="2" t="s">
        <v>277</v>
      </c>
      <c r="C222" s="2" t="str">
        <f t="shared" si="3"/>
        <v>TRUE</v>
      </c>
      <c r="D222" s="2" t="s">
        <v>865</v>
      </c>
      <c r="E222" s="2" t="s">
        <v>874</v>
      </c>
      <c r="F222" s="2" t="s">
        <v>860</v>
      </c>
      <c r="G222" s="3">
        <v>21300</v>
      </c>
      <c r="H222" s="3">
        <v>43784</v>
      </c>
      <c r="I222" s="2">
        <v>61</v>
      </c>
      <c r="J222" s="2">
        <v>3</v>
      </c>
      <c r="K222" s="2" t="s">
        <v>861</v>
      </c>
      <c r="L222" s="2" t="s">
        <v>856</v>
      </c>
      <c r="M222" s="2">
        <v>10</v>
      </c>
      <c r="N222">
        <v>6.98</v>
      </c>
      <c r="O222">
        <v>8.1</v>
      </c>
      <c r="P222" s="1" t="s">
        <v>96</v>
      </c>
      <c r="Q222">
        <v>194.03</v>
      </c>
      <c r="R222" s="1" t="s">
        <v>96</v>
      </c>
      <c r="S222" t="s">
        <v>96</v>
      </c>
      <c r="T222" t="s">
        <v>133</v>
      </c>
      <c r="U222" s="1">
        <v>116.01</v>
      </c>
      <c r="V222">
        <v>126.93</v>
      </c>
      <c r="W222">
        <v>269.91000000000003</v>
      </c>
      <c r="X222">
        <v>10.220000000000001</v>
      </c>
      <c r="Y222" s="1" t="s">
        <v>96</v>
      </c>
      <c r="Z222">
        <v>2129.4299999999998</v>
      </c>
      <c r="AA222" t="s">
        <v>96</v>
      </c>
      <c r="AB222">
        <v>183.75</v>
      </c>
      <c r="AC222">
        <v>438.46</v>
      </c>
      <c r="AD222">
        <v>9.76</v>
      </c>
      <c r="AE222">
        <v>6.53</v>
      </c>
      <c r="AF222" t="s">
        <v>96</v>
      </c>
      <c r="AG222" s="1" t="s">
        <v>96</v>
      </c>
      <c r="AH222" t="s">
        <v>96</v>
      </c>
      <c r="AI222" t="s">
        <v>96</v>
      </c>
      <c r="AJ222" s="1" t="s">
        <v>96</v>
      </c>
      <c r="AK222">
        <v>64.97</v>
      </c>
      <c r="AL222" t="s">
        <v>96</v>
      </c>
      <c r="AM222" t="s">
        <v>96</v>
      </c>
      <c r="AN222" s="1" t="s">
        <v>96</v>
      </c>
      <c r="AO222">
        <v>41.51</v>
      </c>
      <c r="AP222" t="s">
        <v>96</v>
      </c>
    </row>
    <row r="223" spans="1:42" ht="15.75">
      <c r="A223" t="s">
        <v>292</v>
      </c>
      <c r="B223" s="2" t="s">
        <v>292</v>
      </c>
      <c r="C223" s="2" t="str">
        <f t="shared" si="3"/>
        <v>TRUE</v>
      </c>
      <c r="D223" s="2" t="s">
        <v>858</v>
      </c>
      <c r="E223" s="2" t="s">
        <v>859</v>
      </c>
      <c r="F223" s="2" t="s">
        <v>864</v>
      </c>
      <c r="G223" s="3">
        <v>34948</v>
      </c>
      <c r="H223" s="3">
        <v>43788</v>
      </c>
      <c r="I223" s="2">
        <v>24</v>
      </c>
      <c r="J223" s="2">
        <v>7</v>
      </c>
      <c r="K223" s="2" t="s">
        <v>861</v>
      </c>
      <c r="L223" s="2">
        <v>61</v>
      </c>
      <c r="M223" s="2">
        <v>1</v>
      </c>
      <c r="N223">
        <v>10.72</v>
      </c>
      <c r="O223" t="s">
        <v>96</v>
      </c>
      <c r="P223" s="1" t="s">
        <v>96</v>
      </c>
      <c r="Q223">
        <v>135.91</v>
      </c>
      <c r="R223" s="1" t="s">
        <v>96</v>
      </c>
      <c r="S223">
        <v>38.130000000000003</v>
      </c>
      <c r="T223">
        <v>12.72</v>
      </c>
      <c r="U223" s="1">
        <v>247.02</v>
      </c>
      <c r="V223">
        <v>5.66</v>
      </c>
      <c r="W223">
        <v>25.2</v>
      </c>
      <c r="X223" t="s">
        <v>96</v>
      </c>
      <c r="Y223" s="1">
        <v>3.01</v>
      </c>
      <c r="Z223">
        <v>1228.8900000000001</v>
      </c>
      <c r="AA223">
        <v>510.13</v>
      </c>
      <c r="AB223">
        <v>170.48</v>
      </c>
      <c r="AC223">
        <v>380.55</v>
      </c>
      <c r="AD223">
        <v>22.42</v>
      </c>
      <c r="AE223">
        <v>211.97</v>
      </c>
      <c r="AF223">
        <v>142.13999999999999</v>
      </c>
      <c r="AG223" s="1">
        <v>8.92</v>
      </c>
      <c r="AH223">
        <v>107.24</v>
      </c>
      <c r="AI223">
        <v>143.34</v>
      </c>
      <c r="AJ223" s="1">
        <v>4.46</v>
      </c>
      <c r="AK223">
        <v>76.430000000000007</v>
      </c>
      <c r="AL223">
        <v>22.62</v>
      </c>
      <c r="AM223">
        <v>428.44</v>
      </c>
      <c r="AN223" s="1">
        <v>45.36</v>
      </c>
      <c r="AO223">
        <v>42.7</v>
      </c>
      <c r="AP223">
        <v>101.74</v>
      </c>
    </row>
    <row r="224" spans="1:42" ht="15.75">
      <c r="A224" t="s">
        <v>844</v>
      </c>
      <c r="B224" s="2" t="s">
        <v>844</v>
      </c>
      <c r="C224" s="2" t="str">
        <f t="shared" si="3"/>
        <v>TRUE</v>
      </c>
      <c r="D224" s="2" t="s">
        <v>865</v>
      </c>
      <c r="E224" s="2" t="s">
        <v>866</v>
      </c>
      <c r="F224" s="2" t="s">
        <v>864</v>
      </c>
      <c r="G224" s="3">
        <v>33023</v>
      </c>
      <c r="H224" s="3">
        <v>43788</v>
      </c>
      <c r="I224" s="2">
        <v>29</v>
      </c>
      <c r="J224" s="2">
        <v>1</v>
      </c>
      <c r="K224" s="2" t="s">
        <v>857</v>
      </c>
      <c r="L224" s="2">
        <v>1213</v>
      </c>
      <c r="M224" s="2">
        <v>7</v>
      </c>
      <c r="N224">
        <v>5.59</v>
      </c>
      <c r="O224">
        <v>2.06</v>
      </c>
      <c r="P224" s="1">
        <v>1.79</v>
      </c>
      <c r="Q224">
        <v>373.67</v>
      </c>
      <c r="R224" s="1">
        <v>16.64</v>
      </c>
      <c r="S224">
        <v>160.22</v>
      </c>
      <c r="T224">
        <v>31.57</v>
      </c>
      <c r="U224" s="1">
        <v>54.06</v>
      </c>
      <c r="V224">
        <v>41.03</v>
      </c>
      <c r="W224">
        <v>15.78</v>
      </c>
      <c r="X224">
        <v>1.64</v>
      </c>
      <c r="Y224" s="1">
        <v>6.84</v>
      </c>
      <c r="Z224">
        <v>802.28</v>
      </c>
      <c r="AA224">
        <v>221.44</v>
      </c>
      <c r="AB224">
        <v>211.02</v>
      </c>
      <c r="AC224">
        <v>172.89</v>
      </c>
      <c r="AD224">
        <v>2.92</v>
      </c>
      <c r="AE224">
        <v>108.95</v>
      </c>
      <c r="AF224">
        <v>36.57</v>
      </c>
      <c r="AG224" s="1" t="s">
        <v>96</v>
      </c>
      <c r="AH224">
        <v>26.42</v>
      </c>
      <c r="AI224">
        <v>32.58</v>
      </c>
      <c r="AJ224" s="1" t="s">
        <v>96</v>
      </c>
      <c r="AK224">
        <v>50.13</v>
      </c>
      <c r="AL224">
        <v>11.19</v>
      </c>
      <c r="AM224">
        <v>204.13</v>
      </c>
      <c r="AN224" s="1">
        <v>15.27</v>
      </c>
      <c r="AO224">
        <v>93.44</v>
      </c>
      <c r="AP224">
        <v>44.85</v>
      </c>
    </row>
    <row r="225" spans="1:42" ht="15.75">
      <c r="A225" t="s">
        <v>676</v>
      </c>
      <c r="B225" s="2" t="s">
        <v>676</v>
      </c>
      <c r="C225" s="2" t="str">
        <f t="shared" si="3"/>
        <v>TRUE</v>
      </c>
      <c r="D225" s="2" t="s">
        <v>865</v>
      </c>
      <c r="E225" s="2" t="s">
        <v>869</v>
      </c>
      <c r="F225" s="2" t="s">
        <v>860</v>
      </c>
      <c r="G225" s="3">
        <v>31009</v>
      </c>
      <c r="H225" s="3">
        <v>43756</v>
      </c>
      <c r="I225" s="2">
        <v>34</v>
      </c>
      <c r="J225" s="2">
        <v>2</v>
      </c>
      <c r="K225" s="2" t="s">
        <v>857</v>
      </c>
      <c r="L225" s="2" t="s">
        <v>856</v>
      </c>
      <c r="M225" s="2">
        <v>3</v>
      </c>
      <c r="N225">
        <v>103.87</v>
      </c>
      <c r="O225">
        <v>8.99</v>
      </c>
      <c r="P225" s="1">
        <v>12.3</v>
      </c>
      <c r="Q225">
        <v>48.18</v>
      </c>
      <c r="R225" s="1">
        <v>28.3</v>
      </c>
      <c r="S225">
        <v>343</v>
      </c>
      <c r="T225">
        <v>177.64</v>
      </c>
      <c r="U225" s="1">
        <v>26.39</v>
      </c>
      <c r="V225">
        <v>26.45</v>
      </c>
      <c r="W225">
        <v>25.26</v>
      </c>
      <c r="X225">
        <v>2.63</v>
      </c>
      <c r="Y225" s="1">
        <v>6.18</v>
      </c>
      <c r="Z225">
        <v>2070.1</v>
      </c>
      <c r="AA225">
        <v>498.59</v>
      </c>
      <c r="AB225">
        <v>33.57</v>
      </c>
      <c r="AC225">
        <v>817.22</v>
      </c>
      <c r="AD225">
        <v>42.6</v>
      </c>
      <c r="AE225">
        <v>222.18</v>
      </c>
      <c r="AF225">
        <v>96.72</v>
      </c>
      <c r="AG225" s="1">
        <v>3.08</v>
      </c>
      <c r="AH225">
        <v>127.1</v>
      </c>
      <c r="AI225">
        <v>166.76</v>
      </c>
      <c r="AJ225" s="1">
        <v>2.82</v>
      </c>
      <c r="AK225">
        <v>253.06</v>
      </c>
      <c r="AL225">
        <v>28.17</v>
      </c>
      <c r="AM225">
        <v>793.65</v>
      </c>
      <c r="AN225" s="1">
        <v>36.119999999999997</v>
      </c>
      <c r="AO225">
        <v>12.13</v>
      </c>
      <c r="AP225">
        <v>185.62</v>
      </c>
    </row>
    <row r="226" spans="1:42" ht="15.75">
      <c r="A226" t="s">
        <v>391</v>
      </c>
      <c r="B226" s="2" t="s">
        <v>391</v>
      </c>
      <c r="C226" s="2" t="str">
        <f t="shared" si="3"/>
        <v>TRUE</v>
      </c>
      <c r="D226" s="2" t="s">
        <v>858</v>
      </c>
      <c r="E226" s="2" t="s">
        <v>859</v>
      </c>
      <c r="F226" s="2" t="s">
        <v>864</v>
      </c>
      <c r="G226" s="3">
        <v>23568</v>
      </c>
      <c r="H226" s="3">
        <v>43756</v>
      </c>
      <c r="I226" s="2">
        <v>55</v>
      </c>
      <c r="J226" s="2">
        <v>7</v>
      </c>
      <c r="K226" s="2" t="s">
        <v>857</v>
      </c>
      <c r="L226" s="2">
        <v>51</v>
      </c>
      <c r="M226" s="2">
        <v>2</v>
      </c>
      <c r="N226">
        <v>17.16</v>
      </c>
      <c r="O226">
        <v>8.07</v>
      </c>
      <c r="P226" s="1">
        <v>3.48</v>
      </c>
      <c r="Q226">
        <v>13.8</v>
      </c>
      <c r="R226" s="1" t="s">
        <v>96</v>
      </c>
      <c r="S226">
        <v>99.7</v>
      </c>
      <c r="T226">
        <v>534.74</v>
      </c>
      <c r="U226" s="1">
        <v>174.67</v>
      </c>
      <c r="V226">
        <v>25.48</v>
      </c>
      <c r="W226">
        <v>442.02</v>
      </c>
      <c r="X226">
        <v>12.17</v>
      </c>
      <c r="Y226" s="1" t="s">
        <v>96</v>
      </c>
      <c r="Z226">
        <v>1926.93</v>
      </c>
      <c r="AA226">
        <v>174.77</v>
      </c>
      <c r="AB226">
        <v>153.97999999999999</v>
      </c>
      <c r="AC226">
        <v>390.13</v>
      </c>
      <c r="AD226">
        <v>24.94</v>
      </c>
      <c r="AE226">
        <v>199.93</v>
      </c>
      <c r="AF226">
        <v>19.77</v>
      </c>
      <c r="AG226" s="1">
        <v>15.05</v>
      </c>
      <c r="AH226">
        <v>32.020000000000003</v>
      </c>
      <c r="AI226">
        <v>43.96</v>
      </c>
      <c r="AJ226" s="1">
        <v>3.93</v>
      </c>
      <c r="AK226">
        <v>81.81</v>
      </c>
      <c r="AL226">
        <v>17.7</v>
      </c>
      <c r="AM226">
        <v>119.69</v>
      </c>
      <c r="AN226" s="1">
        <v>5.13</v>
      </c>
      <c r="AO226">
        <v>23.54</v>
      </c>
      <c r="AP226">
        <v>26.86</v>
      </c>
    </row>
    <row r="227" spans="1:42" ht="15.75">
      <c r="A227" t="s">
        <v>679</v>
      </c>
      <c r="B227" s="2" t="s">
        <v>679</v>
      </c>
      <c r="C227" s="2" t="str">
        <f t="shared" si="3"/>
        <v>TRUE</v>
      </c>
      <c r="D227" s="2" t="s">
        <v>865</v>
      </c>
      <c r="E227" s="2" t="s">
        <v>869</v>
      </c>
      <c r="F227" s="2" t="s">
        <v>860</v>
      </c>
      <c r="G227" s="3">
        <v>31009</v>
      </c>
      <c r="H227" s="3">
        <v>43763</v>
      </c>
      <c r="I227" s="2">
        <v>34</v>
      </c>
      <c r="J227" s="2">
        <v>3</v>
      </c>
      <c r="K227" s="2" t="s">
        <v>857</v>
      </c>
      <c r="L227" s="2">
        <v>445</v>
      </c>
      <c r="M227" s="2">
        <v>2</v>
      </c>
      <c r="N227">
        <v>27.77</v>
      </c>
      <c r="O227" t="s">
        <v>96</v>
      </c>
      <c r="P227" s="1" t="s">
        <v>96</v>
      </c>
      <c r="Q227">
        <v>8</v>
      </c>
      <c r="R227" s="1" t="s">
        <v>96</v>
      </c>
      <c r="S227">
        <v>50.6</v>
      </c>
      <c r="T227">
        <v>53.13</v>
      </c>
      <c r="U227" s="1" t="s">
        <v>96</v>
      </c>
      <c r="V227">
        <v>5.75</v>
      </c>
      <c r="W227">
        <v>6.84</v>
      </c>
      <c r="X227" t="s">
        <v>96</v>
      </c>
      <c r="Y227" s="1">
        <v>5.29</v>
      </c>
      <c r="Z227">
        <v>1841.52</v>
      </c>
      <c r="AA227">
        <v>425.96</v>
      </c>
      <c r="AB227">
        <v>25.95</v>
      </c>
      <c r="AC227">
        <v>490.77</v>
      </c>
      <c r="AD227">
        <v>44.53</v>
      </c>
      <c r="AE227">
        <v>198.7</v>
      </c>
      <c r="AF227">
        <v>89.83</v>
      </c>
      <c r="AG227" s="1">
        <v>2.8</v>
      </c>
      <c r="AH227">
        <v>80.489999999999995</v>
      </c>
      <c r="AI227">
        <v>163.38</v>
      </c>
      <c r="AJ227" s="1" t="s">
        <v>96</v>
      </c>
      <c r="AK227">
        <v>160.31</v>
      </c>
      <c r="AL227">
        <v>19.87</v>
      </c>
      <c r="AM227">
        <v>576.34</v>
      </c>
      <c r="AN227" s="1">
        <v>26.7</v>
      </c>
      <c r="AO227">
        <v>6.91</v>
      </c>
      <c r="AP227">
        <v>102.76</v>
      </c>
    </row>
    <row r="228" spans="1:42" ht="15.75">
      <c r="A228" t="s">
        <v>673</v>
      </c>
      <c r="B228" s="2" t="s">
        <v>673</v>
      </c>
      <c r="C228" s="2" t="str">
        <f t="shared" si="3"/>
        <v>TRUE</v>
      </c>
      <c r="D228" s="2" t="s">
        <v>865</v>
      </c>
      <c r="E228" s="2" t="s">
        <v>869</v>
      </c>
      <c r="F228" s="2" t="s">
        <v>860</v>
      </c>
      <c r="G228" s="3">
        <v>31009</v>
      </c>
      <c r="H228" s="3">
        <v>43769</v>
      </c>
      <c r="I228" s="2">
        <v>34</v>
      </c>
      <c r="J228" s="2">
        <v>4</v>
      </c>
      <c r="K228" s="2" t="s">
        <v>857</v>
      </c>
      <c r="L228" s="2" t="s">
        <v>856</v>
      </c>
      <c r="M228" s="2">
        <v>5</v>
      </c>
      <c r="N228">
        <v>58.82</v>
      </c>
      <c r="O228">
        <v>8.7100000000000009</v>
      </c>
      <c r="P228" s="1">
        <v>2.9</v>
      </c>
      <c r="Q228">
        <v>26.15</v>
      </c>
      <c r="R228" s="1">
        <v>16.38</v>
      </c>
      <c r="S228">
        <v>235.35</v>
      </c>
      <c r="T228">
        <v>196.06</v>
      </c>
      <c r="U228" s="1">
        <v>37.130000000000003</v>
      </c>
      <c r="V228">
        <v>14.12</v>
      </c>
      <c r="W228">
        <v>15.73</v>
      </c>
      <c r="X228">
        <v>5.09</v>
      </c>
      <c r="Y228" s="1">
        <v>4.5599999999999996</v>
      </c>
      <c r="Z228">
        <v>1424.3</v>
      </c>
      <c r="AA228">
        <v>354.41</v>
      </c>
      <c r="AB228">
        <v>29.37</v>
      </c>
      <c r="AC228">
        <v>331.73</v>
      </c>
      <c r="AD228">
        <v>42.33</v>
      </c>
      <c r="AE228">
        <v>131.55000000000001</v>
      </c>
      <c r="AF228">
        <v>56.88</v>
      </c>
      <c r="AG228" s="1">
        <v>2.87</v>
      </c>
      <c r="AH228">
        <v>52.86</v>
      </c>
      <c r="AI228">
        <v>173.25</v>
      </c>
      <c r="AJ228" s="1">
        <v>6.81</v>
      </c>
      <c r="AK228">
        <v>183</v>
      </c>
      <c r="AL228">
        <v>24.6</v>
      </c>
      <c r="AM228">
        <v>666.41</v>
      </c>
      <c r="AN228" s="1">
        <v>29.11</v>
      </c>
      <c r="AO228">
        <v>15.8</v>
      </c>
      <c r="AP228">
        <v>133.30000000000001</v>
      </c>
    </row>
    <row r="229" spans="1:42" ht="15.75">
      <c r="A229" t="s">
        <v>688</v>
      </c>
      <c r="B229" s="2" t="s">
        <v>688</v>
      </c>
      <c r="C229" s="2" t="str">
        <f t="shared" si="3"/>
        <v>TRUE</v>
      </c>
      <c r="D229" s="2" t="s">
        <v>865</v>
      </c>
      <c r="E229" s="2" t="s">
        <v>869</v>
      </c>
      <c r="F229" s="2" t="s">
        <v>860</v>
      </c>
      <c r="G229" s="3">
        <v>31009</v>
      </c>
      <c r="H229" s="3">
        <v>43775</v>
      </c>
      <c r="I229" s="2">
        <v>34</v>
      </c>
      <c r="J229" s="2">
        <v>5</v>
      </c>
      <c r="K229" s="2" t="s">
        <v>857</v>
      </c>
      <c r="L229" s="2">
        <v>843</v>
      </c>
      <c r="M229" s="2">
        <v>5</v>
      </c>
      <c r="N229">
        <v>21.17</v>
      </c>
      <c r="O229">
        <v>2.48</v>
      </c>
      <c r="P229" s="1" t="s">
        <v>96</v>
      </c>
      <c r="Q229">
        <v>12.5</v>
      </c>
      <c r="R229" s="1" t="s">
        <v>96</v>
      </c>
      <c r="S229">
        <v>75.150000000000006</v>
      </c>
      <c r="T229">
        <v>188.27</v>
      </c>
      <c r="U229" s="1" t="s">
        <v>96</v>
      </c>
      <c r="V229">
        <v>5.85</v>
      </c>
      <c r="W229">
        <v>18.97</v>
      </c>
      <c r="X229">
        <v>3.55</v>
      </c>
      <c r="Y229" s="1" t="s">
        <v>96</v>
      </c>
      <c r="Z229">
        <v>1854.85</v>
      </c>
      <c r="AA229">
        <v>247.97</v>
      </c>
      <c r="AB229">
        <v>32.369999999999997</v>
      </c>
      <c r="AC229">
        <v>376.6</v>
      </c>
      <c r="AD229">
        <v>59.28</v>
      </c>
      <c r="AE229">
        <v>237.87</v>
      </c>
      <c r="AF229">
        <v>62.92</v>
      </c>
      <c r="AG229" s="1">
        <v>4.25</v>
      </c>
      <c r="AH229">
        <v>85.17</v>
      </c>
      <c r="AI229">
        <v>104.04</v>
      </c>
      <c r="AJ229" s="1" t="s">
        <v>96</v>
      </c>
      <c r="AK229">
        <v>199.47</v>
      </c>
      <c r="AL229">
        <v>47.71</v>
      </c>
      <c r="AM229">
        <v>298.88</v>
      </c>
      <c r="AN229" s="1">
        <v>40.020000000000003</v>
      </c>
      <c r="AO229">
        <v>11.78</v>
      </c>
      <c r="AP229">
        <v>92.24</v>
      </c>
    </row>
    <row r="230" spans="1:42" ht="15.75">
      <c r="A230" t="s">
        <v>553</v>
      </c>
      <c r="B230" s="2" t="s">
        <v>553</v>
      </c>
      <c r="C230" s="2" t="str">
        <f t="shared" si="3"/>
        <v>TRUE</v>
      </c>
      <c r="D230" s="2" t="s">
        <v>865</v>
      </c>
      <c r="E230" s="2" t="s">
        <v>869</v>
      </c>
      <c r="F230" s="2" t="s">
        <v>864</v>
      </c>
      <c r="G230" s="3">
        <v>29371</v>
      </c>
      <c r="H230" s="3">
        <v>43784</v>
      </c>
      <c r="I230" s="2">
        <v>39</v>
      </c>
      <c r="J230" s="2">
        <v>1</v>
      </c>
      <c r="K230" s="2" t="s">
        <v>861</v>
      </c>
      <c r="L230" s="2">
        <v>3792</v>
      </c>
      <c r="M230" s="2">
        <v>8</v>
      </c>
      <c r="N230">
        <v>17.8</v>
      </c>
      <c r="O230">
        <v>35.03</v>
      </c>
      <c r="P230" s="1" t="s">
        <v>96</v>
      </c>
      <c r="Q230">
        <v>88.85</v>
      </c>
      <c r="R230" s="1" t="s">
        <v>96</v>
      </c>
      <c r="S230">
        <v>2.8</v>
      </c>
      <c r="T230" t="s">
        <v>133</v>
      </c>
      <c r="U230" s="1">
        <v>887</v>
      </c>
      <c r="V230">
        <v>406.46</v>
      </c>
      <c r="W230" t="s">
        <v>133</v>
      </c>
      <c r="X230">
        <v>42.09</v>
      </c>
      <c r="Y230" s="1" t="s">
        <v>96</v>
      </c>
      <c r="Z230" t="s">
        <v>133</v>
      </c>
      <c r="AA230" t="s">
        <v>96</v>
      </c>
      <c r="AB230">
        <v>309.08</v>
      </c>
      <c r="AC230" t="s">
        <v>133</v>
      </c>
      <c r="AD230">
        <v>16.47</v>
      </c>
      <c r="AE230">
        <v>232.44</v>
      </c>
      <c r="AF230" t="s">
        <v>96</v>
      </c>
      <c r="AG230" s="1" t="s">
        <v>96</v>
      </c>
      <c r="AH230">
        <v>99.33</v>
      </c>
      <c r="AI230" t="s">
        <v>96</v>
      </c>
      <c r="AJ230" s="1" t="s">
        <v>96</v>
      </c>
      <c r="AK230">
        <v>207.08</v>
      </c>
      <c r="AL230">
        <v>14.1</v>
      </c>
      <c r="AM230" t="s">
        <v>96</v>
      </c>
      <c r="AN230" s="1" t="s">
        <v>96</v>
      </c>
      <c r="AO230">
        <v>112.56</v>
      </c>
      <c r="AP230" t="s">
        <v>96</v>
      </c>
    </row>
    <row r="231" spans="1:42" ht="15.75">
      <c r="A231" t="s">
        <v>280</v>
      </c>
      <c r="B231" s="2" t="s">
        <v>280</v>
      </c>
      <c r="C231" s="2" t="str">
        <f t="shared" si="3"/>
        <v>TRUE</v>
      </c>
      <c r="D231" s="2" t="s">
        <v>865</v>
      </c>
      <c r="E231" s="2" t="s">
        <v>874</v>
      </c>
      <c r="F231" s="2" t="s">
        <v>860</v>
      </c>
      <c r="G231" s="3">
        <v>21300</v>
      </c>
      <c r="H231" s="3">
        <v>43791</v>
      </c>
      <c r="I231" s="2">
        <v>61</v>
      </c>
      <c r="J231" s="2">
        <v>4</v>
      </c>
      <c r="K231" s="2" t="s">
        <v>861</v>
      </c>
      <c r="L231" s="2">
        <v>784</v>
      </c>
      <c r="M231" s="2">
        <v>6</v>
      </c>
      <c r="N231">
        <v>10.83</v>
      </c>
      <c r="O231">
        <v>14.01</v>
      </c>
      <c r="P231" s="1" t="s">
        <v>96</v>
      </c>
      <c r="Q231">
        <v>1.49</v>
      </c>
      <c r="R231" s="1" t="s">
        <v>96</v>
      </c>
      <c r="S231" t="s">
        <v>96</v>
      </c>
      <c r="T231">
        <v>153.94</v>
      </c>
      <c r="U231" s="1">
        <v>2106.02</v>
      </c>
      <c r="V231">
        <v>11.97</v>
      </c>
      <c r="W231">
        <v>142.72</v>
      </c>
      <c r="X231">
        <v>1.1299999999999999</v>
      </c>
      <c r="Y231" s="1" t="s">
        <v>96</v>
      </c>
      <c r="Z231">
        <v>1050.6099999999999</v>
      </c>
      <c r="AA231" t="s">
        <v>96</v>
      </c>
      <c r="AB231">
        <v>92.57</v>
      </c>
      <c r="AC231">
        <v>920.79</v>
      </c>
      <c r="AD231">
        <v>28.55</v>
      </c>
      <c r="AE231" t="s">
        <v>96</v>
      </c>
      <c r="AF231" t="s">
        <v>96</v>
      </c>
      <c r="AG231" s="1" t="s">
        <v>96</v>
      </c>
      <c r="AH231">
        <v>4.16</v>
      </c>
      <c r="AI231" t="s">
        <v>96</v>
      </c>
      <c r="AJ231" s="1" t="s">
        <v>96</v>
      </c>
      <c r="AK231">
        <v>161.83000000000001</v>
      </c>
      <c r="AL231" t="s">
        <v>96</v>
      </c>
      <c r="AM231" t="s">
        <v>96</v>
      </c>
      <c r="AN231" s="1" t="s">
        <v>96</v>
      </c>
      <c r="AO231">
        <v>28.5</v>
      </c>
      <c r="AP231" t="s">
        <v>96</v>
      </c>
    </row>
    <row r="232" spans="1:42" ht="15.75">
      <c r="A232" t="s">
        <v>574</v>
      </c>
      <c r="B232" s="2" t="s">
        <v>574</v>
      </c>
      <c r="C232" s="2" t="str">
        <f t="shared" si="3"/>
        <v>TRUE</v>
      </c>
      <c r="D232" s="2" t="s">
        <v>858</v>
      </c>
      <c r="E232" s="2" t="s">
        <v>863</v>
      </c>
      <c r="F232" s="2" t="s">
        <v>864</v>
      </c>
      <c r="G232" s="3">
        <v>28094</v>
      </c>
      <c r="H232" s="3">
        <v>44251</v>
      </c>
      <c r="I232" s="2">
        <v>44</v>
      </c>
      <c r="J232" s="2">
        <v>2</v>
      </c>
      <c r="K232" s="2" t="s">
        <v>857</v>
      </c>
      <c r="L232" s="2">
        <v>20</v>
      </c>
      <c r="M232" s="2">
        <v>0</v>
      </c>
      <c r="N232">
        <v>32.369999999999997</v>
      </c>
      <c r="O232">
        <v>8.2899999999999991</v>
      </c>
      <c r="P232" s="1">
        <v>10.55</v>
      </c>
      <c r="Q232">
        <v>228.73</v>
      </c>
      <c r="R232" s="1">
        <v>25.22</v>
      </c>
      <c r="S232">
        <v>556.62</v>
      </c>
      <c r="T232">
        <v>497.59</v>
      </c>
      <c r="U232" s="1">
        <v>169.27</v>
      </c>
      <c r="V232">
        <v>148.38999999999999</v>
      </c>
      <c r="W232">
        <v>399.53</v>
      </c>
      <c r="X232">
        <v>11.44</v>
      </c>
      <c r="Y232" s="1">
        <v>3.85</v>
      </c>
      <c r="Z232">
        <v>1006.54</v>
      </c>
      <c r="AA232">
        <v>402.73</v>
      </c>
      <c r="AB232">
        <v>223.38</v>
      </c>
      <c r="AC232">
        <v>494.95</v>
      </c>
      <c r="AD232">
        <v>12.86</v>
      </c>
      <c r="AE232">
        <v>82.17</v>
      </c>
      <c r="AF232">
        <v>26.81</v>
      </c>
      <c r="AG232" s="1">
        <v>2.69</v>
      </c>
      <c r="AH232">
        <v>36.56</v>
      </c>
      <c r="AI232">
        <v>54.46</v>
      </c>
      <c r="AJ232" s="1">
        <v>5.42</v>
      </c>
      <c r="AK232">
        <v>99.28</v>
      </c>
      <c r="AL232">
        <v>15.25</v>
      </c>
      <c r="AM232">
        <v>360.94</v>
      </c>
      <c r="AN232" s="1">
        <v>14.33</v>
      </c>
      <c r="AO232">
        <v>69.06</v>
      </c>
      <c r="AP232">
        <v>109.81</v>
      </c>
    </row>
    <row r="233" spans="1:42" ht="15.75">
      <c r="A233" t="s">
        <v>190</v>
      </c>
      <c r="B233" s="2" t="s">
        <v>190</v>
      </c>
      <c r="C233" s="2" t="str">
        <f t="shared" si="3"/>
        <v>TRUE</v>
      </c>
      <c r="D233" s="2" t="s">
        <v>858</v>
      </c>
      <c r="E233" s="2" t="s">
        <v>863</v>
      </c>
      <c r="F233" s="2" t="s">
        <v>860</v>
      </c>
      <c r="G233" s="3">
        <v>34311</v>
      </c>
      <c r="H233" s="3">
        <v>44259</v>
      </c>
      <c r="I233" s="2">
        <v>27</v>
      </c>
      <c r="J233" s="2">
        <v>2</v>
      </c>
      <c r="K233" s="2" t="s">
        <v>857</v>
      </c>
      <c r="L233" s="2">
        <v>1826</v>
      </c>
      <c r="M233" s="2">
        <v>6</v>
      </c>
      <c r="N233">
        <v>14.52</v>
      </c>
      <c r="O233">
        <v>1.53</v>
      </c>
      <c r="P233" s="1">
        <v>1.58</v>
      </c>
      <c r="Q233">
        <v>14.07</v>
      </c>
      <c r="R233" s="1" t="s">
        <v>96</v>
      </c>
      <c r="S233">
        <v>49.01</v>
      </c>
      <c r="T233">
        <v>55.61</v>
      </c>
      <c r="U233" s="1" t="s">
        <v>96</v>
      </c>
      <c r="V233">
        <v>7.59</v>
      </c>
      <c r="W233">
        <v>21.44</v>
      </c>
      <c r="X233" t="s">
        <v>96</v>
      </c>
      <c r="Y233" s="1" t="s">
        <v>96</v>
      </c>
      <c r="Z233">
        <v>1329.03</v>
      </c>
      <c r="AA233">
        <v>303.51</v>
      </c>
      <c r="AB233">
        <v>72.349999999999994</v>
      </c>
      <c r="AC233">
        <v>422.2</v>
      </c>
      <c r="AD233">
        <v>21.36</v>
      </c>
      <c r="AE233">
        <v>497.03</v>
      </c>
      <c r="AF233">
        <v>184.5</v>
      </c>
      <c r="AG233" s="1">
        <v>9.0299999999999994</v>
      </c>
      <c r="AH233">
        <v>198.37</v>
      </c>
      <c r="AI233">
        <v>166.17</v>
      </c>
      <c r="AJ233" s="1" t="s">
        <v>96</v>
      </c>
      <c r="AK233">
        <v>73.8</v>
      </c>
      <c r="AL233">
        <v>43.06</v>
      </c>
      <c r="AM233">
        <v>127.1</v>
      </c>
      <c r="AN233" s="1">
        <v>50.4</v>
      </c>
      <c r="AO233">
        <v>8.2100000000000009</v>
      </c>
      <c r="AP233">
        <v>56.69</v>
      </c>
    </row>
    <row r="234" spans="1:42" ht="15.75">
      <c r="A234" t="s">
        <v>529</v>
      </c>
      <c r="B234" s="2" t="s">
        <v>529</v>
      </c>
      <c r="C234" s="2" t="str">
        <f t="shared" si="3"/>
        <v>TRUE</v>
      </c>
      <c r="D234" s="2" t="s">
        <v>858</v>
      </c>
      <c r="E234" s="2" t="s">
        <v>863</v>
      </c>
      <c r="F234" s="2" t="s">
        <v>864</v>
      </c>
      <c r="G234" s="3">
        <v>23988</v>
      </c>
      <c r="H234" s="3">
        <v>44264</v>
      </c>
      <c r="I234" s="2">
        <v>55</v>
      </c>
      <c r="J234" s="2">
        <v>2</v>
      </c>
      <c r="K234" s="2" t="s">
        <v>861</v>
      </c>
      <c r="L234" s="2">
        <v>57</v>
      </c>
      <c r="M234" s="2">
        <v>1</v>
      </c>
      <c r="N234">
        <v>27.1</v>
      </c>
      <c r="O234">
        <v>9.56</v>
      </c>
      <c r="P234" s="1">
        <v>38.64</v>
      </c>
      <c r="Q234">
        <v>240.11</v>
      </c>
      <c r="R234" s="1">
        <v>30.24</v>
      </c>
      <c r="S234">
        <v>395.03</v>
      </c>
      <c r="T234">
        <v>104.02</v>
      </c>
      <c r="U234" s="1" t="s">
        <v>96</v>
      </c>
      <c r="V234">
        <v>52.07</v>
      </c>
      <c r="W234">
        <v>58.92</v>
      </c>
      <c r="X234">
        <v>2.71</v>
      </c>
      <c r="Y234" s="1">
        <v>34.770000000000003</v>
      </c>
      <c r="Z234" t="s">
        <v>133</v>
      </c>
      <c r="AA234" t="s">
        <v>133</v>
      </c>
      <c r="AB234">
        <v>245.38</v>
      </c>
      <c r="AC234" t="s">
        <v>133</v>
      </c>
      <c r="AD234">
        <v>25.07</v>
      </c>
      <c r="AE234">
        <v>703.33</v>
      </c>
      <c r="AF234">
        <v>407.33</v>
      </c>
      <c r="AG234" s="1" t="s">
        <v>96</v>
      </c>
      <c r="AH234">
        <v>934.19</v>
      </c>
      <c r="AI234">
        <v>48.23</v>
      </c>
      <c r="AJ234" s="1">
        <v>5.97</v>
      </c>
      <c r="AK234">
        <v>118.12</v>
      </c>
      <c r="AL234">
        <v>5.96</v>
      </c>
      <c r="AM234">
        <v>608.11</v>
      </c>
      <c r="AN234" s="1">
        <v>15.92</v>
      </c>
      <c r="AO234">
        <v>25.1</v>
      </c>
      <c r="AP234">
        <v>157.11000000000001</v>
      </c>
    </row>
    <row r="235" spans="1:42" ht="15.75">
      <c r="A235" t="s">
        <v>154</v>
      </c>
      <c r="B235" s="2" t="s">
        <v>154</v>
      </c>
      <c r="C235" s="2" t="str">
        <f t="shared" si="3"/>
        <v>TRUE</v>
      </c>
      <c r="D235" s="2" t="s">
        <v>885</v>
      </c>
      <c r="E235" s="2" t="s">
        <v>856</v>
      </c>
      <c r="F235" s="2" t="s">
        <v>856</v>
      </c>
      <c r="G235" s="3">
        <v>26667</v>
      </c>
      <c r="H235" s="3">
        <v>44231</v>
      </c>
      <c r="I235" s="2">
        <v>48</v>
      </c>
      <c r="J235" s="2">
        <v>1</v>
      </c>
      <c r="K235" s="2" t="s">
        <v>857</v>
      </c>
      <c r="L235" s="2" t="s">
        <v>856</v>
      </c>
      <c r="M235" s="2" t="s">
        <v>856</v>
      </c>
      <c r="N235">
        <v>26.89</v>
      </c>
      <c r="O235">
        <v>10.44</v>
      </c>
      <c r="P235" s="1">
        <v>7.7</v>
      </c>
      <c r="Q235">
        <v>205.69</v>
      </c>
      <c r="R235" s="1">
        <v>10.130000000000001</v>
      </c>
      <c r="S235">
        <v>185.24</v>
      </c>
      <c r="T235">
        <v>97.97</v>
      </c>
      <c r="U235" s="1">
        <v>377.96</v>
      </c>
      <c r="V235">
        <v>75.930000000000007</v>
      </c>
      <c r="W235">
        <v>51.33</v>
      </c>
      <c r="X235">
        <v>11.46</v>
      </c>
      <c r="Y235" s="1">
        <v>3.1</v>
      </c>
      <c r="Z235">
        <v>164.96</v>
      </c>
      <c r="AA235">
        <v>69.849999999999994</v>
      </c>
      <c r="AB235">
        <v>41.15</v>
      </c>
      <c r="AC235">
        <v>36.33</v>
      </c>
      <c r="AD235">
        <v>10.86</v>
      </c>
      <c r="AE235">
        <v>16.72</v>
      </c>
      <c r="AF235">
        <v>6.68</v>
      </c>
      <c r="AG235" s="1">
        <v>3.32</v>
      </c>
      <c r="AH235">
        <v>3.35</v>
      </c>
      <c r="AI235">
        <v>69.66</v>
      </c>
      <c r="AJ235" s="1">
        <v>4.62</v>
      </c>
      <c r="AK235">
        <v>99.4</v>
      </c>
      <c r="AL235">
        <v>22.02</v>
      </c>
      <c r="AM235">
        <v>239.4</v>
      </c>
      <c r="AN235" s="1">
        <v>34.79</v>
      </c>
      <c r="AO235">
        <v>32.94</v>
      </c>
      <c r="AP235">
        <v>118.97</v>
      </c>
    </row>
    <row r="236" spans="1:42" ht="15.75">
      <c r="A236" t="s">
        <v>535</v>
      </c>
      <c r="B236" s="2" t="s">
        <v>535</v>
      </c>
      <c r="C236" s="2" t="str">
        <f t="shared" si="3"/>
        <v>TRUE</v>
      </c>
      <c r="D236" s="2" t="s">
        <v>885</v>
      </c>
      <c r="E236" s="2" t="s">
        <v>856</v>
      </c>
      <c r="F236" s="2" t="s">
        <v>856</v>
      </c>
      <c r="G236" s="3">
        <v>24872</v>
      </c>
      <c r="H236" s="3">
        <v>44231</v>
      </c>
      <c r="I236" s="2">
        <v>53</v>
      </c>
      <c r="J236" s="2">
        <v>1</v>
      </c>
      <c r="K236" s="2" t="s">
        <v>857</v>
      </c>
      <c r="L236" s="2" t="s">
        <v>856</v>
      </c>
      <c r="M236" s="2" t="s">
        <v>856</v>
      </c>
      <c r="N236">
        <v>11.82</v>
      </c>
      <c r="O236">
        <v>1.94</v>
      </c>
      <c r="P236" s="1">
        <v>2.73</v>
      </c>
      <c r="Q236">
        <v>354.57</v>
      </c>
      <c r="R236" s="1">
        <v>20.74</v>
      </c>
      <c r="S236">
        <v>150.93</v>
      </c>
      <c r="T236">
        <v>89.37</v>
      </c>
      <c r="U236" s="1" t="s">
        <v>96</v>
      </c>
      <c r="V236">
        <v>33.75</v>
      </c>
      <c r="W236">
        <v>3.29</v>
      </c>
      <c r="X236">
        <v>1.35</v>
      </c>
      <c r="Y236" s="1" t="s">
        <v>96</v>
      </c>
      <c r="Z236">
        <v>130.19</v>
      </c>
      <c r="AA236">
        <v>49.3</v>
      </c>
      <c r="AB236">
        <v>26.23</v>
      </c>
      <c r="AC236">
        <v>35.79</v>
      </c>
      <c r="AD236">
        <v>9.75</v>
      </c>
      <c r="AE236">
        <v>38.53</v>
      </c>
      <c r="AF236">
        <v>16.98</v>
      </c>
      <c r="AG236" s="1">
        <v>2.72</v>
      </c>
      <c r="AH236">
        <v>8.19</v>
      </c>
      <c r="AI236">
        <v>236.14</v>
      </c>
      <c r="AJ236" s="1">
        <v>5.79</v>
      </c>
      <c r="AK236">
        <v>84.83</v>
      </c>
      <c r="AL236">
        <v>29.59</v>
      </c>
      <c r="AM236">
        <v>575.23</v>
      </c>
      <c r="AN236" s="1">
        <v>81.38</v>
      </c>
      <c r="AO236">
        <v>25.29</v>
      </c>
      <c r="AP236">
        <v>155.94</v>
      </c>
    </row>
    <row r="237" spans="1:42" ht="15.75">
      <c r="A237" t="s">
        <v>129</v>
      </c>
      <c r="B237" s="2" t="s">
        <v>129</v>
      </c>
      <c r="C237" s="2" t="str">
        <f t="shared" si="3"/>
        <v>TRUE</v>
      </c>
      <c r="D237" s="2" t="s">
        <v>885</v>
      </c>
      <c r="E237" s="2" t="s">
        <v>856</v>
      </c>
      <c r="F237" s="2" t="s">
        <v>856</v>
      </c>
      <c r="G237" s="3">
        <v>24477</v>
      </c>
      <c r="H237" s="3">
        <v>44233</v>
      </c>
      <c r="I237" s="2">
        <v>54</v>
      </c>
      <c r="J237" s="2">
        <v>1</v>
      </c>
      <c r="K237" s="2" t="s">
        <v>861</v>
      </c>
      <c r="L237" s="2" t="s">
        <v>856</v>
      </c>
      <c r="M237" s="2" t="s">
        <v>856</v>
      </c>
      <c r="N237">
        <v>28.65</v>
      </c>
      <c r="O237" t="s">
        <v>96</v>
      </c>
      <c r="P237" s="1">
        <v>4.25</v>
      </c>
      <c r="Q237">
        <v>94.17</v>
      </c>
      <c r="R237" s="1">
        <v>19.13</v>
      </c>
      <c r="S237">
        <v>84.94</v>
      </c>
      <c r="T237">
        <v>15.68</v>
      </c>
      <c r="U237" s="1">
        <v>250.95</v>
      </c>
      <c r="V237">
        <v>28.81</v>
      </c>
      <c r="W237">
        <v>6.36</v>
      </c>
      <c r="X237">
        <v>1.03</v>
      </c>
      <c r="Y237" s="1">
        <v>7.32</v>
      </c>
      <c r="Z237">
        <v>475.57</v>
      </c>
      <c r="AA237">
        <v>232.8</v>
      </c>
      <c r="AB237">
        <v>50.82</v>
      </c>
      <c r="AC237">
        <v>96.99</v>
      </c>
      <c r="AD237">
        <v>4.03</v>
      </c>
      <c r="AE237">
        <v>151.69999999999999</v>
      </c>
      <c r="AF237">
        <v>105.36</v>
      </c>
      <c r="AG237" s="1">
        <v>2.96</v>
      </c>
      <c r="AH237">
        <v>59.94</v>
      </c>
      <c r="AI237">
        <v>198.58</v>
      </c>
      <c r="AJ237" s="1">
        <v>3.47</v>
      </c>
      <c r="AK237">
        <v>29.92</v>
      </c>
      <c r="AL237">
        <v>11.55</v>
      </c>
      <c r="AM237">
        <v>191.7</v>
      </c>
      <c r="AN237" s="1">
        <v>50.76</v>
      </c>
      <c r="AO237">
        <v>8.5299999999999994</v>
      </c>
      <c r="AP237">
        <v>77.180000000000007</v>
      </c>
    </row>
    <row r="238" spans="1:42" ht="15.75">
      <c r="A238" t="s">
        <v>625</v>
      </c>
      <c r="B238" s="2" t="s">
        <v>625</v>
      </c>
      <c r="C238" s="2" t="str">
        <f t="shared" si="3"/>
        <v>TRUE</v>
      </c>
      <c r="D238" s="2" t="s">
        <v>885</v>
      </c>
      <c r="E238" s="2" t="s">
        <v>856</v>
      </c>
      <c r="F238" s="2" t="s">
        <v>856</v>
      </c>
      <c r="G238" s="3">
        <v>32884</v>
      </c>
      <c r="H238" s="3">
        <v>44233</v>
      </c>
      <c r="I238" s="2">
        <v>31</v>
      </c>
      <c r="J238" s="2">
        <v>1</v>
      </c>
      <c r="K238" s="2" t="s">
        <v>857</v>
      </c>
      <c r="L238" s="2" t="s">
        <v>856</v>
      </c>
      <c r="M238" s="2" t="s">
        <v>856</v>
      </c>
      <c r="N238">
        <v>18.059999999999999</v>
      </c>
      <c r="O238" t="s">
        <v>96</v>
      </c>
      <c r="P238" s="1">
        <v>9.51</v>
      </c>
      <c r="Q238">
        <v>23.15</v>
      </c>
      <c r="R238" s="1">
        <v>74.900000000000006</v>
      </c>
      <c r="S238">
        <v>344.54</v>
      </c>
      <c r="T238">
        <v>45.88</v>
      </c>
      <c r="U238" s="1" t="s">
        <v>96</v>
      </c>
      <c r="V238">
        <v>29.79</v>
      </c>
      <c r="W238">
        <v>104.62</v>
      </c>
      <c r="X238">
        <v>6.78</v>
      </c>
      <c r="Y238" s="1">
        <v>6.25</v>
      </c>
      <c r="Z238">
        <v>283.5</v>
      </c>
      <c r="AA238">
        <v>161.94999999999999</v>
      </c>
      <c r="AB238">
        <v>12.82</v>
      </c>
      <c r="AC238">
        <v>113.17</v>
      </c>
      <c r="AD238">
        <v>12.21</v>
      </c>
      <c r="AE238">
        <v>33.29</v>
      </c>
      <c r="AF238">
        <v>26.41</v>
      </c>
      <c r="AG238" s="1">
        <v>2.76</v>
      </c>
      <c r="AH238">
        <v>16.73</v>
      </c>
      <c r="AI238">
        <v>144.18</v>
      </c>
      <c r="AJ238" s="1">
        <v>6.03</v>
      </c>
      <c r="AK238">
        <v>90.23</v>
      </c>
      <c r="AL238">
        <v>19.11</v>
      </c>
      <c r="AM238">
        <v>467.16</v>
      </c>
      <c r="AN238" s="1">
        <v>64.319999999999993</v>
      </c>
      <c r="AO238">
        <v>6.58</v>
      </c>
      <c r="AP238">
        <v>226.19</v>
      </c>
    </row>
    <row r="239" spans="1:42" ht="15.75">
      <c r="A239" t="s">
        <v>769</v>
      </c>
      <c r="B239" s="2" t="s">
        <v>769</v>
      </c>
      <c r="C239" s="2" t="str">
        <f t="shared" si="3"/>
        <v>TRUE</v>
      </c>
      <c r="D239" s="2" t="s">
        <v>885</v>
      </c>
      <c r="E239" s="2" t="s">
        <v>856</v>
      </c>
      <c r="F239" s="2" t="s">
        <v>856</v>
      </c>
      <c r="G239" s="3">
        <v>33635</v>
      </c>
      <c r="H239" s="3">
        <v>44236</v>
      </c>
      <c r="I239" s="2">
        <v>29</v>
      </c>
      <c r="J239" s="2">
        <v>1</v>
      </c>
      <c r="K239" s="2" t="s">
        <v>857</v>
      </c>
      <c r="L239" s="2" t="s">
        <v>856</v>
      </c>
      <c r="M239" s="2" t="s">
        <v>856</v>
      </c>
      <c r="N239">
        <v>24.14</v>
      </c>
      <c r="O239">
        <v>7.77</v>
      </c>
      <c r="P239" s="1">
        <v>10.47</v>
      </c>
      <c r="Q239">
        <v>60.43</v>
      </c>
      <c r="R239" s="1">
        <v>32.92</v>
      </c>
      <c r="S239">
        <v>270.36</v>
      </c>
      <c r="T239">
        <v>136.68</v>
      </c>
      <c r="U239" s="1">
        <v>240.19</v>
      </c>
      <c r="V239">
        <v>41.06</v>
      </c>
      <c r="W239">
        <v>260.39999999999998</v>
      </c>
      <c r="X239">
        <v>7.97</v>
      </c>
      <c r="Y239" s="1">
        <v>3.78</v>
      </c>
      <c r="Z239">
        <v>1545.03</v>
      </c>
      <c r="AA239">
        <v>677.17</v>
      </c>
      <c r="AB239">
        <v>64.3</v>
      </c>
      <c r="AC239">
        <v>910.33</v>
      </c>
      <c r="AD239">
        <v>16.489999999999998</v>
      </c>
      <c r="AE239">
        <v>168.63</v>
      </c>
      <c r="AF239">
        <v>99.87</v>
      </c>
      <c r="AG239" s="1">
        <v>4.66</v>
      </c>
      <c r="AH239">
        <v>133.44999999999999</v>
      </c>
      <c r="AI239">
        <v>155.33000000000001</v>
      </c>
      <c r="AJ239" s="1">
        <v>12.65</v>
      </c>
      <c r="AK239">
        <v>112.08</v>
      </c>
      <c r="AL239">
        <v>18.510000000000002</v>
      </c>
      <c r="AM239">
        <v>714.97</v>
      </c>
      <c r="AN239" s="1">
        <v>20.86</v>
      </c>
      <c r="AO239">
        <v>12.25</v>
      </c>
      <c r="AP239">
        <v>112.86</v>
      </c>
    </row>
    <row r="240" spans="1:42" ht="15.75">
      <c r="A240" t="s">
        <v>376</v>
      </c>
      <c r="B240" s="2" t="s">
        <v>376</v>
      </c>
      <c r="C240" s="2" t="str">
        <f t="shared" si="3"/>
        <v>TRUE</v>
      </c>
      <c r="D240" s="2" t="s">
        <v>885</v>
      </c>
      <c r="E240" s="2" t="s">
        <v>856</v>
      </c>
      <c r="F240" s="2" t="s">
        <v>856</v>
      </c>
      <c r="G240" s="3">
        <v>33608</v>
      </c>
      <c r="H240" s="3">
        <v>44237</v>
      </c>
      <c r="I240" s="2">
        <v>29</v>
      </c>
      <c r="J240" s="2">
        <v>1</v>
      </c>
      <c r="K240" s="2" t="s">
        <v>857</v>
      </c>
      <c r="L240" s="2" t="s">
        <v>856</v>
      </c>
      <c r="M240" s="2" t="s">
        <v>856</v>
      </c>
      <c r="N240">
        <v>19.649999999999999</v>
      </c>
      <c r="O240">
        <v>1.26</v>
      </c>
      <c r="P240" s="1">
        <v>3.66</v>
      </c>
      <c r="Q240">
        <v>98.66</v>
      </c>
      <c r="R240" s="1">
        <v>12.39</v>
      </c>
      <c r="S240">
        <v>79.64</v>
      </c>
      <c r="T240">
        <v>39.659999999999997</v>
      </c>
      <c r="U240" s="1">
        <v>117.47</v>
      </c>
      <c r="V240">
        <v>7.62</v>
      </c>
      <c r="W240">
        <v>25.38</v>
      </c>
      <c r="X240">
        <v>3.63</v>
      </c>
      <c r="Y240" s="1">
        <v>8.2799999999999994</v>
      </c>
      <c r="Z240">
        <v>524.99</v>
      </c>
      <c r="AA240">
        <v>105.41</v>
      </c>
      <c r="AB240">
        <v>40.049999999999997</v>
      </c>
      <c r="AC240">
        <v>88.78</v>
      </c>
      <c r="AD240">
        <v>10.19</v>
      </c>
      <c r="AE240">
        <v>28.03</v>
      </c>
      <c r="AF240">
        <v>5.94</v>
      </c>
      <c r="AG240" s="1">
        <v>2.78</v>
      </c>
      <c r="AH240">
        <v>4.92</v>
      </c>
      <c r="AI240">
        <v>51.36</v>
      </c>
      <c r="AJ240" s="1">
        <v>5.45</v>
      </c>
      <c r="AK240">
        <v>31.32</v>
      </c>
      <c r="AL240">
        <v>5.92</v>
      </c>
      <c r="AM240">
        <v>319.41000000000003</v>
      </c>
      <c r="AN240" s="1">
        <v>7.79</v>
      </c>
      <c r="AO240">
        <v>5.2</v>
      </c>
      <c r="AP240">
        <v>36.44</v>
      </c>
    </row>
    <row r="241" spans="1:42" ht="15.75">
      <c r="A241" t="s">
        <v>286</v>
      </c>
      <c r="B241" s="2" t="s">
        <v>286</v>
      </c>
      <c r="C241" s="2" t="str">
        <f t="shared" si="3"/>
        <v>TRUE</v>
      </c>
      <c r="D241" s="2" t="s">
        <v>885</v>
      </c>
      <c r="E241" s="2" t="s">
        <v>856</v>
      </c>
      <c r="F241" s="2" t="s">
        <v>856</v>
      </c>
      <c r="G241" s="3">
        <v>34726</v>
      </c>
      <c r="H241" s="3">
        <v>44237</v>
      </c>
      <c r="I241" s="2">
        <v>26</v>
      </c>
      <c r="J241" s="2">
        <v>1</v>
      </c>
      <c r="K241" s="2" t="s">
        <v>857</v>
      </c>
      <c r="L241" s="2" t="s">
        <v>856</v>
      </c>
      <c r="M241" s="2" t="s">
        <v>856</v>
      </c>
      <c r="N241">
        <v>14.23</v>
      </c>
      <c r="O241" t="s">
        <v>96</v>
      </c>
      <c r="P241" s="1">
        <v>5.12</v>
      </c>
      <c r="Q241">
        <v>27.89</v>
      </c>
      <c r="R241" s="1">
        <v>39.770000000000003</v>
      </c>
      <c r="S241">
        <v>209.81</v>
      </c>
      <c r="T241">
        <v>16.260000000000002</v>
      </c>
      <c r="U241" s="1">
        <v>152.41</v>
      </c>
      <c r="V241">
        <v>51.76</v>
      </c>
      <c r="W241">
        <v>36.64</v>
      </c>
      <c r="X241">
        <v>1.48</v>
      </c>
      <c r="Y241" s="1" t="s">
        <v>96</v>
      </c>
      <c r="Z241">
        <v>179.11</v>
      </c>
      <c r="AA241">
        <v>105.61</v>
      </c>
      <c r="AB241">
        <v>6.25</v>
      </c>
      <c r="AC241">
        <v>106.75</v>
      </c>
      <c r="AD241">
        <v>6.22</v>
      </c>
      <c r="AE241">
        <v>25.17</v>
      </c>
      <c r="AF241">
        <v>15.4</v>
      </c>
      <c r="AG241" s="1" t="s">
        <v>96</v>
      </c>
      <c r="AH241">
        <v>11.07</v>
      </c>
      <c r="AI241">
        <v>85.77</v>
      </c>
      <c r="AJ241" s="1">
        <v>3.2</v>
      </c>
      <c r="AK241">
        <v>40.35</v>
      </c>
      <c r="AL241">
        <v>8.9499999999999993</v>
      </c>
      <c r="AM241">
        <v>202.75</v>
      </c>
      <c r="AN241" s="1">
        <v>15.27</v>
      </c>
      <c r="AO241" t="s">
        <v>96</v>
      </c>
      <c r="AP241">
        <v>49.9</v>
      </c>
    </row>
    <row r="242" spans="1:42" ht="15.75">
      <c r="A242" t="s">
        <v>811</v>
      </c>
      <c r="B242" s="2" t="s">
        <v>811</v>
      </c>
      <c r="C242" s="2" t="str">
        <f t="shared" si="3"/>
        <v>TRUE</v>
      </c>
      <c r="D242" s="2" t="s">
        <v>885</v>
      </c>
      <c r="E242" s="2" t="s">
        <v>856</v>
      </c>
      <c r="F242" s="2" t="s">
        <v>856</v>
      </c>
      <c r="G242" s="3">
        <v>31660</v>
      </c>
      <c r="H242" s="3">
        <v>44237</v>
      </c>
      <c r="I242" s="2">
        <v>34</v>
      </c>
      <c r="J242" s="2">
        <v>1</v>
      </c>
      <c r="K242" s="2" t="s">
        <v>861</v>
      </c>
      <c r="L242" s="2" t="s">
        <v>856</v>
      </c>
      <c r="M242" s="2" t="s">
        <v>856</v>
      </c>
      <c r="N242">
        <v>32.46</v>
      </c>
      <c r="O242">
        <v>5.31</v>
      </c>
      <c r="P242" s="1">
        <v>10.55</v>
      </c>
      <c r="Q242">
        <v>216.44</v>
      </c>
      <c r="R242" s="1">
        <v>73.28</v>
      </c>
      <c r="S242">
        <v>438.05</v>
      </c>
      <c r="T242">
        <v>178.23</v>
      </c>
      <c r="U242" s="1">
        <v>233.26</v>
      </c>
      <c r="V242">
        <v>89.9</v>
      </c>
      <c r="W242">
        <v>77.22</v>
      </c>
      <c r="X242">
        <v>12.7</v>
      </c>
      <c r="Y242" s="1">
        <v>17.12</v>
      </c>
      <c r="Z242">
        <v>469.94</v>
      </c>
      <c r="AA242">
        <v>262.16000000000003</v>
      </c>
      <c r="AB242">
        <v>117.05</v>
      </c>
      <c r="AC242">
        <v>203.7</v>
      </c>
      <c r="AD242">
        <v>32.75</v>
      </c>
      <c r="AE242">
        <v>34.31</v>
      </c>
      <c r="AF242">
        <v>20.3</v>
      </c>
      <c r="AG242" s="1">
        <v>4.66</v>
      </c>
      <c r="AH242">
        <v>15.37</v>
      </c>
      <c r="AI242">
        <v>263.60000000000002</v>
      </c>
      <c r="AJ242" s="1">
        <v>10.89</v>
      </c>
      <c r="AK242">
        <v>226.23</v>
      </c>
      <c r="AL242">
        <v>32.58</v>
      </c>
      <c r="AM242">
        <v>1102.1199999999999</v>
      </c>
      <c r="AN242" s="1">
        <v>44.97</v>
      </c>
      <c r="AO242">
        <v>53.73</v>
      </c>
      <c r="AP242">
        <v>319.38</v>
      </c>
    </row>
    <row r="243" spans="1:42" ht="15.75">
      <c r="A243" t="s">
        <v>643</v>
      </c>
      <c r="B243" s="2" t="s">
        <v>643</v>
      </c>
      <c r="C243" s="2" t="str">
        <f t="shared" si="3"/>
        <v>TRUE</v>
      </c>
      <c r="D243" s="2" t="s">
        <v>885</v>
      </c>
      <c r="E243" s="2" t="s">
        <v>856</v>
      </c>
      <c r="F243" s="2" t="s">
        <v>856</v>
      </c>
      <c r="G243" s="3">
        <v>33457</v>
      </c>
      <c r="H243" s="3">
        <v>44238</v>
      </c>
      <c r="I243" s="2">
        <v>29</v>
      </c>
      <c r="J243" s="2">
        <v>1</v>
      </c>
      <c r="K243" s="2" t="s">
        <v>857</v>
      </c>
      <c r="L243" s="2" t="s">
        <v>856</v>
      </c>
      <c r="M243" s="2" t="s">
        <v>856</v>
      </c>
      <c r="N243">
        <v>21.57</v>
      </c>
      <c r="O243">
        <v>2.86</v>
      </c>
      <c r="P243" s="1">
        <v>1.74</v>
      </c>
      <c r="Q243">
        <v>24.73</v>
      </c>
      <c r="R243" s="1" t="s">
        <v>96</v>
      </c>
      <c r="S243">
        <v>37.26</v>
      </c>
      <c r="T243">
        <v>146.82</v>
      </c>
      <c r="U243" s="1">
        <v>95.58</v>
      </c>
      <c r="V243">
        <v>20.59</v>
      </c>
      <c r="W243">
        <v>144.15</v>
      </c>
      <c r="X243">
        <v>3.72</v>
      </c>
      <c r="Y243" s="1" t="s">
        <v>96</v>
      </c>
      <c r="Z243" t="s">
        <v>133</v>
      </c>
      <c r="AA243">
        <v>277.93</v>
      </c>
      <c r="AB243">
        <v>182.71</v>
      </c>
      <c r="AC243">
        <v>680.43</v>
      </c>
      <c r="AD243">
        <v>23.3</v>
      </c>
      <c r="AE243">
        <v>675.46</v>
      </c>
      <c r="AF243">
        <v>97.73</v>
      </c>
      <c r="AG243" s="1">
        <v>3.82</v>
      </c>
      <c r="AH243">
        <v>180.4</v>
      </c>
      <c r="AI243">
        <v>222.22</v>
      </c>
      <c r="AJ243" s="1" t="s">
        <v>96</v>
      </c>
      <c r="AK243">
        <v>82.69</v>
      </c>
      <c r="AL243">
        <v>29.86</v>
      </c>
      <c r="AM243">
        <v>329.62</v>
      </c>
      <c r="AN243" s="1">
        <v>9.7899999999999991</v>
      </c>
      <c r="AO243">
        <v>7.36</v>
      </c>
      <c r="AP243">
        <v>20.61</v>
      </c>
    </row>
    <row r="244" spans="1:42" ht="15.75">
      <c r="A244" t="s">
        <v>739</v>
      </c>
      <c r="B244" s="2" t="s">
        <v>739</v>
      </c>
      <c r="C244" s="2" t="str">
        <f t="shared" si="3"/>
        <v>TRUE</v>
      </c>
      <c r="D244" s="2" t="s">
        <v>885</v>
      </c>
      <c r="E244" s="2" t="s">
        <v>856</v>
      </c>
      <c r="F244" s="2" t="s">
        <v>856</v>
      </c>
      <c r="G244" s="3">
        <v>31079</v>
      </c>
      <c r="H244" s="3">
        <v>44238</v>
      </c>
      <c r="I244" s="2">
        <v>36</v>
      </c>
      <c r="J244" s="2">
        <v>1</v>
      </c>
      <c r="K244" s="2" t="s">
        <v>861</v>
      </c>
      <c r="L244" s="2" t="s">
        <v>856</v>
      </c>
      <c r="M244" s="2" t="s">
        <v>856</v>
      </c>
      <c r="N244">
        <v>20.54</v>
      </c>
      <c r="O244">
        <v>21.89</v>
      </c>
      <c r="P244" s="1">
        <v>17.989999999999998</v>
      </c>
      <c r="Q244">
        <v>307.43</v>
      </c>
      <c r="R244" s="1">
        <v>128.52000000000001</v>
      </c>
      <c r="S244">
        <v>925.74</v>
      </c>
      <c r="T244">
        <v>515.46</v>
      </c>
      <c r="U244" s="1">
        <v>85.49</v>
      </c>
      <c r="V244">
        <v>145.91</v>
      </c>
      <c r="W244">
        <v>183.53</v>
      </c>
      <c r="X244">
        <v>5.0199999999999996</v>
      </c>
      <c r="Y244" s="1">
        <v>5.66</v>
      </c>
      <c r="Z244">
        <v>349.51</v>
      </c>
      <c r="AA244">
        <v>248.42</v>
      </c>
      <c r="AB244">
        <v>71.72</v>
      </c>
      <c r="AC244">
        <v>80.760000000000005</v>
      </c>
      <c r="AD244">
        <v>2.82</v>
      </c>
      <c r="AE244">
        <v>20.68</v>
      </c>
      <c r="AF244">
        <v>13.03</v>
      </c>
      <c r="AG244" s="1" t="s">
        <v>96</v>
      </c>
      <c r="AH244">
        <v>8.41</v>
      </c>
      <c r="AI244">
        <v>22.73</v>
      </c>
      <c r="AJ244" s="1">
        <v>4.28</v>
      </c>
      <c r="AK244">
        <v>28.86</v>
      </c>
      <c r="AL244" t="s">
        <v>96</v>
      </c>
      <c r="AM244">
        <v>291.20999999999998</v>
      </c>
      <c r="AN244" s="1">
        <v>7.86</v>
      </c>
      <c r="AO244">
        <v>36.29</v>
      </c>
      <c r="AP244">
        <v>65.78</v>
      </c>
    </row>
    <row r="245" spans="1:42" ht="15.75">
      <c r="A245" t="s">
        <v>781</v>
      </c>
      <c r="B245" s="2" t="s">
        <v>781</v>
      </c>
      <c r="C245" s="2" t="str">
        <f t="shared" si="3"/>
        <v>TRUE</v>
      </c>
      <c r="D245" s="2" t="s">
        <v>885</v>
      </c>
      <c r="E245" s="2" t="s">
        <v>856</v>
      </c>
      <c r="F245" s="2" t="s">
        <v>856</v>
      </c>
      <c r="G245" s="3">
        <v>31751</v>
      </c>
      <c r="H245" s="3">
        <v>44244</v>
      </c>
      <c r="I245" s="2">
        <v>34</v>
      </c>
      <c r="J245" s="2">
        <v>1</v>
      </c>
      <c r="K245" s="2" t="s">
        <v>861</v>
      </c>
      <c r="L245" s="2" t="s">
        <v>856</v>
      </c>
      <c r="M245" s="2" t="s">
        <v>856</v>
      </c>
      <c r="N245">
        <v>13.63</v>
      </c>
      <c r="O245">
        <v>13.61</v>
      </c>
      <c r="P245" s="1">
        <v>23.29</v>
      </c>
      <c r="Q245">
        <v>51.68</v>
      </c>
      <c r="R245" s="1">
        <v>61.58</v>
      </c>
      <c r="S245" t="s">
        <v>133</v>
      </c>
      <c r="T245">
        <v>650.80999999999995</v>
      </c>
      <c r="U245" s="1">
        <v>151.94999999999999</v>
      </c>
      <c r="V245">
        <v>92.66</v>
      </c>
      <c r="W245" t="s">
        <v>133</v>
      </c>
      <c r="X245">
        <v>15.99</v>
      </c>
      <c r="Y245" s="1">
        <v>6.81</v>
      </c>
      <c r="Z245">
        <v>866.09</v>
      </c>
      <c r="AA245">
        <v>922.14</v>
      </c>
      <c r="AB245">
        <v>128.59</v>
      </c>
      <c r="AC245">
        <v>308.45999999999998</v>
      </c>
      <c r="AD245">
        <v>13.62</v>
      </c>
      <c r="AE245">
        <v>42.79</v>
      </c>
      <c r="AF245">
        <v>60.7</v>
      </c>
      <c r="AG245" s="1">
        <v>3.21</v>
      </c>
      <c r="AH245">
        <v>16.75</v>
      </c>
      <c r="AI245">
        <v>62.8</v>
      </c>
      <c r="AJ245" s="1">
        <v>14.67</v>
      </c>
      <c r="AK245">
        <v>47.18</v>
      </c>
      <c r="AL245" t="s">
        <v>96</v>
      </c>
      <c r="AM245">
        <v>433.33</v>
      </c>
      <c r="AN245" s="1">
        <v>16.510000000000002</v>
      </c>
      <c r="AO245">
        <v>22.62</v>
      </c>
      <c r="AP245">
        <v>128.72999999999999</v>
      </c>
    </row>
    <row r="246" spans="1:42" ht="15.75">
      <c r="A246" t="s">
        <v>226</v>
      </c>
      <c r="B246" s="2" t="s">
        <v>226</v>
      </c>
      <c r="C246" s="2" t="str">
        <f t="shared" si="3"/>
        <v>TRUE</v>
      </c>
      <c r="D246" s="2" t="s">
        <v>885</v>
      </c>
      <c r="E246" s="2" t="s">
        <v>856</v>
      </c>
      <c r="F246" s="2" t="s">
        <v>856</v>
      </c>
      <c r="G246" s="3">
        <v>31873</v>
      </c>
      <c r="H246" s="3">
        <v>44244</v>
      </c>
      <c r="I246" s="2">
        <v>33</v>
      </c>
      <c r="J246" s="2">
        <v>1</v>
      </c>
      <c r="K246" s="2" t="s">
        <v>857</v>
      </c>
      <c r="L246" s="2" t="s">
        <v>856</v>
      </c>
      <c r="M246" s="2" t="s">
        <v>856</v>
      </c>
      <c r="N246">
        <v>26.74</v>
      </c>
      <c r="O246">
        <v>22.56</v>
      </c>
      <c r="P246" s="1">
        <v>29.01</v>
      </c>
      <c r="Q246">
        <v>22.96</v>
      </c>
      <c r="R246" s="1">
        <v>33.04</v>
      </c>
      <c r="S246">
        <v>523.64</v>
      </c>
      <c r="T246">
        <v>263.27999999999997</v>
      </c>
      <c r="U246" s="1">
        <v>819.74</v>
      </c>
      <c r="V246">
        <v>50</v>
      </c>
      <c r="W246">
        <v>273.54000000000002</v>
      </c>
      <c r="X246">
        <v>30.35</v>
      </c>
      <c r="Y246" s="1">
        <v>20.11</v>
      </c>
      <c r="Z246">
        <v>1034.57</v>
      </c>
      <c r="AA246">
        <v>561.09</v>
      </c>
      <c r="AB246">
        <v>68.75</v>
      </c>
      <c r="AC246">
        <v>289.52999999999997</v>
      </c>
      <c r="AD246">
        <v>13.2</v>
      </c>
      <c r="AE246">
        <v>82.54</v>
      </c>
      <c r="AF246">
        <v>49.96</v>
      </c>
      <c r="AG246" s="1">
        <v>4.4400000000000004</v>
      </c>
      <c r="AH246">
        <v>20.96</v>
      </c>
      <c r="AI246">
        <v>47.69</v>
      </c>
      <c r="AJ246" s="1">
        <v>9.19</v>
      </c>
      <c r="AK246">
        <v>43.59</v>
      </c>
      <c r="AL246">
        <v>9.9700000000000006</v>
      </c>
      <c r="AM246">
        <v>309.16000000000003</v>
      </c>
      <c r="AN246" s="1">
        <v>26.61</v>
      </c>
      <c r="AO246">
        <v>14.17</v>
      </c>
      <c r="AP246">
        <v>90.93</v>
      </c>
    </row>
    <row r="247" spans="1:42" ht="15.75">
      <c r="A247" t="s">
        <v>709</v>
      </c>
      <c r="B247" s="2" t="s">
        <v>709</v>
      </c>
      <c r="C247" s="2" t="str">
        <f t="shared" si="3"/>
        <v>TRUE</v>
      </c>
      <c r="D247" s="2" t="s">
        <v>885</v>
      </c>
      <c r="E247" s="2" t="s">
        <v>856</v>
      </c>
      <c r="F247" s="2" t="s">
        <v>856</v>
      </c>
      <c r="G247" s="3">
        <v>34733</v>
      </c>
      <c r="H247" s="3">
        <v>44244</v>
      </c>
      <c r="I247" s="2">
        <v>26</v>
      </c>
      <c r="J247" s="2">
        <v>1</v>
      </c>
      <c r="K247" s="2" t="s">
        <v>857</v>
      </c>
      <c r="L247" s="2" t="s">
        <v>856</v>
      </c>
      <c r="M247" s="2" t="s">
        <v>856</v>
      </c>
      <c r="N247">
        <v>21.08</v>
      </c>
      <c r="O247">
        <v>21.99</v>
      </c>
      <c r="P247" s="1">
        <v>17.940000000000001</v>
      </c>
      <c r="Q247">
        <v>360.53</v>
      </c>
      <c r="R247" s="1">
        <v>90.61</v>
      </c>
      <c r="S247">
        <v>461.06</v>
      </c>
      <c r="T247">
        <v>221.72</v>
      </c>
      <c r="U247" s="1">
        <v>560.15</v>
      </c>
      <c r="V247">
        <v>49.96</v>
      </c>
      <c r="W247">
        <v>194.19</v>
      </c>
      <c r="X247">
        <v>10.15</v>
      </c>
      <c r="Y247" s="1">
        <v>3.89</v>
      </c>
      <c r="Z247">
        <v>236.86</v>
      </c>
      <c r="AA247">
        <v>145.86000000000001</v>
      </c>
      <c r="AB247">
        <v>26.58</v>
      </c>
      <c r="AC247">
        <v>111.61</v>
      </c>
      <c r="AD247">
        <v>9.9</v>
      </c>
      <c r="AE247">
        <v>17.309999999999999</v>
      </c>
      <c r="AF247">
        <v>10.41</v>
      </c>
      <c r="AG247" s="1" t="s">
        <v>96</v>
      </c>
      <c r="AH247">
        <v>7.33</v>
      </c>
      <c r="AI247">
        <v>83.06</v>
      </c>
      <c r="AJ247" s="1">
        <v>8.35</v>
      </c>
      <c r="AK247">
        <v>56.56</v>
      </c>
      <c r="AL247" t="s">
        <v>96</v>
      </c>
      <c r="AM247">
        <v>462.56</v>
      </c>
      <c r="AN247" s="1">
        <v>12.81</v>
      </c>
      <c r="AO247">
        <v>17.399999999999999</v>
      </c>
      <c r="AP247">
        <v>105.95</v>
      </c>
    </row>
    <row r="248" spans="1:42" ht="15.75">
      <c r="A248" t="s">
        <v>289</v>
      </c>
      <c r="B248" s="2" t="s">
        <v>289</v>
      </c>
      <c r="C248" s="2" t="str">
        <f t="shared" si="3"/>
        <v>TRUE</v>
      </c>
      <c r="D248" s="2" t="s">
        <v>886</v>
      </c>
      <c r="E248" s="2" t="s">
        <v>856</v>
      </c>
      <c r="F248" s="2" t="s">
        <v>856</v>
      </c>
      <c r="G248" s="3">
        <v>24855</v>
      </c>
      <c r="H248" s="3">
        <v>44245</v>
      </c>
      <c r="I248" s="2">
        <v>53</v>
      </c>
      <c r="J248" s="2">
        <v>1</v>
      </c>
      <c r="K248" s="2" t="s">
        <v>857</v>
      </c>
      <c r="L248" s="2" t="s">
        <v>856</v>
      </c>
      <c r="M248" s="2" t="s">
        <v>856</v>
      </c>
      <c r="N248">
        <v>16.72</v>
      </c>
      <c r="O248">
        <v>2.57</v>
      </c>
      <c r="P248" s="1">
        <v>4.4000000000000004</v>
      </c>
      <c r="Q248">
        <v>40.99</v>
      </c>
      <c r="R248" s="1">
        <v>5.61</v>
      </c>
      <c r="S248">
        <v>59.95</v>
      </c>
      <c r="T248">
        <v>223.25</v>
      </c>
      <c r="U248" s="1">
        <v>51.34</v>
      </c>
      <c r="V248">
        <v>21.76</v>
      </c>
      <c r="W248">
        <v>146.80000000000001</v>
      </c>
      <c r="X248">
        <v>12.31</v>
      </c>
      <c r="Y248" s="1" t="s">
        <v>96</v>
      </c>
      <c r="Z248">
        <v>629.25</v>
      </c>
      <c r="AA248">
        <v>59.64</v>
      </c>
      <c r="AB248">
        <v>64.61</v>
      </c>
      <c r="AC248">
        <v>242.63</v>
      </c>
      <c r="AD248">
        <v>17.66</v>
      </c>
      <c r="AE248">
        <v>51.88</v>
      </c>
      <c r="AF248">
        <v>3.66</v>
      </c>
      <c r="AG248" s="1" t="s">
        <v>96</v>
      </c>
      <c r="AH248">
        <v>11.92</v>
      </c>
      <c r="AI248">
        <v>45.61</v>
      </c>
      <c r="AJ248" s="1">
        <v>3.2</v>
      </c>
      <c r="AK248">
        <v>87.83</v>
      </c>
      <c r="AL248">
        <v>10.24</v>
      </c>
      <c r="AM248">
        <v>298.16000000000003</v>
      </c>
      <c r="AN248" s="1" t="s">
        <v>96</v>
      </c>
      <c r="AO248">
        <v>18.04</v>
      </c>
      <c r="AP248">
        <v>23.69</v>
      </c>
    </row>
    <row r="249" spans="1:42" ht="15.75">
      <c r="A249" t="s">
        <v>157</v>
      </c>
      <c r="B249" s="2" t="s">
        <v>157</v>
      </c>
      <c r="C249" s="2" t="str">
        <f t="shared" si="3"/>
        <v>TRUE</v>
      </c>
      <c r="D249" s="2" t="s">
        <v>885</v>
      </c>
      <c r="E249" s="2" t="s">
        <v>856</v>
      </c>
      <c r="F249" s="2" t="s">
        <v>856</v>
      </c>
      <c r="G249" s="3">
        <v>32239</v>
      </c>
      <c r="H249" s="3">
        <v>44245</v>
      </c>
      <c r="I249" s="2">
        <v>32</v>
      </c>
      <c r="J249" s="2">
        <v>1</v>
      </c>
      <c r="K249" s="2" t="s">
        <v>857</v>
      </c>
      <c r="L249" s="2" t="s">
        <v>856</v>
      </c>
      <c r="M249" s="2" t="s">
        <v>856</v>
      </c>
      <c r="N249">
        <v>24.1</v>
      </c>
      <c r="O249" t="s">
        <v>96</v>
      </c>
      <c r="P249" s="1">
        <v>9.98</v>
      </c>
      <c r="Q249">
        <v>58.93</v>
      </c>
      <c r="R249" s="1">
        <v>50.41</v>
      </c>
      <c r="S249">
        <v>332.2</v>
      </c>
      <c r="T249">
        <v>36.4</v>
      </c>
      <c r="U249" s="1" t="s">
        <v>96</v>
      </c>
      <c r="V249">
        <v>33.619999999999997</v>
      </c>
      <c r="W249">
        <v>19.5</v>
      </c>
      <c r="X249" t="s">
        <v>96</v>
      </c>
      <c r="Y249" s="1">
        <v>3.75</v>
      </c>
      <c r="Z249">
        <v>82.45</v>
      </c>
      <c r="AA249">
        <v>64.569999999999993</v>
      </c>
      <c r="AB249">
        <v>9.6300000000000008</v>
      </c>
      <c r="AC249">
        <v>19.61</v>
      </c>
      <c r="AD249" t="s">
        <v>96</v>
      </c>
      <c r="AE249">
        <v>16.79</v>
      </c>
      <c r="AF249">
        <v>8.93</v>
      </c>
      <c r="AG249" s="1" t="s">
        <v>96</v>
      </c>
      <c r="AH249">
        <v>3.08</v>
      </c>
      <c r="AI249">
        <v>33.21</v>
      </c>
      <c r="AJ249" s="1">
        <v>4.0599999999999996</v>
      </c>
      <c r="AK249">
        <v>10.09</v>
      </c>
      <c r="AL249" t="s">
        <v>96</v>
      </c>
      <c r="AM249">
        <v>200.24</v>
      </c>
      <c r="AN249" s="1">
        <v>7.21</v>
      </c>
      <c r="AO249">
        <v>7.75</v>
      </c>
      <c r="AP249">
        <v>24.85</v>
      </c>
    </row>
    <row r="250" spans="1:42" ht="15.75">
      <c r="A250" t="s">
        <v>646</v>
      </c>
      <c r="B250" s="2" t="s">
        <v>646</v>
      </c>
      <c r="C250" s="2" t="str">
        <f t="shared" si="3"/>
        <v>TRUE</v>
      </c>
      <c r="D250" s="2" t="s">
        <v>885</v>
      </c>
      <c r="E250" s="2" t="s">
        <v>856</v>
      </c>
      <c r="F250" s="2" t="s">
        <v>856</v>
      </c>
      <c r="G250" s="3">
        <v>30318</v>
      </c>
      <c r="H250" s="3">
        <v>44250</v>
      </c>
      <c r="I250" s="2">
        <v>38</v>
      </c>
      <c r="J250" s="2">
        <v>1</v>
      </c>
      <c r="K250" s="2" t="s">
        <v>861</v>
      </c>
      <c r="L250" s="2" t="s">
        <v>856</v>
      </c>
      <c r="M250" s="2" t="s">
        <v>856</v>
      </c>
      <c r="N250">
        <v>17.07</v>
      </c>
      <c r="O250">
        <v>4.47</v>
      </c>
      <c r="P250" s="1">
        <v>15.87</v>
      </c>
      <c r="Q250">
        <v>215.65</v>
      </c>
      <c r="R250" s="1">
        <v>108.07</v>
      </c>
      <c r="S250">
        <v>635.4</v>
      </c>
      <c r="T250">
        <v>242.54</v>
      </c>
      <c r="U250" s="1">
        <v>307.2</v>
      </c>
      <c r="V250">
        <v>109.54</v>
      </c>
      <c r="W250">
        <v>94</v>
      </c>
      <c r="X250">
        <v>11.23</v>
      </c>
      <c r="Y250" s="1">
        <v>6.83</v>
      </c>
      <c r="Z250">
        <v>166.84</v>
      </c>
      <c r="AA250">
        <v>136.77000000000001</v>
      </c>
      <c r="AB250">
        <v>33.9</v>
      </c>
      <c r="AC250">
        <v>50.37</v>
      </c>
      <c r="AD250">
        <v>7.64</v>
      </c>
      <c r="AE250">
        <v>10.35</v>
      </c>
      <c r="AF250">
        <v>6.42</v>
      </c>
      <c r="AG250" s="1" t="s">
        <v>96</v>
      </c>
      <c r="AH250">
        <v>2.6</v>
      </c>
      <c r="AI250">
        <v>26.02</v>
      </c>
      <c r="AJ250" s="1">
        <v>4.8899999999999997</v>
      </c>
      <c r="AK250">
        <v>44.18</v>
      </c>
      <c r="AL250" t="s">
        <v>96</v>
      </c>
      <c r="AM250">
        <v>301.98</v>
      </c>
      <c r="AN250" s="1">
        <v>8.59</v>
      </c>
      <c r="AO250">
        <v>20.329999999999998</v>
      </c>
      <c r="AP250">
        <v>115.62</v>
      </c>
    </row>
    <row r="251" spans="1:42" ht="15.75">
      <c r="A251" t="s">
        <v>853</v>
      </c>
      <c r="B251" s="2" t="s">
        <v>853</v>
      </c>
      <c r="C251" s="2" t="str">
        <f t="shared" si="3"/>
        <v>TRUE</v>
      </c>
      <c r="D251" s="2" t="s">
        <v>885</v>
      </c>
      <c r="E251" s="2" t="s">
        <v>856</v>
      </c>
      <c r="F251" s="2" t="s">
        <v>856</v>
      </c>
      <c r="G251" s="3">
        <v>29625</v>
      </c>
      <c r="H251" s="3">
        <v>44251</v>
      </c>
      <c r="I251" s="2">
        <v>40</v>
      </c>
      <c r="J251" s="2">
        <v>1</v>
      </c>
      <c r="K251" s="2" t="s">
        <v>857</v>
      </c>
      <c r="L251" s="2" t="s">
        <v>856</v>
      </c>
      <c r="M251" s="2" t="s">
        <v>856</v>
      </c>
      <c r="N251">
        <v>13.26</v>
      </c>
      <c r="O251" t="s">
        <v>96</v>
      </c>
      <c r="P251" s="1">
        <v>18.41</v>
      </c>
      <c r="Q251">
        <v>66.260000000000005</v>
      </c>
      <c r="R251" s="1">
        <v>38.44</v>
      </c>
      <c r="S251">
        <v>139.72</v>
      </c>
      <c r="T251">
        <v>50.65</v>
      </c>
      <c r="U251" s="1">
        <v>157.38999999999999</v>
      </c>
      <c r="V251">
        <v>22.23</v>
      </c>
      <c r="W251">
        <v>35.69</v>
      </c>
      <c r="X251">
        <v>3.5</v>
      </c>
      <c r="Y251" s="1">
        <v>22.19</v>
      </c>
      <c r="Z251">
        <v>229.19</v>
      </c>
      <c r="AA251">
        <v>81.739999999999995</v>
      </c>
      <c r="AB251">
        <v>21.55</v>
      </c>
      <c r="AC251">
        <v>37.19</v>
      </c>
      <c r="AD251">
        <v>4.16</v>
      </c>
      <c r="AE251">
        <v>19.579999999999998</v>
      </c>
      <c r="AF251">
        <v>5.83</v>
      </c>
      <c r="AG251" s="1" t="s">
        <v>96</v>
      </c>
      <c r="AH251">
        <v>2.63</v>
      </c>
      <c r="AI251">
        <v>55.9</v>
      </c>
      <c r="AJ251" s="1">
        <v>10.97</v>
      </c>
      <c r="AK251">
        <v>34.74</v>
      </c>
      <c r="AL251">
        <v>5.77</v>
      </c>
      <c r="AM251">
        <v>350.76</v>
      </c>
      <c r="AN251" s="1">
        <v>7.89</v>
      </c>
      <c r="AO251">
        <v>6.71</v>
      </c>
      <c r="AP251">
        <v>46.85</v>
      </c>
    </row>
    <row r="252" spans="1:42" ht="15.75">
      <c r="A252" t="s">
        <v>784</v>
      </c>
      <c r="B252" s="2" t="s">
        <v>784</v>
      </c>
      <c r="C252" s="2" t="str">
        <f t="shared" si="3"/>
        <v>TRUE</v>
      </c>
      <c r="D252" s="2" t="s">
        <v>885</v>
      </c>
      <c r="E252" s="2" t="s">
        <v>856</v>
      </c>
      <c r="F252" s="2" t="s">
        <v>856</v>
      </c>
      <c r="G252" s="3">
        <v>30742</v>
      </c>
      <c r="H252" s="3">
        <v>44256</v>
      </c>
      <c r="I252" s="2">
        <v>37</v>
      </c>
      <c r="J252" s="2">
        <v>1</v>
      </c>
      <c r="K252" s="2" t="s">
        <v>861</v>
      </c>
      <c r="L252" s="2" t="s">
        <v>856</v>
      </c>
      <c r="M252" s="2" t="s">
        <v>856</v>
      </c>
      <c r="N252">
        <v>20.12</v>
      </c>
      <c r="O252">
        <v>3.38</v>
      </c>
      <c r="P252" s="1">
        <v>6.71</v>
      </c>
      <c r="Q252">
        <v>68.739999999999995</v>
      </c>
      <c r="R252" s="1">
        <v>22.35</v>
      </c>
      <c r="S252">
        <v>227.34</v>
      </c>
      <c r="T252">
        <v>75.81</v>
      </c>
      <c r="U252" s="1">
        <v>32.700000000000003</v>
      </c>
      <c r="V252">
        <v>55.41</v>
      </c>
      <c r="W252">
        <v>31.13</v>
      </c>
      <c r="X252">
        <v>8.26</v>
      </c>
      <c r="Y252" s="1">
        <v>6.84</v>
      </c>
      <c r="Z252">
        <v>856.55</v>
      </c>
      <c r="AA252">
        <v>259.35000000000002</v>
      </c>
      <c r="AB252">
        <v>89.76</v>
      </c>
      <c r="AC252">
        <v>323.48</v>
      </c>
      <c r="AD252">
        <v>32.5</v>
      </c>
      <c r="AE252">
        <v>73.89</v>
      </c>
      <c r="AF252">
        <v>30.12</v>
      </c>
      <c r="AG252" s="1">
        <v>10.92</v>
      </c>
      <c r="AH252">
        <v>28.1</v>
      </c>
      <c r="AI252">
        <v>58.58</v>
      </c>
      <c r="AJ252" s="1">
        <v>3</v>
      </c>
      <c r="AK252">
        <v>120.98</v>
      </c>
      <c r="AL252">
        <v>18.100000000000001</v>
      </c>
      <c r="AM252">
        <v>506.11</v>
      </c>
      <c r="AN252" s="1">
        <v>14.98</v>
      </c>
      <c r="AO252">
        <v>52.83</v>
      </c>
      <c r="AP252">
        <v>76.08</v>
      </c>
    </row>
    <row r="253" spans="1:42" ht="15.75">
      <c r="A253" t="s">
        <v>787</v>
      </c>
      <c r="B253" s="2" t="s">
        <v>787</v>
      </c>
      <c r="C253" s="2" t="str">
        <f t="shared" si="3"/>
        <v>TRUE</v>
      </c>
      <c r="D253" s="2" t="s">
        <v>885</v>
      </c>
      <c r="E253" s="2" t="s">
        <v>856</v>
      </c>
      <c r="F253" s="2" t="s">
        <v>856</v>
      </c>
      <c r="G253" s="3">
        <v>31628</v>
      </c>
      <c r="H253" s="3">
        <v>44258</v>
      </c>
      <c r="I253" s="2">
        <v>34</v>
      </c>
      <c r="J253" s="2">
        <v>1</v>
      </c>
      <c r="K253" s="2" t="s">
        <v>861</v>
      </c>
      <c r="L253" s="2" t="s">
        <v>856</v>
      </c>
      <c r="M253" s="2" t="s">
        <v>856</v>
      </c>
      <c r="N253">
        <v>22.07</v>
      </c>
      <c r="O253">
        <v>4.66</v>
      </c>
      <c r="P253" s="1">
        <v>5.76</v>
      </c>
      <c r="Q253">
        <v>118.96</v>
      </c>
      <c r="R253" s="1">
        <v>33.369999999999997</v>
      </c>
      <c r="S253">
        <v>185.81</v>
      </c>
      <c r="T253">
        <v>71.06</v>
      </c>
      <c r="U253" s="1">
        <v>71.819999999999993</v>
      </c>
      <c r="V253">
        <v>17.88</v>
      </c>
      <c r="W253">
        <v>23.93</v>
      </c>
      <c r="X253">
        <v>3.29</v>
      </c>
      <c r="Y253" s="1" t="s">
        <v>96</v>
      </c>
      <c r="Z253">
        <v>370.97</v>
      </c>
      <c r="AA253">
        <v>210.41</v>
      </c>
      <c r="AB253">
        <v>17.95</v>
      </c>
      <c r="AC253">
        <v>125.68</v>
      </c>
      <c r="AD253">
        <v>11.86</v>
      </c>
      <c r="AE253">
        <v>44.05</v>
      </c>
      <c r="AF253">
        <v>34.479999999999997</v>
      </c>
      <c r="AG253" s="1">
        <v>3.67</v>
      </c>
      <c r="AH253">
        <v>17.91</v>
      </c>
      <c r="AI253">
        <v>55.12</v>
      </c>
      <c r="AJ253" s="1" t="s">
        <v>96</v>
      </c>
      <c r="AK253">
        <v>57.92</v>
      </c>
      <c r="AL253">
        <v>8.92</v>
      </c>
      <c r="AM253">
        <v>232.28</v>
      </c>
      <c r="AN253" s="1">
        <v>44.15</v>
      </c>
      <c r="AO253">
        <v>7.94</v>
      </c>
      <c r="AP253">
        <v>174.68</v>
      </c>
    </row>
    <row r="254" spans="1:42" ht="15.75">
      <c r="A254" t="s">
        <v>577</v>
      </c>
      <c r="B254" s="2" t="s">
        <v>577</v>
      </c>
      <c r="C254" s="2" t="str">
        <f t="shared" si="3"/>
        <v>TRUE</v>
      </c>
      <c r="D254" s="2" t="s">
        <v>885</v>
      </c>
      <c r="E254" s="2" t="s">
        <v>856</v>
      </c>
      <c r="F254" s="2" t="s">
        <v>856</v>
      </c>
      <c r="G254" s="3">
        <v>31809</v>
      </c>
      <c r="H254" s="3">
        <v>44258</v>
      </c>
      <c r="I254" s="2">
        <v>34</v>
      </c>
      <c r="J254" s="2">
        <v>1</v>
      </c>
      <c r="K254" s="2" t="s">
        <v>861</v>
      </c>
      <c r="L254" s="2" t="s">
        <v>856</v>
      </c>
      <c r="M254" s="2" t="s">
        <v>856</v>
      </c>
      <c r="N254">
        <v>27.46</v>
      </c>
      <c r="O254">
        <v>19.98</v>
      </c>
      <c r="P254" s="1">
        <v>6.71</v>
      </c>
      <c r="Q254">
        <v>156.47</v>
      </c>
      <c r="R254" s="1">
        <v>8.09</v>
      </c>
      <c r="S254">
        <v>242.13</v>
      </c>
      <c r="T254">
        <v>407.93</v>
      </c>
      <c r="U254" s="1">
        <v>68.37</v>
      </c>
      <c r="V254">
        <v>94.32</v>
      </c>
      <c r="W254">
        <v>216.85</v>
      </c>
      <c r="X254">
        <v>20.45</v>
      </c>
      <c r="Y254" s="1">
        <v>2.66</v>
      </c>
      <c r="Z254" t="s">
        <v>133</v>
      </c>
      <c r="AA254">
        <v>532.79999999999995</v>
      </c>
      <c r="AB254">
        <v>486.67</v>
      </c>
      <c r="AC254">
        <v>612.63</v>
      </c>
      <c r="AD254">
        <v>33.76</v>
      </c>
      <c r="AE254">
        <v>185.17</v>
      </c>
      <c r="AF254">
        <v>49.39</v>
      </c>
      <c r="AG254" s="1">
        <v>2.62</v>
      </c>
      <c r="AH254">
        <v>44.71</v>
      </c>
      <c r="AI254">
        <v>15.36</v>
      </c>
      <c r="AJ254" s="1">
        <v>4.21</v>
      </c>
      <c r="AK254">
        <v>75.709999999999994</v>
      </c>
      <c r="AL254">
        <v>8.14</v>
      </c>
      <c r="AM254">
        <v>74.22</v>
      </c>
      <c r="AN254" s="1">
        <v>6.3</v>
      </c>
      <c r="AO254">
        <v>42.16</v>
      </c>
      <c r="AP254">
        <v>33.97</v>
      </c>
    </row>
    <row r="258" spans="14:42">
      <c r="N258" t="s">
        <v>88</v>
      </c>
      <c r="O258" t="s">
        <v>88</v>
      </c>
      <c r="P258" t="s">
        <v>88</v>
      </c>
      <c r="Q258" t="s">
        <v>88</v>
      </c>
      <c r="R258" t="s">
        <v>88</v>
      </c>
      <c r="S258" t="s">
        <v>88</v>
      </c>
      <c r="T258" t="s">
        <v>88</v>
      </c>
      <c r="U258" t="s">
        <v>88</v>
      </c>
      <c r="V258" t="s">
        <v>88</v>
      </c>
      <c r="W258" t="s">
        <v>88</v>
      </c>
      <c r="X258" t="s">
        <v>88</v>
      </c>
      <c r="Y258" t="s">
        <v>88</v>
      </c>
      <c r="Z258" t="s">
        <v>88</v>
      </c>
      <c r="AA258" t="s">
        <v>88</v>
      </c>
      <c r="AB258" t="s">
        <v>88</v>
      </c>
      <c r="AC258" t="s">
        <v>88</v>
      </c>
      <c r="AD258" t="s">
        <v>88</v>
      </c>
      <c r="AE258" t="s">
        <v>88</v>
      </c>
      <c r="AF258" t="s">
        <v>88</v>
      </c>
      <c r="AG258" t="s">
        <v>88</v>
      </c>
      <c r="AH258" t="s">
        <v>88</v>
      </c>
      <c r="AI258" t="s">
        <v>88</v>
      </c>
      <c r="AJ258" t="s">
        <v>88</v>
      </c>
      <c r="AK258" t="s">
        <v>88</v>
      </c>
      <c r="AL258" t="s">
        <v>88</v>
      </c>
      <c r="AM258" t="s">
        <v>88</v>
      </c>
      <c r="AN258" t="s">
        <v>88</v>
      </c>
      <c r="AO258" t="s">
        <v>88</v>
      </c>
      <c r="AP258" t="s">
        <v>88</v>
      </c>
    </row>
    <row r="259" spans="14:42">
      <c r="N259">
        <v>2.5</v>
      </c>
      <c r="O259">
        <v>1</v>
      </c>
      <c r="P259">
        <v>1</v>
      </c>
      <c r="Q259">
        <v>1</v>
      </c>
      <c r="R259">
        <v>5</v>
      </c>
      <c r="S259">
        <v>1</v>
      </c>
      <c r="T259">
        <v>1</v>
      </c>
      <c r="U259">
        <v>25</v>
      </c>
      <c r="V259">
        <v>1</v>
      </c>
      <c r="W259">
        <v>1</v>
      </c>
      <c r="X259">
        <v>1</v>
      </c>
      <c r="Y259">
        <v>2.5</v>
      </c>
      <c r="Z259">
        <v>2.5</v>
      </c>
      <c r="AA259">
        <v>2.5</v>
      </c>
      <c r="AB259">
        <v>2.5</v>
      </c>
      <c r="AC259">
        <v>5</v>
      </c>
      <c r="AD259">
        <v>2.5</v>
      </c>
      <c r="AE259">
        <v>5</v>
      </c>
      <c r="AF259">
        <v>2.5</v>
      </c>
      <c r="AG259">
        <v>2.5</v>
      </c>
      <c r="AH259">
        <v>2.5</v>
      </c>
      <c r="AI259">
        <v>10</v>
      </c>
      <c r="AJ259">
        <v>2.5</v>
      </c>
      <c r="AK259">
        <v>2.5</v>
      </c>
      <c r="AL259">
        <v>5</v>
      </c>
      <c r="AM259">
        <v>5</v>
      </c>
      <c r="AN259">
        <v>5</v>
      </c>
      <c r="AO259">
        <v>5</v>
      </c>
      <c r="AP259">
        <v>5</v>
      </c>
    </row>
    <row r="260" spans="14:42">
      <c r="N260">
        <v>500</v>
      </c>
      <c r="O260">
        <v>500</v>
      </c>
      <c r="P260">
        <v>500</v>
      </c>
      <c r="Q260">
        <v>1000</v>
      </c>
      <c r="R260">
        <v>500</v>
      </c>
      <c r="S260">
        <v>1000</v>
      </c>
      <c r="T260">
        <v>1000</v>
      </c>
      <c r="U260">
        <v>2500</v>
      </c>
      <c r="V260">
        <v>1000</v>
      </c>
      <c r="W260">
        <v>1000</v>
      </c>
      <c r="X260">
        <v>1000</v>
      </c>
      <c r="Y260">
        <v>2500</v>
      </c>
      <c r="Z260">
        <v>2500</v>
      </c>
      <c r="AA260">
        <v>2500</v>
      </c>
      <c r="AB260">
        <v>2500</v>
      </c>
      <c r="AC260">
        <v>1000</v>
      </c>
      <c r="AD260">
        <v>1000</v>
      </c>
      <c r="AE260">
        <v>2500</v>
      </c>
      <c r="AF260">
        <v>2500</v>
      </c>
      <c r="AG260">
        <v>2500</v>
      </c>
      <c r="AH260">
        <v>1000</v>
      </c>
      <c r="AI260">
        <v>2500</v>
      </c>
      <c r="AJ260">
        <v>1000</v>
      </c>
      <c r="AK260">
        <v>1000</v>
      </c>
      <c r="AL260">
        <v>1000</v>
      </c>
      <c r="AM260">
        <v>2500</v>
      </c>
      <c r="AN260">
        <v>2500</v>
      </c>
      <c r="AO260">
        <v>2500</v>
      </c>
      <c r="AP260">
        <v>2500</v>
      </c>
    </row>
    <row r="262" spans="14:42">
      <c r="O262">
        <v>253</v>
      </c>
    </row>
    <row r="263" spans="14:42">
      <c r="O263" t="s">
        <v>888</v>
      </c>
    </row>
    <row r="264" spans="14:42" ht="26.25">
      <c r="O264">
        <f>COUNTIF(O2:O254, "&lt;LLOQ")</f>
        <v>44</v>
      </c>
      <c r="P264" s="9">
        <f>COUNTIF(P2:P254, "&lt;LLOQ")</f>
        <v>58</v>
      </c>
      <c r="Q264">
        <f>COUNTIF(Q2:Q254, "&lt;LLOQ")</f>
        <v>12</v>
      </c>
      <c r="R264" s="9">
        <f>COUNTIF(R2:R254, "&lt;LLOQ")</f>
        <v>92</v>
      </c>
      <c r="S264" s="9">
        <f t="shared" ref="S264:AP264" si="4">COUNTIF(S2:S254, "&lt;LLOQ")</f>
        <v>29</v>
      </c>
      <c r="T264" s="9">
        <f t="shared" si="4"/>
        <v>12</v>
      </c>
      <c r="U264" s="9">
        <f t="shared" si="4"/>
        <v>79</v>
      </c>
      <c r="V264" s="9">
        <f t="shared" si="4"/>
        <v>4</v>
      </c>
      <c r="W264" s="9">
        <f t="shared" si="4"/>
        <v>10</v>
      </c>
      <c r="X264" s="9">
        <f t="shared" si="4"/>
        <v>38</v>
      </c>
      <c r="Y264" s="9">
        <f t="shared" si="4"/>
        <v>103</v>
      </c>
      <c r="Z264" s="9">
        <f t="shared" si="4"/>
        <v>43</v>
      </c>
      <c r="AA264" s="9">
        <f t="shared" si="4"/>
        <v>26</v>
      </c>
      <c r="AB264" s="9">
        <f t="shared" si="4"/>
        <v>6</v>
      </c>
      <c r="AC264" s="9">
        <f t="shared" si="4"/>
        <v>45</v>
      </c>
      <c r="AD264" s="9">
        <f t="shared" si="4"/>
        <v>14</v>
      </c>
      <c r="AE264" s="9">
        <f t="shared" si="4"/>
        <v>2</v>
      </c>
      <c r="AF264" s="9">
        <f t="shared" si="4"/>
        <v>32</v>
      </c>
      <c r="AG264" s="9">
        <f>COUNTIF(AG2:AG254, "&lt;LLOQ")</f>
        <v>138</v>
      </c>
      <c r="AH264" s="9">
        <f t="shared" si="4"/>
        <v>9</v>
      </c>
      <c r="AI264" s="9">
        <f t="shared" si="4"/>
        <v>42</v>
      </c>
      <c r="AJ264" s="9">
        <f t="shared" si="4"/>
        <v>109</v>
      </c>
      <c r="AK264" s="9">
        <f t="shared" si="4"/>
        <v>0</v>
      </c>
      <c r="AL264" s="9">
        <f t="shared" si="4"/>
        <v>46</v>
      </c>
      <c r="AM264" s="9">
        <f t="shared" si="4"/>
        <v>22</v>
      </c>
      <c r="AN264" s="9">
        <f t="shared" si="4"/>
        <v>55</v>
      </c>
      <c r="AO264" s="9">
        <f t="shared" si="4"/>
        <v>16</v>
      </c>
      <c r="AP264" s="9">
        <f t="shared" si="4"/>
        <v>30</v>
      </c>
    </row>
    <row r="265" spans="14:42" ht="16.5">
      <c r="O265">
        <f>COUNTIF(O2:O254, "&gt;ULOQ")</f>
        <v>0</v>
      </c>
      <c r="P265">
        <f>COUNTIF(P2:P254, "&gt;ULOQ")</f>
        <v>0</v>
      </c>
      <c r="Q265" s="10">
        <f>COUNTIF(Q2:Q254, "&gt;ULOQ")</f>
        <v>0</v>
      </c>
      <c r="R265" s="10">
        <f t="shared" ref="R265:AP265" si="5">COUNTIF(R2:R254, "&gt;ULOQ")</f>
        <v>0</v>
      </c>
      <c r="S265" s="10">
        <f>COUNTIF(S2:S254, "&gt;ULOQ")</f>
        <v>0</v>
      </c>
      <c r="T265" s="10">
        <f t="shared" si="5"/>
        <v>0</v>
      </c>
      <c r="U265" s="10">
        <f t="shared" si="5"/>
        <v>0</v>
      </c>
      <c r="V265" s="10">
        <f t="shared" si="5"/>
        <v>0</v>
      </c>
      <c r="W265" s="10">
        <f t="shared" si="5"/>
        <v>0</v>
      </c>
      <c r="X265" s="10">
        <f t="shared" si="5"/>
        <v>0</v>
      </c>
      <c r="Y265" s="10">
        <f t="shared" si="5"/>
        <v>0</v>
      </c>
      <c r="Z265" s="10">
        <f t="shared" si="5"/>
        <v>0</v>
      </c>
      <c r="AA265" s="10">
        <f t="shared" si="5"/>
        <v>0</v>
      </c>
      <c r="AB265" s="10">
        <f t="shared" si="5"/>
        <v>0</v>
      </c>
      <c r="AC265" s="10">
        <f t="shared" si="5"/>
        <v>0</v>
      </c>
      <c r="AD265" s="10">
        <f t="shared" si="5"/>
        <v>0</v>
      </c>
      <c r="AE265" s="10">
        <f t="shared" si="5"/>
        <v>0</v>
      </c>
      <c r="AF265" s="10">
        <f t="shared" si="5"/>
        <v>0</v>
      </c>
      <c r="AG265" s="10">
        <f t="shared" si="5"/>
        <v>0</v>
      </c>
      <c r="AH265" s="10">
        <f t="shared" si="5"/>
        <v>0</v>
      </c>
      <c r="AI265" s="10">
        <f t="shared" si="5"/>
        <v>0</v>
      </c>
      <c r="AJ265" s="10">
        <f t="shared" si="5"/>
        <v>0</v>
      </c>
      <c r="AK265" s="10">
        <f t="shared" si="5"/>
        <v>0</v>
      </c>
      <c r="AL265" s="10">
        <f t="shared" si="5"/>
        <v>0</v>
      </c>
      <c r="AM265" s="10">
        <f t="shared" si="5"/>
        <v>0</v>
      </c>
      <c r="AN265" s="10">
        <f t="shared" si="5"/>
        <v>0</v>
      </c>
      <c r="AO265" s="10">
        <f t="shared" si="5"/>
        <v>0</v>
      </c>
      <c r="AP265" s="10">
        <f t="shared" si="5"/>
        <v>0</v>
      </c>
    </row>
    <row r="268" spans="14:42">
      <c r="O268">
        <f>(O264/O262)*100</f>
        <v>17.391304347826086</v>
      </c>
      <c r="P268">
        <f>(P264/253)*100</f>
        <v>22.92490118577075</v>
      </c>
      <c r="Q268">
        <f>(Q264/253)*100</f>
        <v>4.7430830039525684</v>
      </c>
      <c r="R268">
        <f t="shared" ref="R268:AP268" si="6">(R264/253)*100</f>
        <v>36.363636363636367</v>
      </c>
      <c r="S268">
        <f t="shared" si="6"/>
        <v>11.462450592885375</v>
      </c>
      <c r="T268">
        <f t="shared" si="6"/>
        <v>4.7430830039525684</v>
      </c>
      <c r="U268">
        <f t="shared" si="6"/>
        <v>31.225296442687743</v>
      </c>
      <c r="V268">
        <f t="shared" si="6"/>
        <v>1.5810276679841897</v>
      </c>
      <c r="W268">
        <f t="shared" si="6"/>
        <v>3.9525691699604746</v>
      </c>
      <c r="X268">
        <f t="shared" si="6"/>
        <v>15.019762845849801</v>
      </c>
      <c r="Y268">
        <f t="shared" si="6"/>
        <v>40.711462450592883</v>
      </c>
      <c r="Z268">
        <f t="shared" si="6"/>
        <v>16.996047430830039</v>
      </c>
      <c r="AA268">
        <f t="shared" si="6"/>
        <v>10.276679841897234</v>
      </c>
      <c r="AB268">
        <f t="shared" si="6"/>
        <v>2.3715415019762842</v>
      </c>
      <c r="AC268">
        <f t="shared" si="6"/>
        <v>17.786561264822133</v>
      </c>
      <c r="AD268">
        <f t="shared" si="6"/>
        <v>5.5335968379446641</v>
      </c>
      <c r="AE268">
        <f t="shared" si="6"/>
        <v>0.79051383399209485</v>
      </c>
      <c r="AF268">
        <f t="shared" si="6"/>
        <v>12.648221343873518</v>
      </c>
      <c r="AG268">
        <f t="shared" si="6"/>
        <v>54.54545454545454</v>
      </c>
      <c r="AH268">
        <f t="shared" si="6"/>
        <v>3.5573122529644272</v>
      </c>
      <c r="AI268">
        <f t="shared" si="6"/>
        <v>16.600790513833992</v>
      </c>
      <c r="AJ268">
        <f t="shared" si="6"/>
        <v>43.083003952569172</v>
      </c>
      <c r="AK268">
        <f t="shared" si="6"/>
        <v>0</v>
      </c>
      <c r="AL268">
        <f t="shared" si="6"/>
        <v>18.181818181818183</v>
      </c>
      <c r="AM268">
        <f t="shared" si="6"/>
        <v>8.695652173913043</v>
      </c>
      <c r="AN268">
        <f t="shared" si="6"/>
        <v>21.739130434782609</v>
      </c>
      <c r="AO268">
        <f t="shared" si="6"/>
        <v>6.3241106719367588</v>
      </c>
      <c r="AP268">
        <f t="shared" si="6"/>
        <v>11.857707509881422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914A7-8DD4-D247-B9F4-C0837103BB4E}">
  <dimension ref="A1:AJ279"/>
  <sheetViews>
    <sheetView topLeftCell="A176" workbookViewId="0">
      <selection activeCell="B211" sqref="B211"/>
    </sheetView>
  </sheetViews>
  <sheetFormatPr defaultColWidth="11.42578125" defaultRowHeight="15"/>
  <sheetData>
    <row r="1" spans="1:35">
      <c r="A1" s="8" t="s">
        <v>8</v>
      </c>
      <c r="B1" s="8"/>
      <c r="C1" s="8"/>
      <c r="D1" s="5" t="s">
        <v>875</v>
      </c>
      <c r="E1" s="5" t="s">
        <v>876</v>
      </c>
      <c r="F1" s="6" t="s">
        <v>877</v>
      </c>
      <c r="G1" s="6" t="s">
        <v>878</v>
      </c>
      <c r="H1" s="6" t="s">
        <v>879</v>
      </c>
      <c r="I1" s="6" t="s">
        <v>880</v>
      </c>
      <c r="J1" s="6" t="s">
        <v>881</v>
      </c>
      <c r="K1" s="6" t="s">
        <v>882</v>
      </c>
      <c r="L1" s="6" t="s">
        <v>883</v>
      </c>
      <c r="M1" s="6" t="s">
        <v>884</v>
      </c>
      <c r="N1" s="8" t="s">
        <v>15</v>
      </c>
      <c r="O1" s="8" t="s">
        <v>27</v>
      </c>
      <c r="P1" s="8" t="s">
        <v>29</v>
      </c>
      <c r="Q1" s="8" t="s">
        <v>32</v>
      </c>
      <c r="R1" s="8" t="s">
        <v>33</v>
      </c>
      <c r="S1" s="8" t="s">
        <v>41</v>
      </c>
      <c r="T1" s="8" t="s">
        <v>44</v>
      </c>
      <c r="U1" s="8" t="s">
        <v>45</v>
      </c>
      <c r="V1" s="8" t="s">
        <v>50</v>
      </c>
      <c r="W1" s="8" t="s">
        <v>51</v>
      </c>
      <c r="X1" s="8" t="s">
        <v>52</v>
      </c>
      <c r="Y1" s="8" t="s">
        <v>54</v>
      </c>
      <c r="Z1" s="8" t="s">
        <v>57</v>
      </c>
      <c r="AA1" s="8" t="s">
        <v>60</v>
      </c>
      <c r="AB1" s="8" t="s">
        <v>61</v>
      </c>
      <c r="AC1" s="8" t="s">
        <v>65</v>
      </c>
      <c r="AD1" s="8" t="s">
        <v>66</v>
      </c>
      <c r="AE1" s="8" t="s">
        <v>73</v>
      </c>
      <c r="AF1" s="8" t="s">
        <v>74</v>
      </c>
      <c r="AG1" s="8" t="s">
        <v>76</v>
      </c>
      <c r="AH1" s="8" t="s">
        <v>79</v>
      </c>
      <c r="AI1" s="8" t="s">
        <v>80</v>
      </c>
    </row>
    <row r="2" spans="1:35" ht="15.75">
      <c r="A2" t="s">
        <v>427</v>
      </c>
      <c r="B2" s="2" t="s">
        <v>427</v>
      </c>
      <c r="C2" s="2" t="str">
        <f>IF(A2=B2, "TRUE", "FALSE")</f>
        <v>TRUE</v>
      </c>
      <c r="D2" s="2" t="s">
        <v>854</v>
      </c>
      <c r="E2" s="2" t="s">
        <v>855</v>
      </c>
      <c r="F2" s="2" t="s">
        <v>856</v>
      </c>
      <c r="G2" s="3">
        <v>36363</v>
      </c>
      <c r="H2" s="3">
        <v>43210</v>
      </c>
      <c r="I2" s="2">
        <v>18</v>
      </c>
      <c r="J2" s="2">
        <v>1</v>
      </c>
      <c r="K2" s="2" t="s">
        <v>857</v>
      </c>
      <c r="L2" s="2">
        <v>200</v>
      </c>
      <c r="M2" s="2" t="s">
        <v>856</v>
      </c>
      <c r="N2">
        <v>22.52</v>
      </c>
      <c r="O2">
        <v>61.74</v>
      </c>
      <c r="P2">
        <v>262.68</v>
      </c>
      <c r="Q2">
        <v>356.88</v>
      </c>
      <c r="R2">
        <v>917.94</v>
      </c>
      <c r="S2">
        <v>148.26</v>
      </c>
      <c r="T2">
        <v>171.92</v>
      </c>
      <c r="U2">
        <v>9.17</v>
      </c>
      <c r="V2">
        <v>832.19</v>
      </c>
      <c r="W2">
        <v>123.64</v>
      </c>
      <c r="X2">
        <v>140.41</v>
      </c>
      <c r="Y2">
        <v>220.67</v>
      </c>
      <c r="Z2">
        <v>6.29</v>
      </c>
      <c r="AA2">
        <v>55.83</v>
      </c>
      <c r="AB2">
        <v>8.36</v>
      </c>
      <c r="AC2">
        <v>20.8</v>
      </c>
      <c r="AD2" s="14">
        <v>9.99</v>
      </c>
      <c r="AE2">
        <v>92.16</v>
      </c>
      <c r="AF2">
        <v>7.62</v>
      </c>
      <c r="AG2">
        <v>74.05</v>
      </c>
      <c r="AH2">
        <v>139.80000000000001</v>
      </c>
      <c r="AI2">
        <v>54.4</v>
      </c>
    </row>
    <row r="3" spans="1:35" ht="15.75">
      <c r="A3" t="s">
        <v>136</v>
      </c>
      <c r="B3" s="2" t="s">
        <v>136</v>
      </c>
      <c r="C3" s="2" t="str">
        <f t="shared" ref="C3:C66" si="0">IF(A3=B3, "TRUE", "FALSE")</f>
        <v>TRUE</v>
      </c>
      <c r="D3" s="2" t="s">
        <v>858</v>
      </c>
      <c r="E3" s="2" t="s">
        <v>859</v>
      </c>
      <c r="F3" s="2" t="s">
        <v>860</v>
      </c>
      <c r="G3" s="3">
        <v>21294</v>
      </c>
      <c r="H3" s="3">
        <v>43210</v>
      </c>
      <c r="I3" s="2">
        <v>60</v>
      </c>
      <c r="J3" s="2">
        <v>1</v>
      </c>
      <c r="K3" s="2" t="s">
        <v>861</v>
      </c>
      <c r="L3" s="2">
        <v>1269</v>
      </c>
      <c r="M3" s="2">
        <v>8</v>
      </c>
      <c r="N3">
        <v>13.96</v>
      </c>
      <c r="O3">
        <v>2.94</v>
      </c>
      <c r="P3">
        <v>172.78</v>
      </c>
      <c r="Q3">
        <v>0.99</v>
      </c>
      <c r="R3">
        <v>836.11</v>
      </c>
      <c r="S3">
        <v>44.05</v>
      </c>
      <c r="T3">
        <v>85.35</v>
      </c>
      <c r="U3">
        <v>5.14</v>
      </c>
      <c r="V3" s="14">
        <v>2500.0100000000002</v>
      </c>
      <c r="W3">
        <v>3.21</v>
      </c>
      <c r="X3">
        <v>159.05000000000001</v>
      </c>
      <c r="Y3" s="14">
        <v>1000.01</v>
      </c>
      <c r="Z3">
        <v>25.28</v>
      </c>
      <c r="AA3">
        <v>281.48</v>
      </c>
      <c r="AB3" s="14">
        <v>2.4900000000000002</v>
      </c>
      <c r="AC3">
        <v>115.65</v>
      </c>
      <c r="AD3" s="14">
        <v>9.99</v>
      </c>
      <c r="AE3">
        <v>434.96</v>
      </c>
      <c r="AF3">
        <v>27.07</v>
      </c>
      <c r="AG3">
        <v>12.86</v>
      </c>
      <c r="AH3">
        <v>92.38</v>
      </c>
      <c r="AI3" s="14">
        <v>4.99</v>
      </c>
    </row>
    <row r="4" spans="1:35" ht="15.75">
      <c r="A4" t="s">
        <v>448</v>
      </c>
      <c r="B4" s="2" t="s">
        <v>448</v>
      </c>
      <c r="C4" s="2" t="str">
        <f t="shared" si="0"/>
        <v>TRUE</v>
      </c>
      <c r="D4" s="2" t="s">
        <v>858</v>
      </c>
      <c r="E4" s="2" t="s">
        <v>859</v>
      </c>
      <c r="F4" s="2" t="s">
        <v>860</v>
      </c>
      <c r="G4" s="3">
        <v>21589</v>
      </c>
      <c r="H4" s="3">
        <v>43291</v>
      </c>
      <c r="I4" s="2">
        <v>59</v>
      </c>
      <c r="J4" s="2">
        <v>1</v>
      </c>
      <c r="K4" s="2" t="s">
        <v>857</v>
      </c>
      <c r="L4" s="2">
        <v>3000</v>
      </c>
      <c r="M4" s="2">
        <v>9</v>
      </c>
      <c r="N4">
        <v>7.57</v>
      </c>
      <c r="O4">
        <v>1.71</v>
      </c>
      <c r="P4">
        <v>6.18</v>
      </c>
      <c r="Q4">
        <v>35.57</v>
      </c>
      <c r="R4">
        <v>67.069999999999993</v>
      </c>
      <c r="S4">
        <v>4.76</v>
      </c>
      <c r="T4">
        <v>56.98</v>
      </c>
      <c r="U4" s="13">
        <v>0.99</v>
      </c>
      <c r="V4">
        <v>1107.47</v>
      </c>
      <c r="W4">
        <v>44.63</v>
      </c>
      <c r="X4">
        <v>9.3000000000000007</v>
      </c>
      <c r="Y4">
        <v>812.37</v>
      </c>
      <c r="Z4">
        <v>6.69</v>
      </c>
      <c r="AA4">
        <v>74.37</v>
      </c>
      <c r="AB4">
        <v>3.69</v>
      </c>
      <c r="AC4">
        <v>106.85</v>
      </c>
      <c r="AD4" s="14">
        <v>9.99</v>
      </c>
      <c r="AE4">
        <v>109.93</v>
      </c>
      <c r="AF4">
        <v>10.67</v>
      </c>
      <c r="AG4">
        <v>34.85</v>
      </c>
      <c r="AH4">
        <v>7.76</v>
      </c>
      <c r="AI4">
        <v>11.32</v>
      </c>
    </row>
    <row r="5" spans="1:35" ht="15.75">
      <c r="A5" t="s">
        <v>132</v>
      </c>
      <c r="B5" s="2" t="s">
        <v>132</v>
      </c>
      <c r="C5" s="2" t="str">
        <f t="shared" si="0"/>
        <v>TRUE</v>
      </c>
      <c r="D5" s="2" t="s">
        <v>854</v>
      </c>
      <c r="E5" s="2" t="s">
        <v>862</v>
      </c>
      <c r="F5" s="2" t="s">
        <v>856</v>
      </c>
      <c r="G5" s="3">
        <v>21741</v>
      </c>
      <c r="H5" s="3">
        <v>43297</v>
      </c>
      <c r="I5" s="2">
        <v>59</v>
      </c>
      <c r="J5" s="2">
        <v>1</v>
      </c>
      <c r="K5" s="2" t="s">
        <v>861</v>
      </c>
      <c r="L5" s="2">
        <v>289</v>
      </c>
      <c r="M5" s="2" t="s">
        <v>856</v>
      </c>
      <c r="N5">
        <v>14.07</v>
      </c>
      <c r="O5">
        <v>1.45</v>
      </c>
      <c r="P5">
        <v>0.99</v>
      </c>
      <c r="Q5">
        <v>0.99</v>
      </c>
      <c r="R5">
        <v>102.54</v>
      </c>
      <c r="S5">
        <v>1.47</v>
      </c>
      <c r="T5">
        <v>33.909999999999997</v>
      </c>
      <c r="U5">
        <v>1.35</v>
      </c>
      <c r="V5" s="14">
        <v>2500.0100000000002</v>
      </c>
      <c r="W5">
        <v>8.44</v>
      </c>
      <c r="X5">
        <v>13.26</v>
      </c>
      <c r="Y5" s="14">
        <v>1000.01</v>
      </c>
      <c r="Z5">
        <v>20.41</v>
      </c>
      <c r="AA5">
        <v>815.98</v>
      </c>
      <c r="AB5">
        <v>3.19</v>
      </c>
      <c r="AC5">
        <v>1000.01</v>
      </c>
      <c r="AD5">
        <v>11.82</v>
      </c>
      <c r="AE5">
        <v>185.43</v>
      </c>
      <c r="AF5">
        <v>47.09</v>
      </c>
      <c r="AG5" s="14">
        <v>4.99</v>
      </c>
      <c r="AH5">
        <v>5.64</v>
      </c>
      <c r="AI5" s="14">
        <v>4.99</v>
      </c>
    </row>
    <row r="6" spans="1:35" ht="15.75">
      <c r="A6" t="s">
        <v>178</v>
      </c>
      <c r="B6" s="2" t="s">
        <v>178</v>
      </c>
      <c r="C6" s="2" t="str">
        <f t="shared" si="0"/>
        <v>TRUE</v>
      </c>
      <c r="D6" s="2" t="s">
        <v>858</v>
      </c>
      <c r="E6" s="2" t="s">
        <v>863</v>
      </c>
      <c r="F6" s="2" t="s">
        <v>864</v>
      </c>
      <c r="G6" s="3">
        <v>30401</v>
      </c>
      <c r="H6" s="3">
        <v>43300</v>
      </c>
      <c r="I6" s="2">
        <v>35</v>
      </c>
      <c r="J6" s="2">
        <v>1</v>
      </c>
      <c r="K6" s="2" t="s">
        <v>857</v>
      </c>
      <c r="L6" s="2">
        <v>250</v>
      </c>
      <c r="M6" s="2">
        <v>0</v>
      </c>
      <c r="N6">
        <v>11.47</v>
      </c>
      <c r="O6">
        <v>13.51</v>
      </c>
      <c r="P6">
        <v>25.47</v>
      </c>
      <c r="Q6">
        <v>210.41</v>
      </c>
      <c r="R6">
        <v>299.60000000000002</v>
      </c>
      <c r="S6">
        <v>37.32</v>
      </c>
      <c r="T6">
        <v>644.79</v>
      </c>
      <c r="U6">
        <v>15.34</v>
      </c>
      <c r="V6">
        <v>1242.1400000000001</v>
      </c>
      <c r="W6">
        <v>274.97000000000003</v>
      </c>
      <c r="X6">
        <v>46.68</v>
      </c>
      <c r="Y6">
        <v>577.04</v>
      </c>
      <c r="Z6">
        <v>21.34</v>
      </c>
      <c r="AA6">
        <v>119.96</v>
      </c>
      <c r="AB6">
        <v>31.02</v>
      </c>
      <c r="AC6">
        <v>53.52</v>
      </c>
      <c r="AD6">
        <v>83.37</v>
      </c>
      <c r="AE6">
        <v>98.73</v>
      </c>
      <c r="AF6">
        <v>23.32</v>
      </c>
      <c r="AG6">
        <v>485.56</v>
      </c>
      <c r="AH6">
        <v>9.4</v>
      </c>
      <c r="AI6">
        <v>60.14</v>
      </c>
    </row>
    <row r="7" spans="1:35" ht="15.75">
      <c r="A7" t="s">
        <v>748</v>
      </c>
      <c r="B7" s="2" t="s">
        <v>748</v>
      </c>
      <c r="C7" s="2" t="str">
        <f t="shared" si="0"/>
        <v>TRUE</v>
      </c>
      <c r="D7" s="2" t="s">
        <v>865</v>
      </c>
      <c r="E7" s="2" t="s">
        <v>866</v>
      </c>
      <c r="F7" s="2" t="s">
        <v>860</v>
      </c>
      <c r="G7" s="3">
        <v>29526</v>
      </c>
      <c r="H7" s="3">
        <v>43301</v>
      </c>
      <c r="I7" s="2">
        <v>37</v>
      </c>
      <c r="J7" s="2">
        <v>1</v>
      </c>
      <c r="K7" s="2" t="s">
        <v>861</v>
      </c>
      <c r="L7" s="2">
        <v>70</v>
      </c>
      <c r="M7" s="2">
        <v>6</v>
      </c>
      <c r="N7">
        <v>8.3699999999999992</v>
      </c>
      <c r="O7">
        <v>17.41</v>
      </c>
      <c r="P7">
        <v>792.86</v>
      </c>
      <c r="Q7">
        <v>25.12</v>
      </c>
      <c r="R7">
        <v>144.87</v>
      </c>
      <c r="S7">
        <v>148.02000000000001</v>
      </c>
      <c r="T7">
        <v>74.53</v>
      </c>
      <c r="U7">
        <v>5.15</v>
      </c>
      <c r="V7">
        <v>1088.44</v>
      </c>
      <c r="W7">
        <v>13.88</v>
      </c>
      <c r="X7">
        <v>322.76</v>
      </c>
      <c r="Y7">
        <v>321.13</v>
      </c>
      <c r="Z7">
        <v>24.9</v>
      </c>
      <c r="AA7">
        <v>115.47</v>
      </c>
      <c r="AB7" s="14">
        <v>2.4900000000000002</v>
      </c>
      <c r="AC7">
        <v>27.32</v>
      </c>
      <c r="AD7" s="14">
        <v>9.99</v>
      </c>
      <c r="AE7">
        <v>131.88999999999999</v>
      </c>
      <c r="AF7">
        <v>25.89</v>
      </c>
      <c r="AG7">
        <v>12.46</v>
      </c>
      <c r="AH7">
        <v>66.39</v>
      </c>
      <c r="AI7">
        <v>7.02</v>
      </c>
    </row>
    <row r="8" spans="1:35" ht="15.75">
      <c r="A8" t="s">
        <v>718</v>
      </c>
      <c r="B8" s="2" t="s">
        <v>718</v>
      </c>
      <c r="C8" s="2" t="str">
        <f t="shared" si="0"/>
        <v>TRUE</v>
      </c>
      <c r="D8" s="2" t="s">
        <v>858</v>
      </c>
      <c r="E8" s="2" t="s">
        <v>863</v>
      </c>
      <c r="F8" s="2" t="s">
        <v>864</v>
      </c>
      <c r="G8" s="3">
        <v>32618</v>
      </c>
      <c r="H8" s="3">
        <v>43308</v>
      </c>
      <c r="I8" s="2">
        <v>29</v>
      </c>
      <c r="J8" s="2">
        <v>1</v>
      </c>
      <c r="K8" s="2" t="s">
        <v>857</v>
      </c>
      <c r="L8" s="2">
        <v>2826</v>
      </c>
      <c r="M8" s="2">
        <v>5</v>
      </c>
      <c r="N8">
        <v>20.6</v>
      </c>
      <c r="O8">
        <v>2.37</v>
      </c>
      <c r="P8">
        <v>36.450000000000003</v>
      </c>
      <c r="Q8">
        <v>227.29</v>
      </c>
      <c r="R8">
        <v>56.71</v>
      </c>
      <c r="S8">
        <v>21.07</v>
      </c>
      <c r="T8">
        <v>57.7</v>
      </c>
      <c r="U8">
        <v>16.41</v>
      </c>
      <c r="V8">
        <v>1903.06</v>
      </c>
      <c r="W8">
        <v>502.28</v>
      </c>
      <c r="X8">
        <v>74.400000000000006</v>
      </c>
      <c r="Y8">
        <v>733.64</v>
      </c>
      <c r="Z8">
        <v>34.81</v>
      </c>
      <c r="AA8">
        <v>499.57</v>
      </c>
      <c r="AB8">
        <v>184.75</v>
      </c>
      <c r="AC8">
        <v>226.66</v>
      </c>
      <c r="AD8">
        <v>248.39</v>
      </c>
      <c r="AE8">
        <v>161.51</v>
      </c>
      <c r="AF8">
        <v>47.48</v>
      </c>
      <c r="AG8">
        <v>495.22</v>
      </c>
      <c r="AH8">
        <v>17.52</v>
      </c>
      <c r="AI8">
        <v>163.71</v>
      </c>
    </row>
    <row r="9" spans="1:35" ht="15.75">
      <c r="A9" t="s">
        <v>412</v>
      </c>
      <c r="B9" s="2" t="s">
        <v>412</v>
      </c>
      <c r="C9" s="2" t="str">
        <f t="shared" si="0"/>
        <v>TRUE</v>
      </c>
      <c r="D9" s="2" t="s">
        <v>865</v>
      </c>
      <c r="E9" s="2" t="s">
        <v>866</v>
      </c>
      <c r="F9" s="2" t="s">
        <v>864</v>
      </c>
      <c r="G9" s="3">
        <v>32901</v>
      </c>
      <c r="H9" s="3">
        <v>43296</v>
      </c>
      <c r="I9" s="2">
        <v>28</v>
      </c>
      <c r="J9" s="2">
        <v>1</v>
      </c>
      <c r="K9" s="2" t="s">
        <v>857</v>
      </c>
      <c r="L9" s="2">
        <v>796</v>
      </c>
      <c r="M9" s="2">
        <v>6</v>
      </c>
      <c r="N9">
        <v>16.3</v>
      </c>
      <c r="O9">
        <v>10.71</v>
      </c>
      <c r="P9">
        <v>19.11</v>
      </c>
      <c r="Q9">
        <v>170.41</v>
      </c>
      <c r="R9">
        <v>264.32</v>
      </c>
      <c r="S9">
        <v>32.380000000000003</v>
      </c>
      <c r="T9">
        <v>429.23</v>
      </c>
      <c r="U9">
        <v>26.3</v>
      </c>
      <c r="V9">
        <v>1585.53</v>
      </c>
      <c r="W9">
        <v>382.74</v>
      </c>
      <c r="X9">
        <v>102.99</v>
      </c>
      <c r="Y9">
        <v>460.25</v>
      </c>
      <c r="Z9">
        <v>22.66</v>
      </c>
      <c r="AA9">
        <v>90.31</v>
      </c>
      <c r="AB9">
        <v>21.05</v>
      </c>
      <c r="AC9">
        <v>26.08</v>
      </c>
      <c r="AD9">
        <v>93.56</v>
      </c>
      <c r="AE9">
        <v>91.34</v>
      </c>
      <c r="AF9">
        <v>30.85</v>
      </c>
      <c r="AG9">
        <v>276.68</v>
      </c>
      <c r="AH9">
        <v>12.57</v>
      </c>
      <c r="AI9">
        <v>46.93</v>
      </c>
    </row>
    <row r="10" spans="1:35" ht="15.75">
      <c r="A10" t="s">
        <v>730</v>
      </c>
      <c r="B10" s="2" t="s">
        <v>730</v>
      </c>
      <c r="C10" s="2" t="str">
        <f t="shared" si="0"/>
        <v>TRUE</v>
      </c>
      <c r="D10" s="2" t="s">
        <v>854</v>
      </c>
      <c r="E10" s="2" t="s">
        <v>855</v>
      </c>
      <c r="F10" s="2" t="s">
        <v>856</v>
      </c>
      <c r="G10" s="3">
        <v>27100</v>
      </c>
      <c r="H10" s="3">
        <v>43318</v>
      </c>
      <c r="I10" s="2">
        <v>44</v>
      </c>
      <c r="J10" s="2">
        <v>1</v>
      </c>
      <c r="K10" s="2" t="s">
        <v>861</v>
      </c>
      <c r="L10" s="2">
        <v>300</v>
      </c>
      <c r="M10" s="2" t="s">
        <v>856</v>
      </c>
      <c r="N10">
        <v>30.54</v>
      </c>
      <c r="O10">
        <v>84.75</v>
      </c>
      <c r="P10">
        <v>2.29</v>
      </c>
      <c r="Q10">
        <v>0.99</v>
      </c>
      <c r="R10">
        <v>325.95999999999998</v>
      </c>
      <c r="S10">
        <v>6.94</v>
      </c>
      <c r="T10">
        <v>14.78</v>
      </c>
      <c r="U10">
        <v>4.03</v>
      </c>
      <c r="V10" s="14">
        <v>2500.0100000000002</v>
      </c>
      <c r="W10">
        <v>8.6300000000000008</v>
      </c>
      <c r="X10">
        <v>141.9</v>
      </c>
      <c r="Y10" s="14">
        <v>1000.01</v>
      </c>
      <c r="Z10">
        <v>278.91000000000003</v>
      </c>
      <c r="AA10">
        <v>2500.0100000000002</v>
      </c>
      <c r="AB10">
        <v>14.58</v>
      </c>
      <c r="AC10">
        <v>1000.01</v>
      </c>
      <c r="AD10">
        <v>80.41</v>
      </c>
      <c r="AE10">
        <v>495.84</v>
      </c>
      <c r="AF10">
        <v>1000.01</v>
      </c>
      <c r="AG10">
        <v>26.96</v>
      </c>
      <c r="AH10">
        <v>12.73</v>
      </c>
      <c r="AI10" s="14">
        <v>4.99</v>
      </c>
    </row>
    <row r="11" spans="1:35" ht="15.75">
      <c r="A11" t="s">
        <v>151</v>
      </c>
      <c r="B11" s="2" t="s">
        <v>151</v>
      </c>
      <c r="C11" s="2" t="str">
        <f t="shared" si="0"/>
        <v>TRUE</v>
      </c>
      <c r="D11" s="2" t="s">
        <v>854</v>
      </c>
      <c r="E11" s="2" t="s">
        <v>862</v>
      </c>
      <c r="F11" s="2" t="s">
        <v>856</v>
      </c>
      <c r="G11" s="3">
        <v>36594</v>
      </c>
      <c r="H11" s="3">
        <v>43320</v>
      </c>
      <c r="I11" s="2">
        <v>18</v>
      </c>
      <c r="J11" s="2">
        <v>1</v>
      </c>
      <c r="K11" s="2" t="s">
        <v>857</v>
      </c>
      <c r="L11" s="2">
        <v>133</v>
      </c>
      <c r="M11" s="2" t="s">
        <v>856</v>
      </c>
      <c r="N11">
        <v>14.17</v>
      </c>
      <c r="O11">
        <v>3.33</v>
      </c>
      <c r="P11">
        <v>97.23</v>
      </c>
      <c r="Q11">
        <v>160.26</v>
      </c>
      <c r="R11">
        <v>168.19</v>
      </c>
      <c r="S11">
        <v>35.409999999999997</v>
      </c>
      <c r="T11">
        <v>73.510000000000005</v>
      </c>
      <c r="U11">
        <v>4.7300000000000004</v>
      </c>
      <c r="V11">
        <v>1569.1</v>
      </c>
      <c r="W11">
        <v>299.37</v>
      </c>
      <c r="X11">
        <v>158.06</v>
      </c>
      <c r="Y11">
        <v>289.24</v>
      </c>
      <c r="Z11">
        <v>16.899999999999999</v>
      </c>
      <c r="AA11">
        <v>111.85</v>
      </c>
      <c r="AB11">
        <v>27.94</v>
      </c>
      <c r="AC11">
        <v>25.11</v>
      </c>
      <c r="AD11">
        <v>15.81</v>
      </c>
      <c r="AE11">
        <v>79.02</v>
      </c>
      <c r="AF11">
        <v>16.13</v>
      </c>
      <c r="AG11">
        <v>74.89</v>
      </c>
      <c r="AH11">
        <v>35.65</v>
      </c>
      <c r="AI11">
        <v>92</v>
      </c>
    </row>
    <row r="12" spans="1:35" ht="15.75">
      <c r="A12" t="s">
        <v>580</v>
      </c>
      <c r="B12" s="2" t="s">
        <v>580</v>
      </c>
      <c r="C12" s="2" t="str">
        <f t="shared" si="0"/>
        <v>TRUE</v>
      </c>
      <c r="D12" s="2" t="s">
        <v>854</v>
      </c>
      <c r="E12" s="2" t="s">
        <v>862</v>
      </c>
      <c r="F12" s="2" t="s">
        <v>867</v>
      </c>
      <c r="G12" s="3">
        <v>32592</v>
      </c>
      <c r="H12" s="3">
        <v>43321</v>
      </c>
      <c r="I12" s="2">
        <v>29</v>
      </c>
      <c r="J12" s="2">
        <v>1</v>
      </c>
      <c r="K12" s="2" t="s">
        <v>857</v>
      </c>
      <c r="L12" s="2">
        <v>125</v>
      </c>
      <c r="M12" s="2" t="s">
        <v>856</v>
      </c>
      <c r="N12">
        <v>18.52</v>
      </c>
      <c r="O12">
        <v>7.05</v>
      </c>
      <c r="P12">
        <v>729.73</v>
      </c>
      <c r="Q12">
        <v>126.19</v>
      </c>
      <c r="R12">
        <v>91.84</v>
      </c>
      <c r="S12">
        <v>81.709999999999994</v>
      </c>
      <c r="T12">
        <v>38.47</v>
      </c>
      <c r="U12">
        <v>3.46</v>
      </c>
      <c r="V12">
        <v>2188.0700000000002</v>
      </c>
      <c r="W12">
        <v>356.97</v>
      </c>
      <c r="X12">
        <v>467.69</v>
      </c>
      <c r="Y12">
        <v>918.56</v>
      </c>
      <c r="Z12">
        <v>19.57</v>
      </c>
      <c r="AA12">
        <v>438.97</v>
      </c>
      <c r="AB12">
        <v>95.22</v>
      </c>
      <c r="AC12">
        <v>238.41</v>
      </c>
      <c r="AD12">
        <v>28.78</v>
      </c>
      <c r="AE12">
        <v>71.63</v>
      </c>
      <c r="AF12">
        <v>13.96</v>
      </c>
      <c r="AG12">
        <v>145</v>
      </c>
      <c r="AH12">
        <v>108.98</v>
      </c>
      <c r="AI12">
        <v>35.81</v>
      </c>
    </row>
    <row r="13" spans="1:35" ht="15.75">
      <c r="A13" t="s">
        <v>706</v>
      </c>
      <c r="B13" s="2" t="s">
        <v>706</v>
      </c>
      <c r="C13" s="2" t="str">
        <f t="shared" si="0"/>
        <v>TRUE</v>
      </c>
      <c r="D13" s="2" t="s">
        <v>858</v>
      </c>
      <c r="E13" s="2" t="s">
        <v>859</v>
      </c>
      <c r="F13" s="2" t="s">
        <v>864</v>
      </c>
      <c r="G13" s="3">
        <v>29445</v>
      </c>
      <c r="H13" s="3">
        <v>43329</v>
      </c>
      <c r="I13" s="2">
        <v>38</v>
      </c>
      <c r="J13" s="2">
        <v>1</v>
      </c>
      <c r="K13" s="2" t="s">
        <v>857</v>
      </c>
      <c r="L13" s="2">
        <v>2043</v>
      </c>
      <c r="M13" s="2">
        <v>8</v>
      </c>
      <c r="N13">
        <v>12.7</v>
      </c>
      <c r="O13">
        <v>7.38</v>
      </c>
      <c r="P13">
        <v>27.12</v>
      </c>
      <c r="Q13">
        <v>117.13</v>
      </c>
      <c r="R13">
        <v>259.51</v>
      </c>
      <c r="S13">
        <v>49.75</v>
      </c>
      <c r="T13">
        <v>248.56</v>
      </c>
      <c r="U13">
        <v>12.19</v>
      </c>
      <c r="V13">
        <v>2497.25</v>
      </c>
      <c r="W13">
        <v>405.52</v>
      </c>
      <c r="X13">
        <v>270.97000000000003</v>
      </c>
      <c r="Y13" s="14">
        <v>1000.01</v>
      </c>
      <c r="Z13">
        <v>51.59</v>
      </c>
      <c r="AA13">
        <v>378.3</v>
      </c>
      <c r="AB13">
        <v>102.73</v>
      </c>
      <c r="AC13">
        <v>186.06</v>
      </c>
      <c r="AD13">
        <v>177.56</v>
      </c>
      <c r="AE13">
        <v>154.82</v>
      </c>
      <c r="AF13">
        <v>37.79</v>
      </c>
      <c r="AG13">
        <v>232.66</v>
      </c>
      <c r="AH13">
        <v>42.15</v>
      </c>
      <c r="AI13">
        <v>104.72</v>
      </c>
    </row>
    <row r="14" spans="1:35" ht="15.75">
      <c r="A14" t="s">
        <v>160</v>
      </c>
      <c r="B14" s="2" t="s">
        <v>160</v>
      </c>
      <c r="C14" s="2" t="str">
        <f t="shared" si="0"/>
        <v>TRUE</v>
      </c>
      <c r="D14" s="2" t="s">
        <v>858</v>
      </c>
      <c r="E14" s="2" t="s">
        <v>868</v>
      </c>
      <c r="F14" s="2" t="s">
        <v>864</v>
      </c>
      <c r="G14" s="3">
        <v>31343</v>
      </c>
      <c r="H14" s="3">
        <v>43340</v>
      </c>
      <c r="I14" s="2">
        <v>32</v>
      </c>
      <c r="J14" s="4">
        <v>1</v>
      </c>
      <c r="K14" s="2" t="s">
        <v>857</v>
      </c>
      <c r="L14" s="2">
        <v>143</v>
      </c>
      <c r="M14" s="2">
        <v>5</v>
      </c>
      <c r="N14">
        <v>22</v>
      </c>
      <c r="O14">
        <v>0.99</v>
      </c>
      <c r="P14">
        <v>114.02</v>
      </c>
      <c r="Q14">
        <v>23.35</v>
      </c>
      <c r="R14">
        <v>8.4</v>
      </c>
      <c r="S14">
        <v>12.8</v>
      </c>
      <c r="T14">
        <v>3.09</v>
      </c>
      <c r="U14" s="13">
        <v>0.99</v>
      </c>
      <c r="V14">
        <v>313.42</v>
      </c>
      <c r="W14">
        <v>120.41</v>
      </c>
      <c r="X14">
        <v>24.71</v>
      </c>
      <c r="Y14">
        <v>37.81</v>
      </c>
      <c r="Z14">
        <v>4.96</v>
      </c>
      <c r="AA14">
        <v>119.15</v>
      </c>
      <c r="AB14">
        <v>30.28</v>
      </c>
      <c r="AC14">
        <v>11.2</v>
      </c>
      <c r="AD14">
        <v>123.62</v>
      </c>
      <c r="AE14">
        <v>39.840000000000003</v>
      </c>
      <c r="AF14">
        <v>13.51</v>
      </c>
      <c r="AG14">
        <v>752.29</v>
      </c>
      <c r="AH14">
        <v>11.74</v>
      </c>
      <c r="AI14">
        <v>56.52</v>
      </c>
    </row>
    <row r="15" spans="1:35" ht="15.75">
      <c r="A15" t="s">
        <v>108</v>
      </c>
      <c r="B15" s="2" t="s">
        <v>108</v>
      </c>
      <c r="C15" s="2" t="str">
        <f t="shared" si="0"/>
        <v>TRUE</v>
      </c>
      <c r="D15" s="2" t="s">
        <v>854</v>
      </c>
      <c r="E15" s="2" t="s">
        <v>855</v>
      </c>
      <c r="F15" s="2" t="s">
        <v>856</v>
      </c>
      <c r="G15" s="3">
        <v>32770</v>
      </c>
      <c r="H15" s="3">
        <v>43341</v>
      </c>
      <c r="I15" s="2">
        <v>28</v>
      </c>
      <c r="J15" s="2">
        <v>1</v>
      </c>
      <c r="K15" s="2" t="s">
        <v>857</v>
      </c>
      <c r="L15" s="2">
        <v>56</v>
      </c>
      <c r="M15" s="2" t="s">
        <v>856</v>
      </c>
      <c r="N15">
        <v>22.68</v>
      </c>
      <c r="O15">
        <v>6.73</v>
      </c>
      <c r="P15">
        <v>77.260000000000005</v>
      </c>
      <c r="Q15">
        <v>760.12</v>
      </c>
      <c r="R15">
        <v>247.85</v>
      </c>
      <c r="S15">
        <v>87.52</v>
      </c>
      <c r="T15">
        <v>13.64</v>
      </c>
      <c r="U15">
        <v>4.8</v>
      </c>
      <c r="V15">
        <v>644.85</v>
      </c>
      <c r="W15">
        <v>583.61</v>
      </c>
      <c r="X15">
        <v>62.81</v>
      </c>
      <c r="Y15">
        <v>141.22999999999999</v>
      </c>
      <c r="Z15">
        <v>9.44</v>
      </c>
      <c r="AA15">
        <v>96.78</v>
      </c>
      <c r="AB15">
        <v>105.12</v>
      </c>
      <c r="AC15">
        <v>37.15</v>
      </c>
      <c r="AD15">
        <v>26.7</v>
      </c>
      <c r="AE15">
        <v>24.12</v>
      </c>
      <c r="AF15">
        <v>6.49</v>
      </c>
      <c r="AG15">
        <v>154.04</v>
      </c>
      <c r="AH15">
        <v>7.78</v>
      </c>
      <c r="AI15">
        <v>49.26</v>
      </c>
    </row>
    <row r="16" spans="1:35" ht="15.75">
      <c r="A16" t="s">
        <v>766</v>
      </c>
      <c r="B16" s="2" t="s">
        <v>766</v>
      </c>
      <c r="C16" s="2" t="str">
        <f t="shared" si="0"/>
        <v>TRUE</v>
      </c>
      <c r="D16" s="2" t="s">
        <v>865</v>
      </c>
      <c r="E16" s="2" t="s">
        <v>869</v>
      </c>
      <c r="F16" s="2" t="s">
        <v>860</v>
      </c>
      <c r="G16" s="3">
        <v>36556</v>
      </c>
      <c r="H16" s="3">
        <v>43343</v>
      </c>
      <c r="I16" s="2">
        <v>18</v>
      </c>
      <c r="J16" s="2">
        <v>1</v>
      </c>
      <c r="K16" s="2" t="s">
        <v>861</v>
      </c>
      <c r="L16" s="2">
        <v>2552</v>
      </c>
      <c r="M16" s="2">
        <v>6</v>
      </c>
      <c r="N16">
        <v>9.2100000000000009</v>
      </c>
      <c r="O16">
        <v>2.88</v>
      </c>
      <c r="P16">
        <v>215.43</v>
      </c>
      <c r="Q16">
        <v>47.2</v>
      </c>
      <c r="R16">
        <v>16.07</v>
      </c>
      <c r="S16">
        <v>22.05</v>
      </c>
      <c r="T16">
        <v>14.93</v>
      </c>
      <c r="U16">
        <v>2.76</v>
      </c>
      <c r="V16">
        <v>1403.28</v>
      </c>
      <c r="W16">
        <v>198.22</v>
      </c>
      <c r="X16">
        <v>128.41999999999999</v>
      </c>
      <c r="Y16">
        <v>489.32</v>
      </c>
      <c r="Z16">
        <v>30.67</v>
      </c>
      <c r="AA16">
        <v>105.82</v>
      </c>
      <c r="AB16">
        <v>20.28</v>
      </c>
      <c r="AC16">
        <v>51.68</v>
      </c>
      <c r="AD16">
        <v>25.08</v>
      </c>
      <c r="AE16">
        <v>141.5</v>
      </c>
      <c r="AF16">
        <v>17.14</v>
      </c>
      <c r="AG16">
        <v>204.37</v>
      </c>
      <c r="AH16">
        <v>83.82</v>
      </c>
      <c r="AI16">
        <v>27.66</v>
      </c>
    </row>
    <row r="17" spans="1:35" ht="15.75">
      <c r="A17" t="s">
        <v>322</v>
      </c>
      <c r="B17" s="2" t="s">
        <v>322</v>
      </c>
      <c r="C17" s="2" t="str">
        <f t="shared" si="0"/>
        <v>TRUE</v>
      </c>
      <c r="D17" s="2" t="s">
        <v>865</v>
      </c>
      <c r="E17" s="2" t="s">
        <v>866</v>
      </c>
      <c r="F17" s="2" t="s">
        <v>864</v>
      </c>
      <c r="G17" s="3">
        <v>21233</v>
      </c>
      <c r="H17" s="3">
        <v>43350</v>
      </c>
      <c r="I17" s="2">
        <v>60</v>
      </c>
      <c r="J17" s="2">
        <v>1</v>
      </c>
      <c r="K17" s="2" t="s">
        <v>857</v>
      </c>
      <c r="L17" s="2">
        <v>992</v>
      </c>
      <c r="M17" s="2">
        <v>1</v>
      </c>
      <c r="N17">
        <v>14.36</v>
      </c>
      <c r="O17">
        <v>9.01</v>
      </c>
      <c r="P17">
        <v>34.17</v>
      </c>
      <c r="Q17" s="12">
        <v>1000.01</v>
      </c>
      <c r="R17" s="12">
        <v>1000.01</v>
      </c>
      <c r="S17">
        <v>61.74</v>
      </c>
      <c r="T17">
        <v>1000.01</v>
      </c>
      <c r="U17">
        <v>13.94</v>
      </c>
      <c r="V17">
        <v>403.28</v>
      </c>
      <c r="W17">
        <v>161.78</v>
      </c>
      <c r="X17">
        <v>19.64</v>
      </c>
      <c r="Y17">
        <v>127.02</v>
      </c>
      <c r="Z17">
        <v>6.18</v>
      </c>
      <c r="AA17">
        <v>12.69</v>
      </c>
      <c r="AB17">
        <v>4.7300000000000004</v>
      </c>
      <c r="AC17">
        <v>2.5299999999999998</v>
      </c>
      <c r="AD17">
        <v>13.16</v>
      </c>
      <c r="AE17">
        <v>45.24</v>
      </c>
      <c r="AF17" s="14">
        <v>4.99</v>
      </c>
      <c r="AG17">
        <v>365.87</v>
      </c>
      <c r="AH17">
        <v>7.28</v>
      </c>
      <c r="AI17">
        <v>51.77</v>
      </c>
    </row>
    <row r="18" spans="1:35" ht="15.75">
      <c r="A18" t="s">
        <v>382</v>
      </c>
      <c r="B18" s="2" t="s">
        <v>382</v>
      </c>
      <c r="C18" s="2" t="str">
        <f t="shared" si="0"/>
        <v>TRUE</v>
      </c>
      <c r="D18" s="2" t="s">
        <v>870</v>
      </c>
      <c r="E18" s="2" t="s">
        <v>871</v>
      </c>
      <c r="F18" s="2" t="s">
        <v>856</v>
      </c>
      <c r="G18" s="3">
        <v>26185</v>
      </c>
      <c r="H18" s="3">
        <v>43354</v>
      </c>
      <c r="I18" s="2">
        <v>47</v>
      </c>
      <c r="J18" s="2">
        <v>1</v>
      </c>
      <c r="K18" s="2" t="s">
        <v>857</v>
      </c>
      <c r="L18" s="2">
        <v>644</v>
      </c>
      <c r="M18" s="2" t="s">
        <v>856</v>
      </c>
      <c r="N18">
        <v>16.66</v>
      </c>
      <c r="O18">
        <v>0.99</v>
      </c>
      <c r="P18">
        <v>7.23</v>
      </c>
      <c r="Q18">
        <v>3.31</v>
      </c>
      <c r="R18">
        <v>6.32</v>
      </c>
      <c r="S18">
        <v>2.2599999999999998</v>
      </c>
      <c r="T18">
        <v>8.61</v>
      </c>
      <c r="U18" s="13">
        <v>0.99</v>
      </c>
      <c r="V18">
        <v>257.68</v>
      </c>
      <c r="W18">
        <v>31.96</v>
      </c>
      <c r="X18">
        <v>9.2100000000000009</v>
      </c>
      <c r="Y18">
        <v>69.61</v>
      </c>
      <c r="Z18">
        <v>5.7</v>
      </c>
      <c r="AA18">
        <v>42.01</v>
      </c>
      <c r="AB18">
        <v>7.11</v>
      </c>
      <c r="AC18">
        <v>8.02</v>
      </c>
      <c r="AD18">
        <v>30.5</v>
      </c>
      <c r="AE18">
        <v>38.29</v>
      </c>
      <c r="AF18">
        <v>9.17</v>
      </c>
      <c r="AG18">
        <v>63.82</v>
      </c>
      <c r="AH18" s="14">
        <v>4.99</v>
      </c>
      <c r="AI18">
        <v>25.71</v>
      </c>
    </row>
    <row r="19" spans="1:35" ht="15.75">
      <c r="A19" t="s">
        <v>166</v>
      </c>
      <c r="B19" s="2" t="s">
        <v>166</v>
      </c>
      <c r="C19" s="2" t="str">
        <f t="shared" si="0"/>
        <v>TRUE</v>
      </c>
      <c r="D19" s="2" t="s">
        <v>858</v>
      </c>
      <c r="E19" s="2" t="s">
        <v>868</v>
      </c>
      <c r="F19" s="2" t="s">
        <v>864</v>
      </c>
      <c r="G19" s="3">
        <v>31343</v>
      </c>
      <c r="H19" s="3">
        <v>43371</v>
      </c>
      <c r="I19" s="2">
        <v>32</v>
      </c>
      <c r="J19" s="2">
        <v>1</v>
      </c>
      <c r="K19" s="2" t="s">
        <v>857</v>
      </c>
      <c r="L19" s="2">
        <v>143</v>
      </c>
      <c r="M19" s="2">
        <v>5</v>
      </c>
      <c r="N19">
        <v>12.54</v>
      </c>
      <c r="O19">
        <v>0.99</v>
      </c>
      <c r="P19">
        <v>34.909999999999997</v>
      </c>
      <c r="Q19">
        <v>69.02</v>
      </c>
      <c r="R19">
        <v>21.42</v>
      </c>
      <c r="S19">
        <v>15.1</v>
      </c>
      <c r="T19">
        <v>19.79</v>
      </c>
      <c r="U19">
        <v>4.67</v>
      </c>
      <c r="V19">
        <v>1213.26</v>
      </c>
      <c r="W19">
        <v>342.87</v>
      </c>
      <c r="X19">
        <v>109.54</v>
      </c>
      <c r="Y19">
        <v>307.82</v>
      </c>
      <c r="Z19">
        <v>24</v>
      </c>
      <c r="AA19">
        <v>218.68</v>
      </c>
      <c r="AB19">
        <v>103.34</v>
      </c>
      <c r="AC19">
        <v>65.400000000000006</v>
      </c>
      <c r="AD19">
        <v>285.18</v>
      </c>
      <c r="AE19">
        <v>153.69</v>
      </c>
      <c r="AF19">
        <v>64.08</v>
      </c>
      <c r="AG19">
        <v>526.66999999999996</v>
      </c>
      <c r="AH19">
        <v>40.07</v>
      </c>
      <c r="AI19">
        <v>141.53</v>
      </c>
    </row>
    <row r="20" spans="1:35" ht="15.75">
      <c r="A20" t="s">
        <v>451</v>
      </c>
      <c r="B20" s="2" t="s">
        <v>451</v>
      </c>
      <c r="C20" s="2" t="str">
        <f t="shared" si="0"/>
        <v>TRUE</v>
      </c>
      <c r="D20" s="2" t="s">
        <v>858</v>
      </c>
      <c r="E20" s="2" t="s">
        <v>859</v>
      </c>
      <c r="F20" s="2" t="s">
        <v>860</v>
      </c>
      <c r="G20" s="3">
        <v>21589</v>
      </c>
      <c r="H20" s="3">
        <v>43375</v>
      </c>
      <c r="I20" s="2">
        <v>59</v>
      </c>
      <c r="J20" s="2">
        <v>2</v>
      </c>
      <c r="K20" s="2" t="s">
        <v>857</v>
      </c>
      <c r="L20" s="2">
        <v>17</v>
      </c>
      <c r="M20" s="2">
        <v>4</v>
      </c>
      <c r="N20">
        <v>9.17</v>
      </c>
      <c r="O20">
        <v>2.35</v>
      </c>
      <c r="P20">
        <v>67.94</v>
      </c>
      <c r="Q20">
        <v>152.81</v>
      </c>
      <c r="R20">
        <v>88.1</v>
      </c>
      <c r="S20">
        <v>18.649999999999999</v>
      </c>
      <c r="T20">
        <v>18.010000000000002</v>
      </c>
      <c r="U20">
        <v>1.31</v>
      </c>
      <c r="V20">
        <v>612.41</v>
      </c>
      <c r="W20">
        <v>57.36</v>
      </c>
      <c r="X20">
        <v>14.07</v>
      </c>
      <c r="Y20">
        <v>185.27</v>
      </c>
      <c r="Z20">
        <v>9.92</v>
      </c>
      <c r="AA20">
        <v>115.39</v>
      </c>
      <c r="AB20">
        <v>13.25</v>
      </c>
      <c r="AC20">
        <v>40.57</v>
      </c>
      <c r="AD20">
        <v>77.930000000000007</v>
      </c>
      <c r="AE20">
        <v>151.85</v>
      </c>
      <c r="AF20">
        <v>47.77</v>
      </c>
      <c r="AG20">
        <v>256.69</v>
      </c>
      <c r="AH20">
        <v>7.77</v>
      </c>
      <c r="AI20">
        <v>32.89</v>
      </c>
    </row>
    <row r="21" spans="1:35" ht="15.75">
      <c r="A21" t="s">
        <v>406</v>
      </c>
      <c r="B21" s="2" t="s">
        <v>406</v>
      </c>
      <c r="C21" s="2" t="str">
        <f t="shared" si="0"/>
        <v>TRUE</v>
      </c>
      <c r="D21" s="2" t="s">
        <v>865</v>
      </c>
      <c r="E21" s="2" t="s">
        <v>866</v>
      </c>
      <c r="F21" s="2" t="s">
        <v>860</v>
      </c>
      <c r="G21" s="3">
        <v>28506</v>
      </c>
      <c r="H21" s="3">
        <v>43356</v>
      </c>
      <c r="I21" s="2">
        <v>40</v>
      </c>
      <c r="J21" s="2">
        <v>1</v>
      </c>
      <c r="K21" s="2" t="s">
        <v>861</v>
      </c>
      <c r="L21" s="2">
        <v>177</v>
      </c>
      <c r="M21" s="2">
        <v>7</v>
      </c>
      <c r="N21">
        <v>17.07</v>
      </c>
      <c r="O21">
        <v>0.99</v>
      </c>
      <c r="P21">
        <v>45.22</v>
      </c>
      <c r="Q21">
        <v>90.83</v>
      </c>
      <c r="R21">
        <v>21.4</v>
      </c>
      <c r="S21">
        <v>13.7</v>
      </c>
      <c r="T21">
        <v>6.08</v>
      </c>
      <c r="U21" s="13">
        <v>0.99</v>
      </c>
      <c r="V21">
        <v>1175.9000000000001</v>
      </c>
      <c r="W21">
        <v>273.36</v>
      </c>
      <c r="X21">
        <v>54.91</v>
      </c>
      <c r="Y21">
        <v>133.77000000000001</v>
      </c>
      <c r="Z21">
        <v>7.55</v>
      </c>
      <c r="AA21">
        <v>106.77</v>
      </c>
      <c r="AB21">
        <v>36.39</v>
      </c>
      <c r="AC21">
        <v>15.29</v>
      </c>
      <c r="AD21">
        <v>54.74</v>
      </c>
      <c r="AE21">
        <v>65.33</v>
      </c>
      <c r="AF21">
        <v>9.2799999999999994</v>
      </c>
      <c r="AG21">
        <v>500.51</v>
      </c>
      <c r="AH21">
        <v>14.03</v>
      </c>
      <c r="AI21">
        <v>72.19</v>
      </c>
    </row>
    <row r="22" spans="1:35" ht="15.75">
      <c r="A22" t="s">
        <v>187</v>
      </c>
      <c r="B22" s="2" t="s">
        <v>187</v>
      </c>
      <c r="C22" s="2" t="str">
        <f t="shared" si="0"/>
        <v>TRUE</v>
      </c>
      <c r="D22" s="2" t="s">
        <v>858</v>
      </c>
      <c r="E22" s="2" t="s">
        <v>859</v>
      </c>
      <c r="F22" s="2" t="s">
        <v>864</v>
      </c>
      <c r="G22" s="3">
        <v>35211</v>
      </c>
      <c r="H22" s="3">
        <v>43377</v>
      </c>
      <c r="I22" s="2">
        <v>22</v>
      </c>
      <c r="J22" s="2">
        <v>1</v>
      </c>
      <c r="K22" s="2" t="s">
        <v>857</v>
      </c>
      <c r="L22" s="2">
        <v>69</v>
      </c>
      <c r="M22" s="2">
        <v>4</v>
      </c>
      <c r="N22">
        <v>22.39</v>
      </c>
      <c r="O22">
        <v>3.07</v>
      </c>
      <c r="P22">
        <v>95.17</v>
      </c>
      <c r="Q22">
        <v>201.6</v>
      </c>
      <c r="R22">
        <v>209.22</v>
      </c>
      <c r="S22">
        <v>25.73</v>
      </c>
      <c r="T22">
        <v>204.96</v>
      </c>
      <c r="U22">
        <v>4.05</v>
      </c>
      <c r="V22">
        <v>2271.79</v>
      </c>
      <c r="W22">
        <v>555.29</v>
      </c>
      <c r="X22">
        <v>165.61</v>
      </c>
      <c r="Y22">
        <v>447.88</v>
      </c>
      <c r="Z22">
        <v>11.79</v>
      </c>
      <c r="AA22">
        <v>182.49</v>
      </c>
      <c r="AB22">
        <v>53.41</v>
      </c>
      <c r="AC22">
        <v>47.34</v>
      </c>
      <c r="AD22">
        <v>38.46</v>
      </c>
      <c r="AE22">
        <v>102.58</v>
      </c>
      <c r="AF22">
        <v>16.329999999999998</v>
      </c>
      <c r="AG22">
        <v>189.35</v>
      </c>
      <c r="AH22">
        <v>43.64</v>
      </c>
      <c r="AI22">
        <v>144.31</v>
      </c>
    </row>
    <row r="23" spans="1:35" ht="15.75">
      <c r="A23" t="s">
        <v>499</v>
      </c>
      <c r="B23" s="2" t="s">
        <v>499</v>
      </c>
      <c r="C23" s="2" t="str">
        <f t="shared" si="0"/>
        <v>TRUE</v>
      </c>
      <c r="D23" s="2" t="s">
        <v>858</v>
      </c>
      <c r="E23" s="2" t="s">
        <v>863</v>
      </c>
      <c r="F23" s="2" t="s">
        <v>864</v>
      </c>
      <c r="G23" s="3">
        <v>23573</v>
      </c>
      <c r="H23" s="3">
        <v>43392</v>
      </c>
      <c r="I23" s="2">
        <v>54</v>
      </c>
      <c r="J23" s="2">
        <v>1</v>
      </c>
      <c r="K23" s="2" t="s">
        <v>857</v>
      </c>
      <c r="L23" s="2">
        <v>6000</v>
      </c>
      <c r="M23" s="2">
        <v>7</v>
      </c>
      <c r="N23">
        <v>13.82</v>
      </c>
      <c r="O23">
        <v>0.99</v>
      </c>
      <c r="P23">
        <v>3.64</v>
      </c>
      <c r="Q23">
        <v>254.71</v>
      </c>
      <c r="R23" s="12">
        <v>1000.01</v>
      </c>
      <c r="S23">
        <v>21.12</v>
      </c>
      <c r="T23">
        <v>579.42999999999995</v>
      </c>
      <c r="U23">
        <v>3.12</v>
      </c>
      <c r="V23">
        <v>941.06</v>
      </c>
      <c r="W23">
        <v>112.36</v>
      </c>
      <c r="X23">
        <v>23.97</v>
      </c>
      <c r="Y23">
        <v>282.83999999999997</v>
      </c>
      <c r="Z23">
        <v>21.39</v>
      </c>
      <c r="AA23">
        <v>79.69</v>
      </c>
      <c r="AB23">
        <v>16.72</v>
      </c>
      <c r="AC23">
        <v>36.549999999999997</v>
      </c>
      <c r="AD23">
        <v>228.29</v>
      </c>
      <c r="AE23">
        <v>414.59</v>
      </c>
      <c r="AF23">
        <v>65.63</v>
      </c>
      <c r="AG23">
        <v>927.22</v>
      </c>
      <c r="AH23">
        <v>40.909999999999997</v>
      </c>
      <c r="AI23">
        <v>184.24</v>
      </c>
    </row>
    <row r="24" spans="1:35" ht="15.75">
      <c r="A24" t="s">
        <v>700</v>
      </c>
      <c r="B24" s="2" t="s">
        <v>700</v>
      </c>
      <c r="C24" s="2" t="str">
        <f t="shared" si="0"/>
        <v>TRUE</v>
      </c>
      <c r="D24" s="2" t="s">
        <v>858</v>
      </c>
      <c r="E24" s="2" t="s">
        <v>859</v>
      </c>
      <c r="F24" s="2" t="s">
        <v>864</v>
      </c>
      <c r="G24" s="3">
        <v>29445</v>
      </c>
      <c r="H24" s="3">
        <v>43395</v>
      </c>
      <c r="I24" s="2">
        <v>38</v>
      </c>
      <c r="J24" s="4">
        <v>1</v>
      </c>
      <c r="K24" s="2" t="s">
        <v>857</v>
      </c>
      <c r="L24" s="2" t="s">
        <v>856</v>
      </c>
      <c r="M24" s="2">
        <v>3</v>
      </c>
      <c r="N24">
        <v>11.64</v>
      </c>
      <c r="O24">
        <v>4.29</v>
      </c>
      <c r="P24">
        <v>291.36</v>
      </c>
      <c r="Q24">
        <v>0.99</v>
      </c>
      <c r="R24">
        <v>48.82</v>
      </c>
      <c r="S24">
        <v>38.1</v>
      </c>
      <c r="T24">
        <v>16.12</v>
      </c>
      <c r="U24">
        <v>7.26</v>
      </c>
      <c r="V24">
        <v>763.93</v>
      </c>
      <c r="W24">
        <v>1.49</v>
      </c>
      <c r="X24">
        <v>307.79000000000002</v>
      </c>
      <c r="Y24">
        <v>191.65</v>
      </c>
      <c r="Z24">
        <v>18.14</v>
      </c>
      <c r="AA24">
        <v>67.209999999999994</v>
      </c>
      <c r="AB24" s="14">
        <v>2.4900000000000002</v>
      </c>
      <c r="AC24">
        <v>17.8</v>
      </c>
      <c r="AD24" s="14">
        <v>9.99</v>
      </c>
      <c r="AE24">
        <v>145.05000000000001</v>
      </c>
      <c r="AF24">
        <v>21.34</v>
      </c>
      <c r="AG24">
        <v>5.91</v>
      </c>
      <c r="AH24">
        <v>255.59</v>
      </c>
      <c r="AI24" s="14">
        <v>4.99</v>
      </c>
    </row>
    <row r="25" spans="1:35" ht="15.75">
      <c r="A25" t="s">
        <v>421</v>
      </c>
      <c r="B25" s="2" t="s">
        <v>421</v>
      </c>
      <c r="C25" s="2" t="str">
        <f t="shared" si="0"/>
        <v>TRUE</v>
      </c>
      <c r="D25" s="2" t="s">
        <v>865</v>
      </c>
      <c r="E25" s="2" t="s">
        <v>866</v>
      </c>
      <c r="F25" s="2" t="s">
        <v>864</v>
      </c>
      <c r="G25" s="3">
        <v>33786</v>
      </c>
      <c r="H25" s="3">
        <v>43399</v>
      </c>
      <c r="I25" s="2">
        <v>26</v>
      </c>
      <c r="J25" s="4">
        <v>1</v>
      </c>
      <c r="K25" s="2" t="s">
        <v>861</v>
      </c>
      <c r="L25" s="2">
        <v>239</v>
      </c>
      <c r="M25" s="2">
        <v>7</v>
      </c>
      <c r="N25">
        <v>13.39</v>
      </c>
      <c r="O25">
        <v>0.99</v>
      </c>
      <c r="P25">
        <v>24.29</v>
      </c>
      <c r="Q25">
        <v>18.63</v>
      </c>
      <c r="R25">
        <v>49.42</v>
      </c>
      <c r="S25">
        <v>5.29</v>
      </c>
      <c r="T25">
        <v>44.01</v>
      </c>
      <c r="U25">
        <v>11.47</v>
      </c>
      <c r="V25">
        <v>504.98</v>
      </c>
      <c r="W25">
        <v>25.56</v>
      </c>
      <c r="X25">
        <v>32.58</v>
      </c>
      <c r="Y25">
        <v>266.51</v>
      </c>
      <c r="Z25">
        <v>48.4</v>
      </c>
      <c r="AA25">
        <v>74.94</v>
      </c>
      <c r="AB25">
        <v>4.18</v>
      </c>
      <c r="AC25">
        <v>28.19</v>
      </c>
      <c r="AD25">
        <v>47.13</v>
      </c>
      <c r="AE25">
        <v>173.91</v>
      </c>
      <c r="AF25">
        <v>80.680000000000007</v>
      </c>
      <c r="AG25">
        <v>156.41999999999999</v>
      </c>
      <c r="AH25">
        <v>17.920000000000002</v>
      </c>
      <c r="AI25">
        <v>27.81</v>
      </c>
    </row>
    <row r="26" spans="1:35" ht="15.75">
      <c r="A26" t="s">
        <v>727</v>
      </c>
      <c r="B26" s="2" t="s">
        <v>727</v>
      </c>
      <c r="C26" s="2" t="str">
        <f t="shared" si="0"/>
        <v>TRUE</v>
      </c>
      <c r="D26" s="2" t="s">
        <v>854</v>
      </c>
      <c r="E26" s="2" t="s">
        <v>862</v>
      </c>
      <c r="F26" s="2" t="s">
        <v>856</v>
      </c>
      <c r="G26" s="3">
        <v>26190</v>
      </c>
      <c r="H26" s="3">
        <v>43409</v>
      </c>
      <c r="I26" s="2">
        <v>47</v>
      </c>
      <c r="J26" s="2">
        <v>1</v>
      </c>
      <c r="K26" s="2" t="s">
        <v>857</v>
      </c>
      <c r="L26" s="2">
        <v>189</v>
      </c>
      <c r="M26" s="2">
        <v>5</v>
      </c>
      <c r="N26">
        <v>18.95</v>
      </c>
      <c r="O26">
        <v>4.93</v>
      </c>
      <c r="P26">
        <v>65.819999999999993</v>
      </c>
      <c r="Q26">
        <v>322.62</v>
      </c>
      <c r="R26">
        <v>120.18</v>
      </c>
      <c r="S26">
        <v>22.05</v>
      </c>
      <c r="T26">
        <v>88.58</v>
      </c>
      <c r="U26" s="13">
        <v>0.99</v>
      </c>
      <c r="V26">
        <v>1010.65</v>
      </c>
      <c r="W26">
        <v>526.23</v>
      </c>
      <c r="X26">
        <v>28.17</v>
      </c>
      <c r="Y26">
        <v>308.47000000000003</v>
      </c>
      <c r="Z26">
        <v>10.88</v>
      </c>
      <c r="AA26">
        <v>83.64</v>
      </c>
      <c r="AB26">
        <v>58.54</v>
      </c>
      <c r="AC26">
        <v>21.57</v>
      </c>
      <c r="AD26">
        <v>90.46</v>
      </c>
      <c r="AE26">
        <v>61.23</v>
      </c>
      <c r="AF26">
        <v>11.99</v>
      </c>
      <c r="AG26">
        <v>585.4</v>
      </c>
      <c r="AH26" s="14">
        <v>4.99</v>
      </c>
      <c r="AI26">
        <v>105.6</v>
      </c>
    </row>
    <row r="27" spans="1:35" ht="15.75">
      <c r="A27" t="s">
        <v>93</v>
      </c>
      <c r="B27" s="2" t="s">
        <v>93</v>
      </c>
      <c r="C27" s="2" t="str">
        <f t="shared" si="0"/>
        <v>TRUE</v>
      </c>
      <c r="D27" s="2" t="s">
        <v>858</v>
      </c>
      <c r="E27" s="2" t="s">
        <v>868</v>
      </c>
      <c r="F27" s="2" t="s">
        <v>864</v>
      </c>
      <c r="G27" s="3">
        <v>30482</v>
      </c>
      <c r="H27" s="3">
        <v>43410</v>
      </c>
      <c r="I27" s="2">
        <v>35</v>
      </c>
      <c r="J27" s="4">
        <v>1</v>
      </c>
      <c r="K27" s="2" t="s">
        <v>857</v>
      </c>
      <c r="L27" s="2" t="s">
        <v>856</v>
      </c>
      <c r="M27" s="2">
        <v>7</v>
      </c>
      <c r="N27">
        <v>13.64</v>
      </c>
      <c r="O27">
        <v>0.99</v>
      </c>
      <c r="P27">
        <v>11.88</v>
      </c>
      <c r="Q27">
        <v>27.43</v>
      </c>
      <c r="R27">
        <v>32.840000000000003</v>
      </c>
      <c r="S27">
        <v>4.03</v>
      </c>
      <c r="T27">
        <v>38.82</v>
      </c>
      <c r="U27">
        <v>2.19</v>
      </c>
      <c r="V27">
        <v>84.36</v>
      </c>
      <c r="W27">
        <v>24.96</v>
      </c>
      <c r="X27">
        <v>8.01</v>
      </c>
      <c r="Y27">
        <v>14.68</v>
      </c>
      <c r="Z27" s="14">
        <v>2.4900000000000002</v>
      </c>
      <c r="AA27">
        <v>11.8</v>
      </c>
      <c r="AB27">
        <v>3.11</v>
      </c>
      <c r="AC27">
        <v>2.73</v>
      </c>
      <c r="AD27">
        <v>29.76</v>
      </c>
      <c r="AE27">
        <v>46.71</v>
      </c>
      <c r="AF27">
        <v>6.72</v>
      </c>
      <c r="AG27">
        <v>104.92</v>
      </c>
      <c r="AH27">
        <v>28.98</v>
      </c>
      <c r="AI27">
        <v>42.67</v>
      </c>
    </row>
    <row r="28" spans="1:35" ht="15.75">
      <c r="A28" t="s">
        <v>661</v>
      </c>
      <c r="B28" s="2" t="s">
        <v>661</v>
      </c>
      <c r="C28" s="2" t="str">
        <f t="shared" si="0"/>
        <v>TRUE</v>
      </c>
      <c r="D28" s="2" t="s">
        <v>858</v>
      </c>
      <c r="E28" s="2" t="s">
        <v>863</v>
      </c>
      <c r="F28" s="2" t="s">
        <v>864</v>
      </c>
      <c r="G28" s="3">
        <v>24908</v>
      </c>
      <c r="H28" s="3">
        <v>43411</v>
      </c>
      <c r="I28" s="2">
        <v>50</v>
      </c>
      <c r="J28" s="2">
        <v>1</v>
      </c>
      <c r="K28" s="2" t="s">
        <v>857</v>
      </c>
      <c r="L28" s="2">
        <v>322</v>
      </c>
      <c r="M28" s="2">
        <v>4</v>
      </c>
      <c r="N28">
        <v>18.48</v>
      </c>
      <c r="O28">
        <v>4.3899999999999997</v>
      </c>
      <c r="P28">
        <v>32.049999999999997</v>
      </c>
      <c r="Q28">
        <v>519.45000000000005</v>
      </c>
      <c r="R28">
        <v>83.51</v>
      </c>
      <c r="S28">
        <v>43.81</v>
      </c>
      <c r="T28">
        <v>146.16</v>
      </c>
      <c r="U28">
        <v>12.72</v>
      </c>
      <c r="V28">
        <v>1278.8699999999999</v>
      </c>
      <c r="W28">
        <v>873.39</v>
      </c>
      <c r="X28">
        <v>46.52</v>
      </c>
      <c r="Y28">
        <v>621.29999999999995</v>
      </c>
      <c r="Z28">
        <v>30.4</v>
      </c>
      <c r="AA28">
        <v>60.2</v>
      </c>
      <c r="AB28">
        <v>57.38</v>
      </c>
      <c r="AC28">
        <v>34.93</v>
      </c>
      <c r="AD28">
        <v>199.47</v>
      </c>
      <c r="AE28">
        <v>215.29</v>
      </c>
      <c r="AF28">
        <v>20.93</v>
      </c>
      <c r="AG28">
        <v>1199.54</v>
      </c>
      <c r="AH28">
        <v>26.93</v>
      </c>
      <c r="AI28">
        <v>534.14</v>
      </c>
    </row>
    <row r="29" spans="1:35" ht="15.75">
      <c r="A29" t="s">
        <v>102</v>
      </c>
      <c r="B29" s="2" t="s">
        <v>102</v>
      </c>
      <c r="C29" s="2" t="str">
        <f t="shared" si="0"/>
        <v>TRUE</v>
      </c>
      <c r="D29" s="2" t="s">
        <v>854</v>
      </c>
      <c r="E29" s="2" t="s">
        <v>855</v>
      </c>
      <c r="F29" s="2" t="s">
        <v>856</v>
      </c>
      <c r="G29" s="3">
        <v>32770</v>
      </c>
      <c r="H29" s="3">
        <v>43425</v>
      </c>
      <c r="I29" s="2">
        <v>29</v>
      </c>
      <c r="J29" s="2">
        <v>2</v>
      </c>
      <c r="K29" s="2" t="s">
        <v>857</v>
      </c>
      <c r="L29" s="2" t="s">
        <v>856</v>
      </c>
      <c r="M29" s="2" t="s">
        <v>856</v>
      </c>
      <c r="N29">
        <v>23.9</v>
      </c>
      <c r="O29">
        <v>0.99</v>
      </c>
      <c r="P29">
        <v>104.14</v>
      </c>
      <c r="Q29">
        <v>57.06</v>
      </c>
      <c r="R29">
        <v>7.53</v>
      </c>
      <c r="S29">
        <v>17.46</v>
      </c>
      <c r="T29">
        <v>1.88</v>
      </c>
      <c r="U29">
        <v>1.3</v>
      </c>
      <c r="V29">
        <v>86.15</v>
      </c>
      <c r="W29">
        <v>65.19</v>
      </c>
      <c r="X29">
        <v>22.91</v>
      </c>
      <c r="Y29">
        <v>23.14</v>
      </c>
      <c r="Z29">
        <v>3.67</v>
      </c>
      <c r="AA29">
        <v>14.47</v>
      </c>
      <c r="AB29">
        <v>10.24</v>
      </c>
      <c r="AC29">
        <v>5.76</v>
      </c>
      <c r="AD29">
        <v>39.799999999999997</v>
      </c>
      <c r="AE29">
        <v>17.63</v>
      </c>
      <c r="AF29" s="14">
        <v>4.99</v>
      </c>
      <c r="AG29">
        <v>110.36</v>
      </c>
      <c r="AH29">
        <v>6.09</v>
      </c>
      <c r="AI29">
        <v>28.19</v>
      </c>
    </row>
    <row r="30" spans="1:35" ht="15.75">
      <c r="A30" t="s">
        <v>745</v>
      </c>
      <c r="B30" s="2" t="s">
        <v>745</v>
      </c>
      <c r="C30" s="2" t="str">
        <f t="shared" si="0"/>
        <v>TRUE</v>
      </c>
      <c r="D30" s="2" t="s">
        <v>865</v>
      </c>
      <c r="E30" s="2" t="s">
        <v>866</v>
      </c>
      <c r="F30" s="2" t="s">
        <v>860</v>
      </c>
      <c r="G30" s="3">
        <v>29526</v>
      </c>
      <c r="H30" s="3">
        <v>43430</v>
      </c>
      <c r="I30" s="2">
        <v>38</v>
      </c>
      <c r="J30" s="2">
        <v>2</v>
      </c>
      <c r="K30" s="2" t="s">
        <v>861</v>
      </c>
      <c r="L30" s="2">
        <v>99</v>
      </c>
      <c r="M30" s="2">
        <v>7</v>
      </c>
      <c r="N30">
        <v>13.69</v>
      </c>
      <c r="O30">
        <v>10.01</v>
      </c>
      <c r="P30">
        <v>329.75</v>
      </c>
      <c r="Q30">
        <v>16.18</v>
      </c>
      <c r="R30">
        <v>688.61</v>
      </c>
      <c r="S30">
        <v>122.97</v>
      </c>
      <c r="T30">
        <v>93.48</v>
      </c>
      <c r="U30">
        <v>9.31</v>
      </c>
      <c r="V30">
        <v>1754.7</v>
      </c>
      <c r="W30">
        <v>22.47</v>
      </c>
      <c r="X30">
        <v>302.32</v>
      </c>
      <c r="Y30">
        <v>276.66000000000003</v>
      </c>
      <c r="Z30">
        <v>31.67</v>
      </c>
      <c r="AA30">
        <v>165.39</v>
      </c>
      <c r="AB30">
        <v>4.3</v>
      </c>
      <c r="AC30">
        <v>40.14</v>
      </c>
      <c r="AD30" s="14">
        <v>9.99</v>
      </c>
      <c r="AE30">
        <v>166.1</v>
      </c>
      <c r="AF30">
        <v>35.21</v>
      </c>
      <c r="AG30">
        <v>5.89</v>
      </c>
      <c r="AH30">
        <v>65.510000000000005</v>
      </c>
      <c r="AI30">
        <v>9.16</v>
      </c>
    </row>
    <row r="31" spans="1:35" ht="15.75">
      <c r="A31" t="s">
        <v>105</v>
      </c>
      <c r="B31" s="2" t="s">
        <v>105</v>
      </c>
      <c r="C31" s="2" t="str">
        <f t="shared" si="0"/>
        <v>TRUE</v>
      </c>
      <c r="D31" s="2" t="s">
        <v>854</v>
      </c>
      <c r="E31" s="2" t="s">
        <v>855</v>
      </c>
      <c r="F31" s="2" t="s">
        <v>856</v>
      </c>
      <c r="G31" s="3">
        <v>32770</v>
      </c>
      <c r="H31" s="3">
        <v>43432</v>
      </c>
      <c r="I31" s="2">
        <v>29</v>
      </c>
      <c r="J31" s="2">
        <v>2</v>
      </c>
      <c r="K31" s="2" t="s">
        <v>857</v>
      </c>
      <c r="L31" s="2" t="s">
        <v>856</v>
      </c>
      <c r="M31" s="2" t="s">
        <v>856</v>
      </c>
      <c r="N31">
        <v>23.03</v>
      </c>
      <c r="O31">
        <v>1.44</v>
      </c>
      <c r="P31">
        <v>170.23</v>
      </c>
      <c r="Q31">
        <v>628.95000000000005</v>
      </c>
      <c r="R31">
        <v>38.25</v>
      </c>
      <c r="S31">
        <v>105.1</v>
      </c>
      <c r="T31">
        <v>18.34</v>
      </c>
      <c r="U31">
        <v>1.93</v>
      </c>
      <c r="V31">
        <v>471.26</v>
      </c>
      <c r="W31">
        <v>528.6</v>
      </c>
      <c r="X31">
        <v>79.19</v>
      </c>
      <c r="Y31">
        <v>63.94</v>
      </c>
      <c r="Z31">
        <v>3.77</v>
      </c>
      <c r="AA31">
        <v>86.92</v>
      </c>
      <c r="AB31">
        <v>86.15</v>
      </c>
      <c r="AC31">
        <v>15.98</v>
      </c>
      <c r="AD31">
        <v>72.78</v>
      </c>
      <c r="AE31">
        <v>19.920000000000002</v>
      </c>
      <c r="AF31">
        <v>5.85</v>
      </c>
      <c r="AG31">
        <v>232.2</v>
      </c>
      <c r="AH31">
        <v>5.45</v>
      </c>
      <c r="AI31">
        <v>40.07</v>
      </c>
    </row>
    <row r="32" spans="1:35" ht="15.75">
      <c r="A32" t="s">
        <v>99</v>
      </c>
      <c r="B32" s="2" t="s">
        <v>99</v>
      </c>
      <c r="C32" s="2" t="str">
        <f t="shared" si="0"/>
        <v>TRUE</v>
      </c>
      <c r="D32" s="2" t="s">
        <v>858</v>
      </c>
      <c r="E32" s="2" t="s">
        <v>868</v>
      </c>
      <c r="F32" s="2" t="s">
        <v>864</v>
      </c>
      <c r="G32" s="3">
        <v>30482</v>
      </c>
      <c r="H32" s="3">
        <v>43427</v>
      </c>
      <c r="I32" s="2">
        <v>35</v>
      </c>
      <c r="J32" s="2">
        <v>2</v>
      </c>
      <c r="K32" s="2" t="s">
        <v>857</v>
      </c>
      <c r="L32" s="2" t="s">
        <v>856</v>
      </c>
      <c r="M32" s="2">
        <v>3</v>
      </c>
      <c r="N32">
        <v>16.12</v>
      </c>
      <c r="O32">
        <v>1.64</v>
      </c>
      <c r="P32">
        <v>80.3</v>
      </c>
      <c r="Q32">
        <v>366.45</v>
      </c>
      <c r="R32">
        <v>139.52000000000001</v>
      </c>
      <c r="S32">
        <v>24.24</v>
      </c>
      <c r="T32">
        <v>12.02</v>
      </c>
      <c r="U32">
        <v>2.4300000000000002</v>
      </c>
      <c r="V32">
        <v>1189.58</v>
      </c>
      <c r="W32">
        <v>679.25</v>
      </c>
      <c r="X32">
        <v>150.80000000000001</v>
      </c>
      <c r="Y32">
        <v>314.8</v>
      </c>
      <c r="Z32">
        <v>20.56</v>
      </c>
      <c r="AA32">
        <v>124.14</v>
      </c>
      <c r="AB32">
        <v>83.18</v>
      </c>
      <c r="AC32">
        <v>33.479999999999997</v>
      </c>
      <c r="AD32">
        <v>98.32</v>
      </c>
      <c r="AE32">
        <v>160.22</v>
      </c>
      <c r="AF32">
        <v>16.989999999999998</v>
      </c>
      <c r="AG32">
        <v>719.53</v>
      </c>
      <c r="AH32">
        <v>63.13</v>
      </c>
      <c r="AI32">
        <v>170.46</v>
      </c>
    </row>
    <row r="33" spans="1:35" ht="15.75">
      <c r="A33" t="s">
        <v>514</v>
      </c>
      <c r="B33" s="2" t="s">
        <v>514</v>
      </c>
      <c r="C33" s="2" t="str">
        <f t="shared" si="0"/>
        <v>TRUE</v>
      </c>
      <c r="D33" s="2" t="s">
        <v>870</v>
      </c>
      <c r="E33" s="2" t="s">
        <v>871</v>
      </c>
      <c r="F33" s="2" t="s">
        <v>856</v>
      </c>
      <c r="G33" s="3">
        <v>32551</v>
      </c>
      <c r="H33" s="3">
        <v>43411</v>
      </c>
      <c r="I33" s="2">
        <v>29</v>
      </c>
      <c r="J33" s="4">
        <v>1</v>
      </c>
      <c r="K33" s="2" t="s">
        <v>857</v>
      </c>
      <c r="L33" s="2" t="s">
        <v>856</v>
      </c>
      <c r="M33" s="2" t="s">
        <v>856</v>
      </c>
      <c r="N33">
        <v>17.79</v>
      </c>
      <c r="O33">
        <v>0.99</v>
      </c>
      <c r="P33">
        <v>9.8800000000000008</v>
      </c>
      <c r="Q33">
        <v>2.5099999999999998</v>
      </c>
      <c r="R33">
        <v>15.68</v>
      </c>
      <c r="S33">
        <v>1.91</v>
      </c>
      <c r="T33">
        <v>15.72</v>
      </c>
      <c r="U33">
        <v>3.13</v>
      </c>
      <c r="V33">
        <v>91.03</v>
      </c>
      <c r="W33">
        <v>2.4900000000000002</v>
      </c>
      <c r="X33">
        <v>2.4900000000000002</v>
      </c>
      <c r="Y33">
        <v>22.31</v>
      </c>
      <c r="Z33">
        <v>2.54</v>
      </c>
      <c r="AA33">
        <v>14.59</v>
      </c>
      <c r="AB33" s="14">
        <v>2.4900000000000002</v>
      </c>
      <c r="AC33">
        <v>6.52</v>
      </c>
      <c r="AD33" s="14">
        <v>9.99</v>
      </c>
      <c r="AE33">
        <v>72.55</v>
      </c>
      <c r="AF33">
        <v>12.64</v>
      </c>
      <c r="AG33">
        <v>10.52</v>
      </c>
      <c r="AH33">
        <v>5.14</v>
      </c>
      <c r="AI33" s="14">
        <v>4.99</v>
      </c>
    </row>
    <row r="34" spans="1:35" ht="15.75">
      <c r="A34" t="s">
        <v>496</v>
      </c>
      <c r="B34" s="2" t="s">
        <v>496</v>
      </c>
      <c r="C34" s="2" t="str">
        <f t="shared" si="0"/>
        <v>TRUE</v>
      </c>
      <c r="D34" s="2" t="s">
        <v>858</v>
      </c>
      <c r="E34" s="2" t="s">
        <v>863</v>
      </c>
      <c r="F34" s="2" t="s">
        <v>864</v>
      </c>
      <c r="G34" s="3">
        <v>23573</v>
      </c>
      <c r="H34" s="3">
        <v>43416</v>
      </c>
      <c r="I34" s="2">
        <v>54</v>
      </c>
      <c r="J34" s="4">
        <v>2</v>
      </c>
      <c r="K34" s="2" t="s">
        <v>857</v>
      </c>
      <c r="L34" s="2" t="s">
        <v>856</v>
      </c>
      <c r="M34" s="2">
        <v>0</v>
      </c>
      <c r="N34">
        <v>14.56</v>
      </c>
      <c r="O34">
        <v>0.99</v>
      </c>
      <c r="P34">
        <v>42.94</v>
      </c>
      <c r="Q34">
        <v>9.8699999999999992</v>
      </c>
      <c r="R34">
        <v>6.33</v>
      </c>
      <c r="S34">
        <v>2.41</v>
      </c>
      <c r="T34">
        <v>2.2200000000000002</v>
      </c>
      <c r="U34" s="13">
        <v>0.99</v>
      </c>
      <c r="V34">
        <v>135.69999999999999</v>
      </c>
      <c r="W34">
        <v>20.25</v>
      </c>
      <c r="X34">
        <v>11.71</v>
      </c>
      <c r="Y34">
        <v>6.04</v>
      </c>
      <c r="Z34" s="14">
        <v>2.4900000000000002</v>
      </c>
      <c r="AA34">
        <v>8.43</v>
      </c>
      <c r="AB34" s="14">
        <v>2.4900000000000002</v>
      </c>
      <c r="AC34" s="14">
        <v>2.4900000000000002</v>
      </c>
      <c r="AD34">
        <v>51.69</v>
      </c>
      <c r="AE34">
        <v>50.25</v>
      </c>
      <c r="AF34">
        <v>9.19</v>
      </c>
      <c r="AG34">
        <v>536.29</v>
      </c>
      <c r="AH34">
        <v>34.75</v>
      </c>
      <c r="AI34">
        <v>43.84</v>
      </c>
    </row>
    <row r="35" spans="1:35" ht="15.75">
      <c r="A35" t="s">
        <v>337</v>
      </c>
      <c r="B35" s="2" t="s">
        <v>337</v>
      </c>
      <c r="C35" s="2" t="str">
        <f t="shared" si="0"/>
        <v>TRUE</v>
      </c>
      <c r="D35" s="2" t="s">
        <v>858</v>
      </c>
      <c r="E35" s="2" t="s">
        <v>863</v>
      </c>
      <c r="F35" s="2" t="s">
        <v>864</v>
      </c>
      <c r="G35" s="3">
        <v>29437</v>
      </c>
      <c r="H35" s="3">
        <v>43417</v>
      </c>
      <c r="I35" s="2">
        <v>38</v>
      </c>
      <c r="J35" s="2">
        <v>1</v>
      </c>
      <c r="K35" s="2" t="s">
        <v>857</v>
      </c>
      <c r="L35" s="2">
        <v>1073</v>
      </c>
      <c r="M35" s="2">
        <v>10</v>
      </c>
      <c r="N35">
        <v>21.11</v>
      </c>
      <c r="O35">
        <v>9.75</v>
      </c>
      <c r="P35">
        <v>117.46</v>
      </c>
      <c r="Q35">
        <v>627.55999999999995</v>
      </c>
      <c r="R35">
        <v>517.07000000000005</v>
      </c>
      <c r="S35">
        <v>47.21</v>
      </c>
      <c r="T35">
        <v>678.01</v>
      </c>
      <c r="U35">
        <v>17.489999999999998</v>
      </c>
      <c r="V35">
        <v>1802.91</v>
      </c>
      <c r="W35">
        <v>1211.8599999999999</v>
      </c>
      <c r="X35">
        <v>109.86</v>
      </c>
      <c r="Y35">
        <v>462.77</v>
      </c>
      <c r="Z35">
        <v>10.61</v>
      </c>
      <c r="AA35">
        <v>155.85</v>
      </c>
      <c r="AB35">
        <v>134.5</v>
      </c>
      <c r="AC35">
        <v>42.66</v>
      </c>
      <c r="AD35">
        <v>161.16</v>
      </c>
      <c r="AE35">
        <v>67.849999999999994</v>
      </c>
      <c r="AF35">
        <v>13.76</v>
      </c>
      <c r="AG35">
        <v>378.7</v>
      </c>
      <c r="AH35">
        <v>26.28</v>
      </c>
      <c r="AI35">
        <v>78.42</v>
      </c>
    </row>
    <row r="36" spans="1:35" ht="15.75">
      <c r="A36" t="s">
        <v>163</v>
      </c>
      <c r="B36" s="2" t="s">
        <v>163</v>
      </c>
      <c r="C36" s="2" t="str">
        <f t="shared" si="0"/>
        <v>TRUE</v>
      </c>
      <c r="D36" s="2" t="s">
        <v>858</v>
      </c>
      <c r="E36" s="2" t="s">
        <v>868</v>
      </c>
      <c r="F36" s="2" t="s">
        <v>864</v>
      </c>
      <c r="G36" s="3">
        <v>31343</v>
      </c>
      <c r="H36" s="3">
        <v>43418</v>
      </c>
      <c r="I36" s="2">
        <v>33</v>
      </c>
      <c r="J36" s="2">
        <v>3</v>
      </c>
      <c r="K36" s="2" t="s">
        <v>857</v>
      </c>
      <c r="L36" s="2" t="s">
        <v>856</v>
      </c>
      <c r="M36" s="2">
        <v>0</v>
      </c>
      <c r="N36">
        <v>25.97</v>
      </c>
      <c r="O36">
        <v>1.37</v>
      </c>
      <c r="P36">
        <v>92.49</v>
      </c>
      <c r="Q36">
        <v>78.28</v>
      </c>
      <c r="R36">
        <v>26.49</v>
      </c>
      <c r="S36">
        <v>18.989999999999998</v>
      </c>
      <c r="T36">
        <v>21.77</v>
      </c>
      <c r="U36">
        <v>6.5</v>
      </c>
      <c r="V36">
        <v>33.770000000000003</v>
      </c>
      <c r="W36">
        <v>10.25</v>
      </c>
      <c r="X36">
        <v>5.73</v>
      </c>
      <c r="Y36">
        <v>10.8</v>
      </c>
      <c r="Z36" s="14">
        <v>2.4900000000000002</v>
      </c>
      <c r="AA36">
        <v>19.38</v>
      </c>
      <c r="AB36">
        <v>5.05</v>
      </c>
      <c r="AC36">
        <v>6.55</v>
      </c>
      <c r="AD36">
        <v>54.03</v>
      </c>
      <c r="AE36">
        <v>14.85</v>
      </c>
      <c r="AF36">
        <v>9.0500000000000007</v>
      </c>
      <c r="AG36">
        <v>89.68</v>
      </c>
      <c r="AH36">
        <v>7.67</v>
      </c>
      <c r="AI36">
        <v>14.45</v>
      </c>
    </row>
    <row r="37" spans="1:35" ht="15.75">
      <c r="A37" t="s">
        <v>562</v>
      </c>
      <c r="B37" s="2" t="s">
        <v>562</v>
      </c>
      <c r="C37" s="2" t="str">
        <f t="shared" si="0"/>
        <v>TRUE</v>
      </c>
      <c r="D37" s="2" t="s">
        <v>858</v>
      </c>
      <c r="E37" s="2" t="s">
        <v>859</v>
      </c>
      <c r="F37" s="2" t="s">
        <v>864</v>
      </c>
      <c r="G37" s="3">
        <v>36196</v>
      </c>
      <c r="H37" s="3">
        <v>43419</v>
      </c>
      <c r="I37" s="2">
        <v>19</v>
      </c>
      <c r="J37" s="2">
        <v>1</v>
      </c>
      <c r="K37" s="2" t="s">
        <v>857</v>
      </c>
      <c r="L37" s="2">
        <v>900</v>
      </c>
      <c r="M37" s="2">
        <v>9</v>
      </c>
      <c r="N37">
        <v>17.72</v>
      </c>
      <c r="O37">
        <v>1.35</v>
      </c>
      <c r="P37">
        <v>133.9</v>
      </c>
      <c r="Q37">
        <v>9.65</v>
      </c>
      <c r="R37">
        <v>43.09</v>
      </c>
      <c r="S37">
        <v>26.54</v>
      </c>
      <c r="T37">
        <v>38.25</v>
      </c>
      <c r="U37">
        <v>14.8</v>
      </c>
      <c r="V37">
        <v>480.8</v>
      </c>
      <c r="W37">
        <v>32.92</v>
      </c>
      <c r="X37">
        <v>56.95</v>
      </c>
      <c r="Y37">
        <v>81.319999999999993</v>
      </c>
      <c r="Z37">
        <v>18.46</v>
      </c>
      <c r="AA37">
        <v>61.84</v>
      </c>
      <c r="AB37">
        <v>5.0999999999999996</v>
      </c>
      <c r="AC37">
        <v>11.89</v>
      </c>
      <c r="AD37">
        <v>29.96</v>
      </c>
      <c r="AE37">
        <v>114.58</v>
      </c>
      <c r="AF37">
        <v>23.94</v>
      </c>
      <c r="AG37">
        <v>119.23</v>
      </c>
      <c r="AH37">
        <v>39.42</v>
      </c>
      <c r="AI37">
        <v>33.65</v>
      </c>
    </row>
    <row r="38" spans="1:35" ht="15.75">
      <c r="A38" t="s">
        <v>805</v>
      </c>
      <c r="B38" s="2" t="s">
        <v>805</v>
      </c>
      <c r="C38" s="2" t="str">
        <f t="shared" si="0"/>
        <v>TRUE</v>
      </c>
      <c r="D38" s="2" t="s">
        <v>858</v>
      </c>
      <c r="E38" s="2" t="s">
        <v>868</v>
      </c>
      <c r="F38" s="2" t="s">
        <v>864</v>
      </c>
      <c r="G38" s="3">
        <v>25575</v>
      </c>
      <c r="H38" s="3">
        <v>43426</v>
      </c>
      <c r="I38" s="2">
        <v>48</v>
      </c>
      <c r="J38" s="2">
        <v>1</v>
      </c>
      <c r="K38" s="2" t="s">
        <v>857</v>
      </c>
      <c r="L38" s="2">
        <v>98</v>
      </c>
      <c r="M38" s="2">
        <v>4</v>
      </c>
      <c r="N38">
        <v>11.43</v>
      </c>
      <c r="O38">
        <v>1.38</v>
      </c>
      <c r="P38">
        <v>54.24</v>
      </c>
      <c r="Q38">
        <v>567.02</v>
      </c>
      <c r="R38">
        <v>90.92</v>
      </c>
      <c r="S38">
        <v>30.51</v>
      </c>
      <c r="T38">
        <v>23.46</v>
      </c>
      <c r="U38">
        <v>4.22</v>
      </c>
      <c r="V38">
        <v>967.45</v>
      </c>
      <c r="W38">
        <v>665.04</v>
      </c>
      <c r="X38">
        <v>71.86</v>
      </c>
      <c r="Y38">
        <v>296.20999999999998</v>
      </c>
      <c r="Z38">
        <v>14.7</v>
      </c>
      <c r="AA38">
        <v>76.62</v>
      </c>
      <c r="AB38">
        <v>47.81</v>
      </c>
      <c r="AC38">
        <v>37.47</v>
      </c>
      <c r="AD38">
        <v>72.09</v>
      </c>
      <c r="AE38">
        <v>80.7</v>
      </c>
      <c r="AF38">
        <v>12.36</v>
      </c>
      <c r="AG38">
        <v>990.07</v>
      </c>
      <c r="AH38">
        <v>11.64</v>
      </c>
      <c r="AI38">
        <v>131.88</v>
      </c>
    </row>
    <row r="39" spans="1:35" ht="15.75">
      <c r="A39" t="s">
        <v>319</v>
      </c>
      <c r="B39" s="2" t="s">
        <v>319</v>
      </c>
      <c r="C39" s="2" t="str">
        <f t="shared" si="0"/>
        <v>TRUE</v>
      </c>
      <c r="D39" s="2" t="s">
        <v>858</v>
      </c>
      <c r="E39" s="2" t="s">
        <v>859</v>
      </c>
      <c r="F39" s="2" t="s">
        <v>864</v>
      </c>
      <c r="G39" s="3">
        <v>17139</v>
      </c>
      <c r="H39" s="3">
        <v>43427</v>
      </c>
      <c r="I39" s="2">
        <v>71</v>
      </c>
      <c r="J39" s="2">
        <v>1</v>
      </c>
      <c r="K39" s="2" t="s">
        <v>857</v>
      </c>
      <c r="L39" s="2">
        <v>164</v>
      </c>
      <c r="M39" s="2">
        <v>4</v>
      </c>
      <c r="N39">
        <v>16.29</v>
      </c>
      <c r="O39">
        <v>3.35</v>
      </c>
      <c r="P39">
        <v>98.7</v>
      </c>
      <c r="Q39">
        <v>466.72</v>
      </c>
      <c r="R39">
        <v>31.1</v>
      </c>
      <c r="S39">
        <v>39.119999999999997</v>
      </c>
      <c r="T39">
        <v>8.3000000000000007</v>
      </c>
      <c r="U39" s="13">
        <v>0.99</v>
      </c>
      <c r="V39">
        <v>397.47</v>
      </c>
      <c r="W39">
        <v>380.98</v>
      </c>
      <c r="X39">
        <v>44.29</v>
      </c>
      <c r="Y39">
        <v>68.92</v>
      </c>
      <c r="Z39">
        <v>4.32</v>
      </c>
      <c r="AA39">
        <v>33.25</v>
      </c>
      <c r="AB39">
        <v>42.42</v>
      </c>
      <c r="AC39">
        <v>7</v>
      </c>
      <c r="AD39">
        <v>62.93</v>
      </c>
      <c r="AE39">
        <v>28.8</v>
      </c>
      <c r="AF39">
        <v>4.99</v>
      </c>
      <c r="AG39">
        <v>356.87</v>
      </c>
      <c r="AH39">
        <v>9.7899999999999991</v>
      </c>
      <c r="AI39">
        <v>78.319999999999993</v>
      </c>
    </row>
    <row r="40" spans="1:35" ht="15.75">
      <c r="A40" t="s">
        <v>415</v>
      </c>
      <c r="B40" s="2" t="s">
        <v>415</v>
      </c>
      <c r="C40" s="2" t="str">
        <f t="shared" si="0"/>
        <v>TRUE</v>
      </c>
      <c r="D40" s="2" t="s">
        <v>865</v>
      </c>
      <c r="E40" s="2" t="s">
        <v>866</v>
      </c>
      <c r="F40" s="2" t="s">
        <v>864</v>
      </c>
      <c r="G40" s="3">
        <v>32901</v>
      </c>
      <c r="H40" s="3">
        <v>43431</v>
      </c>
      <c r="I40" s="2">
        <v>28</v>
      </c>
      <c r="J40" s="2">
        <v>2</v>
      </c>
      <c r="K40" s="2" t="s">
        <v>857</v>
      </c>
      <c r="L40" s="2">
        <v>23</v>
      </c>
      <c r="M40" s="2">
        <v>2</v>
      </c>
      <c r="N40">
        <v>12.4</v>
      </c>
      <c r="O40">
        <v>0.99</v>
      </c>
      <c r="P40">
        <v>27.67</v>
      </c>
      <c r="Q40">
        <v>84.2</v>
      </c>
      <c r="R40">
        <v>62.79</v>
      </c>
      <c r="S40">
        <v>23.58</v>
      </c>
      <c r="T40">
        <v>59.4</v>
      </c>
      <c r="U40">
        <v>6.11</v>
      </c>
      <c r="V40">
        <v>1752.26</v>
      </c>
      <c r="W40">
        <v>403.42</v>
      </c>
      <c r="X40">
        <v>187.67</v>
      </c>
      <c r="Y40">
        <v>363.82</v>
      </c>
      <c r="Z40">
        <v>27.45</v>
      </c>
      <c r="AA40">
        <v>106.14</v>
      </c>
      <c r="AB40">
        <v>32.869999999999997</v>
      </c>
      <c r="AC40">
        <v>29.15</v>
      </c>
      <c r="AD40">
        <v>121.7</v>
      </c>
      <c r="AE40">
        <v>153.91</v>
      </c>
      <c r="AF40">
        <v>26.42</v>
      </c>
      <c r="AG40">
        <v>755.08</v>
      </c>
      <c r="AH40">
        <v>24.78</v>
      </c>
      <c r="AI40">
        <v>79.59</v>
      </c>
    </row>
    <row r="41" spans="1:35" ht="15.75">
      <c r="A41" t="s">
        <v>325</v>
      </c>
      <c r="B41" s="2" t="s">
        <v>325</v>
      </c>
      <c r="C41" s="2" t="str">
        <f t="shared" si="0"/>
        <v>TRUE</v>
      </c>
      <c r="D41" s="2" t="s">
        <v>858</v>
      </c>
      <c r="E41" s="2" t="s">
        <v>863</v>
      </c>
      <c r="F41" s="2" t="s">
        <v>864</v>
      </c>
      <c r="G41" s="3">
        <v>29437</v>
      </c>
      <c r="H41" s="3">
        <v>43437</v>
      </c>
      <c r="I41" s="2">
        <v>38</v>
      </c>
      <c r="J41" s="4">
        <v>1</v>
      </c>
      <c r="K41" s="2" t="s">
        <v>857</v>
      </c>
      <c r="L41" s="2" t="s">
        <v>856</v>
      </c>
      <c r="M41" s="2">
        <v>10</v>
      </c>
      <c r="N41">
        <v>18.75</v>
      </c>
      <c r="O41">
        <v>0.99</v>
      </c>
      <c r="P41">
        <v>22.39</v>
      </c>
      <c r="Q41">
        <v>37.08</v>
      </c>
      <c r="R41">
        <v>14.64</v>
      </c>
      <c r="S41">
        <v>3.09</v>
      </c>
      <c r="T41">
        <v>23.14</v>
      </c>
      <c r="U41" s="13">
        <v>0.99</v>
      </c>
      <c r="V41">
        <v>865.47</v>
      </c>
      <c r="W41">
        <v>554.82000000000005</v>
      </c>
      <c r="X41">
        <v>41.74</v>
      </c>
      <c r="Y41">
        <v>333.93</v>
      </c>
      <c r="Z41">
        <v>8.2100000000000009</v>
      </c>
      <c r="AA41">
        <v>77.39</v>
      </c>
      <c r="AB41">
        <v>62.32</v>
      </c>
      <c r="AC41">
        <v>30.29</v>
      </c>
      <c r="AD41">
        <v>34.770000000000003</v>
      </c>
      <c r="AE41">
        <v>57.41</v>
      </c>
      <c r="AF41">
        <v>6.57</v>
      </c>
      <c r="AG41">
        <v>314.79000000000002</v>
      </c>
      <c r="AH41">
        <v>18.510000000000002</v>
      </c>
      <c r="AI41">
        <v>54.64</v>
      </c>
    </row>
    <row r="42" spans="1:35" ht="15.75">
      <c r="A42" t="s">
        <v>517</v>
      </c>
      <c r="B42" s="2" t="s">
        <v>517</v>
      </c>
      <c r="C42" s="2" t="str">
        <f t="shared" si="0"/>
        <v>TRUE</v>
      </c>
      <c r="D42" s="2" t="s">
        <v>870</v>
      </c>
      <c r="E42" s="2" t="s">
        <v>871</v>
      </c>
      <c r="F42" s="2" t="s">
        <v>856</v>
      </c>
      <c r="G42" s="3">
        <v>32551</v>
      </c>
      <c r="H42" s="3">
        <v>43469</v>
      </c>
      <c r="I42" s="2">
        <v>29</v>
      </c>
      <c r="J42" s="2">
        <v>1</v>
      </c>
      <c r="K42" s="2" t="s">
        <v>857</v>
      </c>
      <c r="L42" s="2">
        <v>510</v>
      </c>
      <c r="M42" s="2" t="s">
        <v>856</v>
      </c>
      <c r="N42">
        <v>28.03</v>
      </c>
      <c r="O42">
        <v>22.48</v>
      </c>
      <c r="P42" s="12">
        <v>1000.01</v>
      </c>
      <c r="Q42">
        <v>77.06</v>
      </c>
      <c r="R42">
        <v>221.19</v>
      </c>
      <c r="S42">
        <v>187.62</v>
      </c>
      <c r="T42">
        <v>33.799999999999997</v>
      </c>
      <c r="U42">
        <v>16.98</v>
      </c>
      <c r="V42">
        <v>1159.04</v>
      </c>
      <c r="W42">
        <v>99.83</v>
      </c>
      <c r="X42">
        <v>550.71</v>
      </c>
      <c r="Y42">
        <v>192.97</v>
      </c>
      <c r="Z42">
        <v>33.409999999999997</v>
      </c>
      <c r="AA42">
        <v>103.11</v>
      </c>
      <c r="AB42">
        <v>13.81</v>
      </c>
      <c r="AC42">
        <v>20.079999999999998</v>
      </c>
      <c r="AD42">
        <v>38.25</v>
      </c>
      <c r="AE42">
        <v>140.31</v>
      </c>
      <c r="AF42">
        <v>24.12</v>
      </c>
      <c r="AG42">
        <v>92.03</v>
      </c>
      <c r="AH42">
        <v>140.26</v>
      </c>
      <c r="AI42">
        <v>26.06</v>
      </c>
    </row>
    <row r="43" spans="1:35" ht="15.75">
      <c r="A43" t="s">
        <v>220</v>
      </c>
      <c r="B43" s="2" t="s">
        <v>220</v>
      </c>
      <c r="C43" s="2" t="str">
        <f t="shared" si="0"/>
        <v>TRUE</v>
      </c>
      <c r="D43" s="2" t="s">
        <v>865</v>
      </c>
      <c r="E43" s="2" t="s">
        <v>866</v>
      </c>
      <c r="F43" s="2" t="s">
        <v>864</v>
      </c>
      <c r="G43" s="3">
        <v>33939</v>
      </c>
      <c r="H43" s="3">
        <v>43465</v>
      </c>
      <c r="I43" s="2">
        <v>26</v>
      </c>
      <c r="J43" s="2">
        <v>1</v>
      </c>
      <c r="K43" s="2" t="s">
        <v>857</v>
      </c>
      <c r="L43" s="2">
        <v>2103</v>
      </c>
      <c r="M43" s="2">
        <v>10</v>
      </c>
      <c r="N43">
        <v>34.9</v>
      </c>
      <c r="O43">
        <v>38.26</v>
      </c>
      <c r="P43" s="12">
        <v>1000.01</v>
      </c>
      <c r="Q43">
        <v>890.75</v>
      </c>
      <c r="R43">
        <v>254.09</v>
      </c>
      <c r="S43">
        <v>323.36</v>
      </c>
      <c r="T43">
        <v>37.04</v>
      </c>
      <c r="U43">
        <v>9.02</v>
      </c>
      <c r="V43">
        <v>192.26</v>
      </c>
      <c r="W43">
        <v>156.07</v>
      </c>
      <c r="X43">
        <v>99.71</v>
      </c>
      <c r="Y43">
        <v>59.49</v>
      </c>
      <c r="Z43">
        <v>6.42</v>
      </c>
      <c r="AA43">
        <v>5.45</v>
      </c>
      <c r="AB43">
        <v>4.26</v>
      </c>
      <c r="AC43" s="14">
        <v>2.4900000000000002</v>
      </c>
      <c r="AD43">
        <v>17.16</v>
      </c>
      <c r="AE43">
        <v>48.78</v>
      </c>
      <c r="AF43" s="14">
        <v>4.99</v>
      </c>
      <c r="AG43">
        <v>460.99</v>
      </c>
      <c r="AH43">
        <v>117.27</v>
      </c>
      <c r="AI43">
        <v>85.03</v>
      </c>
    </row>
    <row r="44" spans="1:35" ht="15.75">
      <c r="A44" t="s">
        <v>559</v>
      </c>
      <c r="B44" s="2" t="s">
        <v>559</v>
      </c>
      <c r="C44" s="2" t="str">
        <f t="shared" si="0"/>
        <v>TRUE</v>
      </c>
      <c r="D44" s="2" t="s">
        <v>858</v>
      </c>
      <c r="E44" s="2" t="s">
        <v>859</v>
      </c>
      <c r="F44" s="2" t="s">
        <v>864</v>
      </c>
      <c r="G44" s="3">
        <v>36196</v>
      </c>
      <c r="H44" s="3">
        <v>43462</v>
      </c>
      <c r="I44" s="2">
        <v>19</v>
      </c>
      <c r="J44" s="2">
        <v>2</v>
      </c>
      <c r="K44" s="2" t="s">
        <v>857</v>
      </c>
      <c r="L44" s="2">
        <v>108</v>
      </c>
      <c r="M44" s="2">
        <v>3</v>
      </c>
      <c r="N44">
        <v>16.97</v>
      </c>
      <c r="O44">
        <v>2.2599999999999998</v>
      </c>
      <c r="P44">
        <v>63.06</v>
      </c>
      <c r="Q44">
        <v>106.17</v>
      </c>
      <c r="R44">
        <v>673.04</v>
      </c>
      <c r="S44">
        <v>54.69</v>
      </c>
      <c r="T44">
        <v>107.24</v>
      </c>
      <c r="U44">
        <v>16.95</v>
      </c>
      <c r="V44">
        <v>1998.61</v>
      </c>
      <c r="W44">
        <v>122.68</v>
      </c>
      <c r="X44">
        <v>199.39</v>
      </c>
      <c r="Y44">
        <v>668.39</v>
      </c>
      <c r="Z44">
        <v>46.76</v>
      </c>
      <c r="AA44">
        <v>164.03</v>
      </c>
      <c r="AB44">
        <v>11.13</v>
      </c>
      <c r="AC44">
        <v>46.7</v>
      </c>
      <c r="AD44">
        <v>11.49</v>
      </c>
      <c r="AE44">
        <v>215.59</v>
      </c>
      <c r="AF44">
        <v>30.73</v>
      </c>
      <c r="AG44">
        <v>89.92</v>
      </c>
      <c r="AH44">
        <v>55.66</v>
      </c>
      <c r="AI44">
        <v>49.61</v>
      </c>
    </row>
    <row r="45" spans="1:35" ht="15.75">
      <c r="A45" t="s">
        <v>331</v>
      </c>
      <c r="B45" s="2" t="s">
        <v>331</v>
      </c>
      <c r="C45" s="2" t="str">
        <f t="shared" si="0"/>
        <v>TRUE</v>
      </c>
      <c r="D45" s="2" t="s">
        <v>858</v>
      </c>
      <c r="E45" s="2" t="s">
        <v>863</v>
      </c>
      <c r="F45" s="2" t="s">
        <v>864</v>
      </c>
      <c r="G45" s="3">
        <v>29437</v>
      </c>
      <c r="H45" s="3">
        <v>43467</v>
      </c>
      <c r="I45" s="2">
        <v>38</v>
      </c>
      <c r="J45" s="2">
        <v>2</v>
      </c>
      <c r="K45" s="2" t="s">
        <v>857</v>
      </c>
      <c r="L45" s="2">
        <v>1248</v>
      </c>
      <c r="M45" s="2">
        <v>5</v>
      </c>
      <c r="N45">
        <v>22.24</v>
      </c>
      <c r="O45">
        <v>6.99</v>
      </c>
      <c r="P45">
        <v>173.62</v>
      </c>
      <c r="Q45">
        <v>733.66</v>
      </c>
      <c r="R45">
        <v>211.58</v>
      </c>
      <c r="S45">
        <v>93.84</v>
      </c>
      <c r="T45">
        <v>60.6</v>
      </c>
      <c r="U45">
        <v>5.53</v>
      </c>
      <c r="V45" s="14">
        <v>2500.0100000000002</v>
      </c>
      <c r="W45">
        <v>2117.15</v>
      </c>
      <c r="X45">
        <v>296.27</v>
      </c>
      <c r="Y45" s="14">
        <v>1000.01</v>
      </c>
      <c r="Z45">
        <v>28.98</v>
      </c>
      <c r="AA45">
        <v>328.08</v>
      </c>
      <c r="AB45">
        <v>244.49</v>
      </c>
      <c r="AC45">
        <v>146.99</v>
      </c>
      <c r="AD45">
        <v>93.43</v>
      </c>
      <c r="AE45">
        <v>168.4</v>
      </c>
      <c r="AF45">
        <v>18.41</v>
      </c>
      <c r="AG45">
        <v>668.42</v>
      </c>
      <c r="AH45">
        <v>57.13</v>
      </c>
      <c r="AI45">
        <v>166.18</v>
      </c>
    </row>
    <row r="46" spans="1:35" ht="15.75">
      <c r="A46" t="s">
        <v>175</v>
      </c>
      <c r="B46" s="2" t="s">
        <v>175</v>
      </c>
      <c r="C46" s="2" t="str">
        <f t="shared" si="0"/>
        <v>TRUE</v>
      </c>
      <c r="D46" s="2" t="s">
        <v>858</v>
      </c>
      <c r="E46" s="2" t="s">
        <v>863</v>
      </c>
      <c r="F46" s="2" t="s">
        <v>864</v>
      </c>
      <c r="G46" s="3">
        <v>30401</v>
      </c>
      <c r="H46" s="3">
        <v>43469</v>
      </c>
      <c r="I46" s="2">
        <v>35</v>
      </c>
      <c r="J46" s="2">
        <v>2</v>
      </c>
      <c r="K46" s="2" t="s">
        <v>857</v>
      </c>
      <c r="L46" s="2">
        <v>35</v>
      </c>
      <c r="M46" s="2">
        <v>3</v>
      </c>
      <c r="N46">
        <v>9.8000000000000007</v>
      </c>
      <c r="O46">
        <v>9.34</v>
      </c>
      <c r="P46">
        <v>71.58</v>
      </c>
      <c r="Q46">
        <v>461.98</v>
      </c>
      <c r="R46">
        <v>752.98</v>
      </c>
      <c r="S46">
        <v>53.03</v>
      </c>
      <c r="T46">
        <v>798.14</v>
      </c>
      <c r="U46">
        <v>7.99</v>
      </c>
      <c r="V46">
        <v>1011.07</v>
      </c>
      <c r="W46">
        <v>387.73</v>
      </c>
      <c r="X46">
        <v>95.79</v>
      </c>
      <c r="Y46">
        <v>323.20999999999998</v>
      </c>
      <c r="Z46">
        <v>12.92</v>
      </c>
      <c r="AA46">
        <v>89.5</v>
      </c>
      <c r="AB46">
        <v>40.21</v>
      </c>
      <c r="AC46">
        <v>38.450000000000003</v>
      </c>
      <c r="AD46">
        <v>18.39</v>
      </c>
      <c r="AE46">
        <v>59.43</v>
      </c>
      <c r="AF46">
        <v>17.420000000000002</v>
      </c>
      <c r="AG46">
        <v>154.05000000000001</v>
      </c>
      <c r="AH46">
        <v>12.23</v>
      </c>
      <c r="AI46">
        <v>74.41</v>
      </c>
    </row>
    <row r="47" spans="1:35" ht="15.75">
      <c r="A47" t="s">
        <v>715</v>
      </c>
      <c r="B47" s="2" t="s">
        <v>715</v>
      </c>
      <c r="C47" s="2" t="str">
        <f t="shared" si="0"/>
        <v>TRUE</v>
      </c>
      <c r="D47" s="2" t="s">
        <v>858</v>
      </c>
      <c r="E47" s="2" t="s">
        <v>863</v>
      </c>
      <c r="F47" s="2" t="s">
        <v>864</v>
      </c>
      <c r="G47" s="3">
        <v>32618</v>
      </c>
      <c r="H47" s="3">
        <v>43476</v>
      </c>
      <c r="I47" s="2">
        <v>29</v>
      </c>
      <c r="J47" s="2">
        <v>2</v>
      </c>
      <c r="K47" s="2" t="s">
        <v>857</v>
      </c>
      <c r="L47" s="2">
        <v>103</v>
      </c>
      <c r="M47" s="2">
        <v>2</v>
      </c>
      <c r="N47">
        <v>25.7</v>
      </c>
      <c r="O47">
        <v>19.809999999999999</v>
      </c>
      <c r="P47">
        <v>51.37</v>
      </c>
      <c r="Q47">
        <v>646.54</v>
      </c>
      <c r="R47" s="12">
        <v>1000.01</v>
      </c>
      <c r="S47">
        <v>99.51</v>
      </c>
      <c r="T47">
        <v>1000.01</v>
      </c>
      <c r="U47">
        <v>28.2</v>
      </c>
      <c r="V47" s="14">
        <v>2500.0100000000002</v>
      </c>
      <c r="W47">
        <v>777.45</v>
      </c>
      <c r="X47">
        <v>239.17</v>
      </c>
      <c r="Y47">
        <v>749.72</v>
      </c>
      <c r="Z47">
        <v>24.45</v>
      </c>
      <c r="AA47">
        <v>234.94</v>
      </c>
      <c r="AB47">
        <v>70.62</v>
      </c>
      <c r="AC47">
        <v>63.93</v>
      </c>
      <c r="AD47">
        <v>115.4</v>
      </c>
      <c r="AE47">
        <v>213.6</v>
      </c>
      <c r="AF47">
        <v>27.06</v>
      </c>
      <c r="AG47">
        <v>670.05</v>
      </c>
      <c r="AH47">
        <v>57.85</v>
      </c>
      <c r="AI47">
        <v>224.09</v>
      </c>
    </row>
    <row r="48" spans="1:35" ht="15.75">
      <c r="A48" t="s">
        <v>502</v>
      </c>
      <c r="B48" s="2" t="s">
        <v>502</v>
      </c>
      <c r="C48" s="2" t="str">
        <f t="shared" si="0"/>
        <v>TRUE</v>
      </c>
      <c r="D48" s="2" t="s">
        <v>858</v>
      </c>
      <c r="E48" s="2" t="s">
        <v>863</v>
      </c>
      <c r="F48" s="2" t="s">
        <v>864</v>
      </c>
      <c r="G48" s="3">
        <v>23573</v>
      </c>
      <c r="H48" s="3">
        <v>43483</v>
      </c>
      <c r="I48" s="2">
        <v>54</v>
      </c>
      <c r="J48" s="2">
        <v>2</v>
      </c>
      <c r="K48" s="2" t="s">
        <v>857</v>
      </c>
      <c r="L48" s="2">
        <v>15</v>
      </c>
      <c r="M48" s="2">
        <v>0</v>
      </c>
      <c r="N48">
        <v>15.24</v>
      </c>
      <c r="O48">
        <v>3.12</v>
      </c>
      <c r="P48">
        <v>91.44</v>
      </c>
      <c r="Q48">
        <v>35.24</v>
      </c>
      <c r="R48">
        <v>128.93</v>
      </c>
      <c r="S48">
        <v>20.05</v>
      </c>
      <c r="T48">
        <v>54.04</v>
      </c>
      <c r="U48">
        <v>2.65</v>
      </c>
      <c r="V48" s="14">
        <v>2500.0100000000002</v>
      </c>
      <c r="W48">
        <v>339.08</v>
      </c>
      <c r="X48">
        <v>239.29</v>
      </c>
      <c r="Y48" s="14">
        <v>1000.01</v>
      </c>
      <c r="Z48">
        <v>41.06</v>
      </c>
      <c r="AA48">
        <v>514.44000000000005</v>
      </c>
      <c r="AB48">
        <v>60.77</v>
      </c>
      <c r="AC48">
        <v>178.26</v>
      </c>
      <c r="AD48">
        <v>189.3</v>
      </c>
      <c r="AE48">
        <v>475.97</v>
      </c>
      <c r="AF48">
        <v>101.64</v>
      </c>
      <c r="AG48">
        <v>607.29999999999995</v>
      </c>
      <c r="AH48">
        <v>95.4</v>
      </c>
      <c r="AI48">
        <v>120.67</v>
      </c>
    </row>
    <row r="49" spans="1:35" ht="15.75">
      <c r="A49" t="s">
        <v>169</v>
      </c>
      <c r="B49" s="2" t="s">
        <v>169</v>
      </c>
      <c r="C49" s="2" t="str">
        <f t="shared" si="0"/>
        <v>TRUE</v>
      </c>
      <c r="D49" s="2" t="s">
        <v>870</v>
      </c>
      <c r="E49" s="2" t="s">
        <v>862</v>
      </c>
      <c r="F49" s="2" t="s">
        <v>856</v>
      </c>
      <c r="G49" s="3">
        <v>26595</v>
      </c>
      <c r="H49" s="3">
        <v>43480</v>
      </c>
      <c r="I49" s="2">
        <v>46</v>
      </c>
      <c r="J49" s="2">
        <v>1</v>
      </c>
      <c r="K49" s="2" t="s">
        <v>857</v>
      </c>
      <c r="L49" s="2">
        <v>208</v>
      </c>
      <c r="M49" s="2" t="s">
        <v>856</v>
      </c>
      <c r="N49">
        <v>14.06</v>
      </c>
      <c r="O49">
        <v>27.56</v>
      </c>
      <c r="P49" s="12">
        <v>1000.01</v>
      </c>
      <c r="Q49">
        <v>25.35</v>
      </c>
      <c r="R49">
        <v>400.04</v>
      </c>
      <c r="S49">
        <v>348.41</v>
      </c>
      <c r="T49">
        <v>84.83</v>
      </c>
      <c r="U49">
        <v>11.44</v>
      </c>
      <c r="V49">
        <v>1143.5999999999999</v>
      </c>
      <c r="W49">
        <v>34.67</v>
      </c>
      <c r="X49">
        <v>490.77</v>
      </c>
      <c r="Y49">
        <v>103.56</v>
      </c>
      <c r="Z49">
        <v>8.1300000000000008</v>
      </c>
      <c r="AA49">
        <v>37.51</v>
      </c>
      <c r="AB49" s="14">
        <v>2.4900000000000002</v>
      </c>
      <c r="AC49">
        <v>7.56</v>
      </c>
      <c r="AD49" s="14">
        <v>9.99</v>
      </c>
      <c r="AE49">
        <v>63.17</v>
      </c>
      <c r="AF49">
        <v>6.06</v>
      </c>
      <c r="AG49">
        <v>68.7</v>
      </c>
      <c r="AH49">
        <v>205.54</v>
      </c>
      <c r="AI49">
        <v>9.25</v>
      </c>
    </row>
    <row r="50" spans="1:35" ht="15.75">
      <c r="A50" t="s">
        <v>463</v>
      </c>
      <c r="B50" s="2" t="s">
        <v>463</v>
      </c>
      <c r="C50" s="2" t="str">
        <f t="shared" si="0"/>
        <v>TRUE</v>
      </c>
      <c r="D50" s="2" t="s">
        <v>865</v>
      </c>
      <c r="E50" s="2" t="s">
        <v>872</v>
      </c>
      <c r="F50" s="2" t="s">
        <v>864</v>
      </c>
      <c r="G50" s="3">
        <v>33519</v>
      </c>
      <c r="H50" s="3">
        <v>43487</v>
      </c>
      <c r="I50" s="2">
        <v>27</v>
      </c>
      <c r="J50" s="2">
        <v>1</v>
      </c>
      <c r="K50" s="2" t="s">
        <v>857</v>
      </c>
      <c r="L50" s="2">
        <v>448</v>
      </c>
      <c r="M50" s="2">
        <v>2</v>
      </c>
      <c r="N50">
        <v>28.42</v>
      </c>
      <c r="O50">
        <v>7.07</v>
      </c>
      <c r="P50">
        <v>198.35</v>
      </c>
      <c r="Q50">
        <v>368.39</v>
      </c>
      <c r="R50">
        <v>31.77</v>
      </c>
      <c r="S50" s="12">
        <v>1000.01</v>
      </c>
      <c r="T50">
        <v>38.630000000000003</v>
      </c>
      <c r="U50">
        <v>10.42</v>
      </c>
      <c r="V50" s="14">
        <v>2500.0100000000002</v>
      </c>
      <c r="W50" s="14">
        <v>2500.0100000000002</v>
      </c>
      <c r="X50" s="14">
        <v>2500.0100000000002</v>
      </c>
      <c r="Y50" s="14">
        <v>1000.01</v>
      </c>
      <c r="Z50">
        <v>62.33</v>
      </c>
      <c r="AA50">
        <v>409.52</v>
      </c>
      <c r="AB50">
        <v>351.56</v>
      </c>
      <c r="AC50">
        <v>882.39</v>
      </c>
      <c r="AD50">
        <v>688.59</v>
      </c>
      <c r="AE50">
        <v>494.33</v>
      </c>
      <c r="AF50">
        <v>52</v>
      </c>
      <c r="AG50">
        <v>2500.0100000000002</v>
      </c>
      <c r="AH50">
        <v>2500.0100000000002</v>
      </c>
      <c r="AI50">
        <v>1100.58</v>
      </c>
    </row>
    <row r="51" spans="1:35" ht="15.75">
      <c r="A51" t="s">
        <v>445</v>
      </c>
      <c r="B51" s="2" t="s">
        <v>445</v>
      </c>
      <c r="C51" s="2" t="str">
        <f t="shared" si="0"/>
        <v>TRUE</v>
      </c>
      <c r="D51" s="2" t="s">
        <v>858</v>
      </c>
      <c r="E51" s="2" t="s">
        <v>859</v>
      </c>
      <c r="F51" s="2" t="s">
        <v>860</v>
      </c>
      <c r="G51" s="3">
        <v>21589</v>
      </c>
      <c r="H51" s="3">
        <v>43487</v>
      </c>
      <c r="I51" s="2">
        <v>59</v>
      </c>
      <c r="J51" s="2">
        <v>3</v>
      </c>
      <c r="K51" s="2" t="s">
        <v>857</v>
      </c>
      <c r="L51" s="2">
        <v>34</v>
      </c>
      <c r="M51" s="2">
        <v>0</v>
      </c>
      <c r="N51">
        <v>9.68</v>
      </c>
      <c r="O51">
        <v>9.76</v>
      </c>
      <c r="P51">
        <v>71.89</v>
      </c>
      <c r="Q51">
        <v>201.11</v>
      </c>
      <c r="R51">
        <v>206.19</v>
      </c>
      <c r="S51">
        <v>28.94</v>
      </c>
      <c r="T51">
        <v>47.21</v>
      </c>
      <c r="U51">
        <v>2.38</v>
      </c>
      <c r="V51">
        <v>788.79</v>
      </c>
      <c r="W51">
        <v>169.67</v>
      </c>
      <c r="X51">
        <v>25.02</v>
      </c>
      <c r="Y51">
        <v>296.18</v>
      </c>
      <c r="Z51">
        <v>10.18</v>
      </c>
      <c r="AA51">
        <v>193.8</v>
      </c>
      <c r="AB51">
        <v>59.58</v>
      </c>
      <c r="AC51">
        <v>83.91</v>
      </c>
      <c r="AD51">
        <v>93.62</v>
      </c>
      <c r="AE51">
        <v>61.04</v>
      </c>
      <c r="AF51">
        <v>23</v>
      </c>
      <c r="AG51">
        <v>202.19</v>
      </c>
      <c r="AH51">
        <v>6.46</v>
      </c>
      <c r="AI51">
        <v>44.42</v>
      </c>
    </row>
    <row r="52" spans="1:35" ht="15.75">
      <c r="A52" t="s">
        <v>223</v>
      </c>
      <c r="B52" s="2" t="s">
        <v>223</v>
      </c>
      <c r="C52" s="2" t="str">
        <f t="shared" si="0"/>
        <v>TRUE</v>
      </c>
      <c r="D52" s="2" t="s">
        <v>865</v>
      </c>
      <c r="E52" s="2" t="s">
        <v>866</v>
      </c>
      <c r="F52" s="2" t="s">
        <v>864</v>
      </c>
      <c r="G52" s="3">
        <v>33939</v>
      </c>
      <c r="H52" s="3">
        <v>43488</v>
      </c>
      <c r="I52" s="2">
        <v>26</v>
      </c>
      <c r="J52" s="4">
        <v>1</v>
      </c>
      <c r="K52" s="2" t="s">
        <v>857</v>
      </c>
      <c r="L52" s="2" t="s">
        <v>856</v>
      </c>
      <c r="M52" s="2">
        <v>6</v>
      </c>
      <c r="N52">
        <v>14.85</v>
      </c>
      <c r="O52">
        <v>1.42</v>
      </c>
      <c r="P52">
        <v>303.08</v>
      </c>
      <c r="Q52">
        <v>146.27000000000001</v>
      </c>
      <c r="R52">
        <v>12.44</v>
      </c>
      <c r="S52">
        <v>26.8</v>
      </c>
      <c r="T52">
        <v>4.66</v>
      </c>
      <c r="U52" s="13">
        <v>0.99</v>
      </c>
      <c r="V52">
        <v>487.34</v>
      </c>
      <c r="W52">
        <v>228.9</v>
      </c>
      <c r="X52">
        <v>116.03</v>
      </c>
      <c r="Y52">
        <v>98.22</v>
      </c>
      <c r="Z52">
        <v>4.54</v>
      </c>
      <c r="AA52">
        <v>9.39</v>
      </c>
      <c r="AB52">
        <v>4.47</v>
      </c>
      <c r="AC52">
        <v>2.72</v>
      </c>
      <c r="AD52">
        <v>15.75</v>
      </c>
      <c r="AE52">
        <v>38.119999999999997</v>
      </c>
      <c r="AF52" s="14">
        <v>4.99</v>
      </c>
      <c r="AG52">
        <v>894.02</v>
      </c>
      <c r="AH52">
        <v>28.68</v>
      </c>
      <c r="AI52">
        <v>69.08</v>
      </c>
    </row>
    <row r="53" spans="1:35" ht="15.75">
      <c r="A53" t="s">
        <v>763</v>
      </c>
      <c r="B53" s="2" t="s">
        <v>763</v>
      </c>
      <c r="C53" s="2" t="str">
        <f t="shared" si="0"/>
        <v>TRUE</v>
      </c>
      <c r="D53" s="2" t="s">
        <v>858</v>
      </c>
      <c r="E53" s="2" t="s">
        <v>863</v>
      </c>
      <c r="F53" s="2" t="s">
        <v>864</v>
      </c>
      <c r="G53" s="3">
        <v>35129</v>
      </c>
      <c r="H53" s="3">
        <v>43489</v>
      </c>
      <c r="I53" s="2">
        <v>23</v>
      </c>
      <c r="J53" s="2">
        <v>1</v>
      </c>
      <c r="K53" s="2" t="s">
        <v>857</v>
      </c>
      <c r="L53" s="2">
        <v>6000</v>
      </c>
      <c r="M53" s="2">
        <v>7</v>
      </c>
      <c r="N53">
        <v>8.59</v>
      </c>
      <c r="O53">
        <v>0.99</v>
      </c>
      <c r="P53">
        <v>2.06</v>
      </c>
      <c r="Q53">
        <v>3.12</v>
      </c>
      <c r="R53">
        <v>2.3199999999999998</v>
      </c>
      <c r="S53">
        <v>1.87</v>
      </c>
      <c r="T53">
        <v>5.32</v>
      </c>
      <c r="U53">
        <v>2.0299999999999998</v>
      </c>
      <c r="V53">
        <v>28.82</v>
      </c>
      <c r="W53">
        <v>2.56</v>
      </c>
      <c r="X53">
        <v>2.4900000000000002</v>
      </c>
      <c r="Y53">
        <v>15.73</v>
      </c>
      <c r="Z53">
        <v>5.05</v>
      </c>
      <c r="AA53">
        <v>17.100000000000001</v>
      </c>
      <c r="AB53" s="14">
        <v>2.4900000000000002</v>
      </c>
      <c r="AC53">
        <v>6.07</v>
      </c>
      <c r="AD53">
        <v>50.42</v>
      </c>
      <c r="AE53">
        <v>13.6</v>
      </c>
      <c r="AF53">
        <v>11.53</v>
      </c>
      <c r="AG53">
        <v>49.15</v>
      </c>
      <c r="AH53" s="14">
        <v>4.99</v>
      </c>
      <c r="AI53" s="14">
        <v>4.99</v>
      </c>
    </row>
    <row r="54" spans="1:35" ht="15.75">
      <c r="A54" t="s">
        <v>424</v>
      </c>
      <c r="B54" s="2" t="s">
        <v>424</v>
      </c>
      <c r="C54" s="2" t="str">
        <f t="shared" si="0"/>
        <v>TRUE</v>
      </c>
      <c r="D54" s="2" t="s">
        <v>865</v>
      </c>
      <c r="E54" s="2" t="s">
        <v>866</v>
      </c>
      <c r="F54" s="2" t="s">
        <v>864</v>
      </c>
      <c r="G54" s="3">
        <v>33786</v>
      </c>
      <c r="H54" s="3">
        <v>43491</v>
      </c>
      <c r="I54" s="2">
        <v>26</v>
      </c>
      <c r="J54" s="2">
        <v>2</v>
      </c>
      <c r="K54" s="2" t="s">
        <v>861</v>
      </c>
      <c r="L54" s="2">
        <v>15</v>
      </c>
      <c r="M54" s="2">
        <v>1</v>
      </c>
      <c r="N54">
        <v>15.07</v>
      </c>
      <c r="O54">
        <v>1.39</v>
      </c>
      <c r="P54">
        <v>8.2899999999999991</v>
      </c>
      <c r="Q54">
        <v>25.18</v>
      </c>
      <c r="R54">
        <v>32.049999999999997</v>
      </c>
      <c r="S54">
        <v>3.75</v>
      </c>
      <c r="T54">
        <v>16.940000000000001</v>
      </c>
      <c r="U54">
        <v>6.93</v>
      </c>
      <c r="V54">
        <v>1531.17</v>
      </c>
      <c r="W54">
        <v>123.63</v>
      </c>
      <c r="X54">
        <v>43.12</v>
      </c>
      <c r="Y54">
        <v>470.41</v>
      </c>
      <c r="Z54">
        <v>43.75</v>
      </c>
      <c r="AA54">
        <v>398.98</v>
      </c>
      <c r="AB54">
        <v>48.39</v>
      </c>
      <c r="AC54">
        <v>154.86000000000001</v>
      </c>
      <c r="AD54">
        <v>67.8</v>
      </c>
      <c r="AE54">
        <v>125.01</v>
      </c>
      <c r="AF54">
        <v>48.01</v>
      </c>
      <c r="AG54">
        <v>162.85</v>
      </c>
      <c r="AH54">
        <v>8.01</v>
      </c>
      <c r="AI54">
        <v>34.22</v>
      </c>
    </row>
    <row r="55" spans="1:35" ht="15.75">
      <c r="A55" t="s">
        <v>724</v>
      </c>
      <c r="B55" s="2" t="s">
        <v>724</v>
      </c>
      <c r="C55" s="2" t="str">
        <f t="shared" si="0"/>
        <v>TRUE</v>
      </c>
      <c r="D55" s="2" t="s">
        <v>854</v>
      </c>
      <c r="E55" s="2" t="s">
        <v>862</v>
      </c>
      <c r="F55" s="2" t="s">
        <v>856</v>
      </c>
      <c r="G55" s="3">
        <v>26190</v>
      </c>
      <c r="H55" s="3">
        <v>43504</v>
      </c>
      <c r="I55" s="2">
        <v>47</v>
      </c>
      <c r="J55" s="2">
        <v>2</v>
      </c>
      <c r="K55" s="2" t="s">
        <v>857</v>
      </c>
      <c r="L55" s="2">
        <v>15</v>
      </c>
      <c r="M55" s="2" t="s">
        <v>856</v>
      </c>
      <c r="N55">
        <v>8.65</v>
      </c>
      <c r="O55">
        <v>1.82</v>
      </c>
      <c r="P55">
        <v>66.069999999999993</v>
      </c>
      <c r="Q55">
        <v>318.42</v>
      </c>
      <c r="R55">
        <v>32.75</v>
      </c>
      <c r="S55">
        <v>18.59</v>
      </c>
      <c r="T55">
        <v>23.5</v>
      </c>
      <c r="U55" s="13">
        <v>0.99</v>
      </c>
      <c r="V55" s="14">
        <v>2500.0100000000002</v>
      </c>
      <c r="W55">
        <v>1520.29</v>
      </c>
      <c r="X55">
        <v>48.95</v>
      </c>
      <c r="Y55">
        <v>820.35</v>
      </c>
      <c r="Z55">
        <v>15.2</v>
      </c>
      <c r="AA55">
        <v>294.19</v>
      </c>
      <c r="AB55">
        <v>254.43</v>
      </c>
      <c r="AC55">
        <v>114.21</v>
      </c>
      <c r="AD55">
        <v>112.65</v>
      </c>
      <c r="AE55">
        <v>56.07</v>
      </c>
      <c r="AF55">
        <v>9.81</v>
      </c>
      <c r="AG55">
        <v>537.83000000000004</v>
      </c>
      <c r="AH55" s="14">
        <v>4.99</v>
      </c>
      <c r="AI55">
        <v>97.18</v>
      </c>
    </row>
    <row r="56" spans="1:35" ht="15.75">
      <c r="A56" t="s">
        <v>454</v>
      </c>
      <c r="B56" s="2" t="s">
        <v>454</v>
      </c>
      <c r="C56" s="2" t="str">
        <f t="shared" si="0"/>
        <v>TRUE</v>
      </c>
      <c r="D56" s="2" t="s">
        <v>858</v>
      </c>
      <c r="E56" s="2" t="s">
        <v>868</v>
      </c>
      <c r="F56" s="2" t="s">
        <v>864</v>
      </c>
      <c r="G56" s="3">
        <v>30482</v>
      </c>
      <c r="H56" s="3">
        <v>43518</v>
      </c>
      <c r="I56" s="2">
        <v>35</v>
      </c>
      <c r="J56" s="2">
        <v>3</v>
      </c>
      <c r="K56" s="2" t="s">
        <v>857</v>
      </c>
      <c r="L56" s="2">
        <v>42</v>
      </c>
      <c r="M56" s="2">
        <v>3</v>
      </c>
      <c r="N56">
        <v>15.23</v>
      </c>
      <c r="O56">
        <v>0.99</v>
      </c>
      <c r="P56">
        <v>47.74</v>
      </c>
      <c r="Q56">
        <v>200.69</v>
      </c>
      <c r="R56">
        <v>25.15</v>
      </c>
      <c r="S56">
        <v>6.75</v>
      </c>
      <c r="T56">
        <v>17.3</v>
      </c>
      <c r="U56">
        <v>2.14</v>
      </c>
      <c r="V56">
        <v>856.75</v>
      </c>
      <c r="W56">
        <v>523.41</v>
      </c>
      <c r="X56">
        <v>57.42</v>
      </c>
      <c r="Y56">
        <v>176.29</v>
      </c>
      <c r="Z56">
        <v>6.55</v>
      </c>
      <c r="AA56">
        <v>80.69</v>
      </c>
      <c r="AB56">
        <v>52.02</v>
      </c>
      <c r="AC56">
        <v>20.55</v>
      </c>
      <c r="AD56">
        <v>76.77</v>
      </c>
      <c r="AE56">
        <v>73.13</v>
      </c>
      <c r="AF56">
        <v>11.76</v>
      </c>
      <c r="AG56">
        <v>656.51</v>
      </c>
      <c r="AH56">
        <v>34.39</v>
      </c>
      <c r="AI56">
        <v>139.34</v>
      </c>
    </row>
    <row r="57" spans="1:35" ht="15.75">
      <c r="A57" t="s">
        <v>664</v>
      </c>
      <c r="B57" s="2" t="s">
        <v>664</v>
      </c>
      <c r="C57" s="2" t="str">
        <f t="shared" si="0"/>
        <v>TRUE</v>
      </c>
      <c r="D57" s="2" t="s">
        <v>858</v>
      </c>
      <c r="E57" s="2" t="s">
        <v>863</v>
      </c>
      <c r="F57" s="2" t="s">
        <v>864</v>
      </c>
      <c r="G57" s="3">
        <v>24908</v>
      </c>
      <c r="H57" s="3">
        <v>43509</v>
      </c>
      <c r="I57" s="2">
        <v>50</v>
      </c>
      <c r="J57" s="2">
        <v>2</v>
      </c>
      <c r="K57" s="2" t="s">
        <v>857</v>
      </c>
      <c r="L57" s="2">
        <v>15</v>
      </c>
      <c r="M57" s="2">
        <v>2</v>
      </c>
      <c r="N57">
        <v>21.02</v>
      </c>
      <c r="O57">
        <v>4.7699999999999996</v>
      </c>
      <c r="P57">
        <v>170.89</v>
      </c>
      <c r="Q57">
        <v>625.89</v>
      </c>
      <c r="R57">
        <v>143.69</v>
      </c>
      <c r="S57">
        <v>43.22</v>
      </c>
      <c r="T57">
        <v>130.29</v>
      </c>
      <c r="U57">
        <v>12.15</v>
      </c>
      <c r="V57">
        <v>973.31</v>
      </c>
      <c r="W57">
        <v>705.21</v>
      </c>
      <c r="X57">
        <v>49.5</v>
      </c>
      <c r="Y57">
        <v>382.74</v>
      </c>
      <c r="Z57">
        <v>21.67</v>
      </c>
      <c r="AA57">
        <v>39.49</v>
      </c>
      <c r="AB57">
        <v>38.46</v>
      </c>
      <c r="AC57">
        <v>34.96</v>
      </c>
      <c r="AD57">
        <v>133.35</v>
      </c>
      <c r="AE57">
        <v>144.86000000000001</v>
      </c>
      <c r="AF57">
        <v>9.0500000000000007</v>
      </c>
      <c r="AG57">
        <v>1210.9000000000001</v>
      </c>
      <c r="AH57">
        <v>24.56</v>
      </c>
      <c r="AI57">
        <v>428.91</v>
      </c>
    </row>
    <row r="58" spans="1:35" ht="15.75">
      <c r="A58" t="s">
        <v>616</v>
      </c>
      <c r="B58" s="2" t="s">
        <v>616</v>
      </c>
      <c r="C58" s="2" t="str">
        <f t="shared" si="0"/>
        <v>TRUE</v>
      </c>
      <c r="D58" s="2" t="s">
        <v>858</v>
      </c>
      <c r="E58" s="2" t="s">
        <v>859</v>
      </c>
      <c r="F58" s="2" t="s">
        <v>864</v>
      </c>
      <c r="G58" s="3">
        <v>25311</v>
      </c>
      <c r="H58" s="3">
        <v>43511</v>
      </c>
      <c r="I58" s="2">
        <v>49</v>
      </c>
      <c r="J58" s="2">
        <v>1</v>
      </c>
      <c r="K58" s="2" t="s">
        <v>857</v>
      </c>
      <c r="L58" s="2">
        <v>2216</v>
      </c>
      <c r="M58" s="2">
        <v>7</v>
      </c>
      <c r="N58">
        <v>6.6</v>
      </c>
      <c r="O58">
        <v>0.99</v>
      </c>
      <c r="P58">
        <v>27</v>
      </c>
      <c r="Q58">
        <v>30.39</v>
      </c>
      <c r="R58">
        <v>4.84</v>
      </c>
      <c r="S58">
        <v>2.74</v>
      </c>
      <c r="T58">
        <v>6.52</v>
      </c>
      <c r="U58" s="13">
        <v>0.99</v>
      </c>
      <c r="V58">
        <v>382.65</v>
      </c>
      <c r="W58">
        <v>51.9</v>
      </c>
      <c r="X58">
        <v>34.6</v>
      </c>
      <c r="Y58">
        <v>312.16000000000003</v>
      </c>
      <c r="Z58">
        <v>3.72</v>
      </c>
      <c r="AA58">
        <v>24.09</v>
      </c>
      <c r="AB58" s="14">
        <v>2.4900000000000002</v>
      </c>
      <c r="AC58">
        <v>28.38</v>
      </c>
      <c r="AD58" s="14">
        <v>9.99</v>
      </c>
      <c r="AE58">
        <v>102.01</v>
      </c>
      <c r="AF58">
        <v>9.65</v>
      </c>
      <c r="AG58">
        <v>69.19</v>
      </c>
      <c r="AH58">
        <v>40.65</v>
      </c>
      <c r="AI58">
        <v>43.1</v>
      </c>
    </row>
    <row r="59" spans="1:35" ht="15.75">
      <c r="A59" t="s">
        <v>595</v>
      </c>
      <c r="B59" s="2" t="s">
        <v>595</v>
      </c>
      <c r="C59" s="2" t="str">
        <f t="shared" si="0"/>
        <v>TRUE</v>
      </c>
      <c r="D59" s="2" t="s">
        <v>858</v>
      </c>
      <c r="E59" s="2" t="s">
        <v>859</v>
      </c>
      <c r="F59" s="2" t="s">
        <v>860</v>
      </c>
      <c r="G59" s="3">
        <v>36595</v>
      </c>
      <c r="H59" s="3">
        <v>43490</v>
      </c>
      <c r="I59" s="2">
        <v>18</v>
      </c>
      <c r="J59" s="2">
        <v>1</v>
      </c>
      <c r="K59" s="2" t="s">
        <v>861</v>
      </c>
      <c r="L59" s="2">
        <v>1276</v>
      </c>
      <c r="M59" s="2">
        <v>11</v>
      </c>
      <c r="N59">
        <v>22.25</v>
      </c>
      <c r="O59">
        <v>2.93</v>
      </c>
      <c r="P59">
        <v>114.43</v>
      </c>
      <c r="Q59">
        <v>66.150000000000006</v>
      </c>
      <c r="R59">
        <v>313.52999999999997</v>
      </c>
      <c r="S59">
        <v>24.36</v>
      </c>
      <c r="T59">
        <v>121.18</v>
      </c>
      <c r="U59">
        <v>11.49</v>
      </c>
      <c r="V59" s="14">
        <v>2500.0100000000002</v>
      </c>
      <c r="W59">
        <v>449.24</v>
      </c>
      <c r="X59">
        <v>235.58</v>
      </c>
      <c r="Y59" s="14">
        <v>1000.01</v>
      </c>
      <c r="Z59">
        <v>95.13</v>
      </c>
      <c r="AA59">
        <v>566.62</v>
      </c>
      <c r="AB59">
        <v>48.35</v>
      </c>
      <c r="AC59">
        <v>183.48</v>
      </c>
      <c r="AD59">
        <v>26.41</v>
      </c>
      <c r="AE59">
        <v>457.35</v>
      </c>
      <c r="AF59">
        <v>81.78</v>
      </c>
      <c r="AG59">
        <v>124.59</v>
      </c>
      <c r="AH59">
        <v>49.48</v>
      </c>
      <c r="AI59">
        <v>98.8</v>
      </c>
    </row>
    <row r="60" spans="1:35" ht="15.75">
      <c r="A60" t="s">
        <v>694</v>
      </c>
      <c r="B60" s="2" t="s">
        <v>694</v>
      </c>
      <c r="C60" s="2" t="str">
        <f t="shared" si="0"/>
        <v>TRUE</v>
      </c>
      <c r="D60" s="2" t="s">
        <v>865</v>
      </c>
      <c r="E60" s="2" t="s">
        <v>873</v>
      </c>
      <c r="F60" s="2" t="s">
        <v>864</v>
      </c>
      <c r="G60" s="3">
        <v>35185</v>
      </c>
      <c r="H60" s="3">
        <v>43501</v>
      </c>
      <c r="I60" s="2">
        <v>22</v>
      </c>
      <c r="J60" s="2">
        <v>1</v>
      </c>
      <c r="K60" s="2" t="s">
        <v>861</v>
      </c>
      <c r="L60" s="2">
        <v>307</v>
      </c>
      <c r="M60" s="2">
        <v>4</v>
      </c>
      <c r="N60">
        <v>17.22</v>
      </c>
      <c r="O60">
        <v>2.94</v>
      </c>
      <c r="P60">
        <v>71.069999999999993</v>
      </c>
      <c r="Q60">
        <v>0.99</v>
      </c>
      <c r="R60">
        <v>576.70000000000005</v>
      </c>
      <c r="S60">
        <v>29.23</v>
      </c>
      <c r="T60">
        <v>12.02</v>
      </c>
      <c r="U60">
        <v>8.65</v>
      </c>
      <c r="V60">
        <v>494.2</v>
      </c>
      <c r="W60">
        <v>2.4900000000000002</v>
      </c>
      <c r="X60">
        <v>42.03</v>
      </c>
      <c r="Y60">
        <v>35.83</v>
      </c>
      <c r="Z60">
        <v>26.73</v>
      </c>
      <c r="AA60">
        <v>81.239999999999995</v>
      </c>
      <c r="AB60" s="14">
        <v>2.4900000000000002</v>
      </c>
      <c r="AC60">
        <v>7.13</v>
      </c>
      <c r="AD60" s="14">
        <v>9.99</v>
      </c>
      <c r="AE60">
        <v>75.44</v>
      </c>
      <c r="AF60">
        <v>16.309999999999999</v>
      </c>
      <c r="AG60" s="14">
        <v>4.99</v>
      </c>
      <c r="AH60">
        <v>31.45</v>
      </c>
      <c r="AI60" s="14">
        <v>4.99</v>
      </c>
    </row>
    <row r="61" spans="1:35" ht="15.75">
      <c r="A61" t="s">
        <v>802</v>
      </c>
      <c r="B61" s="2" t="s">
        <v>802</v>
      </c>
      <c r="C61" s="2" t="str">
        <f t="shared" si="0"/>
        <v>TRUE</v>
      </c>
      <c r="D61" s="2" t="s">
        <v>858</v>
      </c>
      <c r="E61" s="2" t="s">
        <v>868</v>
      </c>
      <c r="F61" s="2" t="s">
        <v>864</v>
      </c>
      <c r="G61" s="3">
        <v>25575</v>
      </c>
      <c r="H61" s="3">
        <v>43518</v>
      </c>
      <c r="I61" s="2">
        <v>49</v>
      </c>
      <c r="J61" s="2">
        <v>2</v>
      </c>
      <c r="K61" s="2" t="s">
        <v>857</v>
      </c>
      <c r="L61" s="2">
        <v>19</v>
      </c>
      <c r="M61" s="2">
        <v>2</v>
      </c>
      <c r="N61">
        <v>13.89</v>
      </c>
      <c r="O61">
        <v>4.62</v>
      </c>
      <c r="P61">
        <v>89.95</v>
      </c>
      <c r="Q61">
        <v>502.86</v>
      </c>
      <c r="R61">
        <v>356.94</v>
      </c>
      <c r="S61">
        <v>51.2</v>
      </c>
      <c r="T61">
        <v>168.03</v>
      </c>
      <c r="U61">
        <v>5.97</v>
      </c>
      <c r="V61" s="14">
        <v>2500.0100000000002</v>
      </c>
      <c r="W61">
        <v>1127.58</v>
      </c>
      <c r="X61">
        <v>216.59</v>
      </c>
      <c r="Y61">
        <v>809.52</v>
      </c>
      <c r="Z61">
        <v>14.06</v>
      </c>
      <c r="AA61">
        <v>163.19</v>
      </c>
      <c r="AB61">
        <v>67.38</v>
      </c>
      <c r="AC61">
        <v>60.75</v>
      </c>
      <c r="AD61">
        <v>84.14</v>
      </c>
      <c r="AE61">
        <v>123.29</v>
      </c>
      <c r="AF61">
        <v>16.97</v>
      </c>
      <c r="AG61">
        <v>589.39</v>
      </c>
      <c r="AH61">
        <v>28.62</v>
      </c>
      <c r="AI61">
        <v>130.08000000000001</v>
      </c>
    </row>
    <row r="62" spans="1:35" ht="15.75">
      <c r="A62" t="s">
        <v>316</v>
      </c>
      <c r="B62" s="2" t="s">
        <v>316</v>
      </c>
      <c r="C62" s="2" t="str">
        <f t="shared" si="0"/>
        <v>TRUE</v>
      </c>
      <c r="D62" s="2" t="s">
        <v>858</v>
      </c>
      <c r="E62" s="2" t="s">
        <v>859</v>
      </c>
      <c r="F62" s="2" t="s">
        <v>864</v>
      </c>
      <c r="G62" s="3">
        <v>17139</v>
      </c>
      <c r="H62" s="3">
        <v>43518</v>
      </c>
      <c r="I62" s="2">
        <v>72</v>
      </c>
      <c r="J62" s="2">
        <v>2</v>
      </c>
      <c r="K62" s="2" t="s">
        <v>857</v>
      </c>
      <c r="L62" s="2">
        <v>15</v>
      </c>
      <c r="M62" s="2">
        <v>1</v>
      </c>
      <c r="N62">
        <v>15.65</v>
      </c>
      <c r="O62">
        <v>1.82</v>
      </c>
      <c r="P62">
        <v>113.73</v>
      </c>
      <c r="Q62">
        <v>408.53</v>
      </c>
      <c r="R62">
        <v>53.66</v>
      </c>
      <c r="S62">
        <v>47.21</v>
      </c>
      <c r="T62">
        <v>15.13</v>
      </c>
      <c r="U62">
        <v>1.24</v>
      </c>
      <c r="V62">
        <v>585.79</v>
      </c>
      <c r="W62">
        <v>423.45</v>
      </c>
      <c r="X62">
        <v>113.56</v>
      </c>
      <c r="Y62">
        <v>89.27</v>
      </c>
      <c r="Z62">
        <v>7.51</v>
      </c>
      <c r="AA62">
        <v>88.17</v>
      </c>
      <c r="AB62">
        <v>74.72</v>
      </c>
      <c r="AC62">
        <v>12.48</v>
      </c>
      <c r="AD62">
        <v>167.68</v>
      </c>
      <c r="AE62">
        <v>28.44</v>
      </c>
      <c r="AF62">
        <v>6.41</v>
      </c>
      <c r="AG62">
        <v>407.17</v>
      </c>
      <c r="AH62">
        <v>13.36</v>
      </c>
      <c r="AI62">
        <v>58.54</v>
      </c>
    </row>
    <row r="63" spans="1:35" ht="15.75">
      <c r="A63" t="s">
        <v>238</v>
      </c>
      <c r="B63" s="2" t="s">
        <v>238</v>
      </c>
      <c r="C63" s="2" t="str">
        <f t="shared" si="0"/>
        <v>TRUE</v>
      </c>
      <c r="D63" s="2" t="s">
        <v>858</v>
      </c>
      <c r="E63" s="2" t="s">
        <v>859</v>
      </c>
      <c r="F63" s="2" t="s">
        <v>860</v>
      </c>
      <c r="G63" s="3">
        <v>34403</v>
      </c>
      <c r="H63" s="3">
        <v>43516</v>
      </c>
      <c r="I63" s="2">
        <v>24</v>
      </c>
      <c r="J63" s="2">
        <v>1</v>
      </c>
      <c r="K63" s="2" t="s">
        <v>861</v>
      </c>
      <c r="L63" s="2">
        <v>2021</v>
      </c>
      <c r="M63" s="2">
        <v>5</v>
      </c>
      <c r="N63">
        <v>17.010000000000002</v>
      </c>
      <c r="O63">
        <v>0.99</v>
      </c>
      <c r="P63">
        <v>11.74</v>
      </c>
      <c r="Q63">
        <v>13.69</v>
      </c>
      <c r="R63">
        <v>5.74</v>
      </c>
      <c r="S63">
        <v>2.08</v>
      </c>
      <c r="T63">
        <v>16</v>
      </c>
      <c r="U63" s="13">
        <v>0.99</v>
      </c>
      <c r="V63">
        <v>641.42999999999995</v>
      </c>
      <c r="W63">
        <v>145.87</v>
      </c>
      <c r="X63">
        <v>21.84</v>
      </c>
      <c r="Y63">
        <v>260.49</v>
      </c>
      <c r="Z63">
        <v>25.78</v>
      </c>
      <c r="AA63">
        <v>8.82</v>
      </c>
      <c r="AB63">
        <v>2.58</v>
      </c>
      <c r="AC63">
        <v>6.89</v>
      </c>
      <c r="AD63" s="14">
        <v>9.99</v>
      </c>
      <c r="AE63">
        <v>80.709999999999994</v>
      </c>
      <c r="AF63" s="14">
        <v>4.99</v>
      </c>
      <c r="AG63">
        <v>133.72999999999999</v>
      </c>
      <c r="AH63">
        <v>11.29</v>
      </c>
      <c r="AI63">
        <v>66.7</v>
      </c>
    </row>
    <row r="64" spans="1:35" ht="15.75">
      <c r="A64" t="s">
        <v>697</v>
      </c>
      <c r="B64" s="2" t="s">
        <v>697</v>
      </c>
      <c r="C64" s="2" t="str">
        <f t="shared" si="0"/>
        <v>TRUE</v>
      </c>
      <c r="D64" s="2" t="s">
        <v>858</v>
      </c>
      <c r="E64" s="2" t="s">
        <v>859</v>
      </c>
      <c r="F64" s="2" t="s">
        <v>864</v>
      </c>
      <c r="G64" s="3">
        <v>29445</v>
      </c>
      <c r="H64" s="3">
        <v>43497</v>
      </c>
      <c r="I64" s="2">
        <v>38</v>
      </c>
      <c r="J64" s="2">
        <v>2</v>
      </c>
      <c r="K64" s="2" t="s">
        <v>857</v>
      </c>
      <c r="L64" s="2">
        <v>803</v>
      </c>
      <c r="M64" s="2">
        <v>1</v>
      </c>
      <c r="N64">
        <v>16.84</v>
      </c>
      <c r="O64">
        <v>9.31</v>
      </c>
      <c r="P64">
        <v>280.85000000000002</v>
      </c>
      <c r="Q64">
        <v>36.950000000000003</v>
      </c>
      <c r="R64">
        <v>153.62</v>
      </c>
      <c r="S64">
        <v>127.44</v>
      </c>
      <c r="T64">
        <v>37.39</v>
      </c>
      <c r="U64">
        <v>13.79</v>
      </c>
      <c r="V64">
        <v>1260.82</v>
      </c>
      <c r="W64">
        <v>127.61</v>
      </c>
      <c r="X64">
        <v>315.57</v>
      </c>
      <c r="Y64">
        <v>310.05</v>
      </c>
      <c r="Z64">
        <v>27.22</v>
      </c>
      <c r="AA64">
        <v>92.94</v>
      </c>
      <c r="AB64">
        <v>14.31</v>
      </c>
      <c r="AC64">
        <v>24.03</v>
      </c>
      <c r="AD64" s="14">
        <v>9.99</v>
      </c>
      <c r="AE64">
        <v>134.24</v>
      </c>
      <c r="AF64">
        <v>14.63</v>
      </c>
      <c r="AG64">
        <v>97.31</v>
      </c>
      <c r="AH64">
        <v>99.31</v>
      </c>
      <c r="AI64">
        <v>61.92</v>
      </c>
    </row>
    <row r="65" spans="1:35" ht="15.75">
      <c r="A65" t="s">
        <v>742</v>
      </c>
      <c r="B65" s="2" t="s">
        <v>742</v>
      </c>
      <c r="C65" s="2" t="str">
        <f t="shared" si="0"/>
        <v>TRUE</v>
      </c>
      <c r="D65" s="2" t="s">
        <v>865</v>
      </c>
      <c r="E65" s="2" t="s">
        <v>866</v>
      </c>
      <c r="F65" s="2" t="s">
        <v>860</v>
      </c>
      <c r="G65" s="3">
        <v>29526</v>
      </c>
      <c r="H65" s="3">
        <v>43518</v>
      </c>
      <c r="I65" s="2">
        <v>38</v>
      </c>
      <c r="J65" s="2">
        <v>3</v>
      </c>
      <c r="K65" s="2" t="s">
        <v>861</v>
      </c>
      <c r="L65" s="2">
        <v>27</v>
      </c>
      <c r="M65" s="2">
        <v>3</v>
      </c>
      <c r="N65">
        <v>10.61</v>
      </c>
      <c r="O65">
        <v>1.33</v>
      </c>
      <c r="P65">
        <v>47.51</v>
      </c>
      <c r="Q65">
        <v>2.33</v>
      </c>
      <c r="R65">
        <v>84.96</v>
      </c>
      <c r="S65">
        <v>6.69</v>
      </c>
      <c r="T65">
        <v>56.48</v>
      </c>
      <c r="U65">
        <v>2.66</v>
      </c>
      <c r="V65">
        <v>2322.2600000000002</v>
      </c>
      <c r="W65">
        <v>6.29</v>
      </c>
      <c r="X65">
        <v>64.540000000000006</v>
      </c>
      <c r="Y65" s="14">
        <v>1000.01</v>
      </c>
      <c r="Z65">
        <v>51.13</v>
      </c>
      <c r="AA65">
        <v>126.23</v>
      </c>
      <c r="AB65" s="14">
        <v>2.4900000000000002</v>
      </c>
      <c r="AC65">
        <v>142.25</v>
      </c>
      <c r="AD65" s="14">
        <v>9.99</v>
      </c>
      <c r="AE65">
        <v>89.45</v>
      </c>
      <c r="AF65">
        <v>5.65</v>
      </c>
      <c r="AG65" s="14">
        <v>4.99</v>
      </c>
      <c r="AH65">
        <v>12.61</v>
      </c>
      <c r="AI65" s="14">
        <v>4.99</v>
      </c>
    </row>
    <row r="66" spans="1:35" ht="15.75">
      <c r="A66" t="s">
        <v>241</v>
      </c>
      <c r="B66" s="2" t="s">
        <v>241</v>
      </c>
      <c r="C66" s="2" t="str">
        <f t="shared" si="0"/>
        <v>TRUE</v>
      </c>
      <c r="D66" s="2" t="s">
        <v>858</v>
      </c>
      <c r="E66" s="2" t="s">
        <v>859</v>
      </c>
      <c r="F66" s="2" t="s">
        <v>860</v>
      </c>
      <c r="G66" s="3">
        <v>34403</v>
      </c>
      <c r="H66" s="3">
        <v>43529</v>
      </c>
      <c r="I66" s="2">
        <v>24</v>
      </c>
      <c r="J66" s="4">
        <v>1</v>
      </c>
      <c r="K66" s="2" t="s">
        <v>861</v>
      </c>
      <c r="L66" s="2">
        <v>2021</v>
      </c>
      <c r="M66" s="2">
        <v>5</v>
      </c>
      <c r="N66">
        <v>19.61</v>
      </c>
      <c r="O66">
        <v>7.01</v>
      </c>
      <c r="P66">
        <v>30.62</v>
      </c>
      <c r="Q66">
        <v>190</v>
      </c>
      <c r="R66">
        <v>270.08999999999997</v>
      </c>
      <c r="S66">
        <v>16.2</v>
      </c>
      <c r="T66">
        <v>75.040000000000006</v>
      </c>
      <c r="U66">
        <v>3.97</v>
      </c>
      <c r="V66" s="14">
        <v>2500.0100000000002</v>
      </c>
      <c r="W66">
        <v>958.99</v>
      </c>
      <c r="X66">
        <v>134.27000000000001</v>
      </c>
      <c r="Y66" s="14">
        <v>1000.01</v>
      </c>
      <c r="Z66">
        <v>89.15</v>
      </c>
      <c r="AA66">
        <v>136.9</v>
      </c>
      <c r="AB66">
        <v>46.74</v>
      </c>
      <c r="AC66">
        <v>93.19</v>
      </c>
      <c r="AD66">
        <v>23.86</v>
      </c>
      <c r="AE66">
        <v>205.26</v>
      </c>
      <c r="AF66">
        <v>5.59</v>
      </c>
      <c r="AG66">
        <v>313.52999999999997</v>
      </c>
      <c r="AH66">
        <v>28.14</v>
      </c>
      <c r="AI66">
        <v>219.92</v>
      </c>
    </row>
    <row r="67" spans="1:35" ht="15.75">
      <c r="A67" t="s">
        <v>148</v>
      </c>
      <c r="B67" s="2" t="s">
        <v>148</v>
      </c>
      <c r="C67" s="2" t="str">
        <f t="shared" ref="C67:C130" si="1">IF(A67=B67, "TRUE", "FALSE")</f>
        <v>TRUE</v>
      </c>
      <c r="D67" s="2" t="s">
        <v>870</v>
      </c>
      <c r="E67" s="2" t="s">
        <v>871</v>
      </c>
      <c r="F67" s="2" t="s">
        <v>856</v>
      </c>
      <c r="G67" s="3">
        <v>29872</v>
      </c>
      <c r="H67" s="3">
        <v>43521</v>
      </c>
      <c r="I67" s="2">
        <v>37</v>
      </c>
      <c r="J67" s="2">
        <v>1</v>
      </c>
      <c r="K67" s="2" t="s">
        <v>857</v>
      </c>
      <c r="L67" s="2">
        <v>370</v>
      </c>
      <c r="M67" s="2" t="s">
        <v>856</v>
      </c>
      <c r="N67">
        <v>16.2</v>
      </c>
      <c r="O67">
        <v>0.99</v>
      </c>
      <c r="P67">
        <v>107.84</v>
      </c>
      <c r="Q67">
        <v>19.940000000000001</v>
      </c>
      <c r="R67">
        <v>7.1</v>
      </c>
      <c r="S67">
        <v>14.16</v>
      </c>
      <c r="T67">
        <v>8.5500000000000007</v>
      </c>
      <c r="U67" s="13">
        <v>0.99</v>
      </c>
      <c r="V67">
        <v>101.66</v>
      </c>
      <c r="W67">
        <v>40.380000000000003</v>
      </c>
      <c r="X67">
        <v>17.82</v>
      </c>
      <c r="Y67">
        <v>25.05</v>
      </c>
      <c r="Z67">
        <v>2.99</v>
      </c>
      <c r="AA67">
        <v>11.91</v>
      </c>
      <c r="AB67">
        <v>4.6500000000000004</v>
      </c>
      <c r="AC67">
        <v>5.55</v>
      </c>
      <c r="AD67">
        <v>53.2</v>
      </c>
      <c r="AE67">
        <v>23.13</v>
      </c>
      <c r="AF67" s="14">
        <v>4.99</v>
      </c>
      <c r="AG67">
        <v>570.59</v>
      </c>
      <c r="AH67">
        <v>16.77</v>
      </c>
      <c r="AI67">
        <v>20.49</v>
      </c>
    </row>
    <row r="68" spans="1:35" ht="15.75">
      <c r="A68" t="s">
        <v>409</v>
      </c>
      <c r="B68" s="2" t="s">
        <v>409</v>
      </c>
      <c r="C68" s="2" t="str">
        <f t="shared" si="1"/>
        <v>TRUE</v>
      </c>
      <c r="D68" s="2" t="s">
        <v>865</v>
      </c>
      <c r="E68" s="2" t="s">
        <v>866</v>
      </c>
      <c r="F68" s="2" t="s">
        <v>864</v>
      </c>
      <c r="G68" s="3">
        <v>32901</v>
      </c>
      <c r="H68" s="3">
        <v>43522</v>
      </c>
      <c r="I68" s="2">
        <v>29</v>
      </c>
      <c r="J68" s="2">
        <v>3</v>
      </c>
      <c r="K68" s="2" t="s">
        <v>857</v>
      </c>
      <c r="L68" s="2">
        <v>47</v>
      </c>
      <c r="M68" s="2">
        <v>2</v>
      </c>
      <c r="N68">
        <v>10.88</v>
      </c>
      <c r="O68">
        <v>18.27</v>
      </c>
      <c r="P68">
        <v>126.6</v>
      </c>
      <c r="Q68">
        <v>252.52</v>
      </c>
      <c r="R68">
        <v>546.88</v>
      </c>
      <c r="S68">
        <v>43.06</v>
      </c>
      <c r="T68">
        <v>667.86</v>
      </c>
      <c r="U68">
        <v>28.1</v>
      </c>
      <c r="V68" s="14">
        <v>2500.0100000000002</v>
      </c>
      <c r="W68">
        <v>655.73</v>
      </c>
      <c r="X68">
        <v>199.55</v>
      </c>
      <c r="Y68">
        <v>992.39</v>
      </c>
      <c r="Z68">
        <v>36.479999999999997</v>
      </c>
      <c r="AA68">
        <v>503.31</v>
      </c>
      <c r="AB68">
        <v>113.83</v>
      </c>
      <c r="AC68">
        <v>176.79</v>
      </c>
      <c r="AD68">
        <v>80.41</v>
      </c>
      <c r="AE68">
        <v>117.16</v>
      </c>
      <c r="AF68">
        <v>31.2</v>
      </c>
      <c r="AG68">
        <v>467.52</v>
      </c>
      <c r="AH68">
        <v>13.3</v>
      </c>
      <c r="AI68">
        <v>44.4</v>
      </c>
    </row>
    <row r="69" spans="1:35" ht="15.75">
      <c r="A69" t="s">
        <v>349</v>
      </c>
      <c r="B69" s="2" t="s">
        <v>349</v>
      </c>
      <c r="C69" s="2" t="str">
        <f t="shared" si="1"/>
        <v>TRUE</v>
      </c>
      <c r="D69" s="2" t="s">
        <v>858</v>
      </c>
      <c r="E69" s="2" t="s">
        <v>863</v>
      </c>
      <c r="F69" s="2" t="s">
        <v>860</v>
      </c>
      <c r="G69" s="3">
        <v>29943</v>
      </c>
      <c r="H69" s="3">
        <v>43525</v>
      </c>
      <c r="I69" s="2">
        <v>37</v>
      </c>
      <c r="J69" s="2">
        <v>1</v>
      </c>
      <c r="K69" s="2" t="s">
        <v>857</v>
      </c>
      <c r="L69" s="2">
        <v>922</v>
      </c>
      <c r="M69" s="2">
        <v>8</v>
      </c>
      <c r="N69">
        <v>21.37</v>
      </c>
      <c r="O69">
        <v>3.82</v>
      </c>
      <c r="P69">
        <v>80.3</v>
      </c>
      <c r="Q69">
        <v>104.3</v>
      </c>
      <c r="R69">
        <v>234.88</v>
      </c>
      <c r="S69">
        <v>59.5</v>
      </c>
      <c r="T69">
        <v>92.3</v>
      </c>
      <c r="U69">
        <v>14.28</v>
      </c>
      <c r="V69">
        <v>1328.7</v>
      </c>
      <c r="W69">
        <v>196.36</v>
      </c>
      <c r="X69">
        <v>168.85</v>
      </c>
      <c r="Y69">
        <v>319.77</v>
      </c>
      <c r="Z69">
        <v>29.64</v>
      </c>
      <c r="AA69">
        <v>127.12</v>
      </c>
      <c r="AB69">
        <v>25.84</v>
      </c>
      <c r="AC69">
        <v>36.33</v>
      </c>
      <c r="AD69">
        <v>84.8</v>
      </c>
      <c r="AE69">
        <v>142.54</v>
      </c>
      <c r="AF69">
        <v>25.78</v>
      </c>
      <c r="AG69">
        <v>283.81</v>
      </c>
      <c r="AH69">
        <v>33.200000000000003</v>
      </c>
      <c r="AI69">
        <v>64.010000000000005</v>
      </c>
    </row>
    <row r="70" spans="1:35" ht="15.75">
      <c r="A70" t="s">
        <v>466</v>
      </c>
      <c r="B70" s="2" t="s">
        <v>466</v>
      </c>
      <c r="C70" s="2" t="str">
        <f t="shared" si="1"/>
        <v>TRUE</v>
      </c>
      <c r="D70" s="2" t="s">
        <v>865</v>
      </c>
      <c r="E70" s="2" t="s">
        <v>872</v>
      </c>
      <c r="F70" s="2" t="s">
        <v>864</v>
      </c>
      <c r="G70" s="3">
        <v>33519</v>
      </c>
      <c r="H70" s="3">
        <v>43525</v>
      </c>
      <c r="I70" s="2">
        <v>27</v>
      </c>
      <c r="J70" s="2">
        <v>2</v>
      </c>
      <c r="K70" s="2" t="s">
        <v>857</v>
      </c>
      <c r="L70" s="2">
        <v>110</v>
      </c>
      <c r="M70" s="2">
        <v>0</v>
      </c>
      <c r="N70">
        <v>30.35</v>
      </c>
      <c r="O70">
        <v>11.57</v>
      </c>
      <c r="P70">
        <v>84.25</v>
      </c>
      <c r="Q70">
        <v>663.78</v>
      </c>
      <c r="R70">
        <v>216.63</v>
      </c>
      <c r="S70" s="12">
        <v>1000.01</v>
      </c>
      <c r="T70">
        <v>581.29999999999995</v>
      </c>
      <c r="U70">
        <v>17.41</v>
      </c>
      <c r="V70" s="14">
        <v>2500.0100000000002</v>
      </c>
      <c r="W70" s="14">
        <v>2500.0100000000002</v>
      </c>
      <c r="X70" s="14">
        <v>2500.0100000000002</v>
      </c>
      <c r="Y70" s="14">
        <v>1000.01</v>
      </c>
      <c r="Z70">
        <v>159.79</v>
      </c>
      <c r="AA70">
        <v>911.64</v>
      </c>
      <c r="AB70">
        <v>798.6</v>
      </c>
      <c r="AC70">
        <v>1000.01</v>
      </c>
      <c r="AD70">
        <v>522.46</v>
      </c>
      <c r="AE70">
        <v>913.3</v>
      </c>
      <c r="AF70">
        <v>99.13</v>
      </c>
      <c r="AG70">
        <v>2500.0100000000002</v>
      </c>
      <c r="AH70">
        <v>2500.0100000000002</v>
      </c>
      <c r="AI70">
        <v>2361.91</v>
      </c>
    </row>
    <row r="71" spans="1:35" ht="15.75">
      <c r="A71" t="s">
        <v>760</v>
      </c>
      <c r="B71" s="2" t="s">
        <v>760</v>
      </c>
      <c r="C71" s="2" t="str">
        <f t="shared" si="1"/>
        <v>TRUE</v>
      </c>
      <c r="D71" s="2" t="s">
        <v>858</v>
      </c>
      <c r="E71" s="2" t="s">
        <v>863</v>
      </c>
      <c r="F71" s="2" t="s">
        <v>864</v>
      </c>
      <c r="G71" s="3">
        <v>35129</v>
      </c>
      <c r="H71" s="3">
        <v>43532</v>
      </c>
      <c r="I71" s="2">
        <v>23</v>
      </c>
      <c r="J71" s="2">
        <v>2</v>
      </c>
      <c r="K71" s="2" t="s">
        <v>857</v>
      </c>
      <c r="L71" s="2">
        <v>80</v>
      </c>
      <c r="M71" s="2">
        <v>2</v>
      </c>
      <c r="N71">
        <v>12.76</v>
      </c>
      <c r="O71">
        <v>1.53</v>
      </c>
      <c r="P71">
        <v>60.12</v>
      </c>
      <c r="Q71">
        <v>118.63</v>
      </c>
      <c r="R71">
        <v>53.67</v>
      </c>
      <c r="S71">
        <v>9.43</v>
      </c>
      <c r="T71">
        <v>14.79</v>
      </c>
      <c r="U71">
        <v>2.4700000000000002</v>
      </c>
      <c r="V71">
        <v>2126.12</v>
      </c>
      <c r="W71">
        <v>1057.4100000000001</v>
      </c>
      <c r="X71">
        <v>123.88</v>
      </c>
      <c r="Y71">
        <v>462.58</v>
      </c>
      <c r="Z71">
        <v>70.900000000000006</v>
      </c>
      <c r="AA71">
        <v>635.29</v>
      </c>
      <c r="AB71">
        <v>406.48</v>
      </c>
      <c r="AC71">
        <v>188.49</v>
      </c>
      <c r="AD71">
        <v>545.91</v>
      </c>
      <c r="AE71">
        <v>245.88</v>
      </c>
      <c r="AF71">
        <v>88.02</v>
      </c>
      <c r="AG71">
        <v>1003.52</v>
      </c>
      <c r="AH71">
        <v>48.85</v>
      </c>
      <c r="AI71">
        <v>304.36</v>
      </c>
    </row>
    <row r="72" spans="1:35" ht="15.75">
      <c r="A72" t="s">
        <v>217</v>
      </c>
      <c r="B72" s="2" t="s">
        <v>217</v>
      </c>
      <c r="C72" s="2" t="str">
        <f t="shared" si="1"/>
        <v>TRUE</v>
      </c>
      <c r="D72" s="2" t="s">
        <v>865</v>
      </c>
      <c r="E72" s="2" t="s">
        <v>866</v>
      </c>
      <c r="F72" s="2" t="s">
        <v>864</v>
      </c>
      <c r="G72" s="3">
        <v>33939</v>
      </c>
      <c r="H72" s="3">
        <v>43539</v>
      </c>
      <c r="I72" s="2">
        <v>26</v>
      </c>
      <c r="J72" s="2">
        <v>2</v>
      </c>
      <c r="K72" s="2" t="s">
        <v>857</v>
      </c>
      <c r="L72" s="2">
        <v>15</v>
      </c>
      <c r="M72" s="2">
        <v>0</v>
      </c>
      <c r="N72">
        <v>15.84</v>
      </c>
      <c r="O72">
        <v>14.01</v>
      </c>
      <c r="P72">
        <v>784.48</v>
      </c>
      <c r="Q72">
        <v>437.54</v>
      </c>
      <c r="R72">
        <v>924.63</v>
      </c>
      <c r="S72">
        <v>275.74</v>
      </c>
      <c r="T72">
        <v>253.84</v>
      </c>
      <c r="U72">
        <v>9.7200000000000006</v>
      </c>
      <c r="V72" s="14">
        <v>2500.0100000000002</v>
      </c>
      <c r="W72">
        <v>878.97</v>
      </c>
      <c r="X72">
        <v>779.13</v>
      </c>
      <c r="Y72">
        <v>893.74</v>
      </c>
      <c r="Z72">
        <v>30.91</v>
      </c>
      <c r="AA72">
        <v>145.16</v>
      </c>
      <c r="AB72">
        <v>39.840000000000003</v>
      </c>
      <c r="AC72">
        <v>40.82</v>
      </c>
      <c r="AD72" s="14">
        <v>9.99</v>
      </c>
      <c r="AE72">
        <v>194</v>
      </c>
      <c r="AF72">
        <v>9.7100000000000009</v>
      </c>
      <c r="AG72">
        <v>97.87</v>
      </c>
      <c r="AH72">
        <v>235.39</v>
      </c>
      <c r="AI72">
        <v>159.38999999999999</v>
      </c>
    </row>
    <row r="73" spans="1:35" ht="15.75">
      <c r="A73" t="s">
        <v>117</v>
      </c>
      <c r="B73" s="2" t="s">
        <v>117</v>
      </c>
      <c r="C73" s="2" t="str">
        <f t="shared" si="1"/>
        <v>TRUE</v>
      </c>
      <c r="D73" s="2" t="s">
        <v>858</v>
      </c>
      <c r="E73" s="2" t="s">
        <v>859</v>
      </c>
      <c r="F73" s="2" t="s">
        <v>864</v>
      </c>
      <c r="G73" s="3">
        <v>31823</v>
      </c>
      <c r="H73" s="3">
        <v>43546</v>
      </c>
      <c r="I73" s="2">
        <v>32</v>
      </c>
      <c r="J73" s="2">
        <v>1</v>
      </c>
      <c r="K73" s="2" t="s">
        <v>861</v>
      </c>
      <c r="L73" s="2">
        <v>306</v>
      </c>
      <c r="M73" s="2">
        <v>4</v>
      </c>
      <c r="N73">
        <v>10.69</v>
      </c>
      <c r="O73">
        <v>3.82</v>
      </c>
      <c r="P73">
        <v>93.12</v>
      </c>
      <c r="Q73">
        <v>65.69</v>
      </c>
      <c r="R73">
        <v>136.81</v>
      </c>
      <c r="S73">
        <v>33.869999999999997</v>
      </c>
      <c r="T73">
        <v>37.53</v>
      </c>
      <c r="U73">
        <v>6.55</v>
      </c>
      <c r="V73">
        <v>475.41</v>
      </c>
      <c r="W73">
        <v>40.01</v>
      </c>
      <c r="X73">
        <v>35.020000000000003</v>
      </c>
      <c r="Y73">
        <v>201.93</v>
      </c>
      <c r="Z73">
        <v>13.81</v>
      </c>
      <c r="AA73">
        <v>106.77</v>
      </c>
      <c r="AB73">
        <v>14.88</v>
      </c>
      <c r="AC73">
        <v>44.62</v>
      </c>
      <c r="AD73">
        <v>29.25</v>
      </c>
      <c r="AE73">
        <v>163.04</v>
      </c>
      <c r="AF73">
        <v>52.42</v>
      </c>
      <c r="AG73">
        <v>77.459999999999994</v>
      </c>
      <c r="AH73">
        <v>42.43</v>
      </c>
      <c r="AI73">
        <v>38.659999999999997</v>
      </c>
    </row>
    <row r="74" spans="1:35" ht="15.75">
      <c r="A74" t="s">
        <v>328</v>
      </c>
      <c r="B74" s="2" t="s">
        <v>328</v>
      </c>
      <c r="C74" s="2" t="str">
        <f t="shared" si="1"/>
        <v>TRUE</v>
      </c>
      <c r="D74" s="2" t="s">
        <v>858</v>
      </c>
      <c r="E74" s="2" t="s">
        <v>863</v>
      </c>
      <c r="F74" s="2" t="s">
        <v>864</v>
      </c>
      <c r="G74" s="3">
        <v>29437</v>
      </c>
      <c r="H74" s="3">
        <v>43558</v>
      </c>
      <c r="I74" s="2">
        <v>38</v>
      </c>
      <c r="J74" s="2">
        <v>3</v>
      </c>
      <c r="K74" s="2" t="s">
        <v>857</v>
      </c>
      <c r="L74" s="2">
        <v>56</v>
      </c>
      <c r="M74" s="2">
        <v>0</v>
      </c>
      <c r="N74">
        <v>23.99</v>
      </c>
      <c r="O74">
        <v>3.6</v>
      </c>
      <c r="P74">
        <v>160.52000000000001</v>
      </c>
      <c r="Q74">
        <v>546.88</v>
      </c>
      <c r="R74">
        <v>415.03</v>
      </c>
      <c r="S74">
        <v>80.67</v>
      </c>
      <c r="T74">
        <v>111.84</v>
      </c>
      <c r="U74">
        <v>12.51</v>
      </c>
      <c r="V74" s="14">
        <v>2500.0100000000002</v>
      </c>
      <c r="W74">
        <v>1127.8599999999999</v>
      </c>
      <c r="X74">
        <v>304.43</v>
      </c>
      <c r="Y74">
        <v>788.93</v>
      </c>
      <c r="Z74">
        <v>23.46</v>
      </c>
      <c r="AA74">
        <v>369.65</v>
      </c>
      <c r="AB74">
        <v>190.28</v>
      </c>
      <c r="AC74">
        <v>133.43</v>
      </c>
      <c r="AD74">
        <v>158.97999999999999</v>
      </c>
      <c r="AE74">
        <v>292.45999999999998</v>
      </c>
      <c r="AF74">
        <v>41.47</v>
      </c>
      <c r="AG74">
        <v>602.01</v>
      </c>
      <c r="AH74">
        <v>117.37</v>
      </c>
      <c r="AI74">
        <v>203.36</v>
      </c>
    </row>
    <row r="75" spans="1:35" ht="15.75">
      <c r="A75" t="s">
        <v>172</v>
      </c>
      <c r="B75" s="2" t="s">
        <v>172</v>
      </c>
      <c r="C75" s="2" t="str">
        <f t="shared" si="1"/>
        <v>TRUE</v>
      </c>
      <c r="D75" s="2" t="s">
        <v>858</v>
      </c>
      <c r="E75" s="2" t="s">
        <v>863</v>
      </c>
      <c r="F75" s="2" t="s">
        <v>864</v>
      </c>
      <c r="G75" s="3">
        <v>30401</v>
      </c>
      <c r="H75" s="3">
        <v>43560</v>
      </c>
      <c r="I75" s="2">
        <v>36</v>
      </c>
      <c r="J75" s="2">
        <v>3</v>
      </c>
      <c r="K75" s="2" t="s">
        <v>857</v>
      </c>
      <c r="L75" s="2">
        <v>28</v>
      </c>
      <c r="M75" s="2">
        <v>0</v>
      </c>
      <c r="N75">
        <v>10.95</v>
      </c>
      <c r="O75">
        <v>7.18</v>
      </c>
      <c r="P75">
        <v>26.32</v>
      </c>
      <c r="Q75">
        <v>198.32</v>
      </c>
      <c r="R75">
        <v>107.53</v>
      </c>
      <c r="S75">
        <v>52.6</v>
      </c>
      <c r="T75">
        <v>164.06</v>
      </c>
      <c r="U75">
        <v>10.49</v>
      </c>
      <c r="V75">
        <v>1269.01</v>
      </c>
      <c r="W75">
        <v>650.87</v>
      </c>
      <c r="X75">
        <v>101.85</v>
      </c>
      <c r="Y75">
        <v>428.93</v>
      </c>
      <c r="Z75">
        <v>18.52</v>
      </c>
      <c r="AA75">
        <v>132.52000000000001</v>
      </c>
      <c r="AB75">
        <v>79.06</v>
      </c>
      <c r="AC75">
        <v>60.93</v>
      </c>
      <c r="AD75">
        <v>133.81</v>
      </c>
      <c r="AE75">
        <v>86.71</v>
      </c>
      <c r="AF75">
        <v>21.98</v>
      </c>
      <c r="AG75">
        <v>699.92</v>
      </c>
      <c r="AH75">
        <v>21.11</v>
      </c>
      <c r="AI75">
        <v>132.71</v>
      </c>
    </row>
    <row r="76" spans="1:35" ht="15.75">
      <c r="A76" t="s">
        <v>568</v>
      </c>
      <c r="B76" s="2" t="s">
        <v>568</v>
      </c>
      <c r="C76" s="2" t="str">
        <f t="shared" si="1"/>
        <v>TRUE</v>
      </c>
      <c r="D76" s="2" t="s">
        <v>858</v>
      </c>
      <c r="E76" s="2" t="s">
        <v>859</v>
      </c>
      <c r="F76" s="2" t="s">
        <v>864</v>
      </c>
      <c r="G76" s="3">
        <v>36196</v>
      </c>
      <c r="H76" s="3">
        <v>43560</v>
      </c>
      <c r="I76" s="2">
        <v>20</v>
      </c>
      <c r="J76" s="2">
        <v>3</v>
      </c>
      <c r="K76" s="2" t="s">
        <v>857</v>
      </c>
      <c r="L76" s="2">
        <v>68</v>
      </c>
      <c r="M76" s="2">
        <v>1</v>
      </c>
      <c r="N76">
        <v>25.01</v>
      </c>
      <c r="O76">
        <v>0.99</v>
      </c>
      <c r="P76">
        <v>57.15</v>
      </c>
      <c r="Q76">
        <v>61.68</v>
      </c>
      <c r="R76">
        <v>106.49</v>
      </c>
      <c r="S76">
        <v>19.399999999999999</v>
      </c>
      <c r="T76">
        <v>33.590000000000003</v>
      </c>
      <c r="U76">
        <v>9.94</v>
      </c>
      <c r="V76">
        <v>395.08</v>
      </c>
      <c r="W76">
        <v>27.14</v>
      </c>
      <c r="X76">
        <v>38.39</v>
      </c>
      <c r="Y76">
        <v>105.17</v>
      </c>
      <c r="Z76">
        <v>21.87</v>
      </c>
      <c r="AA76">
        <v>33.28</v>
      </c>
      <c r="AB76">
        <v>3.16</v>
      </c>
      <c r="AC76">
        <v>9.81</v>
      </c>
      <c r="AD76" s="14">
        <v>9.99</v>
      </c>
      <c r="AE76">
        <v>75.06</v>
      </c>
      <c r="AF76">
        <v>13.17</v>
      </c>
      <c r="AG76">
        <v>37.1</v>
      </c>
      <c r="AH76">
        <v>15.01</v>
      </c>
      <c r="AI76">
        <v>15.75</v>
      </c>
    </row>
    <row r="77" spans="1:35" ht="15.75">
      <c r="A77" t="s">
        <v>253</v>
      </c>
      <c r="B77" s="2" t="s">
        <v>253</v>
      </c>
      <c r="C77" s="2" t="str">
        <f t="shared" si="1"/>
        <v>TRUE</v>
      </c>
      <c r="D77" s="2" t="s">
        <v>858</v>
      </c>
      <c r="E77" s="2" t="s">
        <v>859</v>
      </c>
      <c r="F77" s="2" t="s">
        <v>860</v>
      </c>
      <c r="G77" s="3">
        <v>34403</v>
      </c>
      <c r="H77" s="3">
        <v>43546</v>
      </c>
      <c r="I77" s="2">
        <v>25</v>
      </c>
      <c r="J77" s="2">
        <v>2</v>
      </c>
      <c r="K77" s="2" t="s">
        <v>861</v>
      </c>
      <c r="L77" s="2">
        <v>2155</v>
      </c>
      <c r="M77" s="2">
        <v>15</v>
      </c>
      <c r="N77">
        <v>14.93</v>
      </c>
      <c r="O77">
        <v>1.39</v>
      </c>
      <c r="P77">
        <v>6.41</v>
      </c>
      <c r="Q77">
        <v>78.28</v>
      </c>
      <c r="R77">
        <v>25.71</v>
      </c>
      <c r="S77">
        <v>2.31</v>
      </c>
      <c r="T77">
        <v>77.03</v>
      </c>
      <c r="U77">
        <v>3.36</v>
      </c>
      <c r="V77">
        <v>2246.52</v>
      </c>
      <c r="W77">
        <v>284.49</v>
      </c>
      <c r="X77">
        <v>32.18</v>
      </c>
      <c r="Y77" s="14">
        <v>1000.01</v>
      </c>
      <c r="Z77">
        <v>74.22</v>
      </c>
      <c r="AA77">
        <v>40.619999999999997</v>
      </c>
      <c r="AB77">
        <v>5.62</v>
      </c>
      <c r="AC77">
        <v>46.64</v>
      </c>
      <c r="AD77" s="14">
        <v>9.99</v>
      </c>
      <c r="AE77">
        <v>220.68</v>
      </c>
      <c r="AF77" s="14">
        <v>4.99</v>
      </c>
      <c r="AG77">
        <v>140.76</v>
      </c>
      <c r="AH77">
        <v>11.21</v>
      </c>
      <c r="AI77">
        <v>111.52</v>
      </c>
    </row>
    <row r="78" spans="1:35" ht="15.75">
      <c r="A78" t="s">
        <v>721</v>
      </c>
      <c r="B78" s="2" t="s">
        <v>721</v>
      </c>
      <c r="C78" s="2" t="str">
        <f t="shared" si="1"/>
        <v>TRUE</v>
      </c>
      <c r="D78" s="2" t="s">
        <v>858</v>
      </c>
      <c r="E78" s="2" t="s">
        <v>863</v>
      </c>
      <c r="F78" s="2" t="s">
        <v>864</v>
      </c>
      <c r="G78" s="3">
        <v>32618</v>
      </c>
      <c r="H78" s="3">
        <v>43559</v>
      </c>
      <c r="I78" s="2">
        <v>29</v>
      </c>
      <c r="J78" s="4">
        <v>2</v>
      </c>
      <c r="K78" s="2" t="s">
        <v>857</v>
      </c>
      <c r="L78" s="2" t="s">
        <v>856</v>
      </c>
      <c r="M78" s="2">
        <v>6</v>
      </c>
      <c r="N78">
        <v>21.74</v>
      </c>
      <c r="O78">
        <v>1.48</v>
      </c>
      <c r="P78">
        <v>12.04</v>
      </c>
      <c r="Q78">
        <v>18.86</v>
      </c>
      <c r="R78">
        <v>61.98</v>
      </c>
      <c r="S78">
        <v>7.64</v>
      </c>
      <c r="T78">
        <v>11.7</v>
      </c>
      <c r="U78">
        <v>2.1</v>
      </c>
      <c r="V78">
        <v>377.23</v>
      </c>
      <c r="W78">
        <v>52.14</v>
      </c>
      <c r="X78">
        <v>68.38</v>
      </c>
      <c r="Y78">
        <v>69.540000000000006</v>
      </c>
      <c r="Z78">
        <v>38.17</v>
      </c>
      <c r="AA78">
        <v>27.48</v>
      </c>
      <c r="AB78">
        <v>5.9</v>
      </c>
      <c r="AC78">
        <v>5.64</v>
      </c>
      <c r="AD78">
        <v>71.790000000000006</v>
      </c>
      <c r="AE78">
        <v>260.14</v>
      </c>
      <c r="AF78">
        <v>29.01</v>
      </c>
      <c r="AG78">
        <v>108.45</v>
      </c>
      <c r="AH78">
        <v>82.32</v>
      </c>
      <c r="AI78">
        <v>260.24</v>
      </c>
    </row>
    <row r="79" spans="1:35" ht="15.75">
      <c r="A79" t="s">
        <v>111</v>
      </c>
      <c r="B79" s="2" t="s">
        <v>111</v>
      </c>
      <c r="C79" s="2" t="str">
        <f t="shared" si="1"/>
        <v>TRUE</v>
      </c>
      <c r="D79" s="2" t="s">
        <v>858</v>
      </c>
      <c r="E79" s="2" t="s">
        <v>859</v>
      </c>
      <c r="F79" s="2" t="s">
        <v>864</v>
      </c>
      <c r="G79" s="3">
        <v>31823</v>
      </c>
      <c r="H79" s="3">
        <v>43579</v>
      </c>
      <c r="I79" s="2">
        <v>32</v>
      </c>
      <c r="J79" s="2">
        <v>2</v>
      </c>
      <c r="K79" s="2" t="s">
        <v>861</v>
      </c>
      <c r="L79" s="2">
        <v>15</v>
      </c>
      <c r="M79" s="2">
        <v>0</v>
      </c>
      <c r="N79">
        <v>10.53</v>
      </c>
      <c r="O79">
        <v>0.99</v>
      </c>
      <c r="P79">
        <v>61.91</v>
      </c>
      <c r="Q79">
        <v>45.85</v>
      </c>
      <c r="R79">
        <v>23.42</v>
      </c>
      <c r="S79">
        <v>9.91</v>
      </c>
      <c r="T79">
        <v>24.42</v>
      </c>
      <c r="U79">
        <v>1.8</v>
      </c>
      <c r="V79">
        <v>173.33</v>
      </c>
      <c r="W79">
        <v>30.93</v>
      </c>
      <c r="X79">
        <v>21.97</v>
      </c>
      <c r="Y79">
        <v>88</v>
      </c>
      <c r="Z79">
        <v>8</v>
      </c>
      <c r="AA79">
        <v>40.33</v>
      </c>
      <c r="AB79">
        <v>8.4700000000000006</v>
      </c>
      <c r="AC79">
        <v>18.37</v>
      </c>
      <c r="AD79">
        <v>55.36</v>
      </c>
      <c r="AE79">
        <v>99.52</v>
      </c>
      <c r="AF79">
        <v>27.81</v>
      </c>
      <c r="AG79">
        <v>152.35</v>
      </c>
      <c r="AH79">
        <v>31.26</v>
      </c>
      <c r="AI79">
        <v>43.37</v>
      </c>
    </row>
    <row r="80" spans="1:35" ht="15.75">
      <c r="A80" t="s">
        <v>592</v>
      </c>
      <c r="B80" s="2" t="s">
        <v>592</v>
      </c>
      <c r="C80" s="2" t="str">
        <f t="shared" si="1"/>
        <v>TRUE</v>
      </c>
      <c r="D80" s="2" t="s">
        <v>858</v>
      </c>
      <c r="E80" s="2" t="s">
        <v>859</v>
      </c>
      <c r="F80" s="2" t="s">
        <v>860</v>
      </c>
      <c r="G80" s="3">
        <v>36595</v>
      </c>
      <c r="H80" s="3">
        <v>43567</v>
      </c>
      <c r="I80" s="2">
        <v>19</v>
      </c>
      <c r="J80" s="2">
        <v>2</v>
      </c>
      <c r="K80" s="2" t="s">
        <v>861</v>
      </c>
      <c r="L80" s="2" t="s">
        <v>856</v>
      </c>
      <c r="M80" s="2">
        <v>7</v>
      </c>
      <c r="N80">
        <v>17.98</v>
      </c>
      <c r="O80">
        <v>3.72</v>
      </c>
      <c r="P80">
        <v>46.35</v>
      </c>
      <c r="Q80">
        <v>85.96</v>
      </c>
      <c r="R80">
        <v>176.19</v>
      </c>
      <c r="S80">
        <v>52.73</v>
      </c>
      <c r="T80">
        <v>159.97</v>
      </c>
      <c r="U80">
        <v>13.78</v>
      </c>
      <c r="V80" s="14">
        <v>2500.0100000000002</v>
      </c>
      <c r="W80">
        <v>152.26</v>
      </c>
      <c r="X80">
        <v>189.42</v>
      </c>
      <c r="Y80" s="14">
        <v>1000.01</v>
      </c>
      <c r="Z80">
        <v>39.96</v>
      </c>
      <c r="AA80">
        <v>157.15</v>
      </c>
      <c r="AB80">
        <v>8.85</v>
      </c>
      <c r="AC80">
        <v>46.53</v>
      </c>
      <c r="AD80" s="14">
        <v>9.99</v>
      </c>
      <c r="AE80">
        <v>336.54</v>
      </c>
      <c r="AF80">
        <v>35.71</v>
      </c>
      <c r="AG80">
        <v>60.79</v>
      </c>
      <c r="AH80">
        <v>34.92</v>
      </c>
      <c r="AI80">
        <v>43.24</v>
      </c>
    </row>
    <row r="81" spans="1:35" ht="15.75">
      <c r="A81" t="s">
        <v>691</v>
      </c>
      <c r="B81" s="2" t="s">
        <v>691</v>
      </c>
      <c r="C81" s="2" t="str">
        <f t="shared" si="1"/>
        <v>TRUE</v>
      </c>
      <c r="D81" s="2" t="s">
        <v>865</v>
      </c>
      <c r="E81" s="2" t="s">
        <v>873</v>
      </c>
      <c r="F81" s="2" t="s">
        <v>864</v>
      </c>
      <c r="G81" s="3">
        <v>35185</v>
      </c>
      <c r="H81" s="3">
        <v>43580</v>
      </c>
      <c r="I81" s="2">
        <v>22</v>
      </c>
      <c r="J81" s="2">
        <v>2</v>
      </c>
      <c r="K81" s="2" t="s">
        <v>861</v>
      </c>
      <c r="L81" s="2">
        <v>26</v>
      </c>
      <c r="M81" s="2">
        <v>3</v>
      </c>
      <c r="N81">
        <v>16.899999999999999</v>
      </c>
      <c r="O81">
        <v>3.74</v>
      </c>
      <c r="P81">
        <v>44.51</v>
      </c>
      <c r="Q81">
        <v>0.99</v>
      </c>
      <c r="R81">
        <v>264.85000000000002</v>
      </c>
      <c r="S81">
        <v>24.29</v>
      </c>
      <c r="T81">
        <v>26.92</v>
      </c>
      <c r="U81">
        <v>10.64</v>
      </c>
      <c r="V81">
        <v>564.41999999999996</v>
      </c>
      <c r="W81">
        <v>2.4900000000000002</v>
      </c>
      <c r="X81">
        <v>48.51</v>
      </c>
      <c r="Y81">
        <v>51.16</v>
      </c>
      <c r="Z81">
        <v>26.49</v>
      </c>
      <c r="AA81">
        <v>61.17</v>
      </c>
      <c r="AB81" s="14">
        <v>2.4900000000000002</v>
      </c>
      <c r="AC81">
        <v>6.16</v>
      </c>
      <c r="AD81" s="14">
        <v>9.99</v>
      </c>
      <c r="AE81">
        <v>110.42</v>
      </c>
      <c r="AF81">
        <v>26.2</v>
      </c>
      <c r="AG81" s="14">
        <v>4.99</v>
      </c>
      <c r="AH81">
        <v>26.52</v>
      </c>
      <c r="AI81" s="14">
        <v>4.99</v>
      </c>
    </row>
    <row r="82" spans="1:35" ht="15.75">
      <c r="A82" t="s">
        <v>418</v>
      </c>
      <c r="B82" s="2" t="s">
        <v>418</v>
      </c>
      <c r="C82" s="2" t="str">
        <f t="shared" si="1"/>
        <v>TRUE</v>
      </c>
      <c r="D82" s="2" t="s">
        <v>865</v>
      </c>
      <c r="E82" s="2" t="s">
        <v>866</v>
      </c>
      <c r="F82" s="2" t="s">
        <v>864</v>
      </c>
      <c r="G82" s="3">
        <v>33786</v>
      </c>
      <c r="H82" s="3">
        <v>43581</v>
      </c>
      <c r="I82" s="2">
        <v>26</v>
      </c>
      <c r="J82" s="2">
        <v>2</v>
      </c>
      <c r="K82" s="2" t="s">
        <v>861</v>
      </c>
      <c r="L82" s="2" t="s">
        <v>856</v>
      </c>
      <c r="M82" s="2">
        <v>2</v>
      </c>
      <c r="N82">
        <v>10.69</v>
      </c>
      <c r="O82">
        <v>0.99</v>
      </c>
      <c r="P82">
        <v>8.3699999999999992</v>
      </c>
      <c r="Q82">
        <v>32.46</v>
      </c>
      <c r="R82">
        <v>28.7</v>
      </c>
      <c r="S82">
        <v>4.6900000000000004</v>
      </c>
      <c r="T82">
        <v>44.12</v>
      </c>
      <c r="U82">
        <v>2.33</v>
      </c>
      <c r="V82">
        <v>1202.24</v>
      </c>
      <c r="W82">
        <v>94.31</v>
      </c>
      <c r="X82">
        <v>36.630000000000003</v>
      </c>
      <c r="Y82">
        <v>711.74</v>
      </c>
      <c r="Z82">
        <v>46.62</v>
      </c>
      <c r="AA82">
        <v>105.42</v>
      </c>
      <c r="AB82">
        <v>13.92</v>
      </c>
      <c r="AC82">
        <v>65.040000000000006</v>
      </c>
      <c r="AD82">
        <v>47.11</v>
      </c>
      <c r="AE82">
        <v>298.27</v>
      </c>
      <c r="AF82">
        <v>48.58</v>
      </c>
      <c r="AG82">
        <v>151.91</v>
      </c>
      <c r="AH82">
        <v>16.87</v>
      </c>
      <c r="AI82">
        <v>58.73</v>
      </c>
    </row>
    <row r="83" spans="1:35" ht="15.75">
      <c r="A83" t="s">
        <v>358</v>
      </c>
      <c r="B83" s="2" t="s">
        <v>358</v>
      </c>
      <c r="C83" s="2" t="str">
        <f t="shared" si="1"/>
        <v>TRUE</v>
      </c>
      <c r="D83" s="2" t="s">
        <v>858</v>
      </c>
      <c r="E83" s="2" t="s">
        <v>863</v>
      </c>
      <c r="F83" s="2" t="s">
        <v>860</v>
      </c>
      <c r="G83" s="3">
        <v>29943</v>
      </c>
      <c r="H83" s="3">
        <v>43567</v>
      </c>
      <c r="I83" s="2">
        <v>37</v>
      </c>
      <c r="J83" s="2">
        <v>2</v>
      </c>
      <c r="K83" s="2" t="s">
        <v>857</v>
      </c>
      <c r="L83" s="2">
        <v>31</v>
      </c>
      <c r="M83" s="2">
        <v>0</v>
      </c>
      <c r="N83">
        <v>16.690000000000001</v>
      </c>
      <c r="O83">
        <v>0.99</v>
      </c>
      <c r="P83">
        <v>45.79</v>
      </c>
      <c r="Q83">
        <v>47.42</v>
      </c>
      <c r="R83">
        <v>18.309999999999999</v>
      </c>
      <c r="S83">
        <v>8.33</v>
      </c>
      <c r="T83">
        <v>8.7100000000000009</v>
      </c>
      <c r="U83">
        <v>1.45</v>
      </c>
      <c r="V83">
        <v>732.91</v>
      </c>
      <c r="W83">
        <v>159.65</v>
      </c>
      <c r="X83">
        <v>108.52</v>
      </c>
      <c r="Y83">
        <v>155.52000000000001</v>
      </c>
      <c r="Z83">
        <v>16.059999999999999</v>
      </c>
      <c r="AA83">
        <v>96.5</v>
      </c>
      <c r="AB83">
        <v>22.39</v>
      </c>
      <c r="AC83">
        <v>17.21</v>
      </c>
      <c r="AD83">
        <v>35.979999999999997</v>
      </c>
      <c r="AE83">
        <v>91.49</v>
      </c>
      <c r="AF83">
        <v>21.13</v>
      </c>
      <c r="AG83">
        <v>247.48</v>
      </c>
      <c r="AH83">
        <v>46.33</v>
      </c>
      <c r="AI83">
        <v>87.24</v>
      </c>
    </row>
    <row r="84" spans="1:35" ht="15.75">
      <c r="A84" t="s">
        <v>619</v>
      </c>
      <c r="B84" s="2" t="s">
        <v>619</v>
      </c>
      <c r="C84" s="2" t="str">
        <f t="shared" si="1"/>
        <v>TRUE</v>
      </c>
      <c r="D84" s="2" t="s">
        <v>858</v>
      </c>
      <c r="E84" s="2" t="s">
        <v>859</v>
      </c>
      <c r="F84" s="2" t="s">
        <v>864</v>
      </c>
      <c r="G84" s="3">
        <v>25311</v>
      </c>
      <c r="H84" s="3">
        <v>43581</v>
      </c>
      <c r="I84" s="2">
        <v>50</v>
      </c>
      <c r="J84" s="2">
        <v>2</v>
      </c>
      <c r="K84" s="2" t="s">
        <v>857</v>
      </c>
      <c r="L84" s="2">
        <v>67</v>
      </c>
      <c r="M84" s="2">
        <v>2</v>
      </c>
      <c r="N84">
        <v>12.87</v>
      </c>
      <c r="O84">
        <v>1.24</v>
      </c>
      <c r="P84">
        <v>71.790000000000006</v>
      </c>
      <c r="Q84">
        <v>94.97</v>
      </c>
      <c r="R84">
        <v>21.43</v>
      </c>
      <c r="S84">
        <v>19.52</v>
      </c>
      <c r="T84">
        <v>4.74</v>
      </c>
      <c r="U84">
        <v>1.28</v>
      </c>
      <c r="V84">
        <v>645.21</v>
      </c>
      <c r="W84">
        <v>76.36</v>
      </c>
      <c r="X84">
        <v>39.54</v>
      </c>
      <c r="Y84">
        <v>182.32</v>
      </c>
      <c r="Z84">
        <v>7.67</v>
      </c>
      <c r="AA84">
        <v>42.36</v>
      </c>
      <c r="AB84">
        <v>8.77</v>
      </c>
      <c r="AC84">
        <v>21.95</v>
      </c>
      <c r="AD84" s="14">
        <v>9.99</v>
      </c>
      <c r="AE84">
        <v>63.86</v>
      </c>
      <c r="AF84">
        <v>10.45</v>
      </c>
      <c r="AG84">
        <v>83.1</v>
      </c>
      <c r="AH84">
        <v>15.59</v>
      </c>
      <c r="AI84">
        <v>41.82</v>
      </c>
    </row>
    <row r="85" spans="1:35" ht="15.75">
      <c r="A85" t="s">
        <v>313</v>
      </c>
      <c r="B85" s="2" t="s">
        <v>313</v>
      </c>
      <c r="C85" s="2" t="str">
        <f t="shared" si="1"/>
        <v>TRUE</v>
      </c>
      <c r="D85" s="2" t="s">
        <v>858</v>
      </c>
      <c r="E85" s="2" t="s">
        <v>859</v>
      </c>
      <c r="F85" s="2" t="s">
        <v>864</v>
      </c>
      <c r="G85" s="3">
        <v>17139</v>
      </c>
      <c r="H85" s="3">
        <v>43609</v>
      </c>
      <c r="I85" s="2">
        <v>72</v>
      </c>
      <c r="J85" s="2">
        <v>3</v>
      </c>
      <c r="K85" s="2" t="s">
        <v>857</v>
      </c>
      <c r="L85" s="2">
        <v>15</v>
      </c>
      <c r="M85" s="2">
        <v>2</v>
      </c>
      <c r="N85">
        <v>20.329999999999998</v>
      </c>
      <c r="O85">
        <v>2.33</v>
      </c>
      <c r="P85">
        <v>147.13999999999999</v>
      </c>
      <c r="Q85">
        <v>281.39999999999998</v>
      </c>
      <c r="R85">
        <v>53.27</v>
      </c>
      <c r="S85">
        <v>44.12</v>
      </c>
      <c r="T85">
        <v>10.65</v>
      </c>
      <c r="U85">
        <v>1.0900000000000001</v>
      </c>
      <c r="V85">
        <v>1002.69</v>
      </c>
      <c r="W85">
        <v>506.96</v>
      </c>
      <c r="X85">
        <v>147.69999999999999</v>
      </c>
      <c r="Y85">
        <v>158.91</v>
      </c>
      <c r="Z85">
        <v>7.91</v>
      </c>
      <c r="AA85">
        <v>124.24</v>
      </c>
      <c r="AB85">
        <v>88.75</v>
      </c>
      <c r="AC85">
        <v>27.62</v>
      </c>
      <c r="AD85">
        <v>185.52</v>
      </c>
      <c r="AE85">
        <v>47.36</v>
      </c>
      <c r="AF85">
        <v>9.65</v>
      </c>
      <c r="AG85">
        <v>697.44</v>
      </c>
      <c r="AH85">
        <v>18.05</v>
      </c>
      <c r="AI85">
        <v>55.27</v>
      </c>
    </row>
    <row r="86" spans="1:35" ht="15.75">
      <c r="A86" t="s">
        <v>247</v>
      </c>
      <c r="B86" s="2" t="s">
        <v>247</v>
      </c>
      <c r="C86" s="2" t="str">
        <f t="shared" si="1"/>
        <v>TRUE</v>
      </c>
      <c r="D86" s="2" t="s">
        <v>858</v>
      </c>
      <c r="E86" s="2" t="s">
        <v>859</v>
      </c>
      <c r="F86" s="2" t="s">
        <v>860</v>
      </c>
      <c r="G86" s="3">
        <v>34403</v>
      </c>
      <c r="H86" s="3">
        <v>43627</v>
      </c>
      <c r="I86" s="2">
        <v>25</v>
      </c>
      <c r="J86" s="2">
        <v>3</v>
      </c>
      <c r="K86" s="2" t="s">
        <v>861</v>
      </c>
      <c r="L86" s="2">
        <v>667</v>
      </c>
      <c r="M86" s="2">
        <v>6</v>
      </c>
      <c r="N86">
        <v>5.41</v>
      </c>
      <c r="O86">
        <v>0.99</v>
      </c>
      <c r="P86">
        <v>0.99</v>
      </c>
      <c r="Q86">
        <v>0.99</v>
      </c>
      <c r="R86">
        <v>29.76</v>
      </c>
      <c r="S86">
        <v>1.31</v>
      </c>
      <c r="T86">
        <v>56.2</v>
      </c>
      <c r="U86" s="13">
        <v>0.99</v>
      </c>
      <c r="V86">
        <v>1267.3499999999999</v>
      </c>
      <c r="W86">
        <v>2.4900000000000002</v>
      </c>
      <c r="X86">
        <v>8.73</v>
      </c>
      <c r="Y86" s="14">
        <v>1000.01</v>
      </c>
      <c r="Z86">
        <v>14.62</v>
      </c>
      <c r="AA86">
        <v>9.5399999999999991</v>
      </c>
      <c r="AB86" s="14">
        <v>2.4900000000000002</v>
      </c>
      <c r="AC86">
        <v>23.32</v>
      </c>
      <c r="AD86" s="14">
        <v>9.99</v>
      </c>
      <c r="AE86">
        <v>332.48</v>
      </c>
      <c r="AF86" s="14">
        <v>4.99</v>
      </c>
      <c r="AG86" s="14">
        <v>4.99</v>
      </c>
      <c r="AH86">
        <v>36.71</v>
      </c>
      <c r="AI86" s="14">
        <v>4.99</v>
      </c>
    </row>
    <row r="87" spans="1:35" ht="15.75">
      <c r="A87" t="s">
        <v>235</v>
      </c>
      <c r="B87" s="2" t="s">
        <v>235</v>
      </c>
      <c r="C87" s="2" t="str">
        <f t="shared" si="1"/>
        <v>TRUE</v>
      </c>
      <c r="D87" s="2" t="s">
        <v>858</v>
      </c>
      <c r="E87" s="2" t="s">
        <v>859</v>
      </c>
      <c r="F87" s="2" t="s">
        <v>860</v>
      </c>
      <c r="G87" s="3">
        <v>34403</v>
      </c>
      <c r="H87" s="3">
        <v>43637</v>
      </c>
      <c r="I87" s="2">
        <v>25</v>
      </c>
      <c r="J87" s="2">
        <v>2</v>
      </c>
      <c r="K87" s="2" t="s">
        <v>861</v>
      </c>
      <c r="L87" s="2" t="s">
        <v>856</v>
      </c>
      <c r="M87" s="2">
        <v>5</v>
      </c>
      <c r="N87">
        <v>6.59</v>
      </c>
      <c r="O87">
        <v>0.99</v>
      </c>
      <c r="P87">
        <v>0.99</v>
      </c>
      <c r="Q87">
        <v>0.99</v>
      </c>
      <c r="R87">
        <v>117.25</v>
      </c>
      <c r="S87">
        <v>2.1800000000000002</v>
      </c>
      <c r="T87">
        <v>76.89</v>
      </c>
      <c r="U87">
        <v>1.41</v>
      </c>
      <c r="V87">
        <v>1126.0999999999999</v>
      </c>
      <c r="W87">
        <v>2.4900000000000002</v>
      </c>
      <c r="X87">
        <v>2.4900000000000002</v>
      </c>
      <c r="Y87" s="14">
        <v>1000.01</v>
      </c>
      <c r="Z87">
        <v>4.38</v>
      </c>
      <c r="AA87">
        <v>5.68</v>
      </c>
      <c r="AB87" s="14">
        <v>2.4900000000000002</v>
      </c>
      <c r="AC87">
        <v>10.11</v>
      </c>
      <c r="AD87" s="14">
        <v>9.99</v>
      </c>
      <c r="AE87">
        <v>64.900000000000006</v>
      </c>
      <c r="AF87" s="14">
        <v>4.99</v>
      </c>
      <c r="AG87" s="14">
        <v>4.99</v>
      </c>
      <c r="AH87" s="14">
        <v>4.99</v>
      </c>
      <c r="AI87" s="14">
        <v>4.99</v>
      </c>
    </row>
    <row r="88" spans="1:35" ht="15.75">
      <c r="A88" t="s">
        <v>250</v>
      </c>
      <c r="B88" s="2" t="s">
        <v>250</v>
      </c>
      <c r="C88" s="2" t="str">
        <f t="shared" si="1"/>
        <v>TRUE</v>
      </c>
      <c r="D88" s="2" t="s">
        <v>858</v>
      </c>
      <c r="E88" s="2" t="s">
        <v>859</v>
      </c>
      <c r="F88" s="2" t="s">
        <v>860</v>
      </c>
      <c r="G88" s="3">
        <v>34403</v>
      </c>
      <c r="H88" s="3">
        <v>43647</v>
      </c>
      <c r="I88" s="2">
        <v>25</v>
      </c>
      <c r="J88" s="2">
        <v>3</v>
      </c>
      <c r="K88" s="2" t="s">
        <v>861</v>
      </c>
      <c r="L88" s="2" t="s">
        <v>856</v>
      </c>
      <c r="M88" s="2">
        <v>5</v>
      </c>
      <c r="N88">
        <v>7.3</v>
      </c>
      <c r="O88">
        <v>1.58</v>
      </c>
      <c r="P88">
        <v>0.99</v>
      </c>
      <c r="Q88">
        <v>0.99</v>
      </c>
      <c r="R88">
        <v>67.59</v>
      </c>
      <c r="S88">
        <v>1.1200000000000001</v>
      </c>
      <c r="T88">
        <v>59.46</v>
      </c>
      <c r="U88" s="13">
        <v>0.99</v>
      </c>
      <c r="V88">
        <v>2311.4299999999998</v>
      </c>
      <c r="W88">
        <v>2.4900000000000002</v>
      </c>
      <c r="X88">
        <v>7.95</v>
      </c>
      <c r="Y88" s="14">
        <v>1000.01</v>
      </c>
      <c r="Z88">
        <v>32.11</v>
      </c>
      <c r="AA88">
        <v>17.989999999999998</v>
      </c>
      <c r="AB88" s="14">
        <v>2.4900000000000002</v>
      </c>
      <c r="AC88">
        <v>35.78</v>
      </c>
      <c r="AD88" s="14">
        <v>9.99</v>
      </c>
      <c r="AE88">
        <v>114.95</v>
      </c>
      <c r="AF88" s="14">
        <v>4.99</v>
      </c>
      <c r="AG88" s="14">
        <v>4.99</v>
      </c>
      <c r="AH88" s="14">
        <v>4.99</v>
      </c>
      <c r="AI88" s="14">
        <v>4.99</v>
      </c>
    </row>
    <row r="89" spans="1:35" ht="15.75">
      <c r="A89" t="s">
        <v>586</v>
      </c>
      <c r="B89" s="2" t="s">
        <v>586</v>
      </c>
      <c r="C89" s="2" t="str">
        <f t="shared" si="1"/>
        <v>TRUE</v>
      </c>
      <c r="D89" s="2" t="s">
        <v>854</v>
      </c>
      <c r="E89" s="2" t="s">
        <v>862</v>
      </c>
      <c r="F89" s="2" t="s">
        <v>856</v>
      </c>
      <c r="G89" s="3">
        <v>34502</v>
      </c>
      <c r="H89" s="3">
        <v>43677</v>
      </c>
      <c r="I89" s="2">
        <v>25</v>
      </c>
      <c r="J89" s="2">
        <v>1</v>
      </c>
      <c r="K89" s="2" t="s">
        <v>861</v>
      </c>
      <c r="L89" s="2">
        <v>769</v>
      </c>
      <c r="M89" s="2" t="s">
        <v>856</v>
      </c>
      <c r="N89">
        <v>21.83</v>
      </c>
      <c r="O89">
        <v>12.42</v>
      </c>
      <c r="P89">
        <v>147.13999999999999</v>
      </c>
      <c r="Q89">
        <v>73.64</v>
      </c>
      <c r="R89">
        <v>217.14</v>
      </c>
      <c r="S89">
        <v>26.78</v>
      </c>
      <c r="T89">
        <v>50.58</v>
      </c>
      <c r="U89">
        <v>52.65</v>
      </c>
      <c r="V89">
        <v>1071.29</v>
      </c>
      <c r="W89">
        <v>161.43</v>
      </c>
      <c r="X89">
        <v>82.52</v>
      </c>
      <c r="Y89">
        <v>642.49</v>
      </c>
      <c r="Z89">
        <v>90.05</v>
      </c>
      <c r="AA89">
        <v>441.62</v>
      </c>
      <c r="AB89">
        <v>67.75</v>
      </c>
      <c r="AC89">
        <v>369.12</v>
      </c>
      <c r="AD89">
        <v>31.18</v>
      </c>
      <c r="AE89">
        <v>155.81</v>
      </c>
      <c r="AF89">
        <v>68.14</v>
      </c>
      <c r="AG89">
        <v>27.46</v>
      </c>
      <c r="AH89">
        <v>30.84</v>
      </c>
      <c r="AI89">
        <v>58.41</v>
      </c>
    </row>
    <row r="90" spans="1:35" ht="15.75">
      <c r="A90" t="s">
        <v>622</v>
      </c>
      <c r="B90" s="2" t="s">
        <v>622</v>
      </c>
      <c r="C90" s="2" t="str">
        <f t="shared" si="1"/>
        <v>TRUE</v>
      </c>
      <c r="D90" s="2" t="s">
        <v>858</v>
      </c>
      <c r="E90" s="2" t="s">
        <v>859</v>
      </c>
      <c r="F90" s="2" t="s">
        <v>864</v>
      </c>
      <c r="G90" s="3">
        <v>25311</v>
      </c>
      <c r="H90" s="3">
        <v>43672</v>
      </c>
      <c r="I90" s="2">
        <v>50</v>
      </c>
      <c r="J90" s="2">
        <v>3</v>
      </c>
      <c r="K90" s="2" t="s">
        <v>857</v>
      </c>
      <c r="L90" s="2">
        <v>786</v>
      </c>
      <c r="M90" s="2">
        <v>3</v>
      </c>
      <c r="N90">
        <v>7.83</v>
      </c>
      <c r="O90">
        <v>0.99</v>
      </c>
      <c r="P90">
        <v>34.380000000000003</v>
      </c>
      <c r="Q90">
        <v>32.04</v>
      </c>
      <c r="R90">
        <v>16.84</v>
      </c>
      <c r="S90">
        <v>6.94</v>
      </c>
      <c r="T90">
        <v>35.04</v>
      </c>
      <c r="U90" s="13">
        <v>0.99</v>
      </c>
      <c r="V90">
        <v>1887.52</v>
      </c>
      <c r="W90">
        <v>284.08999999999997</v>
      </c>
      <c r="X90">
        <v>93.55</v>
      </c>
      <c r="Y90" s="14">
        <v>1000.01</v>
      </c>
      <c r="Z90">
        <v>20.23</v>
      </c>
      <c r="AA90">
        <v>208.38</v>
      </c>
      <c r="AB90">
        <v>52.5</v>
      </c>
      <c r="AC90">
        <v>236.37</v>
      </c>
      <c r="AD90">
        <v>38.35</v>
      </c>
      <c r="AE90">
        <v>146.25</v>
      </c>
      <c r="AF90">
        <v>25.25</v>
      </c>
      <c r="AG90">
        <v>175.88</v>
      </c>
      <c r="AH90">
        <v>25.78</v>
      </c>
      <c r="AI90">
        <v>80.010000000000005</v>
      </c>
    </row>
    <row r="91" spans="1:35" ht="15.75">
      <c r="A91" t="s">
        <v>583</v>
      </c>
      <c r="B91" s="2" t="s">
        <v>583</v>
      </c>
      <c r="C91" s="2" t="str">
        <f t="shared" si="1"/>
        <v>TRUE</v>
      </c>
      <c r="D91" s="2" t="s">
        <v>854</v>
      </c>
      <c r="E91" s="2" t="s">
        <v>862</v>
      </c>
      <c r="F91" s="2" t="s">
        <v>856</v>
      </c>
      <c r="G91" s="3">
        <v>34502</v>
      </c>
      <c r="H91" s="3">
        <v>43726</v>
      </c>
      <c r="I91" s="2">
        <v>25</v>
      </c>
      <c r="J91" s="2">
        <v>2</v>
      </c>
      <c r="K91" s="2" t="s">
        <v>861</v>
      </c>
      <c r="L91" s="2" t="s">
        <v>856</v>
      </c>
      <c r="M91" s="2" t="s">
        <v>856</v>
      </c>
      <c r="N91">
        <v>12.74</v>
      </c>
      <c r="O91">
        <v>1.89</v>
      </c>
      <c r="P91">
        <v>18.600000000000001</v>
      </c>
      <c r="Q91">
        <v>8.41</v>
      </c>
      <c r="R91">
        <v>26.49</v>
      </c>
      <c r="S91">
        <v>5.28</v>
      </c>
      <c r="T91">
        <v>13.94</v>
      </c>
      <c r="U91">
        <v>15.42</v>
      </c>
      <c r="V91">
        <v>362.13</v>
      </c>
      <c r="W91">
        <v>35.58</v>
      </c>
      <c r="X91">
        <v>47.69</v>
      </c>
      <c r="Y91">
        <v>60.49</v>
      </c>
      <c r="Z91">
        <v>107.76</v>
      </c>
      <c r="AA91">
        <v>110.4</v>
      </c>
      <c r="AB91">
        <v>15.69</v>
      </c>
      <c r="AC91">
        <v>21.73</v>
      </c>
      <c r="AD91">
        <v>189.78</v>
      </c>
      <c r="AE91">
        <v>277.27</v>
      </c>
      <c r="AF91">
        <v>156.37</v>
      </c>
      <c r="AG91">
        <v>248.27</v>
      </c>
      <c r="AH91">
        <v>55.36</v>
      </c>
      <c r="AI91">
        <v>141.47</v>
      </c>
    </row>
    <row r="92" spans="1:35" ht="15.75">
      <c r="A92" t="s">
        <v>703</v>
      </c>
      <c r="B92" s="2" t="s">
        <v>703</v>
      </c>
      <c r="C92" s="2" t="str">
        <f t="shared" si="1"/>
        <v>TRUE</v>
      </c>
      <c r="D92" s="2" t="s">
        <v>858</v>
      </c>
      <c r="E92" s="2" t="s">
        <v>859</v>
      </c>
      <c r="F92" s="2" t="s">
        <v>864</v>
      </c>
      <c r="G92" s="3">
        <v>29445</v>
      </c>
      <c r="H92" s="3">
        <v>43679</v>
      </c>
      <c r="I92" s="2">
        <v>38</v>
      </c>
      <c r="J92" s="2">
        <v>3</v>
      </c>
      <c r="K92" s="2" t="s">
        <v>857</v>
      </c>
      <c r="L92" s="2">
        <v>155</v>
      </c>
      <c r="M92" s="2">
        <v>1</v>
      </c>
      <c r="N92">
        <v>13.92</v>
      </c>
      <c r="O92">
        <v>2.09</v>
      </c>
      <c r="P92">
        <v>300.47000000000003</v>
      </c>
      <c r="Q92">
        <v>171.76</v>
      </c>
      <c r="R92">
        <v>31.13</v>
      </c>
      <c r="S92">
        <v>50.93</v>
      </c>
      <c r="T92">
        <v>8.48</v>
      </c>
      <c r="U92">
        <v>3.25</v>
      </c>
      <c r="V92">
        <v>559.58000000000004</v>
      </c>
      <c r="W92">
        <v>141.46</v>
      </c>
      <c r="X92">
        <v>206.2</v>
      </c>
      <c r="Y92">
        <v>130.44999999999999</v>
      </c>
      <c r="Z92">
        <v>20.190000000000001</v>
      </c>
      <c r="AA92">
        <v>32.42</v>
      </c>
      <c r="AB92">
        <v>11.93</v>
      </c>
      <c r="AC92">
        <v>9.15</v>
      </c>
      <c r="AD92">
        <v>45.39</v>
      </c>
      <c r="AE92">
        <v>118.63</v>
      </c>
      <c r="AF92">
        <v>10.57</v>
      </c>
      <c r="AG92">
        <v>372.86</v>
      </c>
      <c r="AH92">
        <v>96.9</v>
      </c>
      <c r="AI92">
        <v>101.65</v>
      </c>
    </row>
    <row r="93" spans="1:35" ht="15.75">
      <c r="A93" t="s">
        <v>181</v>
      </c>
      <c r="B93" s="2" t="s">
        <v>181</v>
      </c>
      <c r="C93" s="2" t="str">
        <f t="shared" si="1"/>
        <v>TRUE</v>
      </c>
      <c r="D93" s="2" t="s">
        <v>858</v>
      </c>
      <c r="E93" s="2" t="s">
        <v>859</v>
      </c>
      <c r="F93" s="2" t="s">
        <v>864</v>
      </c>
      <c r="G93" s="3">
        <v>35211</v>
      </c>
      <c r="H93" s="3">
        <v>43683</v>
      </c>
      <c r="I93" s="2">
        <v>23</v>
      </c>
      <c r="J93" s="2">
        <v>2</v>
      </c>
      <c r="K93" s="2" t="s">
        <v>857</v>
      </c>
      <c r="L93" s="2" t="s">
        <v>856</v>
      </c>
      <c r="M93" s="2">
        <v>3</v>
      </c>
      <c r="N93">
        <v>12.9</v>
      </c>
      <c r="O93">
        <v>0.99</v>
      </c>
      <c r="P93">
        <v>11.21</v>
      </c>
      <c r="Q93">
        <v>28.47</v>
      </c>
      <c r="R93">
        <v>29.83</v>
      </c>
      <c r="S93">
        <v>3.91</v>
      </c>
      <c r="T93">
        <v>10.73</v>
      </c>
      <c r="U93">
        <v>3.54</v>
      </c>
      <c r="V93">
        <v>137.41</v>
      </c>
      <c r="W93">
        <v>31.09</v>
      </c>
      <c r="X93">
        <v>10.79</v>
      </c>
      <c r="Y93">
        <v>19.59</v>
      </c>
      <c r="Z93">
        <v>4.2699999999999996</v>
      </c>
      <c r="AA93">
        <v>26.74</v>
      </c>
      <c r="AB93">
        <v>4.46</v>
      </c>
      <c r="AC93">
        <v>3.97</v>
      </c>
      <c r="AD93">
        <v>36.21</v>
      </c>
      <c r="AE93">
        <v>51.11</v>
      </c>
      <c r="AF93">
        <v>10.97</v>
      </c>
      <c r="AG93">
        <v>107.36</v>
      </c>
      <c r="AH93">
        <v>17.510000000000002</v>
      </c>
      <c r="AI93">
        <v>49.1</v>
      </c>
    </row>
    <row r="94" spans="1:35" ht="15.75">
      <c r="A94" t="s">
        <v>808</v>
      </c>
      <c r="B94" s="2" t="s">
        <v>808</v>
      </c>
      <c r="C94" s="2" t="str">
        <f t="shared" si="1"/>
        <v>TRUE</v>
      </c>
      <c r="D94" s="2" t="s">
        <v>858</v>
      </c>
      <c r="E94" s="2" t="s">
        <v>868</v>
      </c>
      <c r="F94" s="2" t="s">
        <v>864</v>
      </c>
      <c r="G94" s="3">
        <v>25575</v>
      </c>
      <c r="H94" s="3">
        <v>43700</v>
      </c>
      <c r="I94" s="2">
        <v>49</v>
      </c>
      <c r="J94" s="2">
        <v>3</v>
      </c>
      <c r="K94" s="2" t="s">
        <v>857</v>
      </c>
      <c r="L94" s="2">
        <v>15</v>
      </c>
      <c r="M94" s="2">
        <v>2</v>
      </c>
      <c r="N94">
        <v>14.14</v>
      </c>
      <c r="O94">
        <v>1.37</v>
      </c>
      <c r="P94">
        <v>74.83</v>
      </c>
      <c r="Q94">
        <v>151.56</v>
      </c>
      <c r="R94">
        <v>120.21</v>
      </c>
      <c r="S94">
        <v>15.99</v>
      </c>
      <c r="T94">
        <v>60.77</v>
      </c>
      <c r="U94">
        <v>4.3499999999999996</v>
      </c>
      <c r="V94">
        <v>558.91999999999996</v>
      </c>
      <c r="W94">
        <v>174.59</v>
      </c>
      <c r="X94">
        <v>56.71</v>
      </c>
      <c r="Y94">
        <v>237.29</v>
      </c>
      <c r="Z94">
        <v>8.01</v>
      </c>
      <c r="AA94">
        <v>53.28</v>
      </c>
      <c r="AB94">
        <v>19.11</v>
      </c>
      <c r="AC94">
        <v>37.479999999999997</v>
      </c>
      <c r="AD94">
        <v>24.93</v>
      </c>
      <c r="AE94">
        <v>64.39</v>
      </c>
      <c r="AF94">
        <v>8.2200000000000006</v>
      </c>
      <c r="AG94">
        <v>132.32</v>
      </c>
      <c r="AH94">
        <v>18.73</v>
      </c>
      <c r="AI94">
        <v>42.36</v>
      </c>
    </row>
    <row r="95" spans="1:35" ht="15.75">
      <c r="A95" t="s">
        <v>469</v>
      </c>
      <c r="B95" s="2" t="s">
        <v>469</v>
      </c>
      <c r="C95" s="2" t="str">
        <f t="shared" si="1"/>
        <v>TRUE</v>
      </c>
      <c r="D95" s="2" t="s">
        <v>865</v>
      </c>
      <c r="E95" s="2" t="s">
        <v>872</v>
      </c>
      <c r="F95" s="2" t="s">
        <v>864</v>
      </c>
      <c r="G95" s="3">
        <v>33519</v>
      </c>
      <c r="H95" s="3">
        <v>43718</v>
      </c>
      <c r="I95" s="2">
        <v>27</v>
      </c>
      <c r="J95" s="2">
        <v>3</v>
      </c>
      <c r="K95" s="2" t="s">
        <v>857</v>
      </c>
      <c r="L95" s="2">
        <v>335</v>
      </c>
      <c r="M95" s="2">
        <v>1</v>
      </c>
      <c r="N95">
        <v>46.77</v>
      </c>
      <c r="O95">
        <v>9.2799999999999994</v>
      </c>
      <c r="P95">
        <v>203.61</v>
      </c>
      <c r="Q95">
        <v>320.49</v>
      </c>
      <c r="R95">
        <v>62.27</v>
      </c>
      <c r="S95" s="12">
        <v>1000.01</v>
      </c>
      <c r="T95">
        <v>51.2</v>
      </c>
      <c r="U95">
        <v>17.829999999999998</v>
      </c>
      <c r="V95">
        <v>2500.0100000000002</v>
      </c>
      <c r="W95" s="14">
        <v>2500.0100000000002</v>
      </c>
      <c r="X95" s="14">
        <v>2500.0100000000002</v>
      </c>
      <c r="Y95" s="14">
        <v>1000.01</v>
      </c>
      <c r="Z95">
        <v>145.24</v>
      </c>
      <c r="AA95">
        <v>969.19</v>
      </c>
      <c r="AB95">
        <v>402.55</v>
      </c>
      <c r="AC95">
        <v>1000.01</v>
      </c>
      <c r="AD95">
        <v>512.66</v>
      </c>
      <c r="AE95">
        <v>631.99</v>
      </c>
      <c r="AF95">
        <v>121.01</v>
      </c>
      <c r="AG95">
        <v>2191.2600000000002</v>
      </c>
      <c r="AH95">
        <v>2500.0100000000002</v>
      </c>
      <c r="AI95">
        <v>853.18</v>
      </c>
    </row>
    <row r="96" spans="1:35" ht="15.75">
      <c r="A96" t="s">
        <v>259</v>
      </c>
      <c r="B96" s="2" t="s">
        <v>259</v>
      </c>
      <c r="C96" s="2" t="str">
        <f t="shared" si="1"/>
        <v>TRUE</v>
      </c>
      <c r="D96" s="2" t="s">
        <v>858</v>
      </c>
      <c r="E96" s="2" t="s">
        <v>859</v>
      </c>
      <c r="F96" s="2" t="s">
        <v>860</v>
      </c>
      <c r="G96" s="3">
        <v>34403</v>
      </c>
      <c r="H96" s="3">
        <v>43655</v>
      </c>
      <c r="I96" s="2">
        <v>25</v>
      </c>
      <c r="J96" s="2">
        <v>4</v>
      </c>
      <c r="K96" s="2" t="s">
        <v>861</v>
      </c>
      <c r="L96" s="2" t="s">
        <v>856</v>
      </c>
      <c r="M96" s="2">
        <v>5</v>
      </c>
      <c r="N96">
        <v>7.22</v>
      </c>
      <c r="O96">
        <v>2.95</v>
      </c>
      <c r="P96">
        <v>2.54</v>
      </c>
      <c r="Q96">
        <v>0.99</v>
      </c>
      <c r="R96">
        <v>84.93</v>
      </c>
      <c r="S96">
        <v>0.99</v>
      </c>
      <c r="T96">
        <v>92.91</v>
      </c>
      <c r="U96">
        <v>3.78</v>
      </c>
      <c r="V96">
        <v>2500.0100000000002</v>
      </c>
      <c r="W96">
        <v>2.4900000000000002</v>
      </c>
      <c r="X96">
        <v>6.36</v>
      </c>
      <c r="Y96" s="14">
        <v>1000.01</v>
      </c>
      <c r="Z96">
        <v>42.33</v>
      </c>
      <c r="AA96">
        <v>27.48</v>
      </c>
      <c r="AB96" s="14">
        <v>2.4900000000000002</v>
      </c>
      <c r="AC96">
        <v>45.7</v>
      </c>
      <c r="AD96" s="14">
        <v>9.99</v>
      </c>
      <c r="AE96">
        <v>125.88</v>
      </c>
      <c r="AF96" s="14">
        <v>4.99</v>
      </c>
      <c r="AG96">
        <v>5.7</v>
      </c>
      <c r="AH96" s="14">
        <v>4.99</v>
      </c>
      <c r="AI96" s="14">
        <v>4.99</v>
      </c>
    </row>
    <row r="97" spans="1:35" ht="15.75">
      <c r="A97" t="s">
        <v>397</v>
      </c>
      <c r="B97" s="2" t="s">
        <v>397</v>
      </c>
      <c r="C97" s="2" t="str">
        <f t="shared" si="1"/>
        <v>TRUE</v>
      </c>
      <c r="D97" s="2" t="s">
        <v>858</v>
      </c>
      <c r="E97" s="2" t="s">
        <v>859</v>
      </c>
      <c r="F97" s="2" t="s">
        <v>864</v>
      </c>
      <c r="G97" s="3">
        <v>23568</v>
      </c>
      <c r="H97" s="3">
        <v>43658</v>
      </c>
      <c r="I97" s="2">
        <v>55</v>
      </c>
      <c r="J97" s="2">
        <v>1</v>
      </c>
      <c r="K97" s="2" t="s">
        <v>857</v>
      </c>
      <c r="L97" s="2">
        <v>4750</v>
      </c>
      <c r="M97" s="2">
        <v>10</v>
      </c>
      <c r="N97">
        <v>13.38</v>
      </c>
      <c r="O97">
        <v>24.96</v>
      </c>
      <c r="P97">
        <v>19.8</v>
      </c>
      <c r="Q97">
        <v>419.89</v>
      </c>
      <c r="R97" s="12">
        <v>1000.01</v>
      </c>
      <c r="S97">
        <v>268.08</v>
      </c>
      <c r="T97">
        <v>1000.01</v>
      </c>
      <c r="U97">
        <v>73.38</v>
      </c>
      <c r="V97">
        <v>2500.0100000000002</v>
      </c>
      <c r="W97">
        <v>279.10000000000002</v>
      </c>
      <c r="X97">
        <v>381.59</v>
      </c>
      <c r="Y97">
        <v>599.12</v>
      </c>
      <c r="Z97">
        <v>41.06</v>
      </c>
      <c r="AA97">
        <v>58.19</v>
      </c>
      <c r="AB97">
        <v>5.57</v>
      </c>
      <c r="AC97">
        <v>14.45</v>
      </c>
      <c r="AD97">
        <v>13.48</v>
      </c>
      <c r="AE97">
        <v>109.43</v>
      </c>
      <c r="AF97">
        <v>6.45</v>
      </c>
      <c r="AG97">
        <v>173.06</v>
      </c>
      <c r="AH97">
        <v>59.79</v>
      </c>
      <c r="AI97">
        <v>35.93</v>
      </c>
    </row>
    <row r="98" spans="1:35" ht="15.75">
      <c r="A98" t="s">
        <v>256</v>
      </c>
      <c r="B98" s="2" t="s">
        <v>256</v>
      </c>
      <c r="C98" s="2" t="str">
        <f t="shared" si="1"/>
        <v>TRUE</v>
      </c>
      <c r="D98" s="2" t="s">
        <v>858</v>
      </c>
      <c r="E98" s="2" t="s">
        <v>859</v>
      </c>
      <c r="F98" s="2" t="s">
        <v>860</v>
      </c>
      <c r="G98" s="3">
        <v>34403</v>
      </c>
      <c r="H98" s="3">
        <v>43664</v>
      </c>
      <c r="I98" s="2">
        <v>25</v>
      </c>
      <c r="J98" s="2">
        <v>5</v>
      </c>
      <c r="K98" s="2" t="s">
        <v>861</v>
      </c>
      <c r="L98" s="2">
        <v>312</v>
      </c>
      <c r="M98" s="2">
        <v>3</v>
      </c>
      <c r="N98">
        <v>10.87</v>
      </c>
      <c r="O98">
        <v>8.67</v>
      </c>
      <c r="P98">
        <v>19.010000000000002</v>
      </c>
      <c r="Q98" s="12">
        <v>0.99</v>
      </c>
      <c r="R98">
        <v>166.79</v>
      </c>
      <c r="S98">
        <v>1.79</v>
      </c>
      <c r="T98">
        <v>280.73</v>
      </c>
      <c r="U98">
        <v>13.48</v>
      </c>
      <c r="V98">
        <v>2500.0100000000002</v>
      </c>
      <c r="W98">
        <v>2.4900000000000002</v>
      </c>
      <c r="X98">
        <v>16.62</v>
      </c>
      <c r="Y98" s="14">
        <v>1000.01</v>
      </c>
      <c r="Z98">
        <v>66.7</v>
      </c>
      <c r="AA98">
        <v>37.299999999999997</v>
      </c>
      <c r="AB98" s="14">
        <v>2.4900000000000002</v>
      </c>
      <c r="AC98">
        <v>62.05</v>
      </c>
      <c r="AD98" s="14">
        <v>9.99</v>
      </c>
      <c r="AE98">
        <v>180.56</v>
      </c>
      <c r="AF98" s="14">
        <v>4.99</v>
      </c>
      <c r="AG98">
        <v>5.36</v>
      </c>
      <c r="AH98">
        <v>7.95</v>
      </c>
      <c r="AI98" s="14">
        <v>4.99</v>
      </c>
    </row>
    <row r="99" spans="1:35" ht="15.75">
      <c r="A99" t="s">
        <v>829</v>
      </c>
      <c r="B99" s="2" t="s">
        <v>829</v>
      </c>
      <c r="C99" s="2" t="str">
        <f t="shared" si="1"/>
        <v>TRUE</v>
      </c>
      <c r="D99" s="2" t="s">
        <v>865</v>
      </c>
      <c r="E99" s="2" t="s">
        <v>866</v>
      </c>
      <c r="F99" s="2" t="s">
        <v>864</v>
      </c>
      <c r="G99" s="3">
        <v>22293</v>
      </c>
      <c r="H99" s="3">
        <v>43657</v>
      </c>
      <c r="I99" s="2">
        <v>58</v>
      </c>
      <c r="J99" s="2">
        <v>1</v>
      </c>
      <c r="K99" s="2" t="s">
        <v>861</v>
      </c>
      <c r="L99" s="2">
        <v>1013</v>
      </c>
      <c r="M99" s="2">
        <v>8</v>
      </c>
      <c r="N99">
        <v>9.91</v>
      </c>
      <c r="O99">
        <v>0.99</v>
      </c>
      <c r="P99">
        <v>31.08</v>
      </c>
      <c r="Q99">
        <v>49.34</v>
      </c>
      <c r="R99">
        <v>14.52</v>
      </c>
      <c r="S99">
        <v>3.56</v>
      </c>
      <c r="T99">
        <v>18.13</v>
      </c>
      <c r="U99">
        <v>1.88</v>
      </c>
      <c r="V99">
        <v>156.9</v>
      </c>
      <c r="W99">
        <v>68.77</v>
      </c>
      <c r="X99">
        <v>7.98</v>
      </c>
      <c r="Y99">
        <v>46.83</v>
      </c>
      <c r="Z99">
        <v>3.27</v>
      </c>
      <c r="AA99">
        <v>15.54</v>
      </c>
      <c r="AB99">
        <v>7.33</v>
      </c>
      <c r="AC99">
        <v>11.75</v>
      </c>
      <c r="AD99">
        <v>58.86</v>
      </c>
      <c r="AE99">
        <v>35.47</v>
      </c>
      <c r="AF99">
        <v>5.32</v>
      </c>
      <c r="AG99">
        <v>262.2</v>
      </c>
      <c r="AH99">
        <v>14.9</v>
      </c>
      <c r="AI99">
        <v>73.31</v>
      </c>
    </row>
    <row r="100" spans="1:35" ht="15.75">
      <c r="A100" t="s">
        <v>778</v>
      </c>
      <c r="B100" s="2" t="s">
        <v>778</v>
      </c>
      <c r="C100" s="2" t="str">
        <f t="shared" si="1"/>
        <v>TRUE</v>
      </c>
      <c r="D100" s="2" t="s">
        <v>854</v>
      </c>
      <c r="E100" s="2" t="s">
        <v>871</v>
      </c>
      <c r="F100" s="2" t="s">
        <v>856</v>
      </c>
      <c r="G100" s="3">
        <v>34656</v>
      </c>
      <c r="H100" s="3">
        <v>43695</v>
      </c>
      <c r="I100" s="2">
        <v>24</v>
      </c>
      <c r="J100" s="2">
        <v>1</v>
      </c>
      <c r="K100" s="2" t="s">
        <v>857</v>
      </c>
      <c r="L100" s="2" t="s">
        <v>856</v>
      </c>
      <c r="M100" s="2" t="s">
        <v>856</v>
      </c>
      <c r="N100">
        <v>9.7899999999999991</v>
      </c>
      <c r="O100">
        <v>1.63</v>
      </c>
      <c r="P100">
        <v>15.66</v>
      </c>
      <c r="Q100">
        <v>7.4</v>
      </c>
      <c r="R100">
        <v>37.6</v>
      </c>
      <c r="S100">
        <v>6.75</v>
      </c>
      <c r="T100">
        <v>47.89</v>
      </c>
      <c r="U100">
        <v>1.92</v>
      </c>
      <c r="V100">
        <v>2500.0100000000002</v>
      </c>
      <c r="W100">
        <v>285.51</v>
      </c>
      <c r="X100">
        <v>98.36</v>
      </c>
      <c r="Y100" s="14">
        <v>1000.01</v>
      </c>
      <c r="Z100">
        <v>61.38</v>
      </c>
      <c r="AA100">
        <v>720.08</v>
      </c>
      <c r="AB100">
        <v>68.11</v>
      </c>
      <c r="AC100">
        <v>233.36</v>
      </c>
      <c r="AD100">
        <v>262.10000000000002</v>
      </c>
      <c r="AE100">
        <v>298.74</v>
      </c>
      <c r="AF100">
        <v>64.709999999999994</v>
      </c>
      <c r="AG100">
        <v>521</v>
      </c>
      <c r="AH100">
        <v>29.17</v>
      </c>
      <c r="AI100">
        <v>58.72</v>
      </c>
    </row>
    <row r="101" spans="1:35" ht="15.75">
      <c r="A101" t="s">
        <v>589</v>
      </c>
      <c r="B101" s="2" t="s">
        <v>589</v>
      </c>
      <c r="C101" s="2" t="str">
        <f t="shared" si="1"/>
        <v>TRUE</v>
      </c>
      <c r="D101" s="2" t="s">
        <v>854</v>
      </c>
      <c r="E101" s="2" t="s">
        <v>862</v>
      </c>
      <c r="F101" s="2" t="s">
        <v>856</v>
      </c>
      <c r="G101" s="3">
        <v>34502</v>
      </c>
      <c r="H101" s="3">
        <v>43763</v>
      </c>
      <c r="I101" s="2">
        <v>25</v>
      </c>
      <c r="J101" s="2">
        <v>2</v>
      </c>
      <c r="K101" s="2" t="s">
        <v>861</v>
      </c>
      <c r="L101" s="2">
        <v>106</v>
      </c>
      <c r="M101" s="2" t="s">
        <v>856</v>
      </c>
      <c r="N101">
        <v>21.44</v>
      </c>
      <c r="O101">
        <v>1.29</v>
      </c>
      <c r="P101">
        <v>98.94</v>
      </c>
      <c r="Q101">
        <v>43.49</v>
      </c>
      <c r="R101">
        <v>36.29</v>
      </c>
      <c r="S101">
        <v>16.010000000000002</v>
      </c>
      <c r="T101">
        <v>26.57</v>
      </c>
      <c r="U101">
        <v>19.829999999999998</v>
      </c>
      <c r="V101">
        <v>533.77</v>
      </c>
      <c r="W101">
        <v>109.4</v>
      </c>
      <c r="X101">
        <v>103.33</v>
      </c>
      <c r="Y101">
        <v>201.66</v>
      </c>
      <c r="Z101">
        <v>68.02</v>
      </c>
      <c r="AA101">
        <v>170.04</v>
      </c>
      <c r="AB101">
        <v>41.5</v>
      </c>
      <c r="AC101">
        <v>65.89</v>
      </c>
      <c r="AD101">
        <v>48.99</v>
      </c>
      <c r="AE101">
        <v>72.34</v>
      </c>
      <c r="AF101">
        <v>50.01</v>
      </c>
      <c r="AG101">
        <v>65.790000000000006</v>
      </c>
      <c r="AH101">
        <v>33.479999999999997</v>
      </c>
      <c r="AI101">
        <v>56.67</v>
      </c>
    </row>
    <row r="102" spans="1:35" ht="15.75">
      <c r="A102" t="s">
        <v>114</v>
      </c>
      <c r="B102" s="2" t="s">
        <v>114</v>
      </c>
      <c r="C102" s="2" t="str">
        <f t="shared" si="1"/>
        <v>TRUE</v>
      </c>
      <c r="D102" s="2" t="s">
        <v>858</v>
      </c>
      <c r="E102" s="2" t="s">
        <v>859</v>
      </c>
      <c r="F102" s="2" t="s">
        <v>864</v>
      </c>
      <c r="G102" s="3">
        <v>31823</v>
      </c>
      <c r="H102" s="3">
        <v>43726</v>
      </c>
      <c r="I102" s="2">
        <v>32</v>
      </c>
      <c r="J102" s="2">
        <v>3</v>
      </c>
      <c r="K102" s="2" t="s">
        <v>861</v>
      </c>
      <c r="L102" s="2">
        <v>15</v>
      </c>
      <c r="M102" s="2">
        <v>0</v>
      </c>
      <c r="N102">
        <v>11.36</v>
      </c>
      <c r="O102">
        <v>3.23</v>
      </c>
      <c r="P102">
        <v>42.15</v>
      </c>
      <c r="Q102">
        <v>173.5</v>
      </c>
      <c r="R102">
        <v>159.94</v>
      </c>
      <c r="S102">
        <v>17.93</v>
      </c>
      <c r="T102">
        <v>54.18</v>
      </c>
      <c r="U102">
        <v>4.8</v>
      </c>
      <c r="V102">
        <v>926.37</v>
      </c>
      <c r="W102">
        <v>205.3</v>
      </c>
      <c r="X102">
        <v>48.69</v>
      </c>
      <c r="Y102">
        <v>462.62</v>
      </c>
      <c r="Z102">
        <v>16.13</v>
      </c>
      <c r="AA102">
        <v>563.54999999999995</v>
      </c>
      <c r="AB102">
        <v>142.30000000000001</v>
      </c>
      <c r="AC102">
        <v>232.79</v>
      </c>
      <c r="AD102">
        <v>200.99</v>
      </c>
      <c r="AE102">
        <v>194.12</v>
      </c>
      <c r="AF102">
        <v>100.41</v>
      </c>
      <c r="AG102">
        <v>343.39</v>
      </c>
      <c r="AH102">
        <v>31.55</v>
      </c>
      <c r="AI102">
        <v>106.56</v>
      </c>
    </row>
    <row r="103" spans="1:35" ht="15.75">
      <c r="A103" t="s">
        <v>184</v>
      </c>
      <c r="B103" s="2" t="s">
        <v>184</v>
      </c>
      <c r="C103" s="2" t="str">
        <f t="shared" si="1"/>
        <v>TRUE</v>
      </c>
      <c r="D103" s="2" t="s">
        <v>858</v>
      </c>
      <c r="E103" s="2" t="s">
        <v>859</v>
      </c>
      <c r="F103" s="2" t="s">
        <v>864</v>
      </c>
      <c r="G103" s="3">
        <v>35211</v>
      </c>
      <c r="H103" s="3">
        <v>43728</v>
      </c>
      <c r="I103" s="2">
        <v>23</v>
      </c>
      <c r="J103" s="2">
        <v>2</v>
      </c>
      <c r="K103" s="2" t="s">
        <v>857</v>
      </c>
      <c r="L103" s="2">
        <v>64</v>
      </c>
      <c r="M103" s="2">
        <v>2</v>
      </c>
      <c r="N103">
        <v>17.309999999999999</v>
      </c>
      <c r="O103">
        <v>23.03</v>
      </c>
      <c r="P103">
        <v>12.87</v>
      </c>
      <c r="Q103">
        <v>452.94</v>
      </c>
      <c r="R103">
        <v>508.28</v>
      </c>
      <c r="S103">
        <v>27.01</v>
      </c>
      <c r="T103">
        <v>535.67999999999995</v>
      </c>
      <c r="U103">
        <v>13.76</v>
      </c>
      <c r="V103">
        <v>1891.74</v>
      </c>
      <c r="W103">
        <v>553.82000000000005</v>
      </c>
      <c r="X103">
        <v>75.73</v>
      </c>
      <c r="Y103">
        <v>214.66</v>
      </c>
      <c r="Z103">
        <v>7.08</v>
      </c>
      <c r="AA103">
        <v>134.25</v>
      </c>
      <c r="AB103">
        <v>38.32</v>
      </c>
      <c r="AC103">
        <v>23.99</v>
      </c>
      <c r="AD103">
        <v>76.56</v>
      </c>
      <c r="AE103">
        <v>74.150000000000006</v>
      </c>
      <c r="AF103">
        <v>10.130000000000001</v>
      </c>
      <c r="AG103">
        <v>482.5</v>
      </c>
      <c r="AH103">
        <v>23.76</v>
      </c>
      <c r="AI103">
        <v>127.8</v>
      </c>
    </row>
    <row r="104" spans="1:35" ht="15.75">
      <c r="A104" t="s">
        <v>754</v>
      </c>
      <c r="B104" s="2" t="s">
        <v>754</v>
      </c>
      <c r="C104" s="2" t="str">
        <f t="shared" si="1"/>
        <v>TRUE</v>
      </c>
      <c r="D104" s="2" t="s">
        <v>865</v>
      </c>
      <c r="E104" s="2" t="s">
        <v>873</v>
      </c>
      <c r="F104" s="2" t="s">
        <v>864</v>
      </c>
      <c r="G104" s="3">
        <v>25311</v>
      </c>
      <c r="H104" s="3">
        <v>43731</v>
      </c>
      <c r="I104" s="2">
        <v>50</v>
      </c>
      <c r="J104" s="2">
        <v>1</v>
      </c>
      <c r="K104" s="2" t="s">
        <v>857</v>
      </c>
      <c r="L104" s="2">
        <v>1112</v>
      </c>
      <c r="M104" s="2">
        <v>8</v>
      </c>
      <c r="N104">
        <v>16.54</v>
      </c>
      <c r="O104">
        <v>2.08</v>
      </c>
      <c r="P104">
        <v>208.22</v>
      </c>
      <c r="Q104">
        <v>291.97000000000003</v>
      </c>
      <c r="R104">
        <v>229.64</v>
      </c>
      <c r="S104">
        <v>52.81</v>
      </c>
      <c r="T104">
        <v>20.28</v>
      </c>
      <c r="U104" s="13">
        <v>0.99</v>
      </c>
      <c r="V104">
        <v>1035.46</v>
      </c>
      <c r="W104">
        <v>290.2</v>
      </c>
      <c r="X104">
        <v>92.94</v>
      </c>
      <c r="Y104">
        <v>180.71</v>
      </c>
      <c r="Z104">
        <v>8.5500000000000007</v>
      </c>
      <c r="AA104">
        <v>70.540000000000006</v>
      </c>
      <c r="AB104">
        <v>21.18</v>
      </c>
      <c r="AC104">
        <v>11.71</v>
      </c>
      <c r="AD104">
        <v>153.96</v>
      </c>
      <c r="AE104">
        <v>193.3</v>
      </c>
      <c r="AF104">
        <v>17.600000000000001</v>
      </c>
      <c r="AG104">
        <v>1567.36</v>
      </c>
      <c r="AH104">
        <v>32.36</v>
      </c>
      <c r="AI104">
        <v>168.56</v>
      </c>
    </row>
    <row r="105" spans="1:35" ht="15.75">
      <c r="A105" t="s">
        <v>565</v>
      </c>
      <c r="B105" s="2" t="s">
        <v>565</v>
      </c>
      <c r="C105" s="2" t="str">
        <f t="shared" si="1"/>
        <v>TRUE</v>
      </c>
      <c r="D105" s="2" t="s">
        <v>858</v>
      </c>
      <c r="E105" s="2" t="s">
        <v>859</v>
      </c>
      <c r="F105" s="2" t="s">
        <v>864</v>
      </c>
      <c r="G105" s="3">
        <v>36196</v>
      </c>
      <c r="H105" s="3">
        <v>43748</v>
      </c>
      <c r="I105" s="2">
        <v>20</v>
      </c>
      <c r="J105" s="2">
        <v>4</v>
      </c>
      <c r="K105" s="2" t="s">
        <v>857</v>
      </c>
      <c r="L105" s="2">
        <v>60</v>
      </c>
      <c r="M105" s="2">
        <v>1</v>
      </c>
      <c r="N105">
        <v>28.1</v>
      </c>
      <c r="O105">
        <v>1.06</v>
      </c>
      <c r="P105">
        <v>20.91</v>
      </c>
      <c r="Q105">
        <v>67.37</v>
      </c>
      <c r="R105">
        <v>219.59</v>
      </c>
      <c r="S105">
        <v>14.82</v>
      </c>
      <c r="T105">
        <v>33.22</v>
      </c>
      <c r="U105">
        <v>9.8000000000000007</v>
      </c>
      <c r="V105">
        <v>1828.76</v>
      </c>
      <c r="W105">
        <v>142</v>
      </c>
      <c r="X105">
        <v>92.01</v>
      </c>
      <c r="Y105">
        <v>325.74</v>
      </c>
      <c r="Z105">
        <v>48.96</v>
      </c>
      <c r="AA105">
        <v>162.13999999999999</v>
      </c>
      <c r="AB105">
        <v>20.309999999999999</v>
      </c>
      <c r="AC105">
        <v>34.01</v>
      </c>
      <c r="AD105">
        <v>34.020000000000003</v>
      </c>
      <c r="AE105">
        <v>134.4</v>
      </c>
      <c r="AF105">
        <v>20.36</v>
      </c>
      <c r="AG105">
        <v>167.45</v>
      </c>
      <c r="AH105">
        <v>14.71</v>
      </c>
      <c r="AI105">
        <v>39.85</v>
      </c>
    </row>
    <row r="106" spans="1:35" ht="15.75">
      <c r="A106" t="s">
        <v>493</v>
      </c>
      <c r="B106" s="2" t="s">
        <v>493</v>
      </c>
      <c r="C106" s="2" t="str">
        <f t="shared" si="1"/>
        <v>TRUE</v>
      </c>
      <c r="D106" s="2" t="s">
        <v>858</v>
      </c>
      <c r="E106" s="2" t="s">
        <v>863</v>
      </c>
      <c r="F106" s="2" t="s">
        <v>864</v>
      </c>
      <c r="G106" s="3">
        <v>23573</v>
      </c>
      <c r="H106" s="3">
        <v>43742</v>
      </c>
      <c r="I106" s="2">
        <v>55</v>
      </c>
      <c r="J106" s="2">
        <v>4</v>
      </c>
      <c r="K106" s="2" t="s">
        <v>857</v>
      </c>
      <c r="L106" s="2">
        <v>4476</v>
      </c>
      <c r="M106" s="2">
        <v>1</v>
      </c>
      <c r="N106">
        <v>14.99</v>
      </c>
      <c r="O106">
        <v>2.77</v>
      </c>
      <c r="P106">
        <v>46.81</v>
      </c>
      <c r="Q106">
        <v>125.08</v>
      </c>
      <c r="R106">
        <v>251.04</v>
      </c>
      <c r="S106">
        <v>30.8</v>
      </c>
      <c r="T106">
        <v>76.3</v>
      </c>
      <c r="U106">
        <v>4.66</v>
      </c>
      <c r="V106">
        <v>1758.15</v>
      </c>
      <c r="W106">
        <v>303.01</v>
      </c>
      <c r="X106">
        <v>137.56</v>
      </c>
      <c r="Y106">
        <v>597.35</v>
      </c>
      <c r="Z106">
        <v>24.71</v>
      </c>
      <c r="AA106">
        <v>263.32</v>
      </c>
      <c r="AB106">
        <v>51.49</v>
      </c>
      <c r="AC106">
        <v>95.48</v>
      </c>
      <c r="AD106">
        <v>149.88999999999999</v>
      </c>
      <c r="AE106">
        <v>306.07</v>
      </c>
      <c r="AF106">
        <v>94.35</v>
      </c>
      <c r="AG106">
        <v>621.32000000000005</v>
      </c>
      <c r="AH106">
        <v>66.72</v>
      </c>
      <c r="AI106">
        <v>164.97</v>
      </c>
    </row>
    <row r="107" spans="1:35" ht="15.75">
      <c r="A107" t="s">
        <v>334</v>
      </c>
      <c r="B107" s="2" t="s">
        <v>334</v>
      </c>
      <c r="C107" s="2" t="str">
        <f t="shared" si="1"/>
        <v>TRUE</v>
      </c>
      <c r="D107" s="2" t="s">
        <v>858</v>
      </c>
      <c r="E107" s="2" t="s">
        <v>863</v>
      </c>
      <c r="F107" s="2" t="s">
        <v>864</v>
      </c>
      <c r="G107" s="3">
        <v>29437</v>
      </c>
      <c r="H107" s="3">
        <v>43796</v>
      </c>
      <c r="I107" s="2">
        <v>39</v>
      </c>
      <c r="J107" s="2">
        <v>4</v>
      </c>
      <c r="K107" s="2" t="s">
        <v>857</v>
      </c>
      <c r="L107" s="2">
        <v>98</v>
      </c>
      <c r="M107" s="2">
        <v>0</v>
      </c>
      <c r="N107">
        <v>21.6</v>
      </c>
      <c r="O107">
        <v>2.09</v>
      </c>
      <c r="P107">
        <v>60.62</v>
      </c>
      <c r="Q107">
        <v>200.22</v>
      </c>
      <c r="R107">
        <v>130.55000000000001</v>
      </c>
      <c r="S107">
        <v>31.58</v>
      </c>
      <c r="T107">
        <v>98.58</v>
      </c>
      <c r="U107">
        <v>11.53</v>
      </c>
      <c r="V107">
        <v>2500.0100000000002</v>
      </c>
      <c r="W107">
        <v>1405.42</v>
      </c>
      <c r="X107">
        <v>232.91</v>
      </c>
      <c r="Y107" s="14">
        <v>1000.01</v>
      </c>
      <c r="Z107">
        <v>40.43</v>
      </c>
      <c r="AA107">
        <v>589.41999999999996</v>
      </c>
      <c r="AB107">
        <v>324.29000000000002</v>
      </c>
      <c r="AC107">
        <v>251.25</v>
      </c>
      <c r="AD107">
        <v>429.79</v>
      </c>
      <c r="AE107">
        <v>348.69</v>
      </c>
      <c r="AF107">
        <v>52.31</v>
      </c>
      <c r="AG107">
        <v>1172.31</v>
      </c>
      <c r="AH107">
        <v>81.28</v>
      </c>
      <c r="AI107">
        <v>211.37</v>
      </c>
    </row>
    <row r="108" spans="1:35" ht="15.75">
      <c r="A108" t="s">
        <v>508</v>
      </c>
      <c r="B108" s="2" t="s">
        <v>508</v>
      </c>
      <c r="C108" s="2" t="str">
        <f t="shared" si="1"/>
        <v>TRUE</v>
      </c>
      <c r="D108" s="2" t="s">
        <v>858</v>
      </c>
      <c r="E108" s="2" t="s">
        <v>868</v>
      </c>
      <c r="F108" s="2" t="s">
        <v>864</v>
      </c>
      <c r="G108" s="3">
        <v>34720</v>
      </c>
      <c r="H108" s="3">
        <v>43812</v>
      </c>
      <c r="I108" s="2">
        <v>24</v>
      </c>
      <c r="J108" s="2">
        <v>1</v>
      </c>
      <c r="K108" s="2" t="s">
        <v>857</v>
      </c>
      <c r="L108" s="2">
        <v>375</v>
      </c>
      <c r="M108" s="2">
        <v>9</v>
      </c>
      <c r="N108">
        <v>18.38</v>
      </c>
      <c r="O108">
        <v>3.57</v>
      </c>
      <c r="P108">
        <v>92.63</v>
      </c>
      <c r="Q108">
        <v>409.96</v>
      </c>
      <c r="R108">
        <v>104.58</v>
      </c>
      <c r="S108">
        <v>29.8</v>
      </c>
      <c r="T108">
        <v>74.349999999999994</v>
      </c>
      <c r="U108">
        <v>1.06</v>
      </c>
      <c r="V108">
        <v>1505.83</v>
      </c>
      <c r="W108">
        <v>1299.6300000000001</v>
      </c>
      <c r="X108">
        <v>72.989999999999995</v>
      </c>
      <c r="Y108" s="14">
        <v>1000.01</v>
      </c>
      <c r="Z108">
        <v>38.64</v>
      </c>
      <c r="AA108">
        <v>57.84</v>
      </c>
      <c r="AB108">
        <v>87.94</v>
      </c>
      <c r="AC108">
        <v>59.69</v>
      </c>
      <c r="AD108">
        <v>97.14</v>
      </c>
      <c r="AE108">
        <v>325.49</v>
      </c>
      <c r="AF108">
        <v>14.78</v>
      </c>
      <c r="AG108">
        <v>1360.04</v>
      </c>
      <c r="AH108">
        <v>29.25</v>
      </c>
      <c r="AI108">
        <v>1178.56</v>
      </c>
    </row>
    <row r="109" spans="1:35" ht="15.75">
      <c r="A109" t="s">
        <v>123</v>
      </c>
      <c r="B109" s="2" t="s">
        <v>123</v>
      </c>
      <c r="C109" s="2" t="str">
        <f t="shared" si="1"/>
        <v>TRUE</v>
      </c>
      <c r="D109" s="2" t="s">
        <v>854</v>
      </c>
      <c r="E109" s="2" t="s">
        <v>862</v>
      </c>
      <c r="F109" s="2" t="s">
        <v>856</v>
      </c>
      <c r="G109" s="3">
        <v>29236</v>
      </c>
      <c r="H109" s="3">
        <v>43763</v>
      </c>
      <c r="I109" s="2">
        <v>39</v>
      </c>
      <c r="J109" s="2">
        <v>1</v>
      </c>
      <c r="K109" s="2" t="s">
        <v>857</v>
      </c>
      <c r="L109" s="2">
        <v>2317</v>
      </c>
      <c r="M109" s="2" t="s">
        <v>856</v>
      </c>
      <c r="N109">
        <v>24.6</v>
      </c>
      <c r="O109">
        <v>5.45</v>
      </c>
      <c r="P109">
        <v>364.23</v>
      </c>
      <c r="Q109">
        <v>106.17</v>
      </c>
      <c r="R109">
        <v>140.9</v>
      </c>
      <c r="S109">
        <v>70.44</v>
      </c>
      <c r="T109">
        <v>153.84</v>
      </c>
      <c r="U109">
        <v>9.67</v>
      </c>
      <c r="V109">
        <v>517.97</v>
      </c>
      <c r="W109">
        <v>75.84</v>
      </c>
      <c r="X109">
        <v>104.43</v>
      </c>
      <c r="Y109">
        <v>174.82</v>
      </c>
      <c r="Z109">
        <v>9.6999999999999993</v>
      </c>
      <c r="AA109">
        <v>45.18</v>
      </c>
      <c r="AB109">
        <v>7.4</v>
      </c>
      <c r="AC109">
        <v>14.94</v>
      </c>
      <c r="AD109">
        <v>39.799999999999997</v>
      </c>
      <c r="AE109">
        <v>52.55</v>
      </c>
      <c r="AF109">
        <v>12.55</v>
      </c>
      <c r="AG109">
        <v>122.41</v>
      </c>
      <c r="AH109">
        <v>38.53</v>
      </c>
      <c r="AI109">
        <v>29.1</v>
      </c>
    </row>
    <row r="110" spans="1:35" ht="15.75">
      <c r="A110" t="s">
        <v>628</v>
      </c>
      <c r="B110" s="2" t="s">
        <v>628</v>
      </c>
      <c r="C110" s="2" t="str">
        <f t="shared" si="1"/>
        <v>TRUE</v>
      </c>
      <c r="D110" s="2" t="s">
        <v>854</v>
      </c>
      <c r="E110" s="2" t="s">
        <v>862</v>
      </c>
      <c r="F110" s="2" t="s">
        <v>856</v>
      </c>
      <c r="G110" s="3">
        <v>33514</v>
      </c>
      <c r="H110" s="3">
        <v>43805</v>
      </c>
      <c r="I110" s="2">
        <v>28</v>
      </c>
      <c r="J110" s="2">
        <v>1</v>
      </c>
      <c r="K110" s="2" t="s">
        <v>857</v>
      </c>
      <c r="L110" s="2">
        <v>874</v>
      </c>
      <c r="M110" s="2" t="s">
        <v>856</v>
      </c>
      <c r="N110">
        <v>11.83</v>
      </c>
      <c r="O110">
        <v>60.2</v>
      </c>
      <c r="P110">
        <v>462.25</v>
      </c>
      <c r="Q110">
        <v>370</v>
      </c>
      <c r="R110">
        <v>343.29</v>
      </c>
      <c r="S110">
        <v>97.61</v>
      </c>
      <c r="T110">
        <v>43.61</v>
      </c>
      <c r="U110">
        <v>6.14</v>
      </c>
      <c r="V110">
        <v>1729.73</v>
      </c>
      <c r="W110">
        <v>344.33</v>
      </c>
      <c r="X110">
        <v>262.44</v>
      </c>
      <c r="Y110">
        <v>268.06</v>
      </c>
      <c r="Z110">
        <v>25.55</v>
      </c>
      <c r="AA110">
        <v>153.51</v>
      </c>
      <c r="AB110">
        <v>40.54</v>
      </c>
      <c r="AC110">
        <v>32.44</v>
      </c>
      <c r="AD110">
        <v>28.12</v>
      </c>
      <c r="AE110">
        <v>86.93</v>
      </c>
      <c r="AF110">
        <v>12.7</v>
      </c>
      <c r="AG110">
        <v>102.76</v>
      </c>
      <c r="AH110">
        <v>58.46</v>
      </c>
      <c r="AI110">
        <v>64.23</v>
      </c>
    </row>
    <row r="111" spans="1:35" ht="15.75">
      <c r="A111" t="s">
        <v>361</v>
      </c>
      <c r="B111" s="2" t="s">
        <v>361</v>
      </c>
      <c r="C111" s="2" t="str">
        <f t="shared" si="1"/>
        <v>TRUE</v>
      </c>
      <c r="D111" s="2" t="s">
        <v>858</v>
      </c>
      <c r="E111" s="2" t="s">
        <v>863</v>
      </c>
      <c r="F111" s="2" t="s">
        <v>860</v>
      </c>
      <c r="G111" s="3">
        <v>29943</v>
      </c>
      <c r="H111" s="3">
        <v>43733</v>
      </c>
      <c r="I111" s="2">
        <v>37</v>
      </c>
      <c r="J111" s="2">
        <v>3</v>
      </c>
      <c r="K111" s="2" t="s">
        <v>857</v>
      </c>
      <c r="L111" s="2">
        <v>11409</v>
      </c>
      <c r="M111" s="2">
        <v>10</v>
      </c>
      <c r="N111">
        <v>8.7799999999999994</v>
      </c>
      <c r="O111">
        <v>1.07</v>
      </c>
      <c r="P111">
        <v>11.98</v>
      </c>
      <c r="Q111">
        <v>68.569999999999993</v>
      </c>
      <c r="R111">
        <v>34.369999999999997</v>
      </c>
      <c r="S111">
        <v>11.36</v>
      </c>
      <c r="T111">
        <v>12.18</v>
      </c>
      <c r="U111">
        <v>4.6900000000000004</v>
      </c>
      <c r="V111">
        <v>844.42</v>
      </c>
      <c r="W111">
        <v>269</v>
      </c>
      <c r="X111">
        <v>82.87</v>
      </c>
      <c r="Y111">
        <v>325.45999999999998</v>
      </c>
      <c r="Z111">
        <v>27.43</v>
      </c>
      <c r="AA111">
        <v>310.77999999999997</v>
      </c>
      <c r="AB111">
        <v>113.48</v>
      </c>
      <c r="AC111">
        <v>145.46</v>
      </c>
      <c r="AD111">
        <v>94.45</v>
      </c>
      <c r="AE111">
        <v>76.97</v>
      </c>
      <c r="AF111">
        <v>44.39</v>
      </c>
      <c r="AG111">
        <v>136.38</v>
      </c>
      <c r="AH111">
        <v>28.81</v>
      </c>
      <c r="AI111">
        <v>87.68</v>
      </c>
    </row>
    <row r="112" spans="1:35" ht="15.75">
      <c r="A112" t="s">
        <v>283</v>
      </c>
      <c r="B112" s="2" t="s">
        <v>283</v>
      </c>
      <c r="C112" s="2" t="str">
        <f t="shared" si="1"/>
        <v>TRUE</v>
      </c>
      <c r="D112" s="2" t="s">
        <v>865</v>
      </c>
      <c r="E112" s="2" t="s">
        <v>874</v>
      </c>
      <c r="F112" s="2" t="s">
        <v>860</v>
      </c>
      <c r="G112" s="3">
        <v>21300</v>
      </c>
      <c r="H112" s="3">
        <v>43741</v>
      </c>
      <c r="I112" s="2">
        <v>61</v>
      </c>
      <c r="J112" s="2">
        <v>1</v>
      </c>
      <c r="K112" s="2" t="s">
        <v>861</v>
      </c>
      <c r="L112" s="2">
        <v>1217</v>
      </c>
      <c r="M112" s="2">
        <v>8</v>
      </c>
      <c r="N112">
        <v>9.1999999999999993</v>
      </c>
      <c r="O112">
        <v>22.07</v>
      </c>
      <c r="P112">
        <v>1000.01</v>
      </c>
      <c r="Q112">
        <v>0.99</v>
      </c>
      <c r="R112">
        <v>555.4</v>
      </c>
      <c r="S112">
        <v>309.16000000000003</v>
      </c>
      <c r="T112">
        <v>44.23</v>
      </c>
      <c r="U112">
        <v>1.18</v>
      </c>
      <c r="V112">
        <v>2171.29</v>
      </c>
      <c r="W112">
        <v>2.4900000000000002</v>
      </c>
      <c r="X112">
        <v>380.93</v>
      </c>
      <c r="Y112">
        <v>453.63</v>
      </c>
      <c r="Z112">
        <v>5.4</v>
      </c>
      <c r="AA112">
        <v>5.74</v>
      </c>
      <c r="AB112" s="14">
        <v>2.4900000000000002</v>
      </c>
      <c r="AC112" s="14">
        <v>2.4900000000000002</v>
      </c>
      <c r="AD112" s="14">
        <v>9.99</v>
      </c>
      <c r="AE112">
        <v>81.96</v>
      </c>
      <c r="AF112" s="14">
        <v>4.99</v>
      </c>
      <c r="AG112">
        <v>5.39</v>
      </c>
      <c r="AH112">
        <v>113.52</v>
      </c>
      <c r="AI112" s="14">
        <v>4.99</v>
      </c>
    </row>
    <row r="113" spans="1:35" ht="15.75">
      <c r="A113" t="s">
        <v>640</v>
      </c>
      <c r="B113" s="2" t="s">
        <v>640</v>
      </c>
      <c r="C113" s="2" t="str">
        <f t="shared" si="1"/>
        <v>TRUE</v>
      </c>
      <c r="D113" s="2" t="s">
        <v>858</v>
      </c>
      <c r="E113" s="2" t="s">
        <v>863</v>
      </c>
      <c r="F113" s="2" t="s">
        <v>864</v>
      </c>
      <c r="G113" s="3">
        <v>33760</v>
      </c>
      <c r="H113" s="3">
        <v>43815</v>
      </c>
      <c r="I113" s="2">
        <v>27</v>
      </c>
      <c r="J113" s="2">
        <v>1</v>
      </c>
      <c r="K113" s="2" t="s">
        <v>857</v>
      </c>
      <c r="L113" s="2">
        <v>704</v>
      </c>
      <c r="M113" s="2">
        <v>10</v>
      </c>
      <c r="N113">
        <v>13.26</v>
      </c>
      <c r="O113">
        <v>2.94</v>
      </c>
      <c r="P113">
        <v>252.02</v>
      </c>
      <c r="Q113">
        <v>331.16</v>
      </c>
      <c r="R113">
        <v>36.56</v>
      </c>
      <c r="S113">
        <v>57.95</v>
      </c>
      <c r="T113">
        <v>31.99</v>
      </c>
      <c r="U113">
        <v>3.62</v>
      </c>
      <c r="V113">
        <v>503.11</v>
      </c>
      <c r="W113">
        <v>314.06</v>
      </c>
      <c r="X113">
        <v>56.47</v>
      </c>
      <c r="Y113">
        <v>349.51</v>
      </c>
      <c r="Z113">
        <v>22.81</v>
      </c>
      <c r="AA113">
        <v>53.7</v>
      </c>
      <c r="AB113">
        <v>34.9</v>
      </c>
      <c r="AC113">
        <v>31.49</v>
      </c>
      <c r="AD113">
        <v>69.72</v>
      </c>
      <c r="AE113">
        <v>60.5</v>
      </c>
      <c r="AF113">
        <v>9.5299999999999994</v>
      </c>
      <c r="AG113">
        <v>476.69</v>
      </c>
      <c r="AH113">
        <v>11.28</v>
      </c>
      <c r="AI113">
        <v>77.209999999999994</v>
      </c>
    </row>
    <row r="114" spans="1:35" ht="15.75">
      <c r="A114" t="s">
        <v>511</v>
      </c>
      <c r="B114" s="2" t="s">
        <v>511</v>
      </c>
      <c r="C114" s="2" t="str">
        <f t="shared" si="1"/>
        <v>TRUE</v>
      </c>
      <c r="D114" s="2" t="s">
        <v>858</v>
      </c>
      <c r="E114" s="2" t="s">
        <v>868</v>
      </c>
      <c r="F114" s="2" t="s">
        <v>864</v>
      </c>
      <c r="G114" s="3">
        <v>34720</v>
      </c>
      <c r="H114" s="3">
        <v>43832</v>
      </c>
      <c r="I114" s="2">
        <v>24</v>
      </c>
      <c r="J114" s="4">
        <v>1</v>
      </c>
      <c r="K114" s="2" t="s">
        <v>857</v>
      </c>
      <c r="L114" s="2" t="s">
        <v>856</v>
      </c>
      <c r="M114" s="2">
        <v>5</v>
      </c>
      <c r="N114">
        <v>13.79</v>
      </c>
      <c r="O114">
        <v>0.99</v>
      </c>
      <c r="P114">
        <v>9.2899999999999991</v>
      </c>
      <c r="Q114">
        <v>70.02</v>
      </c>
      <c r="R114">
        <v>22.15</v>
      </c>
      <c r="S114">
        <v>4.16</v>
      </c>
      <c r="T114">
        <v>67.75</v>
      </c>
      <c r="U114" s="13">
        <v>0.99</v>
      </c>
      <c r="V114">
        <v>884.8</v>
      </c>
      <c r="W114">
        <v>575.29</v>
      </c>
      <c r="X114">
        <v>57.36</v>
      </c>
      <c r="Y114">
        <v>387.23</v>
      </c>
      <c r="Z114">
        <v>32.340000000000003</v>
      </c>
      <c r="AA114">
        <v>37.020000000000003</v>
      </c>
      <c r="AB114">
        <v>30.82</v>
      </c>
      <c r="AC114">
        <v>13.94</v>
      </c>
      <c r="AD114">
        <v>80.53</v>
      </c>
      <c r="AE114">
        <v>213.62</v>
      </c>
      <c r="AF114">
        <v>14.2</v>
      </c>
      <c r="AG114">
        <v>666.98</v>
      </c>
      <c r="AH114">
        <v>33.31</v>
      </c>
      <c r="AI114">
        <v>754.92</v>
      </c>
    </row>
    <row r="115" spans="1:35" ht="15.75">
      <c r="A115" t="s">
        <v>637</v>
      </c>
      <c r="B115" s="2" t="s">
        <v>637</v>
      </c>
      <c r="C115" s="2" t="str">
        <f t="shared" si="1"/>
        <v>TRUE</v>
      </c>
      <c r="D115" s="2" t="s">
        <v>858</v>
      </c>
      <c r="E115" s="2" t="s">
        <v>863</v>
      </c>
      <c r="F115" s="2" t="s">
        <v>864</v>
      </c>
      <c r="G115" s="3">
        <v>33760</v>
      </c>
      <c r="H115" s="3">
        <v>43830</v>
      </c>
      <c r="I115" s="2">
        <v>27</v>
      </c>
      <c r="J115" s="2">
        <v>2</v>
      </c>
      <c r="K115" s="2" t="s">
        <v>857</v>
      </c>
      <c r="L115" s="2">
        <v>129</v>
      </c>
      <c r="M115" s="2">
        <v>0</v>
      </c>
      <c r="N115">
        <v>26.93</v>
      </c>
      <c r="O115">
        <v>6.41</v>
      </c>
      <c r="P115">
        <v>116.19</v>
      </c>
      <c r="Q115" s="12">
        <v>1000.01</v>
      </c>
      <c r="R115">
        <v>345.56</v>
      </c>
      <c r="S115">
        <v>66</v>
      </c>
      <c r="T115">
        <v>30.61</v>
      </c>
      <c r="U115">
        <v>5.1100000000000003</v>
      </c>
      <c r="V115">
        <v>1415.73</v>
      </c>
      <c r="W115">
        <v>1281.5999999999999</v>
      </c>
      <c r="X115">
        <v>116.14</v>
      </c>
      <c r="Y115">
        <v>340.97</v>
      </c>
      <c r="Z115">
        <v>13.42</v>
      </c>
      <c r="AA115">
        <v>202.4</v>
      </c>
      <c r="AB115">
        <v>225.55</v>
      </c>
      <c r="AC115">
        <v>59.45</v>
      </c>
      <c r="AD115">
        <v>305.17</v>
      </c>
      <c r="AE115">
        <v>86.48</v>
      </c>
      <c r="AF115">
        <v>15.42</v>
      </c>
      <c r="AG115">
        <v>1203.4100000000001</v>
      </c>
      <c r="AH115">
        <v>23.9</v>
      </c>
      <c r="AI115">
        <v>304.77</v>
      </c>
    </row>
    <row r="116" spans="1:35" ht="15.75">
      <c r="A116" t="s">
        <v>370</v>
      </c>
      <c r="B116" s="2" t="s">
        <v>370</v>
      </c>
      <c r="C116" s="2" t="str">
        <f t="shared" si="1"/>
        <v>TRUE</v>
      </c>
      <c r="D116" s="2" t="s">
        <v>858</v>
      </c>
      <c r="E116" s="2" t="s">
        <v>859</v>
      </c>
      <c r="F116" s="2" t="s">
        <v>860</v>
      </c>
      <c r="G116" s="3">
        <v>23236</v>
      </c>
      <c r="H116" s="3">
        <v>43866</v>
      </c>
      <c r="I116" s="2">
        <v>56</v>
      </c>
      <c r="J116" s="2">
        <v>1</v>
      </c>
      <c r="K116" s="2" t="s">
        <v>857</v>
      </c>
      <c r="L116" s="2">
        <v>1854</v>
      </c>
      <c r="M116" s="2">
        <v>14</v>
      </c>
      <c r="N116">
        <v>9.6300000000000008</v>
      </c>
      <c r="O116">
        <v>2.5299999999999998</v>
      </c>
      <c r="P116">
        <v>90.82</v>
      </c>
      <c r="Q116">
        <v>182.52</v>
      </c>
      <c r="R116">
        <v>68.599999999999994</v>
      </c>
      <c r="S116">
        <v>10.44</v>
      </c>
      <c r="T116">
        <v>24.57</v>
      </c>
      <c r="U116" s="13">
        <v>0.99</v>
      </c>
      <c r="V116">
        <v>877.53</v>
      </c>
      <c r="W116">
        <v>954.48</v>
      </c>
      <c r="X116">
        <v>35.340000000000003</v>
      </c>
      <c r="Y116" s="14">
        <v>1000.01</v>
      </c>
      <c r="Z116">
        <v>10.53</v>
      </c>
      <c r="AA116">
        <v>73.42</v>
      </c>
      <c r="AB116">
        <v>99.07</v>
      </c>
      <c r="AC116">
        <v>237.2</v>
      </c>
      <c r="AD116">
        <v>46.08</v>
      </c>
      <c r="AE116">
        <v>111.13</v>
      </c>
      <c r="AF116">
        <v>8.77</v>
      </c>
      <c r="AG116">
        <v>425.04</v>
      </c>
      <c r="AH116">
        <v>12.91</v>
      </c>
      <c r="AI116">
        <v>650.41999999999996</v>
      </c>
    </row>
    <row r="117" spans="1:35" ht="15.75">
      <c r="A117" t="s">
        <v>793</v>
      </c>
      <c r="B117" s="2" t="s">
        <v>793</v>
      </c>
      <c r="C117" s="2" t="str">
        <f t="shared" si="1"/>
        <v>TRUE</v>
      </c>
      <c r="D117" s="2" t="s">
        <v>865</v>
      </c>
      <c r="E117" s="2" t="s">
        <v>866</v>
      </c>
      <c r="F117" s="2" t="s">
        <v>864</v>
      </c>
      <c r="G117" s="3">
        <v>33242</v>
      </c>
      <c r="H117" s="3">
        <v>43878</v>
      </c>
      <c r="I117" s="2">
        <v>29</v>
      </c>
      <c r="J117" s="2">
        <v>1</v>
      </c>
      <c r="K117" s="2" t="s">
        <v>857</v>
      </c>
      <c r="L117" s="2">
        <v>148</v>
      </c>
      <c r="M117" s="2">
        <v>9</v>
      </c>
      <c r="N117">
        <v>5.3</v>
      </c>
      <c r="O117">
        <v>9.18</v>
      </c>
      <c r="P117">
        <v>459.95</v>
      </c>
      <c r="Q117">
        <v>593.26</v>
      </c>
      <c r="R117">
        <v>172.54</v>
      </c>
      <c r="S117">
        <v>72.430000000000007</v>
      </c>
      <c r="T117">
        <v>71.650000000000006</v>
      </c>
      <c r="U117">
        <v>9.3699999999999992</v>
      </c>
      <c r="V117">
        <v>934.92</v>
      </c>
      <c r="W117">
        <v>404.41</v>
      </c>
      <c r="X117">
        <v>100.5</v>
      </c>
      <c r="Y117">
        <v>244.26</v>
      </c>
      <c r="Z117">
        <v>17.940000000000001</v>
      </c>
      <c r="AA117">
        <v>13.72</v>
      </c>
      <c r="AB117">
        <v>6.34</v>
      </c>
      <c r="AC117">
        <v>3.29</v>
      </c>
      <c r="AD117">
        <v>14.44</v>
      </c>
      <c r="AE117">
        <v>110.46</v>
      </c>
      <c r="AF117" s="14">
        <v>4.99</v>
      </c>
      <c r="AG117">
        <v>611.29</v>
      </c>
      <c r="AH117">
        <v>51.14</v>
      </c>
      <c r="AI117">
        <v>194.22</v>
      </c>
    </row>
    <row r="118" spans="1:35" ht="15.75">
      <c r="A118" t="s">
        <v>373</v>
      </c>
      <c r="B118" s="2" t="s">
        <v>373</v>
      </c>
      <c r="C118" s="2" t="str">
        <f t="shared" si="1"/>
        <v>TRUE</v>
      </c>
      <c r="D118" s="2" t="s">
        <v>858</v>
      </c>
      <c r="E118" s="2" t="s">
        <v>859</v>
      </c>
      <c r="F118" s="2" t="s">
        <v>860</v>
      </c>
      <c r="G118" s="3">
        <v>23236</v>
      </c>
      <c r="H118" s="3">
        <v>43905</v>
      </c>
      <c r="I118" s="2">
        <v>56</v>
      </c>
      <c r="J118" s="2">
        <v>2</v>
      </c>
      <c r="K118" s="2" t="s">
        <v>857</v>
      </c>
      <c r="L118" s="2">
        <v>373</v>
      </c>
      <c r="M118" s="2">
        <v>4</v>
      </c>
      <c r="N118">
        <v>9.36</v>
      </c>
      <c r="O118">
        <v>0.99</v>
      </c>
      <c r="P118">
        <v>7.24</v>
      </c>
      <c r="Q118">
        <v>252.45</v>
      </c>
      <c r="R118">
        <v>9.19</v>
      </c>
      <c r="S118">
        <v>2.5499999999999998</v>
      </c>
      <c r="T118">
        <v>31.69</v>
      </c>
      <c r="U118">
        <v>1.05</v>
      </c>
      <c r="V118">
        <v>2500.0100000000002</v>
      </c>
      <c r="W118" s="14">
        <v>2500.0100000000002</v>
      </c>
      <c r="X118">
        <v>62.33</v>
      </c>
      <c r="Y118" s="14">
        <v>1000.01</v>
      </c>
      <c r="Z118">
        <v>31.97</v>
      </c>
      <c r="AA118">
        <v>400.67</v>
      </c>
      <c r="AB118">
        <v>732.61</v>
      </c>
      <c r="AC118">
        <v>1000.01</v>
      </c>
      <c r="AD118">
        <v>50.05</v>
      </c>
      <c r="AE118">
        <v>98.33</v>
      </c>
      <c r="AF118">
        <v>6.76</v>
      </c>
      <c r="AG118">
        <v>526.05999999999995</v>
      </c>
      <c r="AH118" s="14">
        <v>4.99</v>
      </c>
      <c r="AI118">
        <v>632.80999999999995</v>
      </c>
    </row>
    <row r="119" spans="1:35" ht="15.75">
      <c r="A119" t="s">
        <v>505</v>
      </c>
      <c r="B119" s="2" t="s">
        <v>505</v>
      </c>
      <c r="C119" s="2" t="str">
        <f t="shared" si="1"/>
        <v>TRUE</v>
      </c>
      <c r="D119" s="2" t="s">
        <v>858</v>
      </c>
      <c r="E119" s="2" t="s">
        <v>868</v>
      </c>
      <c r="F119" s="2" t="s">
        <v>864</v>
      </c>
      <c r="G119" s="3">
        <v>34720</v>
      </c>
      <c r="H119" s="3">
        <v>43903</v>
      </c>
      <c r="I119" s="2">
        <v>25</v>
      </c>
      <c r="J119" s="2">
        <v>2</v>
      </c>
      <c r="K119" s="2" t="s">
        <v>857</v>
      </c>
      <c r="L119" s="2">
        <v>172</v>
      </c>
      <c r="M119" s="2">
        <v>0</v>
      </c>
      <c r="N119">
        <v>23.58</v>
      </c>
      <c r="O119">
        <v>2.63</v>
      </c>
      <c r="P119">
        <v>23.76</v>
      </c>
      <c r="Q119">
        <v>384.8</v>
      </c>
      <c r="R119">
        <v>29.78</v>
      </c>
      <c r="S119">
        <v>35.24</v>
      </c>
      <c r="T119">
        <v>29.82</v>
      </c>
      <c r="U119">
        <v>1.92</v>
      </c>
      <c r="V119">
        <v>898.58</v>
      </c>
      <c r="W119">
        <v>629.57000000000005</v>
      </c>
      <c r="X119">
        <v>33.85</v>
      </c>
      <c r="Y119">
        <v>611.92999999999995</v>
      </c>
      <c r="Z119">
        <v>51.1</v>
      </c>
      <c r="AA119">
        <v>29.15</v>
      </c>
      <c r="AB119">
        <v>32.979999999999997</v>
      </c>
      <c r="AC119">
        <v>23.53</v>
      </c>
      <c r="AD119">
        <v>181.6</v>
      </c>
      <c r="AE119">
        <v>347.59</v>
      </c>
      <c r="AF119">
        <v>17.23</v>
      </c>
      <c r="AG119">
        <v>2500.0100000000002</v>
      </c>
      <c r="AH119">
        <v>12.58</v>
      </c>
      <c r="AI119">
        <v>1055.08</v>
      </c>
    </row>
    <row r="120" spans="1:35" ht="15.75">
      <c r="A120" t="s">
        <v>364</v>
      </c>
      <c r="B120" s="2" t="s">
        <v>364</v>
      </c>
      <c r="C120" s="2" t="str">
        <f t="shared" si="1"/>
        <v>TRUE</v>
      </c>
      <c r="D120" s="2" t="s">
        <v>858</v>
      </c>
      <c r="E120" s="2" t="s">
        <v>859</v>
      </c>
      <c r="F120" s="2" t="s">
        <v>860</v>
      </c>
      <c r="G120" s="3">
        <v>30355</v>
      </c>
      <c r="H120" s="3">
        <v>43854</v>
      </c>
      <c r="I120" s="2">
        <v>36</v>
      </c>
      <c r="J120" s="2">
        <v>1</v>
      </c>
      <c r="K120" s="2" t="s">
        <v>861</v>
      </c>
      <c r="L120" s="2">
        <v>2375</v>
      </c>
      <c r="M120" s="2">
        <v>14</v>
      </c>
      <c r="N120">
        <v>6.05</v>
      </c>
      <c r="O120">
        <v>0.99</v>
      </c>
      <c r="P120">
        <v>1.9</v>
      </c>
      <c r="Q120">
        <v>20.61</v>
      </c>
      <c r="R120">
        <v>7.7</v>
      </c>
      <c r="S120">
        <v>1.89</v>
      </c>
      <c r="T120">
        <v>14.22</v>
      </c>
      <c r="U120" s="13">
        <v>0.99</v>
      </c>
      <c r="V120">
        <v>886.15</v>
      </c>
      <c r="W120">
        <v>61.54</v>
      </c>
      <c r="X120">
        <v>44.32</v>
      </c>
      <c r="Y120">
        <v>376.42</v>
      </c>
      <c r="Z120">
        <v>9.42</v>
      </c>
      <c r="AA120">
        <v>111.4</v>
      </c>
      <c r="AB120">
        <v>9.48</v>
      </c>
      <c r="AC120">
        <v>49.08</v>
      </c>
      <c r="AD120">
        <v>34.31</v>
      </c>
      <c r="AE120">
        <v>104.72</v>
      </c>
      <c r="AF120">
        <v>22.27</v>
      </c>
      <c r="AG120">
        <v>107.93</v>
      </c>
      <c r="AH120">
        <v>16.91</v>
      </c>
      <c r="AI120">
        <v>19.7</v>
      </c>
    </row>
    <row r="121" spans="1:35" ht="15.75">
      <c r="A121" t="s">
        <v>229</v>
      </c>
      <c r="B121" s="2" t="s">
        <v>229</v>
      </c>
      <c r="C121" s="2" t="str">
        <f t="shared" si="1"/>
        <v>TRUE</v>
      </c>
      <c r="D121" s="2" t="s">
        <v>865</v>
      </c>
      <c r="E121" s="2" t="s">
        <v>873</v>
      </c>
      <c r="F121" s="2" t="s">
        <v>864</v>
      </c>
      <c r="G121" s="3">
        <v>34130</v>
      </c>
      <c r="H121" s="3">
        <v>43854</v>
      </c>
      <c r="I121" s="2">
        <v>26</v>
      </c>
      <c r="J121" s="2">
        <v>1</v>
      </c>
      <c r="K121" s="2" t="s">
        <v>861</v>
      </c>
      <c r="L121" s="2">
        <v>647</v>
      </c>
      <c r="M121" s="2">
        <v>4</v>
      </c>
      <c r="N121">
        <v>16.489999999999998</v>
      </c>
      <c r="O121">
        <v>3.95</v>
      </c>
      <c r="P121">
        <v>374.05</v>
      </c>
      <c r="Q121">
        <v>84.06</v>
      </c>
      <c r="R121">
        <v>83.4</v>
      </c>
      <c r="S121">
        <v>58.5</v>
      </c>
      <c r="T121">
        <v>57.05</v>
      </c>
      <c r="U121">
        <v>4.75</v>
      </c>
      <c r="V121">
        <v>2500.0100000000002</v>
      </c>
      <c r="W121">
        <v>1184.73</v>
      </c>
      <c r="X121">
        <v>613.33000000000004</v>
      </c>
      <c r="Y121" s="14">
        <v>1000.01</v>
      </c>
      <c r="Z121">
        <v>43.25</v>
      </c>
      <c r="AA121">
        <v>262.12</v>
      </c>
      <c r="AB121">
        <v>117.18</v>
      </c>
      <c r="AC121">
        <v>116.89</v>
      </c>
      <c r="AD121">
        <v>82.89</v>
      </c>
      <c r="AE121">
        <v>136.15</v>
      </c>
      <c r="AF121">
        <v>17.190000000000001</v>
      </c>
      <c r="AG121">
        <v>443.77</v>
      </c>
      <c r="AH121">
        <v>53.54</v>
      </c>
      <c r="AI121">
        <v>153.97999999999999</v>
      </c>
    </row>
    <row r="122" spans="1:35" ht="15.75">
      <c r="A122" t="s">
        <v>271</v>
      </c>
      <c r="B122" s="2" t="s">
        <v>271</v>
      </c>
      <c r="C122" s="2" t="str">
        <f t="shared" si="1"/>
        <v>TRUE</v>
      </c>
      <c r="D122" s="2" t="s">
        <v>858</v>
      </c>
      <c r="E122" s="2" t="s">
        <v>863</v>
      </c>
      <c r="F122" s="2" t="s">
        <v>864</v>
      </c>
      <c r="G122" s="3">
        <v>25518</v>
      </c>
      <c r="H122" s="3">
        <v>43864</v>
      </c>
      <c r="I122" s="2">
        <v>50</v>
      </c>
      <c r="J122" s="2">
        <v>1</v>
      </c>
      <c r="K122" s="2" t="s">
        <v>861</v>
      </c>
      <c r="L122" s="2">
        <v>1982</v>
      </c>
      <c r="M122" s="2">
        <v>10</v>
      </c>
      <c r="N122">
        <v>11.44</v>
      </c>
      <c r="O122">
        <v>1.96</v>
      </c>
      <c r="P122">
        <v>34.4</v>
      </c>
      <c r="Q122">
        <v>201.95</v>
      </c>
      <c r="R122">
        <v>98.57</v>
      </c>
      <c r="S122">
        <v>40.86</v>
      </c>
      <c r="T122">
        <v>96.77</v>
      </c>
      <c r="U122">
        <v>8.0500000000000007</v>
      </c>
      <c r="V122">
        <v>1726.15</v>
      </c>
      <c r="W122">
        <v>352.14</v>
      </c>
      <c r="X122">
        <v>104.17</v>
      </c>
      <c r="Y122">
        <v>423.21</v>
      </c>
      <c r="Z122">
        <v>10.25</v>
      </c>
      <c r="AA122">
        <v>368.48</v>
      </c>
      <c r="AB122">
        <v>78.87</v>
      </c>
      <c r="AC122">
        <v>112.32</v>
      </c>
      <c r="AD122">
        <v>29.72</v>
      </c>
      <c r="AE122">
        <v>109.87</v>
      </c>
      <c r="AF122">
        <v>54.54</v>
      </c>
      <c r="AG122">
        <v>110.91</v>
      </c>
      <c r="AH122">
        <v>31.34</v>
      </c>
      <c r="AI122">
        <v>68.709999999999994</v>
      </c>
    </row>
    <row r="123" spans="1:35" ht="15.75">
      <c r="A123" t="s">
        <v>142</v>
      </c>
      <c r="B123" s="2" t="s">
        <v>142</v>
      </c>
      <c r="C123" s="2" t="str">
        <f t="shared" si="1"/>
        <v>TRUE</v>
      </c>
      <c r="D123" s="2" t="s">
        <v>865</v>
      </c>
      <c r="E123" s="2" t="s">
        <v>872</v>
      </c>
      <c r="F123" s="2" t="s">
        <v>860</v>
      </c>
      <c r="G123" s="3">
        <v>34219</v>
      </c>
      <c r="H123" s="3">
        <v>43890</v>
      </c>
      <c r="I123" s="2">
        <v>26</v>
      </c>
      <c r="J123" s="4">
        <v>1</v>
      </c>
      <c r="K123" s="2" t="s">
        <v>861</v>
      </c>
      <c r="L123" s="2" t="s">
        <v>856</v>
      </c>
      <c r="M123" s="2">
        <v>11</v>
      </c>
      <c r="N123">
        <v>19.27</v>
      </c>
      <c r="O123">
        <v>2.13</v>
      </c>
      <c r="P123">
        <v>123.6</v>
      </c>
      <c r="Q123">
        <v>0.99</v>
      </c>
      <c r="R123">
        <v>18.600000000000001</v>
      </c>
      <c r="S123">
        <v>10.3</v>
      </c>
      <c r="T123">
        <v>24.06</v>
      </c>
      <c r="U123">
        <v>3.3</v>
      </c>
      <c r="V123">
        <v>146.1</v>
      </c>
      <c r="W123">
        <v>2.4900000000000002</v>
      </c>
      <c r="X123">
        <v>11.9</v>
      </c>
      <c r="Y123">
        <v>103.36</v>
      </c>
      <c r="Z123">
        <v>11.15</v>
      </c>
      <c r="AA123">
        <v>9.42</v>
      </c>
      <c r="AB123" s="14">
        <v>2.4900000000000002</v>
      </c>
      <c r="AC123">
        <v>4.1100000000000003</v>
      </c>
      <c r="AD123" s="14">
        <v>9.99</v>
      </c>
      <c r="AE123">
        <v>74.27</v>
      </c>
      <c r="AF123" s="14">
        <v>4.99</v>
      </c>
      <c r="AG123" s="14">
        <v>4.99</v>
      </c>
      <c r="AH123">
        <v>17.45</v>
      </c>
      <c r="AI123" s="14">
        <v>4.99</v>
      </c>
    </row>
    <row r="124" spans="1:35" ht="15.75">
      <c r="A124" t="s">
        <v>268</v>
      </c>
      <c r="B124" s="2" t="s">
        <v>268</v>
      </c>
      <c r="C124" s="2" t="str">
        <f t="shared" si="1"/>
        <v>TRUE</v>
      </c>
      <c r="D124" s="2" t="s">
        <v>858</v>
      </c>
      <c r="E124" s="2" t="s">
        <v>863</v>
      </c>
      <c r="F124" s="2" t="s">
        <v>864</v>
      </c>
      <c r="G124" s="3">
        <v>25518</v>
      </c>
      <c r="H124" s="3">
        <v>43916</v>
      </c>
      <c r="I124" s="2">
        <v>50</v>
      </c>
      <c r="J124" s="2">
        <v>2</v>
      </c>
      <c r="K124" s="2" t="s">
        <v>861</v>
      </c>
      <c r="L124" s="2">
        <v>178</v>
      </c>
      <c r="M124" s="2">
        <v>0</v>
      </c>
      <c r="N124">
        <v>9.7899999999999991</v>
      </c>
      <c r="O124">
        <v>0.99</v>
      </c>
      <c r="P124">
        <v>21.59</v>
      </c>
      <c r="Q124">
        <v>123.16</v>
      </c>
      <c r="R124">
        <v>51</v>
      </c>
      <c r="S124">
        <v>12.52</v>
      </c>
      <c r="T124">
        <v>61.33</v>
      </c>
      <c r="U124">
        <v>1.82</v>
      </c>
      <c r="V124">
        <v>2500.0100000000002</v>
      </c>
      <c r="W124">
        <v>1567.22</v>
      </c>
      <c r="X124">
        <v>250.72</v>
      </c>
      <c r="Y124" s="14">
        <v>1000.01</v>
      </c>
      <c r="Z124">
        <v>11.18</v>
      </c>
      <c r="AA124">
        <v>1726.98</v>
      </c>
      <c r="AB124">
        <v>485.43</v>
      </c>
      <c r="AC124">
        <v>754.42</v>
      </c>
      <c r="AD124">
        <v>118.72</v>
      </c>
      <c r="AE124">
        <v>95.63</v>
      </c>
      <c r="AF124">
        <v>41.79</v>
      </c>
      <c r="AG124">
        <v>511.77</v>
      </c>
      <c r="AH124">
        <v>29.6</v>
      </c>
      <c r="AI124">
        <v>114.39</v>
      </c>
    </row>
    <row r="125" spans="1:35" ht="15.75">
      <c r="A125" t="s">
        <v>120</v>
      </c>
      <c r="B125" s="2" t="s">
        <v>120</v>
      </c>
      <c r="C125" s="2" t="str">
        <f t="shared" si="1"/>
        <v>TRUE</v>
      </c>
      <c r="D125" s="2" t="s">
        <v>854</v>
      </c>
      <c r="E125" s="2" t="s">
        <v>862</v>
      </c>
      <c r="F125" s="2" t="s">
        <v>856</v>
      </c>
      <c r="G125" s="3">
        <v>29236</v>
      </c>
      <c r="H125" s="3">
        <v>43868</v>
      </c>
      <c r="I125" s="2">
        <v>40</v>
      </c>
      <c r="J125" s="2">
        <v>2</v>
      </c>
      <c r="K125" s="2" t="s">
        <v>857</v>
      </c>
      <c r="L125" s="2">
        <v>37</v>
      </c>
      <c r="M125" s="2" t="s">
        <v>856</v>
      </c>
      <c r="N125">
        <v>13.34</v>
      </c>
      <c r="O125">
        <v>4</v>
      </c>
      <c r="P125">
        <v>153.62</v>
      </c>
      <c r="Q125">
        <v>32.71</v>
      </c>
      <c r="R125">
        <v>160.76</v>
      </c>
      <c r="S125">
        <v>21.58</v>
      </c>
      <c r="T125">
        <v>81.72</v>
      </c>
      <c r="U125">
        <v>11.01</v>
      </c>
      <c r="V125">
        <v>2470.5700000000002</v>
      </c>
      <c r="W125">
        <v>121.68</v>
      </c>
      <c r="X125">
        <v>303.16000000000003</v>
      </c>
      <c r="Y125">
        <v>550.25</v>
      </c>
      <c r="Z125">
        <v>38.409999999999997</v>
      </c>
      <c r="AA125">
        <v>440.37</v>
      </c>
      <c r="AB125">
        <v>25.12</v>
      </c>
      <c r="AC125">
        <v>111.75</v>
      </c>
      <c r="AD125">
        <v>149.69</v>
      </c>
      <c r="AE125">
        <v>261.26</v>
      </c>
      <c r="AF125">
        <v>75.58</v>
      </c>
      <c r="AG125">
        <v>339.61</v>
      </c>
      <c r="AH125">
        <v>73.05</v>
      </c>
      <c r="AI125">
        <v>48.77</v>
      </c>
    </row>
    <row r="126" spans="1:35" ht="15.75">
      <c r="A126" t="s">
        <v>439</v>
      </c>
      <c r="B126" s="2" t="s">
        <v>439</v>
      </c>
      <c r="C126" s="2" t="str">
        <f t="shared" si="1"/>
        <v>TRUE</v>
      </c>
      <c r="D126" s="2" t="s">
        <v>858</v>
      </c>
      <c r="E126" s="2" t="s">
        <v>868</v>
      </c>
      <c r="F126" s="2" t="s">
        <v>864</v>
      </c>
      <c r="G126" s="3">
        <v>21477</v>
      </c>
      <c r="H126" s="3">
        <v>44042</v>
      </c>
      <c r="I126" s="2">
        <v>61</v>
      </c>
      <c r="J126" s="2">
        <v>1</v>
      </c>
      <c r="K126" s="2" t="s">
        <v>857</v>
      </c>
      <c r="L126" s="2">
        <v>394</v>
      </c>
      <c r="M126" s="2">
        <v>6</v>
      </c>
      <c r="N126">
        <v>10.31</v>
      </c>
      <c r="O126">
        <v>12.21</v>
      </c>
      <c r="P126">
        <v>68.680000000000007</v>
      </c>
      <c r="Q126">
        <v>356.83</v>
      </c>
      <c r="R126">
        <v>170.96</v>
      </c>
      <c r="S126">
        <v>63.5</v>
      </c>
      <c r="T126">
        <v>56.79</v>
      </c>
      <c r="U126">
        <v>6.34</v>
      </c>
      <c r="V126">
        <v>1280.28</v>
      </c>
      <c r="W126">
        <v>628.24</v>
      </c>
      <c r="X126">
        <v>134.03</v>
      </c>
      <c r="Y126">
        <v>180.87</v>
      </c>
      <c r="Z126">
        <v>6.4</v>
      </c>
      <c r="AA126">
        <v>58.04</v>
      </c>
      <c r="AB126">
        <v>33.950000000000003</v>
      </c>
      <c r="AC126">
        <v>11.66</v>
      </c>
      <c r="AD126">
        <v>45.64</v>
      </c>
      <c r="AE126">
        <v>40.89</v>
      </c>
      <c r="AF126" s="14">
        <v>4.99</v>
      </c>
      <c r="AG126">
        <v>359.18</v>
      </c>
      <c r="AH126">
        <v>16.670000000000002</v>
      </c>
      <c r="AI126">
        <v>52.11</v>
      </c>
    </row>
    <row r="127" spans="1:35" ht="15.75">
      <c r="A127" t="s">
        <v>733</v>
      </c>
      <c r="B127" s="2" t="s">
        <v>733</v>
      </c>
      <c r="C127" s="2" t="str">
        <f t="shared" si="1"/>
        <v>TRUE</v>
      </c>
      <c r="D127" s="2" t="s">
        <v>858</v>
      </c>
      <c r="E127" s="2" t="s">
        <v>863</v>
      </c>
      <c r="F127" s="2" t="s">
        <v>864</v>
      </c>
      <c r="G127" s="3">
        <v>36030</v>
      </c>
      <c r="H127" s="3">
        <v>44054</v>
      </c>
      <c r="I127" s="2">
        <v>21</v>
      </c>
      <c r="J127" s="2">
        <v>1</v>
      </c>
      <c r="K127" s="2" t="s">
        <v>857</v>
      </c>
      <c r="L127" s="2">
        <v>2208</v>
      </c>
      <c r="M127" s="2">
        <v>5</v>
      </c>
      <c r="N127">
        <v>11.54</v>
      </c>
      <c r="O127">
        <v>0.99</v>
      </c>
      <c r="P127">
        <v>22.31</v>
      </c>
      <c r="Q127">
        <v>131.24</v>
      </c>
      <c r="R127">
        <v>20.18</v>
      </c>
      <c r="S127">
        <v>15.87</v>
      </c>
      <c r="T127">
        <v>41.1</v>
      </c>
      <c r="U127" s="13">
        <v>0.99</v>
      </c>
      <c r="V127">
        <v>2476.71</v>
      </c>
      <c r="W127">
        <v>814.65</v>
      </c>
      <c r="X127">
        <v>100.8</v>
      </c>
      <c r="Y127" s="14">
        <v>1000.01</v>
      </c>
      <c r="Z127">
        <v>35.54</v>
      </c>
      <c r="AA127">
        <v>510.65</v>
      </c>
      <c r="AB127">
        <v>225.62</v>
      </c>
      <c r="AC127">
        <v>350.47</v>
      </c>
      <c r="AD127">
        <v>169.55</v>
      </c>
      <c r="AE127">
        <v>172.36</v>
      </c>
      <c r="AF127">
        <v>43.82</v>
      </c>
      <c r="AG127">
        <v>425.92</v>
      </c>
      <c r="AH127">
        <v>19.54</v>
      </c>
      <c r="AI127">
        <v>216.3</v>
      </c>
    </row>
    <row r="128" spans="1:35" ht="15.75">
      <c r="A128" t="s">
        <v>367</v>
      </c>
      <c r="B128" s="2" t="s">
        <v>367</v>
      </c>
      <c r="C128" s="2" t="str">
        <f t="shared" si="1"/>
        <v>TRUE</v>
      </c>
      <c r="D128" s="2" t="s">
        <v>858</v>
      </c>
      <c r="E128" s="2" t="s">
        <v>859</v>
      </c>
      <c r="F128" s="2" t="s">
        <v>860</v>
      </c>
      <c r="G128" s="3">
        <v>30355</v>
      </c>
      <c r="H128" s="3">
        <v>43978</v>
      </c>
      <c r="I128" s="2">
        <v>37</v>
      </c>
      <c r="J128" s="2">
        <v>2</v>
      </c>
      <c r="K128" s="2" t="s">
        <v>861</v>
      </c>
      <c r="L128" s="2">
        <v>3372</v>
      </c>
      <c r="M128" s="2">
        <v>13</v>
      </c>
      <c r="N128">
        <v>12.86</v>
      </c>
      <c r="O128">
        <v>1.8</v>
      </c>
      <c r="P128">
        <v>30.95</v>
      </c>
      <c r="Q128">
        <v>27.24</v>
      </c>
      <c r="R128">
        <v>62.66</v>
      </c>
      <c r="S128">
        <v>18.510000000000002</v>
      </c>
      <c r="T128">
        <v>27.92</v>
      </c>
      <c r="U128">
        <v>2.8</v>
      </c>
      <c r="V128">
        <v>401.56</v>
      </c>
      <c r="W128">
        <v>13.13</v>
      </c>
      <c r="X128">
        <v>23.73</v>
      </c>
      <c r="Y128">
        <v>96.29</v>
      </c>
      <c r="Z128" s="14">
        <v>2.4900000000000002</v>
      </c>
      <c r="AA128">
        <v>16.27</v>
      </c>
      <c r="AB128" s="14">
        <v>2.4900000000000002</v>
      </c>
      <c r="AC128">
        <v>4.6900000000000004</v>
      </c>
      <c r="AD128" s="14">
        <v>9.99</v>
      </c>
      <c r="AE128">
        <v>27</v>
      </c>
      <c r="AF128" s="14">
        <v>4.99</v>
      </c>
      <c r="AG128">
        <v>9.4600000000000009</v>
      </c>
      <c r="AH128">
        <v>23.85</v>
      </c>
      <c r="AI128" s="14">
        <v>4.99</v>
      </c>
    </row>
    <row r="129" spans="1:35" ht="15.75">
      <c r="A129" t="s">
        <v>526</v>
      </c>
      <c r="B129" s="2" t="s">
        <v>526</v>
      </c>
      <c r="C129" s="2" t="str">
        <f t="shared" si="1"/>
        <v>TRUE</v>
      </c>
      <c r="D129" s="2" t="s">
        <v>865</v>
      </c>
      <c r="E129" s="2" t="s">
        <v>869</v>
      </c>
      <c r="F129" s="2" t="s">
        <v>860</v>
      </c>
      <c r="G129" s="3">
        <v>32221</v>
      </c>
      <c r="H129" s="3">
        <v>44063</v>
      </c>
      <c r="I129" s="2">
        <v>32</v>
      </c>
      <c r="J129" s="2">
        <v>1</v>
      </c>
      <c r="K129" s="2" t="s">
        <v>857</v>
      </c>
      <c r="L129" s="2">
        <v>700</v>
      </c>
      <c r="M129" s="2">
        <v>4</v>
      </c>
      <c r="N129">
        <v>18.100000000000001</v>
      </c>
      <c r="O129">
        <v>13.05</v>
      </c>
      <c r="P129">
        <v>1000.01</v>
      </c>
      <c r="Q129">
        <v>218.42</v>
      </c>
      <c r="R129">
        <v>601.01</v>
      </c>
      <c r="S129">
        <v>259.88</v>
      </c>
      <c r="T129">
        <v>141.52000000000001</v>
      </c>
      <c r="U129">
        <v>11.54</v>
      </c>
      <c r="V129">
        <v>2500.0100000000002</v>
      </c>
      <c r="W129">
        <v>1233.22</v>
      </c>
      <c r="X129">
        <v>1858.42</v>
      </c>
      <c r="Y129" s="14">
        <v>1000.01</v>
      </c>
      <c r="Z129">
        <v>78.28</v>
      </c>
      <c r="AA129">
        <v>382.15</v>
      </c>
      <c r="AB129">
        <v>80.73</v>
      </c>
      <c r="AC129">
        <v>200.17</v>
      </c>
      <c r="AD129">
        <v>14.22</v>
      </c>
      <c r="AE129">
        <v>282.91000000000003</v>
      </c>
      <c r="AF129">
        <v>21.89</v>
      </c>
      <c r="AG129">
        <v>273.01</v>
      </c>
      <c r="AH129">
        <v>170.52</v>
      </c>
      <c r="AI129">
        <v>78.81</v>
      </c>
    </row>
    <row r="130" spans="1:35" ht="15.75">
      <c r="A130" t="s">
        <v>757</v>
      </c>
      <c r="B130" s="2" t="s">
        <v>757</v>
      </c>
      <c r="C130" s="2" t="str">
        <f t="shared" si="1"/>
        <v>TRUE</v>
      </c>
      <c r="D130" s="2" t="s">
        <v>854</v>
      </c>
      <c r="E130" s="2" t="s">
        <v>862</v>
      </c>
      <c r="F130" s="2" t="s">
        <v>856</v>
      </c>
      <c r="G130" s="7">
        <v>23988</v>
      </c>
      <c r="H130" s="3">
        <v>44084</v>
      </c>
      <c r="I130" s="2">
        <v>55</v>
      </c>
      <c r="K130" s="2" t="s">
        <v>857</v>
      </c>
      <c r="L130" s="2">
        <v>264</v>
      </c>
      <c r="M130" t="s">
        <v>856</v>
      </c>
      <c r="N130">
        <v>7.84</v>
      </c>
      <c r="O130">
        <v>1.25</v>
      </c>
      <c r="P130">
        <v>47.23</v>
      </c>
      <c r="Q130">
        <v>224.04</v>
      </c>
      <c r="R130">
        <v>36.96</v>
      </c>
      <c r="S130">
        <v>22.71</v>
      </c>
      <c r="T130">
        <v>43.95</v>
      </c>
      <c r="U130" s="13">
        <v>0.99</v>
      </c>
      <c r="V130">
        <v>571.36</v>
      </c>
      <c r="W130">
        <v>364.38</v>
      </c>
      <c r="X130">
        <v>43.1</v>
      </c>
      <c r="Y130">
        <v>225.4</v>
      </c>
      <c r="Z130" s="14">
        <v>2.4900000000000002</v>
      </c>
      <c r="AA130">
        <v>53.68</v>
      </c>
      <c r="AB130">
        <v>41.69</v>
      </c>
      <c r="AC130">
        <v>22.18</v>
      </c>
      <c r="AD130">
        <v>124.68</v>
      </c>
      <c r="AE130">
        <v>140.22999999999999</v>
      </c>
      <c r="AF130">
        <v>20.45</v>
      </c>
      <c r="AG130">
        <v>368.11</v>
      </c>
      <c r="AH130">
        <v>25.17</v>
      </c>
      <c r="AI130">
        <v>238.29</v>
      </c>
    </row>
    <row r="131" spans="1:35" ht="15.75">
      <c r="A131" t="s">
        <v>442</v>
      </c>
      <c r="B131" s="2" t="s">
        <v>442</v>
      </c>
      <c r="C131" s="2" t="str">
        <f t="shared" ref="C131:C194" si="2">IF(A131=B131, "TRUE", "FALSE")</f>
        <v>TRUE</v>
      </c>
      <c r="D131" s="2" t="s">
        <v>854</v>
      </c>
      <c r="E131" s="2" t="s">
        <v>862</v>
      </c>
      <c r="F131" s="2" t="s">
        <v>856</v>
      </c>
      <c r="G131" s="3">
        <v>34492</v>
      </c>
      <c r="H131" s="3">
        <v>44084</v>
      </c>
      <c r="I131" s="2">
        <v>26</v>
      </c>
      <c r="J131" s="2">
        <v>1</v>
      </c>
      <c r="K131" s="2" t="s">
        <v>857</v>
      </c>
      <c r="L131" s="2">
        <v>1928</v>
      </c>
      <c r="M131" s="2" t="s">
        <v>856</v>
      </c>
      <c r="N131">
        <v>26.17</v>
      </c>
      <c r="O131">
        <v>5.37</v>
      </c>
      <c r="P131">
        <v>216.11</v>
      </c>
      <c r="Q131">
        <v>315.48</v>
      </c>
      <c r="R131">
        <v>102</v>
      </c>
      <c r="S131">
        <v>49.04</v>
      </c>
      <c r="T131">
        <v>33.880000000000003</v>
      </c>
      <c r="U131">
        <v>4.71</v>
      </c>
      <c r="V131">
        <v>1328.42</v>
      </c>
      <c r="W131">
        <v>446.92</v>
      </c>
      <c r="X131">
        <v>107.72</v>
      </c>
      <c r="Y131">
        <v>395.08</v>
      </c>
      <c r="Z131">
        <v>13.63</v>
      </c>
      <c r="AA131">
        <v>136.72999999999999</v>
      </c>
      <c r="AB131">
        <v>61.22</v>
      </c>
      <c r="AC131">
        <v>35.369999999999997</v>
      </c>
      <c r="AD131">
        <v>29.75</v>
      </c>
      <c r="AE131">
        <v>57.18</v>
      </c>
      <c r="AF131">
        <v>8.36</v>
      </c>
      <c r="AG131">
        <v>140.63</v>
      </c>
      <c r="AH131">
        <v>17.27</v>
      </c>
      <c r="AI131">
        <v>45.75</v>
      </c>
    </row>
    <row r="132" spans="1:35" ht="15.75">
      <c r="A132" t="s">
        <v>775</v>
      </c>
      <c r="B132" s="2" t="s">
        <v>775</v>
      </c>
      <c r="C132" s="2" t="str">
        <f t="shared" si="2"/>
        <v>TRUE</v>
      </c>
      <c r="D132" s="2" t="s">
        <v>858</v>
      </c>
      <c r="E132" s="2" t="s">
        <v>868</v>
      </c>
      <c r="F132" s="2" t="s">
        <v>864</v>
      </c>
      <c r="G132" s="3">
        <v>33194</v>
      </c>
      <c r="H132" s="3">
        <v>44084</v>
      </c>
      <c r="I132" s="2">
        <v>29</v>
      </c>
      <c r="J132" s="2">
        <v>1</v>
      </c>
      <c r="K132" s="2" t="s">
        <v>861</v>
      </c>
      <c r="L132" s="2">
        <v>6689</v>
      </c>
      <c r="M132" s="2">
        <v>4</v>
      </c>
      <c r="N132">
        <v>15.18</v>
      </c>
      <c r="O132">
        <v>25.82</v>
      </c>
      <c r="P132">
        <v>8.92</v>
      </c>
      <c r="Q132">
        <v>120.31</v>
      </c>
      <c r="R132">
        <v>841.39</v>
      </c>
      <c r="S132">
        <v>44.45</v>
      </c>
      <c r="T132">
        <v>1000.01</v>
      </c>
      <c r="U132">
        <v>96.67</v>
      </c>
      <c r="V132">
        <v>513.37</v>
      </c>
      <c r="W132">
        <v>50</v>
      </c>
      <c r="X132">
        <v>36.69</v>
      </c>
      <c r="Y132">
        <v>284.5</v>
      </c>
      <c r="Z132">
        <v>41.17</v>
      </c>
      <c r="AA132">
        <v>77.349999999999994</v>
      </c>
      <c r="AB132">
        <v>9.2899999999999991</v>
      </c>
      <c r="AC132">
        <v>28.67</v>
      </c>
      <c r="AD132">
        <v>136.53</v>
      </c>
      <c r="AE132">
        <v>218.73</v>
      </c>
      <c r="AF132">
        <v>71</v>
      </c>
      <c r="AG132">
        <v>230.97</v>
      </c>
      <c r="AH132">
        <v>28.89</v>
      </c>
      <c r="AI132">
        <v>53.34</v>
      </c>
    </row>
    <row r="133" spans="1:35" ht="15.75">
      <c r="A133" t="s">
        <v>139</v>
      </c>
      <c r="B133" s="2" t="s">
        <v>139</v>
      </c>
      <c r="C133" s="2" t="str">
        <f t="shared" si="2"/>
        <v>TRUE</v>
      </c>
      <c r="D133" s="2" t="s">
        <v>865</v>
      </c>
      <c r="E133" s="2" t="s">
        <v>872</v>
      </c>
      <c r="F133" s="2" t="s">
        <v>860</v>
      </c>
      <c r="G133" s="3">
        <v>34219</v>
      </c>
      <c r="H133" s="3">
        <v>44092</v>
      </c>
      <c r="I133" s="2">
        <v>27</v>
      </c>
      <c r="J133" s="2">
        <v>1</v>
      </c>
      <c r="K133" s="2" t="s">
        <v>861</v>
      </c>
      <c r="L133" s="2">
        <v>2255</v>
      </c>
      <c r="M133" s="2">
        <v>11</v>
      </c>
      <c r="N133">
        <v>21.27</v>
      </c>
      <c r="O133">
        <v>21.69</v>
      </c>
      <c r="P133">
        <v>1000.01</v>
      </c>
      <c r="Q133">
        <v>0.99</v>
      </c>
      <c r="R133">
        <v>366.54</v>
      </c>
      <c r="S133">
        <v>231.39</v>
      </c>
      <c r="T133">
        <v>56.98</v>
      </c>
      <c r="U133">
        <v>3.24</v>
      </c>
      <c r="V133">
        <v>282.26</v>
      </c>
      <c r="W133">
        <v>2.4900000000000002</v>
      </c>
      <c r="X133">
        <v>86.03</v>
      </c>
      <c r="Y133">
        <v>134.46</v>
      </c>
      <c r="Z133">
        <v>5.83</v>
      </c>
      <c r="AA133">
        <v>23.75</v>
      </c>
      <c r="AB133" s="14">
        <v>2.4900000000000002</v>
      </c>
      <c r="AC133">
        <v>11.34</v>
      </c>
      <c r="AD133" s="14">
        <v>9.99</v>
      </c>
      <c r="AE133">
        <v>45.62</v>
      </c>
      <c r="AF133">
        <v>5.23</v>
      </c>
      <c r="AG133" s="14">
        <v>4.99</v>
      </c>
      <c r="AH133">
        <v>84.99</v>
      </c>
      <c r="AI133" s="14">
        <v>4.99</v>
      </c>
    </row>
    <row r="134" spans="1:35" ht="15.75">
      <c r="A134" t="s">
        <v>712</v>
      </c>
      <c r="B134" s="2" t="s">
        <v>712</v>
      </c>
      <c r="C134" s="2" t="str">
        <f t="shared" si="2"/>
        <v>TRUE</v>
      </c>
      <c r="D134" s="2" t="s">
        <v>854</v>
      </c>
      <c r="E134" s="2" t="s">
        <v>855</v>
      </c>
      <c r="F134" s="2" t="s">
        <v>856</v>
      </c>
      <c r="G134" s="3">
        <v>30903</v>
      </c>
      <c r="H134" s="3">
        <v>44095</v>
      </c>
      <c r="I134" s="2">
        <v>36</v>
      </c>
      <c r="J134" s="2">
        <v>1</v>
      </c>
      <c r="K134" s="2" t="s">
        <v>857</v>
      </c>
      <c r="L134" s="2">
        <v>1036</v>
      </c>
      <c r="M134" s="2" t="s">
        <v>856</v>
      </c>
      <c r="N134">
        <v>24.33</v>
      </c>
      <c r="O134">
        <v>1.29</v>
      </c>
      <c r="P134">
        <v>21.21</v>
      </c>
      <c r="Q134">
        <v>597.99</v>
      </c>
      <c r="R134">
        <v>117.24</v>
      </c>
      <c r="S134">
        <v>20.55</v>
      </c>
      <c r="T134">
        <v>107.09</v>
      </c>
      <c r="U134">
        <v>2.29</v>
      </c>
      <c r="V134">
        <v>1458.66</v>
      </c>
      <c r="W134">
        <v>874.07</v>
      </c>
      <c r="X134">
        <v>37</v>
      </c>
      <c r="Y134">
        <v>632.72</v>
      </c>
      <c r="Z134">
        <v>7.26</v>
      </c>
      <c r="AA134">
        <v>51.12</v>
      </c>
      <c r="AB134">
        <v>35.1</v>
      </c>
      <c r="AC134">
        <v>28.22</v>
      </c>
      <c r="AD134">
        <v>18.149999999999999</v>
      </c>
      <c r="AE134">
        <v>85.29</v>
      </c>
      <c r="AF134">
        <v>5.4</v>
      </c>
      <c r="AG134">
        <v>358.52</v>
      </c>
      <c r="AH134">
        <v>5.0599999999999996</v>
      </c>
      <c r="AI134">
        <v>97.02</v>
      </c>
    </row>
    <row r="135" spans="1:35" ht="15.75">
      <c r="A135" t="s">
        <v>436</v>
      </c>
      <c r="B135" s="2" t="s">
        <v>436</v>
      </c>
      <c r="C135" s="2" t="str">
        <f t="shared" si="2"/>
        <v>TRUE</v>
      </c>
      <c r="D135" s="2" t="s">
        <v>858</v>
      </c>
      <c r="E135" s="2" t="s">
        <v>868</v>
      </c>
      <c r="F135" s="2" t="s">
        <v>864</v>
      </c>
      <c r="G135" s="3">
        <v>21477</v>
      </c>
      <c r="H135" s="3">
        <v>44098</v>
      </c>
      <c r="I135" s="2">
        <v>61</v>
      </c>
      <c r="J135" s="2">
        <v>2</v>
      </c>
      <c r="K135" s="2" t="s">
        <v>857</v>
      </c>
      <c r="L135" s="2">
        <v>66</v>
      </c>
      <c r="M135" s="2">
        <v>1</v>
      </c>
      <c r="N135">
        <v>23.45</v>
      </c>
      <c r="O135">
        <v>19.149999999999999</v>
      </c>
      <c r="P135">
        <v>84.81</v>
      </c>
      <c r="Q135" s="12">
        <v>1000.01</v>
      </c>
      <c r="R135" s="12">
        <v>1000.01</v>
      </c>
      <c r="S135">
        <v>341.02</v>
      </c>
      <c r="T135">
        <v>320.8</v>
      </c>
      <c r="U135">
        <v>15.85</v>
      </c>
      <c r="V135">
        <v>476.43</v>
      </c>
      <c r="W135">
        <v>314.16000000000003</v>
      </c>
      <c r="X135">
        <v>183.47</v>
      </c>
      <c r="Y135">
        <v>34.72</v>
      </c>
      <c r="Z135">
        <v>2.73</v>
      </c>
      <c r="AA135">
        <v>39.729999999999997</v>
      </c>
      <c r="AB135">
        <v>25.39</v>
      </c>
      <c r="AC135">
        <v>4.79</v>
      </c>
      <c r="AD135">
        <v>59.17</v>
      </c>
      <c r="AE135">
        <v>14.6</v>
      </c>
      <c r="AF135" s="14">
        <v>4.99</v>
      </c>
      <c r="AG135">
        <v>336.11</v>
      </c>
      <c r="AH135">
        <v>34.799999999999997</v>
      </c>
      <c r="AI135">
        <v>24.44</v>
      </c>
    </row>
    <row r="136" spans="1:35" ht="15.75">
      <c r="A136" t="s">
        <v>655</v>
      </c>
      <c r="B136" s="2" t="s">
        <v>655</v>
      </c>
      <c r="C136" s="2" t="str">
        <f t="shared" si="2"/>
        <v>TRUE</v>
      </c>
      <c r="D136" s="2" t="s">
        <v>858</v>
      </c>
      <c r="E136" s="2" t="s">
        <v>868</v>
      </c>
      <c r="F136" s="2" t="s">
        <v>864</v>
      </c>
      <c r="G136" s="3">
        <v>29096</v>
      </c>
      <c r="H136" s="3">
        <v>44099</v>
      </c>
      <c r="I136" s="2">
        <v>41</v>
      </c>
      <c r="J136" s="2">
        <v>1</v>
      </c>
      <c r="K136" s="2" t="s">
        <v>857</v>
      </c>
      <c r="L136" s="2">
        <v>1897</v>
      </c>
      <c r="M136" s="2">
        <v>13</v>
      </c>
      <c r="N136">
        <v>26.37</v>
      </c>
      <c r="O136">
        <v>4.5999999999999996</v>
      </c>
      <c r="P136">
        <v>50.79</v>
      </c>
      <c r="Q136">
        <v>683.84</v>
      </c>
      <c r="R136">
        <v>70.319999999999993</v>
      </c>
      <c r="S136">
        <v>71.38</v>
      </c>
      <c r="T136">
        <v>21.66</v>
      </c>
      <c r="U136">
        <v>2.91</v>
      </c>
      <c r="V136">
        <v>434.91</v>
      </c>
      <c r="W136">
        <v>545.20000000000005</v>
      </c>
      <c r="X136">
        <v>55.16</v>
      </c>
      <c r="Y136">
        <v>35.35</v>
      </c>
      <c r="Z136" s="14">
        <v>2.4900000000000002</v>
      </c>
      <c r="AA136">
        <v>18.22</v>
      </c>
      <c r="AB136">
        <v>22.86</v>
      </c>
      <c r="AC136">
        <v>2.5099999999999998</v>
      </c>
      <c r="AD136">
        <v>22.05</v>
      </c>
      <c r="AE136">
        <v>10.039999999999999</v>
      </c>
      <c r="AF136" s="14">
        <v>4.99</v>
      </c>
      <c r="AG136">
        <v>311.79000000000002</v>
      </c>
      <c r="AH136">
        <v>5.76</v>
      </c>
      <c r="AI136">
        <v>52.3</v>
      </c>
    </row>
    <row r="137" spans="1:35" ht="15.75">
      <c r="A137" t="s">
        <v>649</v>
      </c>
      <c r="B137" s="2" t="s">
        <v>649</v>
      </c>
      <c r="C137" s="2" t="str">
        <f t="shared" si="2"/>
        <v>TRUE</v>
      </c>
      <c r="D137" s="2" t="s">
        <v>858</v>
      </c>
      <c r="E137" s="2" t="s">
        <v>863</v>
      </c>
      <c r="F137" s="2" t="s">
        <v>860</v>
      </c>
      <c r="G137" s="3">
        <v>24431</v>
      </c>
      <c r="H137" s="3">
        <v>44099</v>
      </c>
      <c r="I137" s="2">
        <v>53</v>
      </c>
      <c r="J137" s="2">
        <v>1</v>
      </c>
      <c r="K137" s="2" t="s">
        <v>861</v>
      </c>
      <c r="L137" s="2">
        <v>1126</v>
      </c>
      <c r="M137" s="2">
        <v>15</v>
      </c>
      <c r="N137">
        <v>19.62</v>
      </c>
      <c r="O137">
        <v>1.22</v>
      </c>
      <c r="P137">
        <v>24.76</v>
      </c>
      <c r="Q137">
        <v>792.09</v>
      </c>
      <c r="R137">
        <v>139.36000000000001</v>
      </c>
      <c r="S137">
        <v>47.6</v>
      </c>
      <c r="T137">
        <v>29.48</v>
      </c>
      <c r="U137">
        <v>1.73</v>
      </c>
      <c r="V137">
        <v>2147.42</v>
      </c>
      <c r="W137">
        <v>1635.78</v>
      </c>
      <c r="X137">
        <v>42.45</v>
      </c>
      <c r="Y137">
        <v>541.92999999999995</v>
      </c>
      <c r="Z137">
        <v>15.04</v>
      </c>
      <c r="AA137">
        <v>113.68</v>
      </c>
      <c r="AB137">
        <v>99.85</v>
      </c>
      <c r="AC137">
        <v>39.74</v>
      </c>
      <c r="AD137">
        <v>107.56</v>
      </c>
      <c r="AE137">
        <v>83.65</v>
      </c>
      <c r="AF137">
        <v>5.59</v>
      </c>
      <c r="AG137">
        <v>1575.59</v>
      </c>
      <c r="AH137">
        <v>9.8699999999999992</v>
      </c>
      <c r="AI137">
        <v>204.77</v>
      </c>
    </row>
    <row r="138" spans="1:35" ht="15.75">
      <c r="A138" t="s">
        <v>520</v>
      </c>
      <c r="B138" s="2" t="s">
        <v>520</v>
      </c>
      <c r="C138" s="2" t="str">
        <f t="shared" si="2"/>
        <v>TRUE</v>
      </c>
      <c r="D138" s="2" t="s">
        <v>865</v>
      </c>
      <c r="E138" s="2" t="s">
        <v>872</v>
      </c>
      <c r="F138" s="2" t="s">
        <v>864</v>
      </c>
      <c r="G138" s="3">
        <v>35213</v>
      </c>
      <c r="H138" s="3">
        <v>44104</v>
      </c>
      <c r="I138" s="2">
        <v>24</v>
      </c>
      <c r="J138" s="2">
        <v>1</v>
      </c>
      <c r="K138" s="2" t="s">
        <v>857</v>
      </c>
      <c r="L138" s="2">
        <v>1123</v>
      </c>
      <c r="M138" s="2">
        <v>6</v>
      </c>
      <c r="N138">
        <v>14.25</v>
      </c>
      <c r="O138">
        <v>4.47</v>
      </c>
      <c r="P138">
        <v>190.65</v>
      </c>
      <c r="Q138">
        <v>222.54</v>
      </c>
      <c r="R138">
        <v>84.51</v>
      </c>
      <c r="S138">
        <v>52.44</v>
      </c>
      <c r="T138">
        <v>46.94</v>
      </c>
      <c r="U138">
        <v>12.72</v>
      </c>
      <c r="V138">
        <v>957.27</v>
      </c>
      <c r="W138">
        <v>329.86</v>
      </c>
      <c r="X138">
        <v>71.760000000000005</v>
      </c>
      <c r="Y138">
        <v>181.93</v>
      </c>
      <c r="Z138">
        <v>8.7200000000000006</v>
      </c>
      <c r="AA138">
        <v>20.57</v>
      </c>
      <c r="AB138">
        <v>7.73</v>
      </c>
      <c r="AC138">
        <v>5.22</v>
      </c>
      <c r="AD138">
        <v>18.600000000000001</v>
      </c>
      <c r="AE138">
        <v>21.8</v>
      </c>
      <c r="AF138" s="14">
        <v>4.99</v>
      </c>
      <c r="AG138">
        <v>498.29</v>
      </c>
      <c r="AH138">
        <v>8.32</v>
      </c>
      <c r="AI138">
        <v>15.93</v>
      </c>
    </row>
    <row r="139" spans="1:35" ht="15.75">
      <c r="A139" t="s">
        <v>532</v>
      </c>
      <c r="B139" s="2" t="s">
        <v>532</v>
      </c>
      <c r="C139" s="2" t="str">
        <f t="shared" si="2"/>
        <v>TRUE</v>
      </c>
      <c r="D139" s="2" t="s">
        <v>858</v>
      </c>
      <c r="E139" s="2" t="s">
        <v>863</v>
      </c>
      <c r="F139" s="2" t="s">
        <v>864</v>
      </c>
      <c r="G139" s="3">
        <v>23988</v>
      </c>
      <c r="H139" s="3">
        <v>44104</v>
      </c>
      <c r="I139" s="2">
        <v>55</v>
      </c>
      <c r="J139" s="2">
        <v>1</v>
      </c>
      <c r="K139" s="2" t="s">
        <v>861</v>
      </c>
      <c r="L139" s="2">
        <v>4713</v>
      </c>
      <c r="M139" s="2">
        <v>6</v>
      </c>
      <c r="N139">
        <v>25.95</v>
      </c>
      <c r="O139">
        <v>12.98</v>
      </c>
      <c r="P139">
        <v>245.82</v>
      </c>
      <c r="Q139">
        <v>704.49</v>
      </c>
      <c r="R139">
        <v>176.21</v>
      </c>
      <c r="S139">
        <v>119.5</v>
      </c>
      <c r="T139">
        <v>61.9</v>
      </c>
      <c r="U139">
        <v>4.74</v>
      </c>
      <c r="V139">
        <v>2500.0100000000002</v>
      </c>
      <c r="W139" s="14">
        <v>2500.0100000000002</v>
      </c>
      <c r="X139">
        <v>841.5</v>
      </c>
      <c r="Y139" s="14">
        <v>1000.01</v>
      </c>
      <c r="Z139">
        <v>17.850000000000001</v>
      </c>
      <c r="AA139">
        <v>714.03</v>
      </c>
      <c r="AB139">
        <v>462.89</v>
      </c>
      <c r="AC139">
        <v>676.54</v>
      </c>
      <c r="AD139">
        <v>31.08</v>
      </c>
      <c r="AE139">
        <v>112.69</v>
      </c>
      <c r="AF139">
        <v>5.65</v>
      </c>
      <c r="AG139">
        <v>437.23</v>
      </c>
      <c r="AH139">
        <v>54.14</v>
      </c>
      <c r="AI139">
        <v>196.88</v>
      </c>
    </row>
    <row r="140" spans="1:35" ht="15.75">
      <c r="A140" t="s">
        <v>262</v>
      </c>
      <c r="B140" s="2" t="s">
        <v>262</v>
      </c>
      <c r="C140" s="2" t="str">
        <f t="shared" si="2"/>
        <v>TRUE</v>
      </c>
      <c r="D140" s="2" t="s">
        <v>858</v>
      </c>
      <c r="E140" s="2" t="s">
        <v>859</v>
      </c>
      <c r="F140" s="2" t="s">
        <v>864</v>
      </c>
      <c r="G140" s="3">
        <v>16624</v>
      </c>
      <c r="H140" s="3">
        <v>44106</v>
      </c>
      <c r="I140" s="2">
        <v>75</v>
      </c>
      <c r="J140" s="2">
        <v>1</v>
      </c>
      <c r="K140" s="2" t="s">
        <v>861</v>
      </c>
      <c r="L140" s="2">
        <v>4146</v>
      </c>
      <c r="M140" s="2">
        <v>6</v>
      </c>
      <c r="N140">
        <v>4.8</v>
      </c>
      <c r="O140">
        <v>1.86</v>
      </c>
      <c r="P140">
        <v>34.74</v>
      </c>
      <c r="Q140">
        <v>245.24</v>
      </c>
      <c r="R140">
        <v>135.12</v>
      </c>
      <c r="S140">
        <v>29.82</v>
      </c>
      <c r="T140">
        <v>26.34</v>
      </c>
      <c r="U140">
        <v>1.21</v>
      </c>
      <c r="V140">
        <v>1165.78</v>
      </c>
      <c r="W140">
        <v>201.57</v>
      </c>
      <c r="X140">
        <v>13.52</v>
      </c>
      <c r="Y140">
        <v>221.28</v>
      </c>
      <c r="Z140" s="14">
        <v>2.4900000000000002</v>
      </c>
      <c r="AA140">
        <v>21.55</v>
      </c>
      <c r="AB140">
        <v>5.4</v>
      </c>
      <c r="AC140">
        <v>6.26</v>
      </c>
      <c r="AD140">
        <v>14.37</v>
      </c>
      <c r="AE140">
        <v>236.33</v>
      </c>
      <c r="AF140" s="14">
        <v>4.99</v>
      </c>
      <c r="AG140">
        <v>677.69</v>
      </c>
      <c r="AH140">
        <v>22.03</v>
      </c>
      <c r="AI140">
        <v>93.68</v>
      </c>
    </row>
    <row r="141" spans="1:35" ht="15.75">
      <c r="A141" t="s">
        <v>796</v>
      </c>
      <c r="B141" s="2" t="s">
        <v>796</v>
      </c>
      <c r="C141" s="2" t="str">
        <f t="shared" si="2"/>
        <v>TRUE</v>
      </c>
      <c r="D141" s="2" t="s">
        <v>858</v>
      </c>
      <c r="E141" s="2" t="s">
        <v>859</v>
      </c>
      <c r="F141" s="2" t="s">
        <v>860</v>
      </c>
      <c r="G141" s="3">
        <v>33801</v>
      </c>
      <c r="H141" s="3">
        <v>44110</v>
      </c>
      <c r="I141" s="2">
        <v>28</v>
      </c>
      <c r="J141" s="2">
        <v>1</v>
      </c>
      <c r="K141" s="2" t="s">
        <v>857</v>
      </c>
      <c r="L141" s="2">
        <v>2363</v>
      </c>
      <c r="M141" s="2">
        <v>9</v>
      </c>
      <c r="N141">
        <v>22.38</v>
      </c>
      <c r="O141">
        <v>1.73</v>
      </c>
      <c r="P141">
        <v>63.47</v>
      </c>
      <c r="Q141">
        <v>99.87</v>
      </c>
      <c r="R141">
        <v>38.229999999999997</v>
      </c>
      <c r="S141">
        <v>12.43</v>
      </c>
      <c r="T141">
        <v>39.979999999999997</v>
      </c>
      <c r="U141">
        <v>4.74</v>
      </c>
      <c r="V141">
        <v>701.15</v>
      </c>
      <c r="W141">
        <v>135.55000000000001</v>
      </c>
      <c r="X141">
        <v>42.7</v>
      </c>
      <c r="Y141">
        <v>118.31</v>
      </c>
      <c r="Z141">
        <v>8.06</v>
      </c>
      <c r="AA141">
        <v>13.49</v>
      </c>
      <c r="AB141">
        <v>3.13</v>
      </c>
      <c r="AC141">
        <v>2.68</v>
      </c>
      <c r="AD141" s="14">
        <v>9.99</v>
      </c>
      <c r="AE141">
        <v>26.51</v>
      </c>
      <c r="AF141" s="14">
        <v>4.99</v>
      </c>
      <c r="AG141">
        <v>110.22</v>
      </c>
      <c r="AH141" s="14">
        <v>4.99</v>
      </c>
      <c r="AI141">
        <v>13.03</v>
      </c>
    </row>
    <row r="142" spans="1:35" ht="15.75">
      <c r="A142" t="s">
        <v>790</v>
      </c>
      <c r="B142" s="2" t="s">
        <v>790</v>
      </c>
      <c r="C142" s="2" t="str">
        <f t="shared" si="2"/>
        <v>TRUE</v>
      </c>
      <c r="D142" s="2" t="s">
        <v>865</v>
      </c>
      <c r="E142" s="2" t="s">
        <v>866</v>
      </c>
      <c r="F142" s="2" t="s">
        <v>864</v>
      </c>
      <c r="G142" s="3">
        <v>33242</v>
      </c>
      <c r="H142" s="3">
        <v>44113</v>
      </c>
      <c r="I142" s="2">
        <v>29</v>
      </c>
      <c r="J142" s="2">
        <v>1</v>
      </c>
      <c r="K142" s="2" t="s">
        <v>857</v>
      </c>
      <c r="L142" s="2">
        <v>38</v>
      </c>
      <c r="M142" s="2">
        <v>1</v>
      </c>
      <c r="N142">
        <v>23.23</v>
      </c>
      <c r="O142">
        <v>9.42</v>
      </c>
      <c r="P142">
        <v>272.27</v>
      </c>
      <c r="Q142">
        <v>240.78</v>
      </c>
      <c r="R142">
        <v>135.87</v>
      </c>
      <c r="S142">
        <v>63.26</v>
      </c>
      <c r="T142">
        <v>47.97</v>
      </c>
      <c r="U142">
        <v>12.02</v>
      </c>
      <c r="V142">
        <v>1796.61</v>
      </c>
      <c r="W142">
        <v>350.54</v>
      </c>
      <c r="X142">
        <v>250.15</v>
      </c>
      <c r="Y142">
        <v>328.47</v>
      </c>
      <c r="Z142">
        <v>21.14</v>
      </c>
      <c r="AA142">
        <v>85.36</v>
      </c>
      <c r="AB142">
        <v>22.87</v>
      </c>
      <c r="AC142">
        <v>17.29</v>
      </c>
      <c r="AD142">
        <v>22.13</v>
      </c>
      <c r="AE142">
        <v>129.99</v>
      </c>
      <c r="AF142">
        <v>9.49</v>
      </c>
      <c r="AG142">
        <v>258.73</v>
      </c>
      <c r="AH142">
        <v>50.81</v>
      </c>
      <c r="AI142">
        <v>178.08</v>
      </c>
    </row>
    <row r="143" spans="1:35" ht="15.75">
      <c r="A143" t="s">
        <v>126</v>
      </c>
      <c r="B143" s="2" t="s">
        <v>126</v>
      </c>
      <c r="C143" s="2" t="str">
        <f t="shared" si="2"/>
        <v>TRUE</v>
      </c>
      <c r="D143" s="2" t="s">
        <v>854</v>
      </c>
      <c r="E143" s="2" t="s">
        <v>855</v>
      </c>
      <c r="F143" s="2" t="s">
        <v>856</v>
      </c>
      <c r="G143" s="3">
        <v>24811</v>
      </c>
      <c r="H143" s="3">
        <v>44118</v>
      </c>
      <c r="I143" s="2">
        <v>52</v>
      </c>
      <c r="J143" s="2">
        <v>1</v>
      </c>
      <c r="K143" s="2" t="s">
        <v>861</v>
      </c>
      <c r="L143" s="2">
        <v>236</v>
      </c>
      <c r="M143" s="2" t="s">
        <v>856</v>
      </c>
      <c r="N143">
        <v>14.85</v>
      </c>
      <c r="O143">
        <v>3.87</v>
      </c>
      <c r="P143">
        <v>237.45</v>
      </c>
      <c r="Q143">
        <v>105.8</v>
      </c>
      <c r="R143">
        <v>41.77</v>
      </c>
      <c r="S143">
        <v>44.1</v>
      </c>
      <c r="T143">
        <v>6.55</v>
      </c>
      <c r="U143" s="13">
        <v>0.99</v>
      </c>
      <c r="V143">
        <v>225.44</v>
      </c>
      <c r="W143">
        <v>44.32</v>
      </c>
      <c r="X143">
        <v>56.14</v>
      </c>
      <c r="Y143">
        <v>90.78</v>
      </c>
      <c r="Z143">
        <v>3.32</v>
      </c>
      <c r="AA143">
        <v>17.86</v>
      </c>
      <c r="AB143">
        <v>4.99</v>
      </c>
      <c r="AC143">
        <v>9.5399999999999991</v>
      </c>
      <c r="AD143">
        <v>18.5</v>
      </c>
      <c r="AE143">
        <v>45.69</v>
      </c>
      <c r="AF143">
        <v>7.07</v>
      </c>
      <c r="AG143">
        <v>77.16</v>
      </c>
      <c r="AH143">
        <v>55.38</v>
      </c>
      <c r="AI143">
        <v>50.34</v>
      </c>
    </row>
    <row r="144" spans="1:35" ht="15.75">
      <c r="A144" t="s">
        <v>634</v>
      </c>
      <c r="B144" s="2" t="s">
        <v>634</v>
      </c>
      <c r="C144" s="2" t="str">
        <f t="shared" si="2"/>
        <v>TRUE</v>
      </c>
      <c r="D144" s="2" t="s">
        <v>865</v>
      </c>
      <c r="E144" s="2" t="s">
        <v>872</v>
      </c>
      <c r="F144" s="2" t="s">
        <v>860</v>
      </c>
      <c r="G144" s="3">
        <v>19739</v>
      </c>
      <c r="H144" s="3">
        <v>44119</v>
      </c>
      <c r="I144" s="2">
        <v>66</v>
      </c>
      <c r="J144" s="2">
        <v>1</v>
      </c>
      <c r="K144" s="2" t="s">
        <v>857</v>
      </c>
      <c r="L144" s="2">
        <v>900</v>
      </c>
      <c r="M144" s="2">
        <v>10</v>
      </c>
      <c r="N144">
        <v>14.02</v>
      </c>
      <c r="O144">
        <v>19.649999999999999</v>
      </c>
      <c r="P144">
        <v>33.56</v>
      </c>
      <c r="Q144">
        <v>170.85</v>
      </c>
      <c r="R144">
        <v>393.15</v>
      </c>
      <c r="S144">
        <v>22.99</v>
      </c>
      <c r="T144">
        <v>296.49</v>
      </c>
      <c r="U144">
        <v>5.34</v>
      </c>
      <c r="V144">
        <v>628.49</v>
      </c>
      <c r="W144">
        <v>136.54</v>
      </c>
      <c r="X144">
        <v>61.68</v>
      </c>
      <c r="Y144">
        <v>199.58</v>
      </c>
      <c r="Z144">
        <v>4.67</v>
      </c>
      <c r="AA144">
        <v>74.930000000000007</v>
      </c>
      <c r="AB144">
        <v>16.37</v>
      </c>
      <c r="AC144">
        <v>24.92</v>
      </c>
      <c r="AD144">
        <v>99.79</v>
      </c>
      <c r="AE144">
        <v>177.98</v>
      </c>
      <c r="AF144">
        <v>46.52</v>
      </c>
      <c r="AG144">
        <v>670.95</v>
      </c>
      <c r="AH144">
        <v>75.599999999999994</v>
      </c>
      <c r="AI144">
        <v>107.53</v>
      </c>
    </row>
    <row r="145" spans="1:35" ht="15.75">
      <c r="A145" t="s">
        <v>670</v>
      </c>
      <c r="B145" s="2" t="s">
        <v>670</v>
      </c>
      <c r="C145" s="2" t="str">
        <f t="shared" si="2"/>
        <v>TRUE</v>
      </c>
      <c r="D145" s="2" t="s">
        <v>865</v>
      </c>
      <c r="E145" s="2" t="s">
        <v>872</v>
      </c>
      <c r="F145" s="2" t="s">
        <v>864</v>
      </c>
      <c r="G145" s="3">
        <v>34804</v>
      </c>
      <c r="H145" s="3">
        <v>44127</v>
      </c>
      <c r="I145" s="2">
        <v>25</v>
      </c>
      <c r="J145" s="2">
        <v>1</v>
      </c>
      <c r="K145" s="2" t="s">
        <v>857</v>
      </c>
      <c r="L145" s="2">
        <v>904</v>
      </c>
      <c r="M145" s="2">
        <v>6</v>
      </c>
      <c r="N145">
        <v>18.47</v>
      </c>
      <c r="O145">
        <v>0.99</v>
      </c>
      <c r="P145">
        <v>45.64</v>
      </c>
      <c r="Q145">
        <v>46.21</v>
      </c>
      <c r="R145">
        <v>18.39</v>
      </c>
      <c r="S145">
        <v>6.5</v>
      </c>
      <c r="T145">
        <v>43.66</v>
      </c>
      <c r="U145">
        <v>4.6399999999999997</v>
      </c>
      <c r="V145">
        <v>640.95000000000005</v>
      </c>
      <c r="W145">
        <v>110.76</v>
      </c>
      <c r="X145">
        <v>47.64</v>
      </c>
      <c r="Y145">
        <v>352.91</v>
      </c>
      <c r="Z145">
        <v>29.82</v>
      </c>
      <c r="AA145">
        <v>47.1</v>
      </c>
      <c r="AB145">
        <v>10.14</v>
      </c>
      <c r="AC145">
        <v>22.98</v>
      </c>
      <c r="AD145">
        <v>39.1</v>
      </c>
      <c r="AE145">
        <v>330.91</v>
      </c>
      <c r="AF145">
        <v>25.1</v>
      </c>
      <c r="AG145">
        <v>520.74</v>
      </c>
      <c r="AH145">
        <v>47.5</v>
      </c>
      <c r="AI145">
        <v>185.27</v>
      </c>
    </row>
    <row r="146" spans="1:35" ht="15.75">
      <c r="A146" t="s">
        <v>472</v>
      </c>
      <c r="B146" s="2" t="s">
        <v>472</v>
      </c>
      <c r="C146" s="2" t="str">
        <f t="shared" si="2"/>
        <v>TRUE</v>
      </c>
      <c r="D146" s="2" t="s">
        <v>865</v>
      </c>
      <c r="E146" s="2" t="s">
        <v>866</v>
      </c>
      <c r="F146" s="2" t="s">
        <v>864</v>
      </c>
      <c r="G146" s="3">
        <v>23778</v>
      </c>
      <c r="H146" s="3">
        <v>44130</v>
      </c>
      <c r="I146" s="2">
        <v>55</v>
      </c>
      <c r="J146" s="2">
        <v>1</v>
      </c>
      <c r="K146" s="2" t="s">
        <v>857</v>
      </c>
      <c r="L146" s="2">
        <v>319</v>
      </c>
      <c r="M146" s="2">
        <v>11</v>
      </c>
      <c r="N146">
        <v>11.67</v>
      </c>
      <c r="O146">
        <v>4.28</v>
      </c>
      <c r="P146">
        <v>244.35</v>
      </c>
      <c r="Q146">
        <v>834.8</v>
      </c>
      <c r="R146">
        <v>227.59</v>
      </c>
      <c r="S146">
        <v>70.69</v>
      </c>
      <c r="T146">
        <v>41.4</v>
      </c>
      <c r="U146">
        <v>2.3199999999999998</v>
      </c>
      <c r="V146">
        <v>917.41</v>
      </c>
      <c r="W146">
        <v>721.21</v>
      </c>
      <c r="X146">
        <v>93.93</v>
      </c>
      <c r="Y146">
        <v>224.2</v>
      </c>
      <c r="Z146">
        <v>6.87</v>
      </c>
      <c r="AA146">
        <v>112.97</v>
      </c>
      <c r="AB146">
        <v>126.67</v>
      </c>
      <c r="AC146">
        <v>63.75</v>
      </c>
      <c r="AD146">
        <v>177.76</v>
      </c>
      <c r="AE146">
        <v>68.11</v>
      </c>
      <c r="AF146">
        <v>11.1</v>
      </c>
      <c r="AG146">
        <v>970.93</v>
      </c>
      <c r="AH146">
        <v>41.59</v>
      </c>
      <c r="AI146">
        <v>164.18</v>
      </c>
    </row>
    <row r="147" spans="1:35" ht="15.75">
      <c r="A147" t="s">
        <v>736</v>
      </c>
      <c r="B147" s="2" t="s">
        <v>736</v>
      </c>
      <c r="C147" s="2" t="str">
        <f t="shared" si="2"/>
        <v>TRUE</v>
      </c>
      <c r="D147" s="2" t="s">
        <v>858</v>
      </c>
      <c r="E147" s="2" t="s">
        <v>863</v>
      </c>
      <c r="F147" s="2" t="s">
        <v>864</v>
      </c>
      <c r="G147" s="3">
        <v>36030</v>
      </c>
      <c r="H147" s="3">
        <v>44134</v>
      </c>
      <c r="I147" s="2">
        <v>22</v>
      </c>
      <c r="J147" s="2">
        <v>2</v>
      </c>
      <c r="K147" s="2" t="s">
        <v>857</v>
      </c>
      <c r="L147" s="2">
        <v>73</v>
      </c>
      <c r="M147" s="2">
        <v>0</v>
      </c>
      <c r="N147">
        <v>12.42</v>
      </c>
      <c r="O147">
        <v>0.99</v>
      </c>
      <c r="P147">
        <v>28.9</v>
      </c>
      <c r="Q147">
        <v>174.61</v>
      </c>
      <c r="R147">
        <v>13.17</v>
      </c>
      <c r="S147">
        <v>7.37</v>
      </c>
      <c r="T147">
        <v>8.2100000000000009</v>
      </c>
      <c r="U147">
        <v>1.72</v>
      </c>
      <c r="V147">
        <v>911.47</v>
      </c>
      <c r="W147">
        <v>359.79</v>
      </c>
      <c r="X147">
        <v>74.13</v>
      </c>
      <c r="Y147">
        <v>157.29</v>
      </c>
      <c r="Z147">
        <v>13.75</v>
      </c>
      <c r="AA147">
        <v>156.34</v>
      </c>
      <c r="AB147">
        <v>80.28</v>
      </c>
      <c r="AC147">
        <v>28.59</v>
      </c>
      <c r="AD147">
        <v>147.68</v>
      </c>
      <c r="AE147">
        <v>124.89</v>
      </c>
      <c r="AF147">
        <v>32.15</v>
      </c>
      <c r="AG147">
        <v>440.2</v>
      </c>
      <c r="AH147">
        <v>15.52</v>
      </c>
      <c r="AI147">
        <v>186.41</v>
      </c>
    </row>
    <row r="148" spans="1:35" ht="15.75">
      <c r="A148" t="s">
        <v>457</v>
      </c>
      <c r="B148" s="2" t="s">
        <v>457</v>
      </c>
      <c r="C148" s="2" t="str">
        <f t="shared" si="2"/>
        <v>TRUE</v>
      </c>
      <c r="D148" s="2" t="s">
        <v>854</v>
      </c>
      <c r="E148" s="2" t="s">
        <v>871</v>
      </c>
      <c r="F148" s="2" t="s">
        <v>856</v>
      </c>
      <c r="G148" s="3">
        <v>37328</v>
      </c>
      <c r="H148" s="3">
        <v>44146</v>
      </c>
      <c r="I148" s="2">
        <v>18</v>
      </c>
      <c r="J148" s="2">
        <v>1</v>
      </c>
      <c r="K148" s="2" t="s">
        <v>857</v>
      </c>
      <c r="L148" s="2">
        <v>472</v>
      </c>
      <c r="M148" s="2" t="s">
        <v>856</v>
      </c>
      <c r="N148">
        <v>16.440000000000001</v>
      </c>
      <c r="O148">
        <v>21.19</v>
      </c>
      <c r="P148">
        <v>1000.01</v>
      </c>
      <c r="Q148">
        <v>164.77</v>
      </c>
      <c r="R148">
        <v>240.1</v>
      </c>
      <c r="S148">
        <v>191.06</v>
      </c>
      <c r="T148">
        <v>54.83</v>
      </c>
      <c r="U148">
        <v>10.43</v>
      </c>
      <c r="V148">
        <v>2229.1999999999998</v>
      </c>
      <c r="W148">
        <v>396.96</v>
      </c>
      <c r="X148">
        <v>757.42</v>
      </c>
      <c r="Y148">
        <v>587.78</v>
      </c>
      <c r="Z148">
        <v>20.75</v>
      </c>
      <c r="AA148">
        <v>461.52</v>
      </c>
      <c r="AB148">
        <v>108.99</v>
      </c>
      <c r="AC148">
        <v>140.88999999999999</v>
      </c>
      <c r="AD148" s="14">
        <v>9.99</v>
      </c>
      <c r="AE148">
        <v>67.69</v>
      </c>
      <c r="AF148">
        <v>15.71</v>
      </c>
      <c r="AG148">
        <v>54.05</v>
      </c>
      <c r="AH148">
        <v>144.38</v>
      </c>
      <c r="AI148">
        <v>31.53</v>
      </c>
    </row>
    <row r="149" spans="1:35" ht="15.75">
      <c r="A149" t="s">
        <v>658</v>
      </c>
      <c r="B149" s="2" t="s">
        <v>658</v>
      </c>
      <c r="C149" s="2" t="str">
        <f t="shared" si="2"/>
        <v>TRUE</v>
      </c>
      <c r="D149" s="2" t="s">
        <v>858</v>
      </c>
      <c r="E149" s="2" t="s">
        <v>868</v>
      </c>
      <c r="F149" s="2" t="s">
        <v>864</v>
      </c>
      <c r="G149" s="3">
        <v>29096</v>
      </c>
      <c r="H149" s="3">
        <v>44148</v>
      </c>
      <c r="I149" s="2">
        <v>41</v>
      </c>
      <c r="J149" s="2">
        <v>2</v>
      </c>
      <c r="K149" s="2" t="s">
        <v>857</v>
      </c>
      <c r="L149" s="2">
        <v>55</v>
      </c>
      <c r="M149" s="2">
        <v>1</v>
      </c>
      <c r="N149">
        <v>26.72</v>
      </c>
      <c r="O149">
        <v>5</v>
      </c>
      <c r="P149">
        <v>46.88</v>
      </c>
      <c r="Q149">
        <v>689.63</v>
      </c>
      <c r="R149">
        <v>117.13</v>
      </c>
      <c r="S149">
        <v>57.64</v>
      </c>
      <c r="T149">
        <v>55.82</v>
      </c>
      <c r="U149">
        <v>3.68</v>
      </c>
      <c r="V149">
        <v>592.03</v>
      </c>
      <c r="W149">
        <v>732.05</v>
      </c>
      <c r="X149">
        <v>70.739999999999995</v>
      </c>
      <c r="Y149">
        <v>69.16</v>
      </c>
      <c r="Z149">
        <v>5.91</v>
      </c>
      <c r="AA149">
        <v>25.56</v>
      </c>
      <c r="AB149">
        <v>33.43</v>
      </c>
      <c r="AC149">
        <v>5.27</v>
      </c>
      <c r="AD149">
        <v>56.92</v>
      </c>
      <c r="AE149">
        <v>10.029999999999999</v>
      </c>
      <c r="AF149" s="14">
        <v>4.99</v>
      </c>
      <c r="AG149">
        <v>301.89</v>
      </c>
      <c r="AH149" s="14">
        <v>4.99</v>
      </c>
      <c r="AI149">
        <v>62.72</v>
      </c>
    </row>
    <row r="150" spans="1:35" ht="15.75">
      <c r="A150" t="s">
        <v>652</v>
      </c>
      <c r="B150" s="2" t="s">
        <v>652</v>
      </c>
      <c r="C150" s="2" t="str">
        <f t="shared" si="2"/>
        <v>TRUE</v>
      </c>
      <c r="D150" s="2" t="s">
        <v>858</v>
      </c>
      <c r="E150" s="2" t="s">
        <v>863</v>
      </c>
      <c r="F150" s="2" t="s">
        <v>860</v>
      </c>
      <c r="G150" s="3">
        <v>24431</v>
      </c>
      <c r="H150" s="3">
        <v>44148</v>
      </c>
      <c r="I150" s="2">
        <v>53</v>
      </c>
      <c r="J150" s="2">
        <v>2</v>
      </c>
      <c r="K150" s="2" t="s">
        <v>861</v>
      </c>
      <c r="L150" s="2">
        <v>1780</v>
      </c>
      <c r="M150" s="2">
        <v>5</v>
      </c>
      <c r="N150">
        <v>16.489999999999998</v>
      </c>
      <c r="O150">
        <v>1.21</v>
      </c>
      <c r="P150">
        <v>6.61</v>
      </c>
      <c r="Q150">
        <v>397.36</v>
      </c>
      <c r="R150">
        <v>136.52000000000001</v>
      </c>
      <c r="S150">
        <v>16.78</v>
      </c>
      <c r="T150">
        <v>31.09</v>
      </c>
      <c r="U150">
        <v>3.09</v>
      </c>
      <c r="V150">
        <v>1534.58</v>
      </c>
      <c r="W150">
        <v>645.29</v>
      </c>
      <c r="X150">
        <v>25.42</v>
      </c>
      <c r="Y150">
        <v>358.49</v>
      </c>
      <c r="Z150">
        <v>14.99</v>
      </c>
      <c r="AA150">
        <v>74.39</v>
      </c>
      <c r="AB150">
        <v>38.08</v>
      </c>
      <c r="AC150">
        <v>26.95</v>
      </c>
      <c r="AD150">
        <v>61.54</v>
      </c>
      <c r="AE150">
        <v>113.77</v>
      </c>
      <c r="AF150">
        <v>6.99</v>
      </c>
      <c r="AG150">
        <v>626.78</v>
      </c>
      <c r="AH150">
        <v>7.5</v>
      </c>
      <c r="AI150">
        <v>164.31</v>
      </c>
    </row>
    <row r="151" spans="1:35" ht="15.75">
      <c r="A151" t="s">
        <v>193</v>
      </c>
      <c r="B151" s="2" t="s">
        <v>193</v>
      </c>
      <c r="C151" s="2" t="str">
        <f t="shared" si="2"/>
        <v>TRUE</v>
      </c>
      <c r="D151" s="2" t="s">
        <v>858</v>
      </c>
      <c r="E151" s="2" t="s">
        <v>863</v>
      </c>
      <c r="F151" s="2" t="s">
        <v>860</v>
      </c>
      <c r="G151" s="3">
        <v>34311</v>
      </c>
      <c r="H151" s="3">
        <v>44148</v>
      </c>
      <c r="I151" s="2">
        <v>26</v>
      </c>
      <c r="J151" s="2">
        <v>1</v>
      </c>
      <c r="K151" s="2" t="s">
        <v>857</v>
      </c>
      <c r="L151" s="2">
        <v>1823</v>
      </c>
      <c r="M151" s="2">
        <v>9</v>
      </c>
      <c r="N151">
        <v>17.100000000000001</v>
      </c>
      <c r="O151">
        <v>3.51</v>
      </c>
      <c r="P151">
        <v>16.16</v>
      </c>
      <c r="Q151">
        <v>264.5</v>
      </c>
      <c r="R151">
        <v>204.83</v>
      </c>
      <c r="S151">
        <v>20.75</v>
      </c>
      <c r="T151">
        <v>318.43</v>
      </c>
      <c r="U151">
        <v>3.23</v>
      </c>
      <c r="V151">
        <v>552.89</v>
      </c>
      <c r="W151">
        <v>305.87</v>
      </c>
      <c r="X151">
        <v>29.3</v>
      </c>
      <c r="Y151">
        <v>173.43</v>
      </c>
      <c r="Z151">
        <v>21.44</v>
      </c>
      <c r="AA151">
        <v>172.13</v>
      </c>
      <c r="AB151">
        <v>179.59</v>
      </c>
      <c r="AC151">
        <v>69.91</v>
      </c>
      <c r="AD151">
        <v>267.56</v>
      </c>
      <c r="AE151">
        <v>51.54</v>
      </c>
      <c r="AF151">
        <v>39.590000000000003</v>
      </c>
      <c r="AG151">
        <v>214.79</v>
      </c>
      <c r="AH151">
        <v>7.17</v>
      </c>
      <c r="AI151">
        <v>103.68</v>
      </c>
    </row>
    <row r="152" spans="1:35" ht="15.75">
      <c r="A152" t="s">
        <v>145</v>
      </c>
      <c r="B152" s="2" t="s">
        <v>145</v>
      </c>
      <c r="C152" s="2" t="str">
        <f t="shared" si="2"/>
        <v>TRUE</v>
      </c>
      <c r="D152" s="2" t="s">
        <v>865</v>
      </c>
      <c r="E152" s="2" t="s">
        <v>872</v>
      </c>
      <c r="F152" s="2" t="s">
        <v>860</v>
      </c>
      <c r="G152" s="3">
        <v>34219</v>
      </c>
      <c r="H152" s="3">
        <v>44151</v>
      </c>
      <c r="I152" s="2">
        <v>27</v>
      </c>
      <c r="J152" s="2">
        <v>2</v>
      </c>
      <c r="K152" s="2" t="s">
        <v>861</v>
      </c>
      <c r="L152" s="2">
        <v>2739</v>
      </c>
      <c r="M152" s="2">
        <v>8</v>
      </c>
      <c r="N152">
        <v>16.71</v>
      </c>
      <c r="O152">
        <v>9.23</v>
      </c>
      <c r="P152">
        <v>85.94</v>
      </c>
      <c r="Q152">
        <v>0.99</v>
      </c>
      <c r="R152">
        <v>302.93</v>
      </c>
      <c r="S152">
        <v>35.299999999999997</v>
      </c>
      <c r="T152">
        <v>270.72000000000003</v>
      </c>
      <c r="U152">
        <v>10.119999999999999</v>
      </c>
      <c r="V152">
        <v>243.74</v>
      </c>
      <c r="W152">
        <v>2.4900000000000002</v>
      </c>
      <c r="X152">
        <v>18.16</v>
      </c>
      <c r="Y152">
        <v>200.39</v>
      </c>
      <c r="Z152">
        <v>5.77</v>
      </c>
      <c r="AA152">
        <v>20.82</v>
      </c>
      <c r="AB152" s="14">
        <v>2.4900000000000002</v>
      </c>
      <c r="AC152">
        <v>12.54</v>
      </c>
      <c r="AD152" s="14">
        <v>9.99</v>
      </c>
      <c r="AE152">
        <v>52.61</v>
      </c>
      <c r="AF152">
        <v>6.55</v>
      </c>
      <c r="AG152" s="14">
        <v>4.99</v>
      </c>
      <c r="AH152">
        <v>17.940000000000001</v>
      </c>
      <c r="AI152" s="14">
        <v>4.99</v>
      </c>
    </row>
    <row r="153" spans="1:35" ht="15.75">
      <c r="A153" t="s">
        <v>379</v>
      </c>
      <c r="B153" s="2" t="s">
        <v>379</v>
      </c>
      <c r="C153" s="2" t="str">
        <f t="shared" si="2"/>
        <v>TRUE</v>
      </c>
      <c r="D153" s="2" t="s">
        <v>858</v>
      </c>
      <c r="E153" s="2" t="s">
        <v>863</v>
      </c>
      <c r="F153" s="2" t="s">
        <v>864</v>
      </c>
      <c r="G153" s="3">
        <v>33826</v>
      </c>
      <c r="H153" s="3">
        <v>44152</v>
      </c>
      <c r="I153" s="2">
        <v>28</v>
      </c>
      <c r="J153" s="2">
        <v>1</v>
      </c>
      <c r="K153" s="2" t="s">
        <v>857</v>
      </c>
      <c r="L153" s="2">
        <v>221</v>
      </c>
      <c r="M153" s="2">
        <v>10</v>
      </c>
      <c r="N153">
        <v>12.37</v>
      </c>
      <c r="O153">
        <v>0.99</v>
      </c>
      <c r="P153">
        <v>9.09</v>
      </c>
      <c r="Q153">
        <v>345.77</v>
      </c>
      <c r="R153">
        <v>9.65</v>
      </c>
      <c r="S153">
        <v>55.11</v>
      </c>
      <c r="T153">
        <v>9.39</v>
      </c>
      <c r="U153" s="13">
        <v>0.99</v>
      </c>
      <c r="V153">
        <v>575.85</v>
      </c>
      <c r="W153">
        <v>724.71</v>
      </c>
      <c r="X153">
        <v>13.63</v>
      </c>
      <c r="Y153">
        <v>130.16999999999999</v>
      </c>
      <c r="Z153">
        <v>2.77</v>
      </c>
      <c r="AA153">
        <v>84.83</v>
      </c>
      <c r="AB153">
        <v>143.38</v>
      </c>
      <c r="AC153">
        <v>21.58</v>
      </c>
      <c r="AD153">
        <v>111.71</v>
      </c>
      <c r="AE153">
        <v>22.44</v>
      </c>
      <c r="AF153">
        <v>7.36</v>
      </c>
      <c r="AG153">
        <v>398.55</v>
      </c>
      <c r="AH153" s="14">
        <v>4.99</v>
      </c>
      <c r="AI153">
        <v>66.739999999999995</v>
      </c>
    </row>
    <row r="154" spans="1:35" ht="15.75">
      <c r="A154" t="s">
        <v>751</v>
      </c>
      <c r="B154" s="2" t="s">
        <v>751</v>
      </c>
      <c r="C154" s="2" t="str">
        <f t="shared" si="2"/>
        <v>TRUE</v>
      </c>
      <c r="D154" s="2" t="s">
        <v>865</v>
      </c>
      <c r="E154" s="2" t="s">
        <v>873</v>
      </c>
      <c r="F154" s="2" t="s">
        <v>864</v>
      </c>
      <c r="G154" s="3">
        <v>25311</v>
      </c>
      <c r="H154" s="3">
        <v>44161</v>
      </c>
      <c r="I154" s="2">
        <v>51</v>
      </c>
      <c r="J154" s="2">
        <v>1</v>
      </c>
      <c r="K154" s="2" t="s">
        <v>857</v>
      </c>
      <c r="L154" s="2">
        <v>496</v>
      </c>
      <c r="M154" s="2">
        <v>3</v>
      </c>
      <c r="N154">
        <v>17.87</v>
      </c>
      <c r="O154">
        <v>1.22</v>
      </c>
      <c r="P154">
        <v>56.3</v>
      </c>
      <c r="Q154">
        <v>698.35</v>
      </c>
      <c r="R154">
        <v>54.56</v>
      </c>
      <c r="S154">
        <v>81.650000000000006</v>
      </c>
      <c r="T154">
        <v>7.39</v>
      </c>
      <c r="U154" s="13">
        <v>0.99</v>
      </c>
      <c r="V154">
        <v>523.22</v>
      </c>
      <c r="W154">
        <v>310.97000000000003</v>
      </c>
      <c r="X154">
        <v>26.69</v>
      </c>
      <c r="Y154">
        <v>82.09</v>
      </c>
      <c r="Z154">
        <v>5.27</v>
      </c>
      <c r="AA154">
        <v>58.12</v>
      </c>
      <c r="AB154">
        <v>46.97</v>
      </c>
      <c r="AC154">
        <v>9.27</v>
      </c>
      <c r="AD154">
        <v>275.24</v>
      </c>
      <c r="AE154">
        <v>48.2</v>
      </c>
      <c r="AF154">
        <v>7.99</v>
      </c>
      <c r="AG154">
        <v>1398.1</v>
      </c>
      <c r="AH154">
        <v>10.99</v>
      </c>
      <c r="AI154">
        <v>110.67</v>
      </c>
    </row>
    <row r="155" spans="1:35" ht="15.75">
      <c r="A155" t="s">
        <v>430</v>
      </c>
      <c r="B155" s="2" t="s">
        <v>430</v>
      </c>
      <c r="C155" s="2" t="str">
        <f t="shared" si="2"/>
        <v>TRUE</v>
      </c>
      <c r="D155" s="2" t="s">
        <v>858</v>
      </c>
      <c r="E155" s="2" t="s">
        <v>863</v>
      </c>
      <c r="F155" s="2" t="s">
        <v>864</v>
      </c>
      <c r="G155" s="3">
        <v>35769</v>
      </c>
      <c r="H155" s="3">
        <v>44162</v>
      </c>
      <c r="I155" s="2">
        <v>22</v>
      </c>
      <c r="J155" s="2">
        <v>1</v>
      </c>
      <c r="K155" s="2" t="s">
        <v>861</v>
      </c>
      <c r="L155" s="2">
        <v>7900</v>
      </c>
      <c r="M155" s="2">
        <v>13</v>
      </c>
      <c r="N155">
        <v>17.04</v>
      </c>
      <c r="O155">
        <v>6.31</v>
      </c>
      <c r="P155">
        <v>224.98</v>
      </c>
      <c r="Q155">
        <v>244.97</v>
      </c>
      <c r="R155">
        <v>122.4</v>
      </c>
      <c r="S155">
        <v>79.06</v>
      </c>
      <c r="T155">
        <v>51.01</v>
      </c>
      <c r="U155">
        <v>7.06</v>
      </c>
      <c r="V155">
        <v>2020.47</v>
      </c>
      <c r="W155">
        <v>425.91</v>
      </c>
      <c r="X155">
        <v>340.75</v>
      </c>
      <c r="Y155">
        <v>676.84</v>
      </c>
      <c r="Z155">
        <v>44.14</v>
      </c>
      <c r="AA155">
        <v>285.7</v>
      </c>
      <c r="AB155">
        <v>83.09</v>
      </c>
      <c r="AC155">
        <v>92.62</v>
      </c>
      <c r="AD155">
        <v>105.01</v>
      </c>
      <c r="AE155">
        <v>120.54</v>
      </c>
      <c r="AF155">
        <v>30.19</v>
      </c>
      <c r="AG155">
        <v>290.32</v>
      </c>
      <c r="AH155">
        <v>63.15</v>
      </c>
      <c r="AI155">
        <v>47.58</v>
      </c>
    </row>
    <row r="156" spans="1:35" ht="15.75">
      <c r="A156" t="s">
        <v>571</v>
      </c>
      <c r="B156" s="2" t="s">
        <v>571</v>
      </c>
      <c r="C156" s="2" t="str">
        <f t="shared" si="2"/>
        <v>TRUE</v>
      </c>
      <c r="D156" s="2" t="s">
        <v>858</v>
      </c>
      <c r="E156" s="2" t="s">
        <v>863</v>
      </c>
      <c r="F156" s="2" t="s">
        <v>864</v>
      </c>
      <c r="G156" s="3">
        <v>28094</v>
      </c>
      <c r="H156" s="3">
        <v>44169</v>
      </c>
      <c r="I156" s="2">
        <v>44</v>
      </c>
      <c r="J156" s="2">
        <v>1</v>
      </c>
      <c r="K156" s="2" t="s">
        <v>857</v>
      </c>
      <c r="L156" s="2">
        <v>659</v>
      </c>
      <c r="M156" s="2">
        <v>6</v>
      </c>
      <c r="N156">
        <v>29.18</v>
      </c>
      <c r="O156">
        <v>2.15</v>
      </c>
      <c r="P156">
        <v>67.61</v>
      </c>
      <c r="Q156">
        <v>254.9</v>
      </c>
      <c r="R156">
        <v>75.66</v>
      </c>
      <c r="S156">
        <v>46.22</v>
      </c>
      <c r="T156">
        <v>72.349999999999994</v>
      </c>
      <c r="U156">
        <v>5.83</v>
      </c>
      <c r="V156">
        <v>1940</v>
      </c>
      <c r="W156">
        <v>661.35</v>
      </c>
      <c r="X156">
        <v>191.94</v>
      </c>
      <c r="Y156">
        <v>445.55</v>
      </c>
      <c r="Z156">
        <v>7.68</v>
      </c>
      <c r="AA156">
        <v>114.34</v>
      </c>
      <c r="AB156">
        <v>39.54</v>
      </c>
      <c r="AC156">
        <v>28.22</v>
      </c>
      <c r="AD156">
        <v>25.23</v>
      </c>
      <c r="AE156">
        <v>41.29</v>
      </c>
      <c r="AF156" s="14">
        <v>4.99</v>
      </c>
      <c r="AG156">
        <v>354.88</v>
      </c>
      <c r="AH156">
        <v>20.98</v>
      </c>
      <c r="AI156">
        <v>40.28</v>
      </c>
    </row>
    <row r="157" spans="1:35" ht="15.75">
      <c r="A157" t="s">
        <v>772</v>
      </c>
      <c r="B157" s="2" t="s">
        <v>772</v>
      </c>
      <c r="C157" s="2" t="str">
        <f t="shared" si="2"/>
        <v>TRUE</v>
      </c>
      <c r="D157" s="2" t="s">
        <v>865</v>
      </c>
      <c r="E157" s="2" t="s">
        <v>872</v>
      </c>
      <c r="F157" s="2" t="s">
        <v>864</v>
      </c>
      <c r="G157" s="3">
        <v>25846</v>
      </c>
      <c r="H157" s="3">
        <v>44172</v>
      </c>
      <c r="I157" s="2">
        <v>50</v>
      </c>
      <c r="J157" s="2">
        <v>1</v>
      </c>
      <c r="K157" s="2" t="s">
        <v>861</v>
      </c>
      <c r="L157" s="2">
        <v>549</v>
      </c>
      <c r="M157" s="2">
        <v>9</v>
      </c>
      <c r="N157">
        <v>10.18</v>
      </c>
      <c r="O157">
        <v>2.35</v>
      </c>
      <c r="P157">
        <v>17.91</v>
      </c>
      <c r="Q157">
        <v>412.26</v>
      </c>
      <c r="R157">
        <v>52.33</v>
      </c>
      <c r="S157">
        <v>44.07</v>
      </c>
      <c r="T157">
        <v>56.57</v>
      </c>
      <c r="U157" s="13">
        <v>0.99</v>
      </c>
      <c r="V157">
        <v>110.1</v>
      </c>
      <c r="W157">
        <v>231.47</v>
      </c>
      <c r="X157">
        <v>10.35</v>
      </c>
      <c r="Y157">
        <v>47.78</v>
      </c>
      <c r="Z157" s="14">
        <v>2.4900000000000002</v>
      </c>
      <c r="AA157">
        <v>39.119999999999997</v>
      </c>
      <c r="AB157">
        <v>66.08</v>
      </c>
      <c r="AC157">
        <v>11.75</v>
      </c>
      <c r="AD157">
        <v>23.53</v>
      </c>
      <c r="AE157">
        <v>9.73</v>
      </c>
      <c r="AF157" s="14">
        <v>4.99</v>
      </c>
      <c r="AG157">
        <v>110.71</v>
      </c>
      <c r="AH157" s="14">
        <v>4.99</v>
      </c>
      <c r="AI157">
        <v>30.85</v>
      </c>
    </row>
    <row r="158" spans="1:35" ht="15.75">
      <c r="A158" t="s">
        <v>799</v>
      </c>
      <c r="B158" s="2" t="s">
        <v>799</v>
      </c>
      <c r="C158" s="2" t="str">
        <f t="shared" si="2"/>
        <v>TRUE</v>
      </c>
      <c r="D158" s="2" t="s">
        <v>858</v>
      </c>
      <c r="E158" s="2" t="s">
        <v>859</v>
      </c>
      <c r="F158" s="2" t="s">
        <v>860</v>
      </c>
      <c r="G158" s="3">
        <v>33801</v>
      </c>
      <c r="H158" s="3">
        <v>44173</v>
      </c>
      <c r="I158" s="2">
        <v>28</v>
      </c>
      <c r="J158" s="2">
        <v>2</v>
      </c>
      <c r="K158" s="2" t="s">
        <v>857</v>
      </c>
      <c r="L158" s="2">
        <v>470</v>
      </c>
      <c r="M158" s="2">
        <v>0</v>
      </c>
      <c r="N158">
        <v>23.02</v>
      </c>
      <c r="O158">
        <v>3.59</v>
      </c>
      <c r="P158">
        <v>52.16</v>
      </c>
      <c r="Q158">
        <v>220</v>
      </c>
      <c r="R158">
        <v>47.29</v>
      </c>
      <c r="S158">
        <v>21</v>
      </c>
      <c r="T158">
        <v>78.680000000000007</v>
      </c>
      <c r="U158">
        <v>10.33</v>
      </c>
      <c r="V158">
        <v>2362.12</v>
      </c>
      <c r="W158">
        <v>948.75</v>
      </c>
      <c r="X158">
        <v>281.94</v>
      </c>
      <c r="Y158" s="14">
        <v>1000.01</v>
      </c>
      <c r="Z158">
        <v>71.599999999999994</v>
      </c>
      <c r="AA158">
        <v>179.9</v>
      </c>
      <c r="AB158">
        <v>69.5</v>
      </c>
      <c r="AC158">
        <v>71.180000000000007</v>
      </c>
      <c r="AD158">
        <v>35.950000000000003</v>
      </c>
      <c r="AE158">
        <v>133.82</v>
      </c>
      <c r="AF158">
        <v>20.29</v>
      </c>
      <c r="AG158">
        <v>402.06</v>
      </c>
      <c r="AH158">
        <v>20.239999999999998</v>
      </c>
      <c r="AI158">
        <v>142.81</v>
      </c>
    </row>
    <row r="159" spans="1:35" ht="15.75">
      <c r="A159" t="s">
        <v>667</v>
      </c>
      <c r="B159" s="2" t="s">
        <v>667</v>
      </c>
      <c r="C159" s="2" t="str">
        <f t="shared" si="2"/>
        <v>TRUE</v>
      </c>
      <c r="D159" s="2" t="s">
        <v>865</v>
      </c>
      <c r="E159" s="2" t="s">
        <v>872</v>
      </c>
      <c r="F159" s="2" t="s">
        <v>864</v>
      </c>
      <c r="G159" s="3">
        <v>34804</v>
      </c>
      <c r="H159" s="3">
        <v>44174</v>
      </c>
      <c r="I159" s="2">
        <v>25</v>
      </c>
      <c r="J159" s="2">
        <v>2</v>
      </c>
      <c r="K159" s="2" t="s">
        <v>857</v>
      </c>
      <c r="L159" s="2">
        <v>44</v>
      </c>
      <c r="M159" s="2">
        <v>3</v>
      </c>
      <c r="N159">
        <v>28.42</v>
      </c>
      <c r="O159">
        <v>0.99</v>
      </c>
      <c r="P159">
        <v>29.22</v>
      </c>
      <c r="Q159">
        <v>77.83</v>
      </c>
      <c r="R159">
        <v>33.15</v>
      </c>
      <c r="S159">
        <v>10.56</v>
      </c>
      <c r="T159">
        <v>50.75</v>
      </c>
      <c r="U159">
        <v>4.42</v>
      </c>
      <c r="V159">
        <v>1137.3900000000001</v>
      </c>
      <c r="W159">
        <v>136.94</v>
      </c>
      <c r="X159">
        <v>63.48</v>
      </c>
      <c r="Y159">
        <v>566.26</v>
      </c>
      <c r="Z159">
        <v>104.03</v>
      </c>
      <c r="AA159">
        <v>51.21</v>
      </c>
      <c r="AB159">
        <v>10.130000000000001</v>
      </c>
      <c r="AC159">
        <v>33.130000000000003</v>
      </c>
      <c r="AD159">
        <v>62.16</v>
      </c>
      <c r="AE159">
        <v>566.63</v>
      </c>
      <c r="AF159">
        <v>44.79</v>
      </c>
      <c r="AG159">
        <v>556.01</v>
      </c>
      <c r="AH159">
        <v>42.58</v>
      </c>
      <c r="AI159">
        <v>227.56</v>
      </c>
    </row>
    <row r="160" spans="1:35" ht="15.75">
      <c r="A160" t="s">
        <v>631</v>
      </c>
      <c r="B160" s="2" t="s">
        <v>631</v>
      </c>
      <c r="C160" s="2" t="str">
        <f t="shared" si="2"/>
        <v>TRUE</v>
      </c>
      <c r="D160" s="2" t="s">
        <v>865</v>
      </c>
      <c r="E160" s="2" t="s">
        <v>866</v>
      </c>
      <c r="F160" s="2" t="s">
        <v>864</v>
      </c>
      <c r="G160" s="3">
        <v>35547</v>
      </c>
      <c r="H160" s="3">
        <v>44181</v>
      </c>
      <c r="I160" s="2">
        <v>23</v>
      </c>
      <c r="J160" s="2">
        <v>1</v>
      </c>
      <c r="K160" s="2" t="s">
        <v>861</v>
      </c>
      <c r="L160" s="2">
        <v>338</v>
      </c>
      <c r="M160" s="2">
        <v>7</v>
      </c>
      <c r="N160">
        <v>18.5</v>
      </c>
      <c r="O160">
        <v>24.16</v>
      </c>
      <c r="P160">
        <v>337.42</v>
      </c>
      <c r="Q160">
        <v>71.459999999999994</v>
      </c>
      <c r="R160">
        <v>400.74</v>
      </c>
      <c r="S160">
        <v>72.760000000000005</v>
      </c>
      <c r="T160">
        <v>116.36</v>
      </c>
      <c r="U160">
        <v>19.100000000000001</v>
      </c>
      <c r="V160">
        <v>759.86</v>
      </c>
      <c r="W160">
        <v>151.62</v>
      </c>
      <c r="X160">
        <v>150.72999999999999</v>
      </c>
      <c r="Y160">
        <v>231.38</v>
      </c>
      <c r="Z160">
        <v>28.2</v>
      </c>
      <c r="AA160">
        <v>73.260000000000005</v>
      </c>
      <c r="AB160">
        <v>15.65</v>
      </c>
      <c r="AC160">
        <v>18.13</v>
      </c>
      <c r="AD160">
        <v>12.67</v>
      </c>
      <c r="AE160">
        <v>102.31</v>
      </c>
      <c r="AF160">
        <v>12.95</v>
      </c>
      <c r="AG160">
        <v>67.31</v>
      </c>
      <c r="AH160">
        <v>71.11</v>
      </c>
      <c r="AI160">
        <v>93.89</v>
      </c>
    </row>
    <row r="161" spans="1:35" ht="15.75">
      <c r="A161" t="s">
        <v>433</v>
      </c>
      <c r="B161" s="2" t="s">
        <v>433</v>
      </c>
      <c r="C161" s="2" t="str">
        <f t="shared" si="2"/>
        <v>TRUE</v>
      </c>
      <c r="D161" s="2" t="s">
        <v>858</v>
      </c>
      <c r="E161" s="2" t="s">
        <v>863</v>
      </c>
      <c r="F161" s="2" t="s">
        <v>864</v>
      </c>
      <c r="G161" s="3">
        <v>35769</v>
      </c>
      <c r="H161" s="3">
        <v>44182</v>
      </c>
      <c r="I161" s="2">
        <v>23</v>
      </c>
      <c r="J161" s="2">
        <v>2</v>
      </c>
      <c r="K161" s="2" t="s">
        <v>861</v>
      </c>
      <c r="L161" s="2">
        <v>282</v>
      </c>
      <c r="M161" s="2">
        <v>1</v>
      </c>
      <c r="N161">
        <v>22.02</v>
      </c>
      <c r="O161">
        <v>8.42</v>
      </c>
      <c r="P161">
        <v>35.119999999999997</v>
      </c>
      <c r="Q161">
        <v>74.73</v>
      </c>
      <c r="R161">
        <v>146.88999999999999</v>
      </c>
      <c r="S161">
        <v>14.15</v>
      </c>
      <c r="T161">
        <v>49.38</v>
      </c>
      <c r="U161">
        <v>11.5</v>
      </c>
      <c r="V161">
        <v>414.36</v>
      </c>
      <c r="W161">
        <v>44.52</v>
      </c>
      <c r="X161">
        <v>27.16</v>
      </c>
      <c r="Y161">
        <v>110.47</v>
      </c>
      <c r="Z161">
        <v>11.72</v>
      </c>
      <c r="AA161">
        <v>32.619999999999997</v>
      </c>
      <c r="AB161">
        <v>5.35</v>
      </c>
      <c r="AC161">
        <v>6.97</v>
      </c>
      <c r="AD161">
        <v>12.94</v>
      </c>
      <c r="AE161">
        <v>43.77</v>
      </c>
      <c r="AF161">
        <v>6.88</v>
      </c>
      <c r="AG161">
        <v>66.510000000000005</v>
      </c>
      <c r="AH161">
        <v>12.21</v>
      </c>
      <c r="AI161">
        <v>9.3800000000000008</v>
      </c>
    </row>
    <row r="162" spans="1:35" ht="15.75">
      <c r="A162" t="s">
        <v>490</v>
      </c>
      <c r="B162" s="2" t="s">
        <v>490</v>
      </c>
      <c r="C162" s="2" t="str">
        <f t="shared" si="2"/>
        <v>TRUE</v>
      </c>
      <c r="D162" s="2" t="s">
        <v>858</v>
      </c>
      <c r="E162" s="2" t="s">
        <v>863</v>
      </c>
      <c r="F162" s="2" t="s">
        <v>864</v>
      </c>
      <c r="G162" s="3">
        <v>23573</v>
      </c>
      <c r="H162" s="3">
        <v>43560</v>
      </c>
      <c r="I162" s="2">
        <v>54</v>
      </c>
      <c r="J162" s="2">
        <v>3</v>
      </c>
      <c r="K162" s="2" t="s">
        <v>857</v>
      </c>
      <c r="L162" s="2">
        <v>35</v>
      </c>
      <c r="M162" s="2">
        <v>0</v>
      </c>
      <c r="N162">
        <v>15.91</v>
      </c>
      <c r="O162">
        <v>7.8</v>
      </c>
      <c r="P162">
        <v>57.14</v>
      </c>
      <c r="Q162">
        <v>61.9</v>
      </c>
      <c r="R162">
        <v>381.91</v>
      </c>
      <c r="S162">
        <v>16.16</v>
      </c>
      <c r="T162">
        <v>243.03</v>
      </c>
      <c r="U162">
        <v>5.39</v>
      </c>
      <c r="V162">
        <v>1114.1500000000001</v>
      </c>
      <c r="W162">
        <v>108.19</v>
      </c>
      <c r="X162">
        <v>73.56</v>
      </c>
      <c r="Y162">
        <v>444.62</v>
      </c>
      <c r="Z162">
        <v>23.57</v>
      </c>
      <c r="AA162">
        <v>168.72</v>
      </c>
      <c r="AB162">
        <v>16.010000000000002</v>
      </c>
      <c r="AC162">
        <v>60.54</v>
      </c>
      <c r="AD162">
        <v>155.33000000000001</v>
      </c>
      <c r="AE162">
        <v>562.92999999999995</v>
      </c>
      <c r="AF162">
        <v>145.21</v>
      </c>
      <c r="AG162">
        <v>624.92999999999995</v>
      </c>
      <c r="AH162">
        <v>73.78</v>
      </c>
      <c r="AI162">
        <v>161.22</v>
      </c>
    </row>
    <row r="163" spans="1:35" ht="15.75">
      <c r="A163" t="s">
        <v>523</v>
      </c>
      <c r="B163" s="2" t="s">
        <v>523</v>
      </c>
      <c r="C163" s="2" t="str">
        <f t="shared" si="2"/>
        <v>TRUE</v>
      </c>
      <c r="D163" s="2" t="s">
        <v>865</v>
      </c>
      <c r="E163" s="2" t="s">
        <v>872</v>
      </c>
      <c r="F163" s="2" t="s">
        <v>864</v>
      </c>
      <c r="G163" s="3">
        <v>35213</v>
      </c>
      <c r="H163" s="3">
        <v>44169</v>
      </c>
      <c r="I163" s="2">
        <v>24</v>
      </c>
      <c r="J163" s="2">
        <v>2</v>
      </c>
      <c r="K163" s="2" t="s">
        <v>857</v>
      </c>
      <c r="L163" s="2">
        <v>1858</v>
      </c>
      <c r="M163" s="2">
        <v>0</v>
      </c>
      <c r="N163">
        <v>20.57</v>
      </c>
      <c r="O163">
        <v>5.78</v>
      </c>
      <c r="P163">
        <v>336.5</v>
      </c>
      <c r="Q163">
        <v>306.73</v>
      </c>
      <c r="R163">
        <v>586.25</v>
      </c>
      <c r="S163">
        <v>87.19</v>
      </c>
      <c r="T163">
        <v>471.12</v>
      </c>
      <c r="U163">
        <v>10.98</v>
      </c>
      <c r="V163">
        <v>1819.39</v>
      </c>
      <c r="W163">
        <v>503.25</v>
      </c>
      <c r="X163">
        <v>188.45</v>
      </c>
      <c r="Y163">
        <v>449.18</v>
      </c>
      <c r="Z163">
        <v>18.87</v>
      </c>
      <c r="AA163">
        <v>48.59</v>
      </c>
      <c r="AB163">
        <v>14.15</v>
      </c>
      <c r="AC163">
        <v>12.04</v>
      </c>
      <c r="AD163">
        <v>14.75</v>
      </c>
      <c r="AE163">
        <v>64.150000000000006</v>
      </c>
      <c r="AF163">
        <v>5.05</v>
      </c>
      <c r="AG163">
        <v>453.36</v>
      </c>
      <c r="AH163">
        <v>13.35</v>
      </c>
      <c r="AI163">
        <v>36.89</v>
      </c>
    </row>
    <row r="164" spans="1:35" ht="15.75">
      <c r="A164" t="s">
        <v>265</v>
      </c>
      <c r="B164" s="2" t="s">
        <v>265</v>
      </c>
      <c r="C164" s="2" t="str">
        <f t="shared" si="2"/>
        <v>TRUE</v>
      </c>
      <c r="D164" s="2" t="s">
        <v>858</v>
      </c>
      <c r="E164" s="2" t="s">
        <v>859</v>
      </c>
      <c r="F164" s="2" t="s">
        <v>864</v>
      </c>
      <c r="G164" s="3">
        <v>16624</v>
      </c>
      <c r="H164" s="3">
        <v>44172</v>
      </c>
      <c r="I164" s="2">
        <v>75</v>
      </c>
      <c r="J164" s="2">
        <v>2</v>
      </c>
      <c r="K164" s="2" t="s">
        <v>861</v>
      </c>
      <c r="L164" s="2">
        <v>324</v>
      </c>
      <c r="M164" s="2">
        <v>0</v>
      </c>
      <c r="N164">
        <v>4.8600000000000003</v>
      </c>
      <c r="O164">
        <v>2.89</v>
      </c>
      <c r="P164">
        <v>71.95</v>
      </c>
      <c r="Q164">
        <v>309.3</v>
      </c>
      <c r="R164">
        <v>130.94</v>
      </c>
      <c r="S164">
        <v>42.17</v>
      </c>
      <c r="T164">
        <v>21.76</v>
      </c>
      <c r="U164">
        <v>1.06</v>
      </c>
      <c r="V164">
        <v>809.7</v>
      </c>
      <c r="W164">
        <v>338.44</v>
      </c>
      <c r="X164">
        <v>29.65</v>
      </c>
      <c r="Y164">
        <v>268.08</v>
      </c>
      <c r="Z164">
        <v>2.85</v>
      </c>
      <c r="AA164">
        <v>40.229999999999997</v>
      </c>
      <c r="AB164">
        <v>23.16</v>
      </c>
      <c r="AC164">
        <v>23.02</v>
      </c>
      <c r="AD164">
        <v>29.22</v>
      </c>
      <c r="AE164">
        <v>81.97</v>
      </c>
      <c r="AF164" s="14">
        <v>4.99</v>
      </c>
      <c r="AG164">
        <v>426.26</v>
      </c>
      <c r="AH164">
        <v>23.08</v>
      </c>
      <c r="AI164">
        <v>78.67</v>
      </c>
    </row>
    <row r="165" spans="1:35" ht="15.75">
      <c r="A165" t="s">
        <v>460</v>
      </c>
      <c r="B165" s="2" t="s">
        <v>460</v>
      </c>
      <c r="C165" s="2" t="str">
        <f t="shared" si="2"/>
        <v>TRUE</v>
      </c>
      <c r="D165" s="2" t="s">
        <v>870</v>
      </c>
      <c r="E165" s="2" t="s">
        <v>862</v>
      </c>
      <c r="F165" s="2" t="s">
        <v>856</v>
      </c>
      <c r="G165" s="3">
        <v>21616</v>
      </c>
      <c r="H165" s="3">
        <v>43237</v>
      </c>
      <c r="I165" s="2">
        <v>59</v>
      </c>
      <c r="J165" s="2">
        <v>1</v>
      </c>
      <c r="K165" s="2" t="s">
        <v>857</v>
      </c>
      <c r="L165" s="2">
        <v>206</v>
      </c>
      <c r="M165" s="2" t="s">
        <v>856</v>
      </c>
      <c r="N165">
        <v>15.46</v>
      </c>
      <c r="O165">
        <v>41.46</v>
      </c>
      <c r="P165">
        <v>268.31</v>
      </c>
      <c r="Q165">
        <v>868.14</v>
      </c>
      <c r="R165" s="12">
        <v>1000.01</v>
      </c>
      <c r="S165">
        <v>334.75</v>
      </c>
      <c r="T165">
        <v>868.36</v>
      </c>
      <c r="U165">
        <v>16.690000000000001</v>
      </c>
      <c r="V165">
        <v>1164.79</v>
      </c>
      <c r="W165">
        <v>565.96</v>
      </c>
      <c r="X165">
        <v>390.59</v>
      </c>
      <c r="Y165">
        <v>284.79000000000002</v>
      </c>
      <c r="Z165">
        <v>8.76</v>
      </c>
      <c r="AA165">
        <v>39.58</v>
      </c>
      <c r="AB165">
        <v>22.85</v>
      </c>
      <c r="AC165">
        <v>9.77</v>
      </c>
      <c r="AD165">
        <v>42.02</v>
      </c>
      <c r="AE165">
        <v>72.319999999999993</v>
      </c>
      <c r="AF165" s="14">
        <v>4.99</v>
      </c>
      <c r="AG165">
        <v>296.48</v>
      </c>
      <c r="AH165">
        <v>139.58000000000001</v>
      </c>
      <c r="AI165">
        <v>93.17</v>
      </c>
    </row>
    <row r="166" spans="1:35" ht="15.75">
      <c r="A166" t="s">
        <v>214</v>
      </c>
      <c r="B166" s="2" t="s">
        <v>214</v>
      </c>
      <c r="C166" s="2" t="str">
        <f t="shared" si="2"/>
        <v>TRUE</v>
      </c>
      <c r="D166" s="2" t="s">
        <v>865</v>
      </c>
      <c r="E166" s="2" t="s">
        <v>873</v>
      </c>
      <c r="F166" s="2" t="s">
        <v>864</v>
      </c>
      <c r="G166" s="3">
        <v>19925</v>
      </c>
      <c r="H166" s="3">
        <v>43677</v>
      </c>
      <c r="I166" s="2">
        <v>65</v>
      </c>
      <c r="J166" s="2">
        <v>1</v>
      </c>
      <c r="K166" s="2" t="s">
        <v>861</v>
      </c>
      <c r="L166" s="2">
        <v>329</v>
      </c>
      <c r="M166" s="2">
        <v>2</v>
      </c>
      <c r="N166">
        <v>15.33</v>
      </c>
      <c r="O166">
        <v>11.03</v>
      </c>
      <c r="P166">
        <v>50.22</v>
      </c>
      <c r="Q166" s="12">
        <v>1000.01</v>
      </c>
      <c r="R166">
        <v>173.17</v>
      </c>
      <c r="S166">
        <v>32.979999999999997</v>
      </c>
      <c r="T166">
        <v>13.92</v>
      </c>
      <c r="U166" s="13">
        <v>0.99</v>
      </c>
      <c r="V166">
        <v>705.49</v>
      </c>
      <c r="W166">
        <v>706.87</v>
      </c>
      <c r="X166">
        <v>30.88</v>
      </c>
      <c r="Y166">
        <v>63.57</v>
      </c>
      <c r="Z166" s="14">
        <v>2.4900000000000002</v>
      </c>
      <c r="AA166">
        <v>23.96</v>
      </c>
      <c r="AB166">
        <v>32.39</v>
      </c>
      <c r="AC166">
        <v>4.67</v>
      </c>
      <c r="AD166">
        <v>32.14</v>
      </c>
      <c r="AE166">
        <v>16.260000000000002</v>
      </c>
      <c r="AF166" s="14">
        <v>4.99</v>
      </c>
      <c r="AG166">
        <v>453.22</v>
      </c>
      <c r="AH166">
        <v>10.93</v>
      </c>
      <c r="AI166">
        <v>64.78</v>
      </c>
    </row>
    <row r="167" spans="1:35" ht="15.75">
      <c r="A167" t="s">
        <v>385</v>
      </c>
      <c r="B167" s="2" t="s">
        <v>385</v>
      </c>
      <c r="C167" s="2" t="str">
        <f t="shared" si="2"/>
        <v>TRUE</v>
      </c>
      <c r="D167" s="2" t="s">
        <v>858</v>
      </c>
      <c r="E167" s="2" t="s">
        <v>859</v>
      </c>
      <c r="F167" s="2" t="s">
        <v>864</v>
      </c>
      <c r="G167" s="3">
        <v>23568</v>
      </c>
      <c r="H167" s="3">
        <v>43679</v>
      </c>
      <c r="I167" s="2">
        <v>55</v>
      </c>
      <c r="J167" s="2">
        <v>2</v>
      </c>
      <c r="K167" s="2" t="s">
        <v>857</v>
      </c>
      <c r="L167" s="2" t="s">
        <v>856</v>
      </c>
      <c r="M167" s="2">
        <v>6</v>
      </c>
      <c r="N167">
        <v>15.23</v>
      </c>
      <c r="O167">
        <v>1.1200000000000001</v>
      </c>
      <c r="P167">
        <v>52.94</v>
      </c>
      <c r="Q167">
        <v>38.96</v>
      </c>
      <c r="R167">
        <v>46.64</v>
      </c>
      <c r="S167">
        <v>10.37</v>
      </c>
      <c r="T167">
        <v>75.92</v>
      </c>
      <c r="U167">
        <v>8.08</v>
      </c>
      <c r="V167">
        <v>874.36</v>
      </c>
      <c r="W167">
        <v>146.66999999999999</v>
      </c>
      <c r="X167">
        <v>257.52999999999997</v>
      </c>
      <c r="Y167">
        <v>366.63</v>
      </c>
      <c r="Z167">
        <v>35.67</v>
      </c>
      <c r="AA167">
        <v>41.42</v>
      </c>
      <c r="AB167">
        <v>7.66</v>
      </c>
      <c r="AC167">
        <v>16.989999999999998</v>
      </c>
      <c r="AD167">
        <v>28.25</v>
      </c>
      <c r="AE167">
        <v>159.12</v>
      </c>
      <c r="AF167">
        <v>19.66</v>
      </c>
      <c r="AG167">
        <v>325.73</v>
      </c>
      <c r="AH167">
        <v>78.42</v>
      </c>
      <c r="AI167">
        <v>80.709999999999994</v>
      </c>
    </row>
    <row r="168" spans="1:35" ht="15.75">
      <c r="A168" t="s">
        <v>211</v>
      </c>
      <c r="B168" s="2" t="s">
        <v>211</v>
      </c>
      <c r="C168" s="2" t="str">
        <f t="shared" si="2"/>
        <v>TRUE</v>
      </c>
      <c r="D168" s="2" t="s">
        <v>865</v>
      </c>
      <c r="E168" s="2" t="s">
        <v>873</v>
      </c>
      <c r="F168" s="2" t="s">
        <v>864</v>
      </c>
      <c r="G168" s="3">
        <v>19925</v>
      </c>
      <c r="H168" s="3">
        <v>43684</v>
      </c>
      <c r="I168" s="2">
        <v>65</v>
      </c>
      <c r="J168" s="2">
        <v>2</v>
      </c>
      <c r="K168" s="2" t="s">
        <v>861</v>
      </c>
      <c r="L168" s="2" t="s">
        <v>856</v>
      </c>
      <c r="M168" s="2">
        <v>1</v>
      </c>
      <c r="N168">
        <v>9.5399999999999991</v>
      </c>
      <c r="O168">
        <v>2.46</v>
      </c>
      <c r="P168">
        <v>28.95</v>
      </c>
      <c r="Q168">
        <v>911.09</v>
      </c>
      <c r="R168">
        <v>65.8</v>
      </c>
      <c r="S168">
        <v>38.770000000000003</v>
      </c>
      <c r="T168">
        <v>79.599999999999994</v>
      </c>
      <c r="U168">
        <v>1.37</v>
      </c>
      <c r="V168">
        <v>1207.3599999999999</v>
      </c>
      <c r="W168">
        <v>1051.4100000000001</v>
      </c>
      <c r="X168">
        <v>44.78</v>
      </c>
      <c r="Y168">
        <v>230.52</v>
      </c>
      <c r="Z168" s="14">
        <v>2.4900000000000002</v>
      </c>
      <c r="AA168">
        <v>47.37</v>
      </c>
      <c r="AB168">
        <v>49.58</v>
      </c>
      <c r="AC168">
        <v>12.06</v>
      </c>
      <c r="AD168">
        <v>72.53</v>
      </c>
      <c r="AE168">
        <v>77.13</v>
      </c>
      <c r="AF168" s="14">
        <v>4.99</v>
      </c>
      <c r="AG168">
        <v>1553.49</v>
      </c>
      <c r="AH168">
        <v>31.75</v>
      </c>
      <c r="AI168">
        <v>256.69</v>
      </c>
    </row>
    <row r="169" spans="1:35" ht="15.75">
      <c r="A169" t="s">
        <v>301</v>
      </c>
      <c r="B169" s="2" t="s">
        <v>301</v>
      </c>
      <c r="C169" s="2" t="str">
        <f t="shared" si="2"/>
        <v>TRUE</v>
      </c>
      <c r="D169" s="2" t="s">
        <v>858</v>
      </c>
      <c r="E169" s="2" t="s">
        <v>859</v>
      </c>
      <c r="F169" s="2" t="s">
        <v>864</v>
      </c>
      <c r="G169" s="3">
        <v>34948</v>
      </c>
      <c r="H169" s="3">
        <v>43690</v>
      </c>
      <c r="I169" s="2">
        <v>23</v>
      </c>
      <c r="J169" s="2">
        <v>1</v>
      </c>
      <c r="K169" s="2" t="s">
        <v>861</v>
      </c>
      <c r="L169" s="2">
        <v>7699</v>
      </c>
      <c r="M169" s="2">
        <v>6</v>
      </c>
      <c r="N169">
        <v>13.36</v>
      </c>
      <c r="O169">
        <v>4.72</v>
      </c>
      <c r="P169">
        <v>97.08</v>
      </c>
      <c r="Q169">
        <v>427.12</v>
      </c>
      <c r="R169">
        <v>288.26</v>
      </c>
      <c r="S169">
        <v>49.19</v>
      </c>
      <c r="T169">
        <v>109.02</v>
      </c>
      <c r="U169">
        <v>4.84</v>
      </c>
      <c r="V169">
        <v>2489.0700000000002</v>
      </c>
      <c r="W169">
        <v>1117.07</v>
      </c>
      <c r="X169">
        <v>192.73</v>
      </c>
      <c r="Y169" s="14">
        <v>1000.01</v>
      </c>
      <c r="Z169">
        <v>34.19</v>
      </c>
      <c r="AA169">
        <v>264.39</v>
      </c>
      <c r="AB169">
        <v>140.76</v>
      </c>
      <c r="AC169">
        <v>209.42</v>
      </c>
      <c r="AD169">
        <v>29.98</v>
      </c>
      <c r="AE169">
        <v>76.31</v>
      </c>
      <c r="AF169">
        <v>8.9</v>
      </c>
      <c r="AG169">
        <v>220.15</v>
      </c>
      <c r="AH169">
        <v>27.98</v>
      </c>
      <c r="AI169">
        <v>125.96</v>
      </c>
    </row>
    <row r="170" spans="1:35" ht="15.75">
      <c r="A170" t="s">
        <v>244</v>
      </c>
      <c r="B170" s="2" t="s">
        <v>244</v>
      </c>
      <c r="C170" s="2" t="str">
        <f t="shared" si="2"/>
        <v>TRUE</v>
      </c>
      <c r="D170" s="2" t="s">
        <v>858</v>
      </c>
      <c r="E170" s="2" t="s">
        <v>859</v>
      </c>
      <c r="F170" s="2" t="s">
        <v>860</v>
      </c>
      <c r="G170" s="3">
        <v>34403</v>
      </c>
      <c r="H170" s="3">
        <v>43690</v>
      </c>
      <c r="I170" s="2">
        <v>25</v>
      </c>
      <c r="J170" s="2">
        <v>6</v>
      </c>
      <c r="K170" s="2" t="s">
        <v>861</v>
      </c>
      <c r="L170" s="2">
        <v>3772</v>
      </c>
      <c r="M170" s="2">
        <v>7</v>
      </c>
      <c r="N170">
        <v>17.37</v>
      </c>
      <c r="O170">
        <v>6.57</v>
      </c>
      <c r="P170">
        <v>5.22</v>
      </c>
      <c r="Q170">
        <v>0.99</v>
      </c>
      <c r="R170">
        <v>258.64</v>
      </c>
      <c r="S170">
        <v>3.7</v>
      </c>
      <c r="T170">
        <v>396.43</v>
      </c>
      <c r="U170">
        <v>17.559999999999999</v>
      </c>
      <c r="V170">
        <v>2500.0100000000002</v>
      </c>
      <c r="W170">
        <v>4.38</v>
      </c>
      <c r="X170">
        <v>52.82</v>
      </c>
      <c r="Y170" s="14">
        <v>1000.01</v>
      </c>
      <c r="Z170">
        <v>58.26</v>
      </c>
      <c r="AA170">
        <v>93.5</v>
      </c>
      <c r="AB170" s="14">
        <v>2.4900000000000002</v>
      </c>
      <c r="AC170">
        <v>133.33000000000001</v>
      </c>
      <c r="AD170" s="14">
        <v>9.99</v>
      </c>
      <c r="AE170">
        <v>161.44999999999999</v>
      </c>
      <c r="AF170" s="14">
        <v>4.99</v>
      </c>
      <c r="AG170">
        <v>8.5399999999999991</v>
      </c>
      <c r="AH170">
        <v>10.55</v>
      </c>
      <c r="AI170" s="14">
        <v>4.99</v>
      </c>
    </row>
    <row r="171" spans="1:35" ht="15.75">
      <c r="A171" t="s">
        <v>199</v>
      </c>
      <c r="B171" s="2" t="s">
        <v>199</v>
      </c>
      <c r="C171" s="2" t="str">
        <f t="shared" si="2"/>
        <v>TRUE</v>
      </c>
      <c r="D171" s="2" t="s">
        <v>865</v>
      </c>
      <c r="E171" s="2" t="s">
        <v>873</v>
      </c>
      <c r="F171" s="2" t="s">
        <v>864</v>
      </c>
      <c r="G171" s="3">
        <v>19925</v>
      </c>
      <c r="H171" s="3">
        <v>43691</v>
      </c>
      <c r="I171" s="2">
        <v>65</v>
      </c>
      <c r="J171" s="2">
        <v>3</v>
      </c>
      <c r="K171" s="2" t="s">
        <v>861</v>
      </c>
      <c r="L171" s="2" t="s">
        <v>856</v>
      </c>
      <c r="M171" s="2">
        <v>2</v>
      </c>
      <c r="N171">
        <v>14.6</v>
      </c>
      <c r="O171">
        <v>2.7</v>
      </c>
      <c r="P171">
        <v>48.92</v>
      </c>
      <c r="Q171">
        <v>406.69</v>
      </c>
      <c r="R171">
        <v>39.25</v>
      </c>
      <c r="S171">
        <v>22.82</v>
      </c>
      <c r="T171">
        <v>12.69</v>
      </c>
      <c r="U171" s="13">
        <v>0.99</v>
      </c>
      <c r="V171">
        <v>1195.44</v>
      </c>
      <c r="W171">
        <v>509.86</v>
      </c>
      <c r="X171">
        <v>41.24</v>
      </c>
      <c r="Y171">
        <v>232.47</v>
      </c>
      <c r="Z171">
        <v>3.51</v>
      </c>
      <c r="AA171">
        <v>58.33</v>
      </c>
      <c r="AB171">
        <v>31.73</v>
      </c>
      <c r="AC171">
        <v>11.98</v>
      </c>
      <c r="AD171">
        <v>30.54</v>
      </c>
      <c r="AE171">
        <v>96.93</v>
      </c>
      <c r="AF171" s="14">
        <v>4.99</v>
      </c>
      <c r="AG171">
        <v>912.62</v>
      </c>
      <c r="AH171">
        <v>52.27</v>
      </c>
      <c r="AI171">
        <v>125.82</v>
      </c>
    </row>
    <row r="172" spans="1:35" ht="15.75">
      <c r="A172" t="s">
        <v>388</v>
      </c>
      <c r="B172" s="2" t="s">
        <v>388</v>
      </c>
      <c r="C172" s="2" t="str">
        <f t="shared" si="2"/>
        <v>TRUE</v>
      </c>
      <c r="D172" s="2" t="s">
        <v>858</v>
      </c>
      <c r="E172" s="2" t="s">
        <v>859</v>
      </c>
      <c r="F172" s="2" t="s">
        <v>864</v>
      </c>
      <c r="G172" s="3">
        <v>23568</v>
      </c>
      <c r="H172" s="3">
        <v>43686</v>
      </c>
      <c r="I172" s="2">
        <v>55</v>
      </c>
      <c r="J172" s="2">
        <v>3</v>
      </c>
      <c r="K172" s="2" t="s">
        <v>857</v>
      </c>
      <c r="L172" s="2" t="s">
        <v>856</v>
      </c>
      <c r="M172" s="2">
        <v>5</v>
      </c>
      <c r="N172">
        <v>27.06</v>
      </c>
      <c r="O172">
        <v>38.15</v>
      </c>
      <c r="P172">
        <v>56.57</v>
      </c>
      <c r="Q172">
        <v>559.23</v>
      </c>
      <c r="R172" s="12">
        <v>1000.01</v>
      </c>
      <c r="S172">
        <v>284.29000000000002</v>
      </c>
      <c r="T172">
        <v>1000.01</v>
      </c>
      <c r="U172">
        <v>88.94</v>
      </c>
      <c r="V172">
        <v>607.69000000000005</v>
      </c>
      <c r="W172">
        <v>108.06</v>
      </c>
      <c r="X172">
        <v>140.44999999999999</v>
      </c>
      <c r="Y172">
        <v>131.28</v>
      </c>
      <c r="Z172">
        <v>9.59</v>
      </c>
      <c r="AA172">
        <v>22.54</v>
      </c>
      <c r="AB172">
        <v>3.11</v>
      </c>
      <c r="AC172">
        <v>7.6</v>
      </c>
      <c r="AD172">
        <v>13.97</v>
      </c>
      <c r="AE172">
        <v>52.36</v>
      </c>
      <c r="AF172">
        <v>11.85</v>
      </c>
      <c r="AG172">
        <v>189.45</v>
      </c>
      <c r="AH172">
        <v>53.24</v>
      </c>
      <c r="AI172">
        <v>28.57</v>
      </c>
    </row>
    <row r="173" spans="1:35" ht="15.75">
      <c r="A173" t="s">
        <v>208</v>
      </c>
      <c r="B173" s="2" t="s">
        <v>208</v>
      </c>
      <c r="C173" s="2" t="str">
        <f t="shared" si="2"/>
        <v>TRUE</v>
      </c>
      <c r="D173" s="2" t="s">
        <v>865</v>
      </c>
      <c r="E173" s="2" t="s">
        <v>873</v>
      </c>
      <c r="F173" s="2" t="s">
        <v>864</v>
      </c>
      <c r="G173" s="3">
        <v>19925</v>
      </c>
      <c r="H173" s="3">
        <v>43698</v>
      </c>
      <c r="I173" s="2">
        <v>65</v>
      </c>
      <c r="J173" s="2">
        <v>4</v>
      </c>
      <c r="K173" s="2" t="s">
        <v>861</v>
      </c>
      <c r="L173" s="2" t="s">
        <v>856</v>
      </c>
      <c r="M173" s="2">
        <v>1</v>
      </c>
      <c r="N173">
        <v>12.17</v>
      </c>
      <c r="O173">
        <v>2.68</v>
      </c>
      <c r="P173">
        <v>29.03</v>
      </c>
      <c r="Q173">
        <v>669.73</v>
      </c>
      <c r="R173">
        <v>39.340000000000003</v>
      </c>
      <c r="S173">
        <v>38.28</v>
      </c>
      <c r="T173">
        <v>15.73</v>
      </c>
      <c r="U173" s="13">
        <v>0.99</v>
      </c>
      <c r="V173">
        <v>1080.3399999999999</v>
      </c>
      <c r="W173">
        <v>576.95000000000005</v>
      </c>
      <c r="X173">
        <v>35.700000000000003</v>
      </c>
      <c r="Y173">
        <v>214.07</v>
      </c>
      <c r="Z173">
        <v>2.65</v>
      </c>
      <c r="AA173">
        <v>48.34</v>
      </c>
      <c r="AB173">
        <v>31.25</v>
      </c>
      <c r="AC173">
        <v>14.37</v>
      </c>
      <c r="AD173">
        <v>68.64</v>
      </c>
      <c r="AE173">
        <v>64.06</v>
      </c>
      <c r="AF173" s="14">
        <v>4.99</v>
      </c>
      <c r="AG173">
        <v>1369.83</v>
      </c>
      <c r="AH173">
        <v>36.97</v>
      </c>
      <c r="AI173">
        <v>101.1</v>
      </c>
    </row>
    <row r="174" spans="1:35" ht="15.75">
      <c r="A174" t="s">
        <v>394</v>
      </c>
      <c r="B174" s="2" t="s">
        <v>394</v>
      </c>
      <c r="C174" s="2" t="str">
        <f t="shared" si="2"/>
        <v>TRUE</v>
      </c>
      <c r="D174" s="2" t="s">
        <v>858</v>
      </c>
      <c r="E174" s="2" t="s">
        <v>859</v>
      </c>
      <c r="F174" s="2" t="s">
        <v>864</v>
      </c>
      <c r="G174" s="3">
        <v>23568</v>
      </c>
      <c r="H174" s="3">
        <v>43692</v>
      </c>
      <c r="I174" s="2">
        <v>55</v>
      </c>
      <c r="J174" s="2">
        <v>4</v>
      </c>
      <c r="K174" s="2" t="s">
        <v>857</v>
      </c>
      <c r="L174" s="2" t="s">
        <v>856</v>
      </c>
      <c r="M174" s="2">
        <v>6</v>
      </c>
      <c r="N174">
        <v>15.55</v>
      </c>
      <c r="O174">
        <v>0.99</v>
      </c>
      <c r="P174">
        <v>23.7</v>
      </c>
      <c r="Q174">
        <v>29.81</v>
      </c>
      <c r="R174">
        <v>85.64</v>
      </c>
      <c r="S174">
        <v>10.93</v>
      </c>
      <c r="T174">
        <v>95.99</v>
      </c>
      <c r="U174">
        <v>8.51</v>
      </c>
      <c r="V174">
        <v>1504.21</v>
      </c>
      <c r="W174">
        <v>257.02</v>
      </c>
      <c r="X174">
        <v>269.25</v>
      </c>
      <c r="Y174">
        <v>520.77</v>
      </c>
      <c r="Z174">
        <v>22.39</v>
      </c>
      <c r="AA174">
        <v>72.03</v>
      </c>
      <c r="AB174">
        <v>14.65</v>
      </c>
      <c r="AC174">
        <v>19.41</v>
      </c>
      <c r="AD174">
        <v>27.34</v>
      </c>
      <c r="AE174">
        <v>97.16</v>
      </c>
      <c r="AF174">
        <v>8</v>
      </c>
      <c r="AG174">
        <v>166.58</v>
      </c>
      <c r="AH174">
        <v>72.06</v>
      </c>
      <c r="AI174">
        <v>88.9</v>
      </c>
    </row>
    <row r="175" spans="1:35" ht="15.75">
      <c r="A175" t="s">
        <v>310</v>
      </c>
      <c r="B175" s="2" t="s">
        <v>310</v>
      </c>
      <c r="C175" s="2" t="str">
        <f t="shared" si="2"/>
        <v>TRUE</v>
      </c>
      <c r="D175" s="2" t="s">
        <v>858</v>
      </c>
      <c r="E175" s="2" t="s">
        <v>859</v>
      </c>
      <c r="F175" s="2" t="s">
        <v>864</v>
      </c>
      <c r="G175" s="3">
        <v>34948</v>
      </c>
      <c r="H175" s="3">
        <v>43698</v>
      </c>
      <c r="I175" s="2">
        <v>23</v>
      </c>
      <c r="J175" s="2">
        <v>2</v>
      </c>
      <c r="K175" s="2" t="s">
        <v>861</v>
      </c>
      <c r="L175" s="2" t="s">
        <v>856</v>
      </c>
      <c r="M175" s="2">
        <v>4</v>
      </c>
      <c r="N175">
        <v>17.29</v>
      </c>
      <c r="O175">
        <v>11.39</v>
      </c>
      <c r="P175">
        <v>150.77000000000001</v>
      </c>
      <c r="Q175">
        <v>702.61</v>
      </c>
      <c r="R175">
        <v>168.02</v>
      </c>
      <c r="S175">
        <v>58.1</v>
      </c>
      <c r="T175">
        <v>67.33</v>
      </c>
      <c r="U175">
        <v>5.35</v>
      </c>
      <c r="V175">
        <v>2500.0100000000002</v>
      </c>
      <c r="W175">
        <v>2042.35</v>
      </c>
      <c r="X175">
        <v>227.5</v>
      </c>
      <c r="Y175" s="14">
        <v>1000.01</v>
      </c>
      <c r="Z175">
        <v>20.82</v>
      </c>
      <c r="AA175">
        <v>316.44</v>
      </c>
      <c r="AB175">
        <v>272.18</v>
      </c>
      <c r="AC175">
        <v>220.75</v>
      </c>
      <c r="AD175">
        <v>74.599999999999994</v>
      </c>
      <c r="AE175">
        <v>75.02</v>
      </c>
      <c r="AF175">
        <v>8.82</v>
      </c>
      <c r="AG175">
        <v>550.76</v>
      </c>
      <c r="AH175">
        <v>41.9</v>
      </c>
      <c r="AI175">
        <v>192.02</v>
      </c>
    </row>
    <row r="176" spans="1:35" ht="15.75">
      <c r="A176" t="s">
        <v>400</v>
      </c>
      <c r="B176" s="2" t="s">
        <v>400</v>
      </c>
      <c r="C176" s="2" t="str">
        <f t="shared" si="2"/>
        <v>TRUE</v>
      </c>
      <c r="D176" s="2" t="s">
        <v>858</v>
      </c>
      <c r="E176" s="2" t="s">
        <v>859</v>
      </c>
      <c r="F176" s="2" t="s">
        <v>864</v>
      </c>
      <c r="G176" s="3">
        <v>23568</v>
      </c>
      <c r="H176" s="3">
        <v>43699</v>
      </c>
      <c r="I176" s="2">
        <v>55</v>
      </c>
      <c r="J176" s="2">
        <v>5</v>
      </c>
      <c r="K176" s="2" t="s">
        <v>857</v>
      </c>
      <c r="L176" s="2">
        <v>57</v>
      </c>
      <c r="M176" s="2">
        <v>4</v>
      </c>
      <c r="N176">
        <v>26.67</v>
      </c>
      <c r="O176">
        <v>75.55</v>
      </c>
      <c r="P176">
        <v>41.76</v>
      </c>
      <c r="Q176">
        <v>631.72</v>
      </c>
      <c r="R176" s="12">
        <v>1000.01</v>
      </c>
      <c r="S176">
        <v>261.69</v>
      </c>
      <c r="T176">
        <v>1000.01</v>
      </c>
      <c r="U176">
        <v>95.3</v>
      </c>
      <c r="V176">
        <v>1287.8599999999999</v>
      </c>
      <c r="W176">
        <v>243.55</v>
      </c>
      <c r="X176">
        <v>222.51</v>
      </c>
      <c r="Y176">
        <v>577.45000000000005</v>
      </c>
      <c r="Z176">
        <v>23.27</v>
      </c>
      <c r="AA176">
        <v>105.25</v>
      </c>
      <c r="AB176">
        <v>21.15</v>
      </c>
      <c r="AC176">
        <v>39.97</v>
      </c>
      <c r="AD176">
        <v>47.82</v>
      </c>
      <c r="AE176">
        <v>69.33</v>
      </c>
      <c r="AF176">
        <v>17.66</v>
      </c>
      <c r="AG176">
        <v>125.19</v>
      </c>
      <c r="AH176">
        <v>41.85</v>
      </c>
      <c r="AI176">
        <v>34.32</v>
      </c>
    </row>
    <row r="177" spans="1:35" ht="15.75">
      <c r="A177" t="s">
        <v>295</v>
      </c>
      <c r="B177" s="2" t="s">
        <v>295</v>
      </c>
      <c r="C177" s="2" t="str">
        <f t="shared" si="2"/>
        <v>TRUE</v>
      </c>
      <c r="D177" s="2" t="s">
        <v>858</v>
      </c>
      <c r="E177" s="2" t="s">
        <v>859</v>
      </c>
      <c r="F177" s="2" t="s">
        <v>864</v>
      </c>
      <c r="G177" s="3">
        <v>34948</v>
      </c>
      <c r="H177" s="3">
        <v>43705</v>
      </c>
      <c r="I177" s="2">
        <v>23</v>
      </c>
      <c r="J177" s="2">
        <v>3</v>
      </c>
      <c r="K177" s="2" t="s">
        <v>861</v>
      </c>
      <c r="L177" s="2" t="s">
        <v>856</v>
      </c>
      <c r="M177" s="2">
        <v>4</v>
      </c>
      <c r="N177">
        <v>10.55</v>
      </c>
      <c r="O177">
        <v>3.86</v>
      </c>
      <c r="P177">
        <v>137.41999999999999</v>
      </c>
      <c r="Q177">
        <v>483.83</v>
      </c>
      <c r="R177">
        <v>117.28</v>
      </c>
      <c r="S177">
        <v>43.86</v>
      </c>
      <c r="T177">
        <v>32.869999999999997</v>
      </c>
      <c r="U177">
        <v>1.89</v>
      </c>
      <c r="V177">
        <v>1715.95</v>
      </c>
      <c r="W177">
        <v>1079.2</v>
      </c>
      <c r="X177">
        <v>174.44</v>
      </c>
      <c r="Y177">
        <v>950.67</v>
      </c>
      <c r="Z177">
        <v>16.03</v>
      </c>
      <c r="AA177">
        <v>171.56</v>
      </c>
      <c r="AB177">
        <v>143.38</v>
      </c>
      <c r="AC177">
        <v>105.81</v>
      </c>
      <c r="AD177">
        <v>93.86</v>
      </c>
      <c r="AE177">
        <v>80.75</v>
      </c>
      <c r="AF177">
        <v>8.77</v>
      </c>
      <c r="AG177">
        <v>535.82000000000005</v>
      </c>
      <c r="AH177">
        <v>31.65</v>
      </c>
      <c r="AI177">
        <v>142.51</v>
      </c>
    </row>
    <row r="178" spans="1:35" ht="15.75">
      <c r="A178" t="s">
        <v>232</v>
      </c>
      <c r="B178" s="2" t="s">
        <v>232</v>
      </c>
      <c r="C178" s="2" t="str">
        <f t="shared" si="2"/>
        <v>TRUE</v>
      </c>
      <c r="D178" s="2" t="s">
        <v>858</v>
      </c>
      <c r="E178" s="2" t="s">
        <v>859</v>
      </c>
      <c r="F178" s="2" t="s">
        <v>860</v>
      </c>
      <c r="G178" s="3">
        <v>34403</v>
      </c>
      <c r="H178" s="3">
        <v>43718</v>
      </c>
      <c r="I178" s="2">
        <v>25</v>
      </c>
      <c r="J178" s="2">
        <v>7</v>
      </c>
      <c r="K178" s="2" t="s">
        <v>861</v>
      </c>
      <c r="L178" s="2">
        <v>904</v>
      </c>
      <c r="M178" s="2">
        <v>5</v>
      </c>
      <c r="N178">
        <v>10.57</v>
      </c>
      <c r="O178">
        <v>0.99</v>
      </c>
      <c r="P178">
        <v>3.75</v>
      </c>
      <c r="Q178">
        <v>0.99</v>
      </c>
      <c r="R178">
        <v>63.07</v>
      </c>
      <c r="S178">
        <v>1.32</v>
      </c>
      <c r="T178">
        <v>62.53</v>
      </c>
      <c r="U178" s="13">
        <v>0.99</v>
      </c>
      <c r="V178">
        <v>2500.0100000000002</v>
      </c>
      <c r="W178">
        <v>2.4900000000000002</v>
      </c>
      <c r="X178">
        <v>23.33</v>
      </c>
      <c r="Y178" s="14">
        <v>1000.01</v>
      </c>
      <c r="Z178">
        <v>23.11</v>
      </c>
      <c r="AA178">
        <v>37.26</v>
      </c>
      <c r="AB178" s="14">
        <v>2.4900000000000002</v>
      </c>
      <c r="AC178">
        <v>41.63</v>
      </c>
      <c r="AD178" s="14">
        <v>9.99</v>
      </c>
      <c r="AE178">
        <v>97.54</v>
      </c>
      <c r="AF178" s="14">
        <v>4.99</v>
      </c>
      <c r="AG178" s="14">
        <v>4.99</v>
      </c>
      <c r="AH178">
        <v>6.27</v>
      </c>
      <c r="AI178" s="14">
        <v>4.99</v>
      </c>
    </row>
    <row r="179" spans="1:35" ht="15.75">
      <c r="A179" t="s">
        <v>484</v>
      </c>
      <c r="B179" s="2" t="s">
        <v>484</v>
      </c>
      <c r="C179" s="2" t="str">
        <f t="shared" si="2"/>
        <v>TRUE</v>
      </c>
      <c r="D179" s="2" t="s">
        <v>865</v>
      </c>
      <c r="E179" s="2" t="s">
        <v>872</v>
      </c>
      <c r="F179" s="2" t="s">
        <v>860</v>
      </c>
      <c r="G179" s="3">
        <v>18937</v>
      </c>
      <c r="H179" s="3">
        <v>43711</v>
      </c>
      <c r="I179" s="2">
        <v>67</v>
      </c>
      <c r="J179" s="2">
        <v>1</v>
      </c>
      <c r="K179" s="2" t="s">
        <v>857</v>
      </c>
      <c r="L179" s="2">
        <v>715</v>
      </c>
      <c r="M179" s="2">
        <v>5</v>
      </c>
      <c r="N179">
        <v>8.8000000000000007</v>
      </c>
      <c r="O179">
        <v>15.61</v>
      </c>
      <c r="P179">
        <v>38.159999999999997</v>
      </c>
      <c r="Q179">
        <v>618.66999999999996</v>
      </c>
      <c r="R179">
        <v>279.35000000000002</v>
      </c>
      <c r="S179">
        <v>31.48</v>
      </c>
      <c r="T179">
        <v>261.49</v>
      </c>
      <c r="U179">
        <v>11.68</v>
      </c>
      <c r="V179">
        <v>1462.81</v>
      </c>
      <c r="W179">
        <v>1007.1</v>
      </c>
      <c r="X179">
        <v>52.62</v>
      </c>
      <c r="Y179">
        <v>864.47</v>
      </c>
      <c r="Z179">
        <v>4.88</v>
      </c>
      <c r="AA179">
        <v>151.31</v>
      </c>
      <c r="AB179">
        <v>66.08</v>
      </c>
      <c r="AC179">
        <v>111.51</v>
      </c>
      <c r="AD179">
        <v>23.83</v>
      </c>
      <c r="AE179">
        <v>68.72</v>
      </c>
      <c r="AF179">
        <v>8.7100000000000009</v>
      </c>
      <c r="AG179">
        <v>479.68</v>
      </c>
      <c r="AH179">
        <v>25.2</v>
      </c>
      <c r="AI179">
        <v>86.5</v>
      </c>
    </row>
    <row r="180" spans="1:35" ht="15.75">
      <c r="A180" t="s">
        <v>304</v>
      </c>
      <c r="B180" s="2" t="s">
        <v>304</v>
      </c>
      <c r="C180" s="2" t="str">
        <f t="shared" si="2"/>
        <v>TRUE</v>
      </c>
      <c r="D180" s="2" t="s">
        <v>858</v>
      </c>
      <c r="E180" s="2" t="s">
        <v>859</v>
      </c>
      <c r="F180" s="2" t="s">
        <v>864</v>
      </c>
      <c r="G180" s="3">
        <v>34948</v>
      </c>
      <c r="H180" s="3">
        <v>43713</v>
      </c>
      <c r="I180" s="2">
        <v>23</v>
      </c>
      <c r="J180" s="2">
        <v>4</v>
      </c>
      <c r="K180" s="2" t="s">
        <v>861</v>
      </c>
      <c r="L180" s="2" t="s">
        <v>856</v>
      </c>
      <c r="M180" s="2">
        <v>3</v>
      </c>
      <c r="N180">
        <v>9.76</v>
      </c>
      <c r="O180">
        <v>5.12</v>
      </c>
      <c r="P180">
        <v>88.14</v>
      </c>
      <c r="Q180">
        <v>378.28</v>
      </c>
      <c r="R180">
        <v>237.4</v>
      </c>
      <c r="S180">
        <v>41.77</v>
      </c>
      <c r="T180">
        <v>270.33</v>
      </c>
      <c r="U180">
        <v>6.43</v>
      </c>
      <c r="V180">
        <v>1579.18</v>
      </c>
      <c r="W180">
        <v>639.16</v>
      </c>
      <c r="X180">
        <v>165.88</v>
      </c>
      <c r="Y180">
        <v>931.63</v>
      </c>
      <c r="Z180">
        <v>27.93</v>
      </c>
      <c r="AA180">
        <v>136.66999999999999</v>
      </c>
      <c r="AB180">
        <v>80.010000000000005</v>
      </c>
      <c r="AC180">
        <v>100.58</v>
      </c>
      <c r="AD180">
        <v>59.1</v>
      </c>
      <c r="AE180">
        <v>196.04</v>
      </c>
      <c r="AF180">
        <v>21.95</v>
      </c>
      <c r="AG180">
        <v>399.59</v>
      </c>
      <c r="AH180">
        <v>70.650000000000006</v>
      </c>
      <c r="AI180">
        <v>226.31</v>
      </c>
    </row>
    <row r="181" spans="1:35" ht="15.75">
      <c r="A181" t="s">
        <v>478</v>
      </c>
      <c r="B181" s="2" t="s">
        <v>478</v>
      </c>
      <c r="C181" s="2" t="str">
        <f t="shared" si="2"/>
        <v>TRUE</v>
      </c>
      <c r="D181" s="2" t="s">
        <v>865</v>
      </c>
      <c r="E181" s="2" t="s">
        <v>872</v>
      </c>
      <c r="F181" s="2" t="s">
        <v>860</v>
      </c>
      <c r="G181" s="3">
        <v>18937</v>
      </c>
      <c r="H181" s="3">
        <v>43721</v>
      </c>
      <c r="I181" s="2">
        <v>67</v>
      </c>
      <c r="J181" s="2">
        <v>2</v>
      </c>
      <c r="K181" s="2" t="s">
        <v>857</v>
      </c>
      <c r="L181" s="2" t="s">
        <v>856</v>
      </c>
      <c r="M181" s="2">
        <v>0</v>
      </c>
      <c r="N181">
        <v>9.83</v>
      </c>
      <c r="O181">
        <v>7.67</v>
      </c>
      <c r="P181">
        <v>62.49</v>
      </c>
      <c r="Q181">
        <v>294.94</v>
      </c>
      <c r="R181">
        <v>187.05</v>
      </c>
      <c r="S181">
        <v>19.54</v>
      </c>
      <c r="T181">
        <v>191.57</v>
      </c>
      <c r="U181">
        <v>6.9</v>
      </c>
      <c r="V181">
        <v>1199.98</v>
      </c>
      <c r="W181">
        <v>933.85</v>
      </c>
      <c r="X181">
        <v>69.319999999999993</v>
      </c>
      <c r="Y181" s="14">
        <v>1000.01</v>
      </c>
      <c r="Z181">
        <v>6.9</v>
      </c>
      <c r="AA181">
        <v>256.92</v>
      </c>
      <c r="AB181">
        <v>148.22</v>
      </c>
      <c r="AC181">
        <v>210.19</v>
      </c>
      <c r="AD181">
        <v>113.27</v>
      </c>
      <c r="AE181">
        <v>162.52000000000001</v>
      </c>
      <c r="AF181">
        <v>21.43</v>
      </c>
      <c r="AG181">
        <v>525.91999999999996</v>
      </c>
      <c r="AH181">
        <v>35.520000000000003</v>
      </c>
      <c r="AI181">
        <v>171.49</v>
      </c>
    </row>
    <row r="182" spans="1:35" ht="15.75">
      <c r="A182" t="s">
        <v>298</v>
      </c>
      <c r="B182" s="2" t="s">
        <v>298</v>
      </c>
      <c r="C182" s="2" t="str">
        <f t="shared" si="2"/>
        <v>TRUE</v>
      </c>
      <c r="D182" s="2" t="s">
        <v>858</v>
      </c>
      <c r="E182" s="2" t="s">
        <v>859</v>
      </c>
      <c r="F182" s="2" t="s">
        <v>864</v>
      </c>
      <c r="G182" s="3">
        <v>34948</v>
      </c>
      <c r="H182" s="3">
        <v>43719</v>
      </c>
      <c r="I182" s="2">
        <v>24</v>
      </c>
      <c r="J182" s="2">
        <v>5</v>
      </c>
      <c r="K182" s="2" t="s">
        <v>861</v>
      </c>
      <c r="L182" s="2">
        <v>251</v>
      </c>
      <c r="M182" s="2">
        <v>4</v>
      </c>
      <c r="N182">
        <v>14.85</v>
      </c>
      <c r="O182">
        <v>8.11</v>
      </c>
      <c r="P182">
        <v>61.53</v>
      </c>
      <c r="Q182">
        <v>724.56</v>
      </c>
      <c r="R182">
        <v>380.8</v>
      </c>
      <c r="S182">
        <v>62.33</v>
      </c>
      <c r="T182">
        <v>60.76</v>
      </c>
      <c r="U182">
        <v>9.59</v>
      </c>
      <c r="V182">
        <v>506.78</v>
      </c>
      <c r="W182">
        <v>246.59</v>
      </c>
      <c r="X182">
        <v>34.74</v>
      </c>
      <c r="Y182">
        <v>184.48</v>
      </c>
      <c r="Z182">
        <v>6.43</v>
      </c>
      <c r="AA182">
        <v>90.07</v>
      </c>
      <c r="AB182">
        <v>56.31</v>
      </c>
      <c r="AC182">
        <v>32.68</v>
      </c>
      <c r="AD182">
        <v>45.26</v>
      </c>
      <c r="AE182">
        <v>26.6</v>
      </c>
      <c r="AF182">
        <v>5.98</v>
      </c>
      <c r="AG182">
        <v>203.38</v>
      </c>
      <c r="AH182">
        <v>17.25</v>
      </c>
      <c r="AI182">
        <v>50.74</v>
      </c>
    </row>
    <row r="183" spans="1:35" ht="15.75">
      <c r="A183" t="s">
        <v>403</v>
      </c>
      <c r="B183" s="2" t="s">
        <v>403</v>
      </c>
      <c r="C183" s="2" t="str">
        <f t="shared" si="2"/>
        <v>TRUE</v>
      </c>
      <c r="D183" s="2" t="s">
        <v>858</v>
      </c>
      <c r="E183" s="2" t="s">
        <v>859</v>
      </c>
      <c r="F183" s="2" t="s">
        <v>864</v>
      </c>
      <c r="G183" s="3">
        <v>23568</v>
      </c>
      <c r="H183" s="3">
        <v>43728</v>
      </c>
      <c r="I183" s="2">
        <v>55</v>
      </c>
      <c r="J183" s="2">
        <v>6</v>
      </c>
      <c r="K183" s="2" t="s">
        <v>857</v>
      </c>
      <c r="L183" s="2">
        <v>15</v>
      </c>
      <c r="M183" s="2">
        <v>3</v>
      </c>
      <c r="N183">
        <v>19.95</v>
      </c>
      <c r="O183">
        <v>1.66</v>
      </c>
      <c r="P183">
        <v>22.23</v>
      </c>
      <c r="Q183">
        <v>10.41</v>
      </c>
      <c r="R183">
        <v>40.520000000000003</v>
      </c>
      <c r="S183">
        <v>5.17</v>
      </c>
      <c r="T183">
        <v>54.32</v>
      </c>
      <c r="U183">
        <v>3.22</v>
      </c>
      <c r="V183">
        <v>2500.0100000000002</v>
      </c>
      <c r="W183">
        <v>373.83</v>
      </c>
      <c r="X183">
        <v>231.85</v>
      </c>
      <c r="Y183" s="14">
        <v>1000.01</v>
      </c>
      <c r="Z183">
        <v>51.68</v>
      </c>
      <c r="AA183">
        <v>682.16</v>
      </c>
      <c r="AB183">
        <v>93.07</v>
      </c>
      <c r="AC183">
        <v>289.52</v>
      </c>
      <c r="AD183">
        <v>93.67</v>
      </c>
      <c r="AE183">
        <v>244.49</v>
      </c>
      <c r="AF183">
        <v>58.42</v>
      </c>
      <c r="AG183">
        <v>190.1</v>
      </c>
      <c r="AH183">
        <v>64.849999999999994</v>
      </c>
      <c r="AI183">
        <v>76.59</v>
      </c>
    </row>
    <row r="184" spans="1:35" ht="15.75">
      <c r="A184" t="s">
        <v>481</v>
      </c>
      <c r="B184" s="2" t="s">
        <v>481</v>
      </c>
      <c r="C184" s="2" t="str">
        <f t="shared" si="2"/>
        <v>TRUE</v>
      </c>
      <c r="D184" s="2" t="s">
        <v>865</v>
      </c>
      <c r="E184" s="2" t="s">
        <v>872</v>
      </c>
      <c r="F184" s="2" t="s">
        <v>860</v>
      </c>
      <c r="G184" s="3">
        <v>18937</v>
      </c>
      <c r="H184" s="3">
        <v>43728</v>
      </c>
      <c r="I184" s="2">
        <v>67</v>
      </c>
      <c r="J184" s="2">
        <v>3</v>
      </c>
      <c r="K184" s="2" t="s">
        <v>857</v>
      </c>
      <c r="L184" s="2" t="s">
        <v>856</v>
      </c>
      <c r="M184" s="2">
        <v>0</v>
      </c>
      <c r="N184">
        <v>10.89</v>
      </c>
      <c r="O184">
        <v>19.37</v>
      </c>
      <c r="P184">
        <v>75.900000000000006</v>
      </c>
      <c r="Q184">
        <v>455.05</v>
      </c>
      <c r="R184">
        <v>330.67</v>
      </c>
      <c r="S184">
        <v>34.83</v>
      </c>
      <c r="T184">
        <v>189.31</v>
      </c>
      <c r="U184">
        <v>8.82</v>
      </c>
      <c r="V184">
        <v>1200.21</v>
      </c>
      <c r="W184">
        <v>838.73</v>
      </c>
      <c r="X184">
        <v>107.91</v>
      </c>
      <c r="Y184" s="14">
        <v>1000.01</v>
      </c>
      <c r="Z184">
        <v>13.48</v>
      </c>
      <c r="AA184">
        <v>158.87</v>
      </c>
      <c r="AB184">
        <v>99.19</v>
      </c>
      <c r="AC184">
        <v>141.82</v>
      </c>
      <c r="AD184">
        <v>100.33</v>
      </c>
      <c r="AE184">
        <v>165.94</v>
      </c>
      <c r="AF184">
        <v>17.399999999999999</v>
      </c>
      <c r="AG184">
        <v>610.95000000000005</v>
      </c>
      <c r="AH184">
        <v>54.49</v>
      </c>
      <c r="AI184">
        <v>160.21</v>
      </c>
    </row>
    <row r="185" spans="1:35" ht="15.75">
      <c r="A185" t="s">
        <v>820</v>
      </c>
      <c r="B185" s="2" t="s">
        <v>820</v>
      </c>
      <c r="C185" s="2" t="str">
        <f t="shared" si="2"/>
        <v>TRUE</v>
      </c>
      <c r="D185" s="2" t="s">
        <v>865</v>
      </c>
      <c r="E185" s="2" t="s">
        <v>866</v>
      </c>
      <c r="F185" s="2" t="s">
        <v>864</v>
      </c>
      <c r="G185" s="3">
        <v>22293</v>
      </c>
      <c r="H185" s="3">
        <v>43733</v>
      </c>
      <c r="I185" s="2">
        <v>58</v>
      </c>
      <c r="J185" s="2">
        <v>2</v>
      </c>
      <c r="K185" s="2" t="s">
        <v>861</v>
      </c>
      <c r="L185" s="2" t="s">
        <v>856</v>
      </c>
      <c r="M185" s="2">
        <v>4</v>
      </c>
      <c r="N185">
        <v>17.71</v>
      </c>
      <c r="O185">
        <v>1.03</v>
      </c>
      <c r="P185">
        <v>92.65</v>
      </c>
      <c r="Q185">
        <v>652.84</v>
      </c>
      <c r="R185">
        <v>151.63999999999999</v>
      </c>
      <c r="S185">
        <v>65.95</v>
      </c>
      <c r="T185">
        <v>27.8</v>
      </c>
      <c r="U185">
        <v>1.81</v>
      </c>
      <c r="V185">
        <v>774.9</v>
      </c>
      <c r="W185">
        <v>436.84</v>
      </c>
      <c r="X185">
        <v>45.09</v>
      </c>
      <c r="Y185">
        <v>159.59</v>
      </c>
      <c r="Z185">
        <v>7.05</v>
      </c>
      <c r="AA185">
        <v>118.93</v>
      </c>
      <c r="AB185">
        <v>83.52</v>
      </c>
      <c r="AC185">
        <v>34.479999999999997</v>
      </c>
      <c r="AD185">
        <v>211.98</v>
      </c>
      <c r="AE185">
        <v>100.08</v>
      </c>
      <c r="AF185">
        <v>17.05</v>
      </c>
      <c r="AG185">
        <v>1294.31</v>
      </c>
      <c r="AH185">
        <v>40.869999999999997</v>
      </c>
      <c r="AI185">
        <v>183.54</v>
      </c>
    </row>
    <row r="186" spans="1:35" ht="15.75">
      <c r="A186" t="s">
        <v>196</v>
      </c>
      <c r="B186" s="2" t="s">
        <v>196</v>
      </c>
      <c r="C186" s="2" t="str">
        <f t="shared" si="2"/>
        <v>TRUE</v>
      </c>
      <c r="D186" s="2" t="s">
        <v>865</v>
      </c>
      <c r="E186" s="2" t="s">
        <v>873</v>
      </c>
      <c r="F186" s="2" t="s">
        <v>864</v>
      </c>
      <c r="G186" s="3">
        <v>19925</v>
      </c>
      <c r="H186" s="3">
        <v>43733</v>
      </c>
      <c r="I186" s="2">
        <v>65</v>
      </c>
      <c r="J186" s="2">
        <v>6</v>
      </c>
      <c r="K186" s="2" t="s">
        <v>861</v>
      </c>
      <c r="L186" s="2">
        <v>220</v>
      </c>
      <c r="M186" s="2">
        <v>2</v>
      </c>
      <c r="N186">
        <v>10.58</v>
      </c>
      <c r="O186">
        <v>4.07</v>
      </c>
      <c r="P186">
        <v>82.55</v>
      </c>
      <c r="Q186">
        <v>867.28</v>
      </c>
      <c r="R186">
        <v>28.82</v>
      </c>
      <c r="S186">
        <v>52.25</v>
      </c>
      <c r="T186">
        <v>4.6100000000000003</v>
      </c>
      <c r="U186" s="13">
        <v>0.99</v>
      </c>
      <c r="V186">
        <v>634.20000000000005</v>
      </c>
      <c r="W186">
        <v>516.24</v>
      </c>
      <c r="X186">
        <v>31.56</v>
      </c>
      <c r="Y186">
        <v>65.45</v>
      </c>
      <c r="Z186" s="14">
        <v>2.4900000000000002</v>
      </c>
      <c r="AA186">
        <v>36.31</v>
      </c>
      <c r="AB186">
        <v>33.32</v>
      </c>
      <c r="AC186">
        <v>5.4</v>
      </c>
      <c r="AD186">
        <v>57.9</v>
      </c>
      <c r="AE186">
        <v>28.22</v>
      </c>
      <c r="AF186" s="14">
        <v>4.99</v>
      </c>
      <c r="AG186">
        <v>1088.19</v>
      </c>
      <c r="AH186">
        <v>26.35</v>
      </c>
      <c r="AI186">
        <v>83.76</v>
      </c>
    </row>
    <row r="187" spans="1:35" ht="15.75">
      <c r="A187" t="s">
        <v>487</v>
      </c>
      <c r="B187" s="2" t="s">
        <v>487</v>
      </c>
      <c r="C187" s="2" t="str">
        <f t="shared" si="2"/>
        <v>TRUE</v>
      </c>
      <c r="D187" s="2" t="s">
        <v>865</v>
      </c>
      <c r="E187" s="2" t="s">
        <v>872</v>
      </c>
      <c r="F187" s="2" t="s">
        <v>860</v>
      </c>
      <c r="G187" s="3">
        <v>18937</v>
      </c>
      <c r="H187" s="3">
        <v>43735</v>
      </c>
      <c r="I187" s="2">
        <v>67</v>
      </c>
      <c r="J187" s="2">
        <v>4</v>
      </c>
      <c r="K187" s="2" t="s">
        <v>857</v>
      </c>
      <c r="L187" s="2" t="s">
        <v>856</v>
      </c>
      <c r="M187" s="2">
        <v>9</v>
      </c>
      <c r="N187">
        <v>7.03</v>
      </c>
      <c r="O187">
        <v>1.21</v>
      </c>
      <c r="P187">
        <v>9.06</v>
      </c>
      <c r="Q187">
        <v>145.93</v>
      </c>
      <c r="R187">
        <v>8.76</v>
      </c>
      <c r="S187">
        <v>6.74</v>
      </c>
      <c r="T187">
        <v>6.07</v>
      </c>
      <c r="U187" s="13">
        <v>0.99</v>
      </c>
      <c r="V187">
        <v>731.24</v>
      </c>
      <c r="W187">
        <v>624.77</v>
      </c>
      <c r="X187">
        <v>26.1</v>
      </c>
      <c r="Y187">
        <v>573.99</v>
      </c>
      <c r="Z187">
        <v>5.92</v>
      </c>
      <c r="AA187">
        <v>374.63</v>
      </c>
      <c r="AB187">
        <v>405.72</v>
      </c>
      <c r="AC187">
        <v>310.39</v>
      </c>
      <c r="AD187">
        <v>522.82000000000005</v>
      </c>
      <c r="AE187">
        <v>240.13</v>
      </c>
      <c r="AF187">
        <v>71.62</v>
      </c>
      <c r="AG187">
        <v>1131.3399999999999</v>
      </c>
      <c r="AH187">
        <v>49.34</v>
      </c>
      <c r="AI187">
        <v>432.28</v>
      </c>
    </row>
    <row r="188" spans="1:35" ht="15.75">
      <c r="A188" t="s">
        <v>823</v>
      </c>
      <c r="B188" s="2" t="s">
        <v>823</v>
      </c>
      <c r="C188" s="2" t="str">
        <f t="shared" si="2"/>
        <v>TRUE</v>
      </c>
      <c r="D188" s="2" t="s">
        <v>865</v>
      </c>
      <c r="E188" s="2" t="s">
        <v>866</v>
      </c>
      <c r="F188" s="2" t="s">
        <v>864</v>
      </c>
      <c r="G188" s="3">
        <v>22293</v>
      </c>
      <c r="H188" s="3">
        <v>43741</v>
      </c>
      <c r="I188" s="2">
        <v>58</v>
      </c>
      <c r="J188" s="2">
        <v>3</v>
      </c>
      <c r="K188" s="2" t="s">
        <v>861</v>
      </c>
      <c r="L188" s="2" t="s">
        <v>856</v>
      </c>
      <c r="M188" s="2">
        <v>1</v>
      </c>
      <c r="N188">
        <v>22.45</v>
      </c>
      <c r="O188">
        <v>4.7</v>
      </c>
      <c r="P188">
        <v>228.07</v>
      </c>
      <c r="Q188">
        <v>644.25</v>
      </c>
      <c r="R188">
        <v>305.22000000000003</v>
      </c>
      <c r="S188">
        <v>83.45</v>
      </c>
      <c r="T188">
        <v>26.66</v>
      </c>
      <c r="U188">
        <v>3.73</v>
      </c>
      <c r="V188">
        <v>1403.93</v>
      </c>
      <c r="W188">
        <v>859.75</v>
      </c>
      <c r="X188">
        <v>71.62</v>
      </c>
      <c r="Y188">
        <v>519.6</v>
      </c>
      <c r="Z188">
        <v>13.46</v>
      </c>
      <c r="AA188">
        <v>373.44</v>
      </c>
      <c r="AB188">
        <v>226.29</v>
      </c>
      <c r="AC188">
        <v>214.65</v>
      </c>
      <c r="AD188">
        <v>267.02999999999997</v>
      </c>
      <c r="AE188">
        <v>129.38999999999999</v>
      </c>
      <c r="AF188">
        <v>31.12</v>
      </c>
      <c r="AG188">
        <v>950.96</v>
      </c>
      <c r="AH188">
        <v>49.95</v>
      </c>
      <c r="AI188">
        <v>338.69</v>
      </c>
    </row>
    <row r="189" spans="1:35" ht="15.75">
      <c r="A189" t="s">
        <v>307</v>
      </c>
      <c r="B189" s="2" t="s">
        <v>307</v>
      </c>
      <c r="C189" s="2" t="str">
        <f t="shared" si="2"/>
        <v>TRUE</v>
      </c>
      <c r="D189" s="2" t="s">
        <v>858</v>
      </c>
      <c r="E189" s="2" t="s">
        <v>859</v>
      </c>
      <c r="F189" s="2" t="s">
        <v>864</v>
      </c>
      <c r="G189" s="3">
        <v>34948</v>
      </c>
      <c r="H189" s="3">
        <v>43755</v>
      </c>
      <c r="I189" s="2">
        <v>24</v>
      </c>
      <c r="J189" s="2">
        <v>6</v>
      </c>
      <c r="K189" s="2" t="s">
        <v>861</v>
      </c>
      <c r="L189" s="2">
        <v>15</v>
      </c>
      <c r="M189" s="2">
        <v>1</v>
      </c>
      <c r="N189">
        <v>21.85</v>
      </c>
      <c r="O189">
        <v>5.12</v>
      </c>
      <c r="P189">
        <v>291.70999999999998</v>
      </c>
      <c r="Q189">
        <v>751.41</v>
      </c>
      <c r="R189">
        <v>113.4</v>
      </c>
      <c r="S189">
        <v>84.41</v>
      </c>
      <c r="T189">
        <v>23.95</v>
      </c>
      <c r="U189">
        <v>6.84</v>
      </c>
      <c r="V189">
        <v>2500.0100000000002</v>
      </c>
      <c r="W189">
        <v>1910.24</v>
      </c>
      <c r="X189">
        <v>376.68</v>
      </c>
      <c r="Y189" s="14">
        <v>1000.01</v>
      </c>
      <c r="Z189">
        <v>40.42</v>
      </c>
      <c r="AA189">
        <v>548.29999999999995</v>
      </c>
      <c r="AB189">
        <v>469.51</v>
      </c>
      <c r="AC189">
        <v>474.79</v>
      </c>
      <c r="AD189">
        <v>159.46</v>
      </c>
      <c r="AE189">
        <v>85.28</v>
      </c>
      <c r="AF189">
        <v>25.47</v>
      </c>
      <c r="AG189">
        <v>429.71</v>
      </c>
      <c r="AH189">
        <v>40.340000000000003</v>
      </c>
      <c r="AI189">
        <v>115.5</v>
      </c>
    </row>
    <row r="190" spans="1:35" ht="15.75">
      <c r="A190" t="s">
        <v>817</v>
      </c>
      <c r="B190" s="2" t="s">
        <v>817</v>
      </c>
      <c r="C190" s="2" t="str">
        <f t="shared" si="2"/>
        <v>TRUE</v>
      </c>
      <c r="D190" s="2" t="s">
        <v>865</v>
      </c>
      <c r="E190" s="2" t="s">
        <v>866</v>
      </c>
      <c r="F190" s="2" t="s">
        <v>864</v>
      </c>
      <c r="G190" s="3">
        <v>22293</v>
      </c>
      <c r="H190" s="3">
        <v>43754</v>
      </c>
      <c r="I190" s="2">
        <v>58</v>
      </c>
      <c r="J190" s="2">
        <v>5</v>
      </c>
      <c r="K190" s="2" t="s">
        <v>861</v>
      </c>
      <c r="L190" s="2">
        <v>254</v>
      </c>
      <c r="M190" s="2">
        <v>2</v>
      </c>
      <c r="N190">
        <v>17.059999999999999</v>
      </c>
      <c r="O190">
        <v>1.47</v>
      </c>
      <c r="P190">
        <v>73.010000000000005</v>
      </c>
      <c r="Q190">
        <v>188.27</v>
      </c>
      <c r="R190">
        <v>117.66</v>
      </c>
      <c r="S190">
        <v>24.4</v>
      </c>
      <c r="T190">
        <v>34.85</v>
      </c>
      <c r="U190">
        <v>2.09</v>
      </c>
      <c r="V190">
        <v>2500.0100000000002</v>
      </c>
      <c r="W190">
        <v>982.63</v>
      </c>
      <c r="X190">
        <v>79.599999999999994</v>
      </c>
      <c r="Y190" s="14">
        <v>1000.01</v>
      </c>
      <c r="Z190">
        <v>16.93</v>
      </c>
      <c r="AA190">
        <v>674.78</v>
      </c>
      <c r="AB190">
        <v>232.16</v>
      </c>
      <c r="AC190">
        <v>371.78</v>
      </c>
      <c r="AD190">
        <v>259.02999999999997</v>
      </c>
      <c r="AE190">
        <v>131.87</v>
      </c>
      <c r="AF190">
        <v>27.39</v>
      </c>
      <c r="AG190">
        <v>857.24</v>
      </c>
      <c r="AH190">
        <v>22.44</v>
      </c>
      <c r="AI190">
        <v>149.94999999999999</v>
      </c>
    </row>
    <row r="191" spans="1:35" ht="15.75">
      <c r="A191" t="s">
        <v>205</v>
      </c>
      <c r="B191" s="2" t="s">
        <v>205</v>
      </c>
      <c r="C191" s="2" t="str">
        <f t="shared" si="2"/>
        <v>TRUE</v>
      </c>
      <c r="D191" s="2" t="s">
        <v>865</v>
      </c>
      <c r="E191" s="2" t="s">
        <v>873</v>
      </c>
      <c r="F191" s="2" t="s">
        <v>864</v>
      </c>
      <c r="G191" s="3">
        <v>19925</v>
      </c>
      <c r="H191" s="3">
        <v>43705</v>
      </c>
      <c r="I191" s="2">
        <v>65</v>
      </c>
      <c r="J191" s="2">
        <v>5</v>
      </c>
      <c r="K191" s="2" t="s">
        <v>861</v>
      </c>
      <c r="L191" s="2">
        <v>122</v>
      </c>
      <c r="M191" s="2">
        <v>2</v>
      </c>
      <c r="N191">
        <v>13.38</v>
      </c>
      <c r="O191">
        <v>2.15</v>
      </c>
      <c r="P191">
        <v>34.11</v>
      </c>
      <c r="Q191">
        <v>809.03</v>
      </c>
      <c r="R191">
        <v>22.13</v>
      </c>
      <c r="S191">
        <v>35.65</v>
      </c>
      <c r="T191">
        <v>3.75</v>
      </c>
      <c r="U191" s="13">
        <v>0.99</v>
      </c>
      <c r="V191">
        <v>626.05999999999995</v>
      </c>
      <c r="W191">
        <v>567</v>
      </c>
      <c r="X191">
        <v>15.7</v>
      </c>
      <c r="Y191">
        <v>74.11</v>
      </c>
      <c r="Z191" s="14">
        <v>2.4900000000000002</v>
      </c>
      <c r="AA191">
        <v>34.92</v>
      </c>
      <c r="AB191">
        <v>36.380000000000003</v>
      </c>
      <c r="AC191">
        <v>5.23</v>
      </c>
      <c r="AD191">
        <v>45.08</v>
      </c>
      <c r="AE191">
        <v>32.64</v>
      </c>
      <c r="AF191" s="14">
        <v>4.99</v>
      </c>
      <c r="AG191">
        <v>982.25</v>
      </c>
      <c r="AH191">
        <v>14.67</v>
      </c>
      <c r="AI191">
        <v>102.44</v>
      </c>
    </row>
    <row r="192" spans="1:35" ht="15.75">
      <c r="A192" t="s">
        <v>685</v>
      </c>
      <c r="B192" s="2" t="s">
        <v>685</v>
      </c>
      <c r="C192" s="2" t="str">
        <f t="shared" si="2"/>
        <v>TRUE</v>
      </c>
      <c r="D192" s="2" t="s">
        <v>865</v>
      </c>
      <c r="E192" s="2" t="s">
        <v>869</v>
      </c>
      <c r="F192" s="2" t="s">
        <v>860</v>
      </c>
      <c r="G192" s="3">
        <v>31009</v>
      </c>
      <c r="H192" s="3">
        <v>43699</v>
      </c>
      <c r="I192" s="2">
        <v>34</v>
      </c>
      <c r="J192" s="2">
        <v>1</v>
      </c>
      <c r="K192" s="2" t="s">
        <v>857</v>
      </c>
      <c r="L192" s="2">
        <v>2000</v>
      </c>
      <c r="M192" s="2">
        <v>10</v>
      </c>
      <c r="N192">
        <v>25.78</v>
      </c>
      <c r="O192">
        <v>4.3499999999999996</v>
      </c>
      <c r="P192">
        <v>25.1</v>
      </c>
      <c r="Q192">
        <v>68.400000000000006</v>
      </c>
      <c r="R192">
        <v>48.67</v>
      </c>
      <c r="S192">
        <v>19.690000000000001</v>
      </c>
      <c r="T192">
        <v>8.4499999999999993</v>
      </c>
      <c r="U192">
        <v>1.82</v>
      </c>
      <c r="V192">
        <v>524.76</v>
      </c>
      <c r="W192">
        <v>67.099999999999994</v>
      </c>
      <c r="X192">
        <v>17.04</v>
      </c>
      <c r="Y192">
        <v>75.569999999999993</v>
      </c>
      <c r="Z192">
        <v>8.92</v>
      </c>
      <c r="AA192">
        <v>80.81</v>
      </c>
      <c r="AB192">
        <v>18.38</v>
      </c>
      <c r="AC192">
        <v>23.23</v>
      </c>
      <c r="AD192">
        <v>45.01</v>
      </c>
      <c r="AE192">
        <v>78.930000000000007</v>
      </c>
      <c r="AF192">
        <v>16.89</v>
      </c>
      <c r="AG192">
        <v>123.13</v>
      </c>
      <c r="AH192">
        <v>16.75</v>
      </c>
      <c r="AI192">
        <v>40.89</v>
      </c>
    </row>
    <row r="193" spans="1:35" ht="15.75">
      <c r="A193" t="s">
        <v>826</v>
      </c>
      <c r="B193" s="2" t="s">
        <v>826</v>
      </c>
      <c r="C193" s="2" t="str">
        <f t="shared" si="2"/>
        <v>TRUE</v>
      </c>
      <c r="D193" s="2" t="s">
        <v>865</v>
      </c>
      <c r="E193" s="2" t="s">
        <v>866</v>
      </c>
      <c r="F193" s="2" t="s">
        <v>864</v>
      </c>
      <c r="G193" s="3">
        <v>22293</v>
      </c>
      <c r="H193" s="3">
        <v>43788</v>
      </c>
      <c r="I193" s="2">
        <v>58</v>
      </c>
      <c r="J193" s="2">
        <v>6</v>
      </c>
      <c r="K193" s="2" t="s">
        <v>861</v>
      </c>
      <c r="L193" s="2">
        <v>467</v>
      </c>
      <c r="M193" s="2">
        <v>1</v>
      </c>
      <c r="N193">
        <v>22.39</v>
      </c>
      <c r="O193">
        <v>3.35</v>
      </c>
      <c r="P193">
        <v>220.07</v>
      </c>
      <c r="Q193">
        <v>526.70000000000005</v>
      </c>
      <c r="R193">
        <v>211.03</v>
      </c>
      <c r="S193">
        <v>61.17</v>
      </c>
      <c r="T193">
        <v>54.03</v>
      </c>
      <c r="U193">
        <v>4.8899999999999997</v>
      </c>
      <c r="V193">
        <v>914.87</v>
      </c>
      <c r="W193">
        <v>430.8</v>
      </c>
      <c r="X193">
        <v>60.48</v>
      </c>
      <c r="Y193">
        <v>215.71</v>
      </c>
      <c r="Z193">
        <v>11</v>
      </c>
      <c r="AA193">
        <v>108.3</v>
      </c>
      <c r="AB193">
        <v>57.71</v>
      </c>
      <c r="AC193">
        <v>35.51</v>
      </c>
      <c r="AD193">
        <v>174.6</v>
      </c>
      <c r="AE193">
        <v>95.91</v>
      </c>
      <c r="AF193">
        <v>14.78</v>
      </c>
      <c r="AG193">
        <v>1038.3599999999999</v>
      </c>
      <c r="AH193">
        <v>27.54</v>
      </c>
      <c r="AI193">
        <v>147.28</v>
      </c>
    </row>
    <row r="194" spans="1:35" ht="15.75">
      <c r="A194" t="s">
        <v>550</v>
      </c>
      <c r="B194" s="2" t="s">
        <v>550</v>
      </c>
      <c r="C194" s="2" t="str">
        <f t="shared" si="2"/>
        <v>TRUE</v>
      </c>
      <c r="D194" s="2" t="s">
        <v>865</v>
      </c>
      <c r="E194" s="2" t="s">
        <v>869</v>
      </c>
      <c r="F194" s="2" t="s">
        <v>864</v>
      </c>
      <c r="G194" s="3">
        <v>29371</v>
      </c>
      <c r="H194" s="3">
        <v>43791</v>
      </c>
      <c r="I194" s="2">
        <v>39</v>
      </c>
      <c r="J194" s="2">
        <v>2</v>
      </c>
      <c r="K194" s="2" t="s">
        <v>861</v>
      </c>
      <c r="L194" s="2" t="s">
        <v>856</v>
      </c>
      <c r="M194" s="2">
        <v>5</v>
      </c>
      <c r="N194">
        <v>24.49</v>
      </c>
      <c r="O194">
        <v>35.119999999999997</v>
      </c>
      <c r="P194">
        <v>143.82</v>
      </c>
      <c r="Q194">
        <v>0.99</v>
      </c>
      <c r="R194" s="12">
        <v>1000.01</v>
      </c>
      <c r="S194">
        <v>181.14</v>
      </c>
      <c r="T194">
        <v>1000.01</v>
      </c>
      <c r="U194">
        <v>29.84</v>
      </c>
      <c r="V194">
        <v>1576.5</v>
      </c>
      <c r="W194">
        <v>2.4900000000000002</v>
      </c>
      <c r="X194">
        <v>269.94</v>
      </c>
      <c r="Y194">
        <v>618.21</v>
      </c>
      <c r="Z194">
        <v>25.44</v>
      </c>
      <c r="AA194">
        <v>134.56</v>
      </c>
      <c r="AB194" s="14">
        <v>2.4900000000000002</v>
      </c>
      <c r="AC194">
        <v>49.61</v>
      </c>
      <c r="AD194" s="14">
        <v>9.99</v>
      </c>
      <c r="AE194">
        <v>219.25</v>
      </c>
      <c r="AF194">
        <v>28.44</v>
      </c>
      <c r="AG194" s="14">
        <v>4.99</v>
      </c>
      <c r="AH194">
        <v>109.88</v>
      </c>
      <c r="AI194" s="14">
        <v>4.99</v>
      </c>
    </row>
    <row r="195" spans="1:35" ht="15.75">
      <c r="A195" t="s">
        <v>544</v>
      </c>
      <c r="B195" s="2" t="s">
        <v>544</v>
      </c>
      <c r="C195" s="2" t="str">
        <f t="shared" ref="C195:C254" si="3">IF(A195=B195, "TRUE", "FALSE")</f>
        <v>TRUE</v>
      </c>
      <c r="D195" s="2" t="s">
        <v>865</v>
      </c>
      <c r="E195" s="2" t="s">
        <v>869</v>
      </c>
      <c r="F195" s="2" t="s">
        <v>864</v>
      </c>
      <c r="G195" s="3">
        <v>29371</v>
      </c>
      <c r="H195" s="3">
        <v>43798</v>
      </c>
      <c r="I195" s="2">
        <v>39</v>
      </c>
      <c r="J195" s="2">
        <v>3</v>
      </c>
      <c r="K195" s="2" t="s">
        <v>861</v>
      </c>
      <c r="L195" s="2" t="s">
        <v>856</v>
      </c>
      <c r="M195" s="2">
        <v>5</v>
      </c>
      <c r="N195">
        <v>13.66</v>
      </c>
      <c r="O195">
        <v>20.75</v>
      </c>
      <c r="P195">
        <v>97.16</v>
      </c>
      <c r="Q195">
        <v>2.12</v>
      </c>
      <c r="R195" s="12">
        <v>1000.01</v>
      </c>
      <c r="S195">
        <v>298.61</v>
      </c>
      <c r="T195">
        <v>1000.01</v>
      </c>
      <c r="U195">
        <v>27.63</v>
      </c>
      <c r="V195">
        <v>2500.0100000000002</v>
      </c>
      <c r="W195">
        <v>2.94</v>
      </c>
      <c r="X195">
        <v>303.70999999999998</v>
      </c>
      <c r="Y195">
        <v>996.11</v>
      </c>
      <c r="Z195">
        <v>13.65</v>
      </c>
      <c r="AA195">
        <v>270.95</v>
      </c>
      <c r="AB195" s="14">
        <v>2.4900000000000002</v>
      </c>
      <c r="AC195">
        <v>101.89</v>
      </c>
      <c r="AD195" s="14">
        <v>9.99</v>
      </c>
      <c r="AE195">
        <v>81.12</v>
      </c>
      <c r="AF195">
        <v>10.09</v>
      </c>
      <c r="AG195" s="14">
        <v>4.99</v>
      </c>
      <c r="AH195">
        <v>50.08</v>
      </c>
      <c r="AI195" s="14">
        <v>4.99</v>
      </c>
    </row>
    <row r="196" spans="1:35" ht="15.75">
      <c r="A196" t="s">
        <v>832</v>
      </c>
      <c r="B196" s="2" t="s">
        <v>832</v>
      </c>
      <c r="C196" s="2" t="str">
        <f t="shared" si="3"/>
        <v>TRUE</v>
      </c>
      <c r="D196" s="2" t="s">
        <v>865</v>
      </c>
      <c r="E196" s="2" t="s">
        <v>866</v>
      </c>
      <c r="F196" s="2" t="s">
        <v>864</v>
      </c>
      <c r="G196" s="3">
        <v>33023</v>
      </c>
      <c r="H196" s="3">
        <v>43798</v>
      </c>
      <c r="I196" s="2">
        <v>29</v>
      </c>
      <c r="J196" s="2">
        <v>2</v>
      </c>
      <c r="K196" s="2" t="s">
        <v>857</v>
      </c>
      <c r="L196" s="2" t="s">
        <v>856</v>
      </c>
      <c r="M196" s="2">
        <v>3</v>
      </c>
      <c r="N196">
        <v>11.27</v>
      </c>
      <c r="O196">
        <v>12.74</v>
      </c>
      <c r="P196">
        <v>1000.01</v>
      </c>
      <c r="Q196">
        <v>752.38</v>
      </c>
      <c r="R196">
        <v>86.84</v>
      </c>
      <c r="S196">
        <v>226.34</v>
      </c>
      <c r="T196">
        <v>36.299999999999997</v>
      </c>
      <c r="U196">
        <v>3.71</v>
      </c>
      <c r="V196">
        <v>759.96</v>
      </c>
      <c r="W196">
        <v>483.85</v>
      </c>
      <c r="X196">
        <v>210.89</v>
      </c>
      <c r="Y196">
        <v>265.17</v>
      </c>
      <c r="Z196">
        <v>4.42</v>
      </c>
      <c r="AA196">
        <v>119.82</v>
      </c>
      <c r="AB196">
        <v>129.85</v>
      </c>
      <c r="AC196">
        <v>51.57</v>
      </c>
      <c r="AD196">
        <v>101.9</v>
      </c>
      <c r="AE196">
        <v>63.55</v>
      </c>
      <c r="AF196">
        <v>17.079999999999998</v>
      </c>
      <c r="AG196">
        <v>302.45</v>
      </c>
      <c r="AH196">
        <v>104.5</v>
      </c>
      <c r="AI196">
        <v>135.08000000000001</v>
      </c>
    </row>
    <row r="197" spans="1:35" ht="15.75">
      <c r="A197" t="s">
        <v>475</v>
      </c>
      <c r="B197" s="2" t="s">
        <v>475</v>
      </c>
      <c r="C197" s="2" t="str">
        <f t="shared" si="3"/>
        <v>TRUE</v>
      </c>
      <c r="D197" s="2" t="s">
        <v>865</v>
      </c>
      <c r="E197" s="2" t="s">
        <v>872</v>
      </c>
      <c r="F197" s="2" t="s">
        <v>860</v>
      </c>
      <c r="G197" s="3">
        <v>18937</v>
      </c>
      <c r="H197" s="3">
        <v>43802</v>
      </c>
      <c r="I197" s="2">
        <v>68</v>
      </c>
      <c r="J197" s="2">
        <v>5</v>
      </c>
      <c r="K197" s="2" t="s">
        <v>857</v>
      </c>
      <c r="L197" s="2">
        <v>2388</v>
      </c>
      <c r="M197" s="2">
        <v>6</v>
      </c>
      <c r="N197">
        <v>8.81</v>
      </c>
      <c r="O197">
        <v>6.42</v>
      </c>
      <c r="P197">
        <v>114.69</v>
      </c>
      <c r="Q197">
        <v>402.76</v>
      </c>
      <c r="R197">
        <v>773.9</v>
      </c>
      <c r="S197">
        <v>95.18</v>
      </c>
      <c r="T197">
        <v>350</v>
      </c>
      <c r="U197">
        <v>6.95</v>
      </c>
      <c r="V197">
        <v>1237.01</v>
      </c>
      <c r="W197">
        <v>401.76</v>
      </c>
      <c r="X197">
        <v>138.44999999999999</v>
      </c>
      <c r="Y197">
        <v>538.08000000000004</v>
      </c>
      <c r="Z197">
        <v>5.96</v>
      </c>
      <c r="AA197">
        <v>166.92</v>
      </c>
      <c r="AB197">
        <v>38.28</v>
      </c>
      <c r="AC197">
        <v>108.45</v>
      </c>
      <c r="AD197">
        <v>18.63</v>
      </c>
      <c r="AE197">
        <v>89.98</v>
      </c>
      <c r="AF197">
        <v>8.74</v>
      </c>
      <c r="AG197">
        <v>218.73</v>
      </c>
      <c r="AH197">
        <v>68.75</v>
      </c>
      <c r="AI197">
        <v>50.47</v>
      </c>
    </row>
    <row r="198" spans="1:35" ht="15.75">
      <c r="A198" t="s">
        <v>538</v>
      </c>
      <c r="B198" s="2" t="s">
        <v>538</v>
      </c>
      <c r="C198" s="2" t="str">
        <f t="shared" si="3"/>
        <v>TRUE</v>
      </c>
      <c r="D198" s="2" t="s">
        <v>865</v>
      </c>
      <c r="E198" s="2" t="s">
        <v>869</v>
      </c>
      <c r="F198" s="2" t="s">
        <v>864</v>
      </c>
      <c r="G198" s="3">
        <v>29371</v>
      </c>
      <c r="H198" s="3">
        <v>43805</v>
      </c>
      <c r="I198" s="2">
        <v>39</v>
      </c>
      <c r="J198" s="2">
        <v>4</v>
      </c>
      <c r="K198" s="2" t="s">
        <v>861</v>
      </c>
      <c r="L198" s="2" t="s">
        <v>856</v>
      </c>
      <c r="M198" s="2">
        <v>4</v>
      </c>
      <c r="N198">
        <v>16.559999999999999</v>
      </c>
      <c r="O198">
        <v>7.27</v>
      </c>
      <c r="P198">
        <v>86.98</v>
      </c>
      <c r="Q198">
        <v>0.99</v>
      </c>
      <c r="R198">
        <v>633.52</v>
      </c>
      <c r="S198">
        <v>69.709999999999994</v>
      </c>
      <c r="T198">
        <v>172.66</v>
      </c>
      <c r="U198">
        <v>14.65</v>
      </c>
      <c r="V198">
        <v>2500.0100000000002</v>
      </c>
      <c r="W198">
        <v>3.91</v>
      </c>
      <c r="X198">
        <v>281.74</v>
      </c>
      <c r="Y198" s="14">
        <v>1000.01</v>
      </c>
      <c r="Z198">
        <v>16.559999999999999</v>
      </c>
      <c r="AA198">
        <v>333.27</v>
      </c>
      <c r="AB198" s="14">
        <v>2.4900000000000002</v>
      </c>
      <c r="AC198">
        <v>95.37</v>
      </c>
      <c r="AD198" s="14">
        <v>9.99</v>
      </c>
      <c r="AE198">
        <v>140.44999999999999</v>
      </c>
      <c r="AF198">
        <v>18.98</v>
      </c>
      <c r="AG198" s="14">
        <v>4.99</v>
      </c>
      <c r="AH198">
        <v>55.7</v>
      </c>
      <c r="AI198" s="14">
        <v>4.99</v>
      </c>
    </row>
    <row r="199" spans="1:35" ht="15.75">
      <c r="A199" t="s">
        <v>841</v>
      </c>
      <c r="B199" s="2" t="s">
        <v>841</v>
      </c>
      <c r="C199" s="2" t="str">
        <f t="shared" si="3"/>
        <v>TRUE</v>
      </c>
      <c r="D199" s="2" t="s">
        <v>865</v>
      </c>
      <c r="E199" s="2" t="s">
        <v>866</v>
      </c>
      <c r="F199" s="2" t="s">
        <v>864</v>
      </c>
      <c r="G199" s="3">
        <v>33023</v>
      </c>
      <c r="H199" s="3">
        <v>43805</v>
      </c>
      <c r="I199" s="2">
        <v>29</v>
      </c>
      <c r="J199" s="2">
        <v>3</v>
      </c>
      <c r="K199" s="2" t="s">
        <v>857</v>
      </c>
      <c r="L199" s="2" t="s">
        <v>856</v>
      </c>
      <c r="M199" s="2">
        <v>6</v>
      </c>
      <c r="N199">
        <v>8.34</v>
      </c>
      <c r="O199">
        <v>2.62</v>
      </c>
      <c r="P199">
        <v>352.53</v>
      </c>
      <c r="Q199">
        <v>365.56</v>
      </c>
      <c r="R199">
        <v>19.97</v>
      </c>
      <c r="S199">
        <v>52.97</v>
      </c>
      <c r="T199">
        <v>13.03</v>
      </c>
      <c r="U199">
        <v>1.84</v>
      </c>
      <c r="V199">
        <v>403.53</v>
      </c>
      <c r="W199">
        <v>268.97000000000003</v>
      </c>
      <c r="X199">
        <v>149.88999999999999</v>
      </c>
      <c r="Y199">
        <v>124.23</v>
      </c>
      <c r="Z199">
        <v>4.58</v>
      </c>
      <c r="AA199">
        <v>42.2</v>
      </c>
      <c r="AB199">
        <v>36.450000000000003</v>
      </c>
      <c r="AC199">
        <v>15.27</v>
      </c>
      <c r="AD199">
        <v>53.16</v>
      </c>
      <c r="AE199">
        <v>65.349999999999994</v>
      </c>
      <c r="AF199">
        <v>11.95</v>
      </c>
      <c r="AG199">
        <v>286.83999999999997</v>
      </c>
      <c r="AH199">
        <v>81.67</v>
      </c>
      <c r="AI199">
        <v>132.91999999999999</v>
      </c>
    </row>
    <row r="200" spans="1:35" ht="15.75">
      <c r="A200" t="s">
        <v>838</v>
      </c>
      <c r="B200" s="2" t="s">
        <v>838</v>
      </c>
      <c r="C200" s="2" t="str">
        <f t="shared" si="3"/>
        <v>TRUE</v>
      </c>
      <c r="D200" s="2" t="s">
        <v>865</v>
      </c>
      <c r="E200" s="2" t="s">
        <v>866</v>
      </c>
      <c r="F200" s="2" t="s">
        <v>864</v>
      </c>
      <c r="G200" s="3">
        <v>33023</v>
      </c>
      <c r="H200" s="3">
        <v>43812</v>
      </c>
      <c r="I200" s="2">
        <v>29</v>
      </c>
      <c r="J200" s="2">
        <v>4</v>
      </c>
      <c r="K200" s="2" t="s">
        <v>857</v>
      </c>
      <c r="L200" s="2" t="s">
        <v>856</v>
      </c>
      <c r="M200" s="2">
        <v>6</v>
      </c>
      <c r="N200">
        <v>9.86</v>
      </c>
      <c r="O200">
        <v>12.24</v>
      </c>
      <c r="P200">
        <v>609.62</v>
      </c>
      <c r="Q200">
        <v>529.19000000000005</v>
      </c>
      <c r="R200">
        <v>64.290000000000006</v>
      </c>
      <c r="S200">
        <v>164.48</v>
      </c>
      <c r="T200">
        <v>10.89</v>
      </c>
      <c r="U200">
        <v>4.62</v>
      </c>
      <c r="V200">
        <v>124</v>
      </c>
      <c r="W200">
        <v>149.04</v>
      </c>
      <c r="X200">
        <v>69</v>
      </c>
      <c r="Y200">
        <v>20.91</v>
      </c>
      <c r="Z200">
        <v>3.26</v>
      </c>
      <c r="AA200">
        <v>19.91</v>
      </c>
      <c r="AB200">
        <v>26.26</v>
      </c>
      <c r="AC200">
        <v>4.08</v>
      </c>
      <c r="AD200">
        <v>131.07</v>
      </c>
      <c r="AE200">
        <v>54.17</v>
      </c>
      <c r="AF200">
        <v>14.2</v>
      </c>
      <c r="AG200">
        <v>315.74</v>
      </c>
      <c r="AH200">
        <v>95.37</v>
      </c>
      <c r="AI200">
        <v>123.85</v>
      </c>
    </row>
    <row r="201" spans="1:35" ht="15.75">
      <c r="A201" t="s">
        <v>682</v>
      </c>
      <c r="B201" s="2" t="s">
        <v>682</v>
      </c>
      <c r="C201" s="2" t="str">
        <f t="shared" si="3"/>
        <v>TRUE</v>
      </c>
      <c r="D201" s="2" t="s">
        <v>865</v>
      </c>
      <c r="E201" s="2" t="s">
        <v>869</v>
      </c>
      <c r="F201" s="2" t="s">
        <v>860</v>
      </c>
      <c r="G201" s="3">
        <v>31009</v>
      </c>
      <c r="H201" s="3">
        <v>43812</v>
      </c>
      <c r="I201" s="2">
        <v>35</v>
      </c>
      <c r="J201" s="2">
        <v>5</v>
      </c>
      <c r="K201" s="2" t="s">
        <v>857</v>
      </c>
      <c r="L201" s="2">
        <v>545</v>
      </c>
      <c r="M201" s="2">
        <v>4</v>
      </c>
      <c r="N201">
        <v>28.22</v>
      </c>
      <c r="O201">
        <v>3.48</v>
      </c>
      <c r="P201">
        <v>38.83</v>
      </c>
      <c r="Q201">
        <v>128.66</v>
      </c>
      <c r="R201">
        <v>60.96</v>
      </c>
      <c r="S201">
        <v>12.58</v>
      </c>
      <c r="T201">
        <v>19.670000000000002</v>
      </c>
      <c r="U201">
        <v>4.17</v>
      </c>
      <c r="V201">
        <v>1163.4100000000001</v>
      </c>
      <c r="W201">
        <v>265.83999999999997</v>
      </c>
      <c r="X201">
        <v>26.64</v>
      </c>
      <c r="Y201">
        <v>226.6</v>
      </c>
      <c r="Z201">
        <v>28.47</v>
      </c>
      <c r="AA201">
        <v>156.97999999999999</v>
      </c>
      <c r="AB201">
        <v>49.23</v>
      </c>
      <c r="AC201">
        <v>47.4</v>
      </c>
      <c r="AD201">
        <v>101.06</v>
      </c>
      <c r="AE201">
        <v>103.92</v>
      </c>
      <c r="AF201">
        <v>19.7</v>
      </c>
      <c r="AG201">
        <v>511.99</v>
      </c>
      <c r="AH201">
        <v>7.88</v>
      </c>
      <c r="AI201">
        <v>71.25</v>
      </c>
    </row>
    <row r="202" spans="1:35" ht="15.75">
      <c r="A202" t="s">
        <v>541</v>
      </c>
      <c r="B202" s="2" t="s">
        <v>541</v>
      </c>
      <c r="C202" s="2" t="str">
        <f t="shared" si="3"/>
        <v>TRUE</v>
      </c>
      <c r="D202" s="2" t="s">
        <v>865</v>
      </c>
      <c r="E202" s="2" t="s">
        <v>869</v>
      </c>
      <c r="F202" s="2" t="s">
        <v>864</v>
      </c>
      <c r="G202" s="3">
        <v>29371</v>
      </c>
      <c r="H202" s="3">
        <v>43812</v>
      </c>
      <c r="I202" s="2">
        <v>39</v>
      </c>
      <c r="J202" s="2">
        <v>5</v>
      </c>
      <c r="K202" s="2" t="s">
        <v>861</v>
      </c>
      <c r="L202" s="2">
        <v>45</v>
      </c>
      <c r="M202" s="2">
        <v>2</v>
      </c>
      <c r="N202">
        <v>20.49</v>
      </c>
      <c r="O202">
        <v>2.71</v>
      </c>
      <c r="P202">
        <v>23.09</v>
      </c>
      <c r="Q202">
        <v>0.99</v>
      </c>
      <c r="R202">
        <v>271.33</v>
      </c>
      <c r="S202">
        <v>41.83</v>
      </c>
      <c r="T202">
        <v>113.65</v>
      </c>
      <c r="U202">
        <v>19.84</v>
      </c>
      <c r="V202">
        <v>2500.0100000000002</v>
      </c>
      <c r="W202">
        <v>2.71</v>
      </c>
      <c r="X202">
        <v>295.70999999999998</v>
      </c>
      <c r="Y202" s="14">
        <v>1000.01</v>
      </c>
      <c r="Z202">
        <v>34.94</v>
      </c>
      <c r="AA202">
        <v>488.9</v>
      </c>
      <c r="AB202" s="14">
        <v>2.4900000000000002</v>
      </c>
      <c r="AC202">
        <v>175.68</v>
      </c>
      <c r="AD202" s="14">
        <v>9.99</v>
      </c>
      <c r="AE202">
        <v>190.34</v>
      </c>
      <c r="AF202">
        <v>42.11</v>
      </c>
      <c r="AG202" s="14">
        <v>4.99</v>
      </c>
      <c r="AH202">
        <v>70.45</v>
      </c>
      <c r="AI202" s="14">
        <v>4.99</v>
      </c>
    </row>
    <row r="203" spans="1:35" ht="15.75">
      <c r="A203" t="s">
        <v>835</v>
      </c>
      <c r="B203" s="2" t="s">
        <v>835</v>
      </c>
      <c r="C203" s="2" t="str">
        <f t="shared" si="3"/>
        <v>TRUE</v>
      </c>
      <c r="D203" s="2" t="s">
        <v>865</v>
      </c>
      <c r="E203" s="2" t="s">
        <v>866</v>
      </c>
      <c r="F203" s="2" t="s">
        <v>864</v>
      </c>
      <c r="G203" s="3">
        <v>33023</v>
      </c>
      <c r="H203" s="3">
        <v>43817</v>
      </c>
      <c r="I203" s="2">
        <v>29</v>
      </c>
      <c r="J203" s="2">
        <v>5</v>
      </c>
      <c r="K203" s="2" t="s">
        <v>857</v>
      </c>
      <c r="L203" s="2">
        <v>368</v>
      </c>
      <c r="M203" s="2">
        <v>7</v>
      </c>
      <c r="N203">
        <v>11.85</v>
      </c>
      <c r="O203">
        <v>1.39</v>
      </c>
      <c r="P203">
        <v>191.04</v>
      </c>
      <c r="Q203">
        <v>192.96</v>
      </c>
      <c r="R203">
        <v>27.03</v>
      </c>
      <c r="S203">
        <v>41.83</v>
      </c>
      <c r="T203">
        <v>30.13</v>
      </c>
      <c r="U203">
        <v>1.62</v>
      </c>
      <c r="V203">
        <v>1308.0899999999999</v>
      </c>
      <c r="W203">
        <v>613.74</v>
      </c>
      <c r="X203">
        <v>349.25</v>
      </c>
      <c r="Y203">
        <v>475.05</v>
      </c>
      <c r="Z203">
        <v>9.64</v>
      </c>
      <c r="AA203">
        <v>202.04</v>
      </c>
      <c r="AB203">
        <v>121.84</v>
      </c>
      <c r="AC203">
        <v>72.3</v>
      </c>
      <c r="AD203">
        <v>32.07</v>
      </c>
      <c r="AE203">
        <v>107.44</v>
      </c>
      <c r="AF203">
        <v>23.98</v>
      </c>
      <c r="AG203">
        <v>145.28</v>
      </c>
      <c r="AH203">
        <v>139.56</v>
      </c>
      <c r="AI203">
        <v>142.02000000000001</v>
      </c>
    </row>
    <row r="204" spans="1:35" ht="15.75">
      <c r="A204" t="s">
        <v>547</v>
      </c>
      <c r="B204" s="2" t="s">
        <v>547</v>
      </c>
      <c r="C204" s="2" t="str">
        <f t="shared" si="3"/>
        <v>TRUE</v>
      </c>
      <c r="D204" s="2" t="s">
        <v>865</v>
      </c>
      <c r="E204" s="2" t="s">
        <v>869</v>
      </c>
      <c r="F204" s="2" t="s">
        <v>864</v>
      </c>
      <c r="G204" s="3">
        <v>29371</v>
      </c>
      <c r="H204" s="3">
        <v>43840</v>
      </c>
      <c r="I204" s="2">
        <v>39</v>
      </c>
      <c r="J204" s="2">
        <v>6</v>
      </c>
      <c r="K204" s="2" t="s">
        <v>861</v>
      </c>
      <c r="L204" s="2">
        <v>29</v>
      </c>
      <c r="M204" s="2">
        <v>2</v>
      </c>
      <c r="N204">
        <v>24.91</v>
      </c>
      <c r="O204">
        <v>3.84</v>
      </c>
      <c r="P204">
        <v>108.83</v>
      </c>
      <c r="Q204">
        <v>1.33</v>
      </c>
      <c r="R204">
        <v>316.89999999999998</v>
      </c>
      <c r="S204">
        <v>49.2</v>
      </c>
      <c r="T204">
        <v>77.099999999999994</v>
      </c>
      <c r="U204">
        <v>22.68</v>
      </c>
      <c r="V204">
        <v>2500.0100000000002</v>
      </c>
      <c r="W204">
        <v>2.4900000000000002</v>
      </c>
      <c r="X204">
        <v>163.75</v>
      </c>
      <c r="Y204">
        <v>430.22</v>
      </c>
      <c r="Z204">
        <v>28.19</v>
      </c>
      <c r="AA204">
        <v>290.42</v>
      </c>
      <c r="AB204" s="14">
        <v>2.4900000000000002</v>
      </c>
      <c r="AC204">
        <v>47.58</v>
      </c>
      <c r="AD204" s="14">
        <v>9.99</v>
      </c>
      <c r="AE204">
        <v>242.52</v>
      </c>
      <c r="AF204">
        <v>57.99</v>
      </c>
      <c r="AG204">
        <v>8.2799999999999994</v>
      </c>
      <c r="AH204">
        <v>33.47</v>
      </c>
      <c r="AI204" s="14">
        <v>4.99</v>
      </c>
    </row>
    <row r="205" spans="1:35" ht="15.75">
      <c r="A205" t="s">
        <v>850</v>
      </c>
      <c r="B205" s="2" t="s">
        <v>850</v>
      </c>
      <c r="C205" s="2" t="str">
        <f t="shared" si="3"/>
        <v>TRUE</v>
      </c>
      <c r="D205" s="2" t="s">
        <v>865</v>
      </c>
      <c r="E205" s="2" t="s">
        <v>866</v>
      </c>
      <c r="F205" s="2" t="s">
        <v>864</v>
      </c>
      <c r="G205" s="3">
        <v>33023</v>
      </c>
      <c r="H205" s="3">
        <v>43847</v>
      </c>
      <c r="I205" s="2">
        <v>29</v>
      </c>
      <c r="J205" s="2">
        <v>6</v>
      </c>
      <c r="K205" s="2" t="s">
        <v>857</v>
      </c>
      <c r="L205" s="2">
        <v>426</v>
      </c>
      <c r="M205" s="2">
        <v>3</v>
      </c>
      <c r="N205">
        <v>10.06</v>
      </c>
      <c r="O205">
        <v>3.06</v>
      </c>
      <c r="P205">
        <v>348.39</v>
      </c>
      <c r="Q205">
        <v>302.97000000000003</v>
      </c>
      <c r="R205">
        <v>18.989999999999998</v>
      </c>
      <c r="S205">
        <v>68.400000000000006</v>
      </c>
      <c r="T205">
        <v>23.11</v>
      </c>
      <c r="U205">
        <v>3.31</v>
      </c>
      <c r="V205">
        <v>865.28</v>
      </c>
      <c r="W205">
        <v>706.71</v>
      </c>
      <c r="X205">
        <v>324.86</v>
      </c>
      <c r="Y205">
        <v>358.49</v>
      </c>
      <c r="Z205">
        <v>7.56</v>
      </c>
      <c r="AA205">
        <v>178.61</v>
      </c>
      <c r="AB205">
        <v>185.82</v>
      </c>
      <c r="AC205">
        <v>82.52</v>
      </c>
      <c r="AD205">
        <v>58.79</v>
      </c>
      <c r="AE205">
        <v>29.03</v>
      </c>
      <c r="AF205">
        <v>8.5299999999999994</v>
      </c>
      <c r="AG205">
        <v>156.33000000000001</v>
      </c>
      <c r="AH205">
        <v>54.9</v>
      </c>
      <c r="AI205">
        <v>59.29</v>
      </c>
    </row>
    <row r="206" spans="1:35" ht="15.75">
      <c r="A206" t="s">
        <v>601</v>
      </c>
      <c r="B206" s="2" t="s">
        <v>601</v>
      </c>
      <c r="C206" s="2" t="str">
        <f t="shared" si="3"/>
        <v>TRUE</v>
      </c>
      <c r="D206" s="2" t="s">
        <v>858</v>
      </c>
      <c r="E206" s="2" t="s">
        <v>863</v>
      </c>
      <c r="F206" s="2" t="s">
        <v>864</v>
      </c>
      <c r="G206" s="3">
        <v>29354</v>
      </c>
      <c r="H206" s="3">
        <v>43868</v>
      </c>
      <c r="I206" s="2">
        <v>39</v>
      </c>
      <c r="J206" s="2">
        <v>1</v>
      </c>
      <c r="K206" s="2" t="s">
        <v>857</v>
      </c>
      <c r="L206" s="2">
        <v>11611</v>
      </c>
      <c r="M206" s="2">
        <v>10</v>
      </c>
      <c r="N206">
        <v>10.9</v>
      </c>
      <c r="O206">
        <v>27.41</v>
      </c>
      <c r="P206">
        <v>264.91000000000003</v>
      </c>
      <c r="Q206">
        <v>580.25</v>
      </c>
      <c r="R206">
        <v>416.61</v>
      </c>
      <c r="S206">
        <v>43.34</v>
      </c>
      <c r="T206">
        <v>37.58</v>
      </c>
      <c r="U206">
        <v>3.81</v>
      </c>
      <c r="V206">
        <v>1326.33</v>
      </c>
      <c r="W206">
        <v>714.22</v>
      </c>
      <c r="X206">
        <v>70.84</v>
      </c>
      <c r="Y206">
        <v>784.19</v>
      </c>
      <c r="Z206">
        <v>11.17</v>
      </c>
      <c r="AA206">
        <v>536.25</v>
      </c>
      <c r="AB206">
        <v>405.13</v>
      </c>
      <c r="AC206">
        <v>565.20000000000005</v>
      </c>
      <c r="AD206">
        <v>257.85000000000002</v>
      </c>
      <c r="AE206">
        <v>110.36</v>
      </c>
      <c r="AF206">
        <v>49.1</v>
      </c>
      <c r="AG206">
        <v>260.13</v>
      </c>
      <c r="AH206">
        <v>21.48</v>
      </c>
      <c r="AI206">
        <v>122.95</v>
      </c>
    </row>
    <row r="207" spans="1:35" ht="15.75">
      <c r="A207" t="s">
        <v>604</v>
      </c>
      <c r="B207" s="2" t="s">
        <v>604</v>
      </c>
      <c r="C207" s="2" t="str">
        <f t="shared" si="3"/>
        <v>TRUE</v>
      </c>
      <c r="D207" s="2" t="s">
        <v>858</v>
      </c>
      <c r="E207" s="2" t="s">
        <v>863</v>
      </c>
      <c r="F207" s="2" t="s">
        <v>864</v>
      </c>
      <c r="G207" s="3">
        <v>29354</v>
      </c>
      <c r="H207" s="3">
        <v>43875</v>
      </c>
      <c r="I207" s="2">
        <v>39</v>
      </c>
      <c r="J207" s="2">
        <v>2</v>
      </c>
      <c r="K207" s="2" t="s">
        <v>857</v>
      </c>
      <c r="L207" s="2" t="s">
        <v>856</v>
      </c>
      <c r="M207" s="2">
        <v>10</v>
      </c>
      <c r="N207">
        <v>9.4600000000000009</v>
      </c>
      <c r="O207">
        <v>3.58</v>
      </c>
      <c r="P207">
        <v>112.5</v>
      </c>
      <c r="Q207">
        <v>341.6</v>
      </c>
      <c r="R207">
        <v>68.92</v>
      </c>
      <c r="S207">
        <v>30.18</v>
      </c>
      <c r="T207">
        <v>28.74</v>
      </c>
      <c r="U207">
        <v>2.98</v>
      </c>
      <c r="V207">
        <v>362.35</v>
      </c>
      <c r="W207">
        <v>213.79</v>
      </c>
      <c r="X207">
        <v>31.35</v>
      </c>
      <c r="Y207">
        <v>68.95</v>
      </c>
      <c r="Z207">
        <v>4.03</v>
      </c>
      <c r="AA207">
        <v>64.72</v>
      </c>
      <c r="AB207">
        <v>59.34</v>
      </c>
      <c r="AC207">
        <v>29.49</v>
      </c>
      <c r="AD207">
        <v>239.76</v>
      </c>
      <c r="AE207">
        <v>62.98</v>
      </c>
      <c r="AF207">
        <v>15.15</v>
      </c>
      <c r="AG207">
        <v>284.77999999999997</v>
      </c>
      <c r="AH207">
        <v>16.899999999999999</v>
      </c>
      <c r="AI207">
        <v>50.57</v>
      </c>
    </row>
    <row r="208" spans="1:35" ht="15.75">
      <c r="A208" t="s">
        <v>847</v>
      </c>
      <c r="B208" s="2" t="s">
        <v>847</v>
      </c>
      <c r="C208" s="2" t="str">
        <f t="shared" si="3"/>
        <v>TRUE</v>
      </c>
      <c r="D208" s="2" t="s">
        <v>865</v>
      </c>
      <c r="E208" s="2" t="s">
        <v>866</v>
      </c>
      <c r="F208" s="2" t="s">
        <v>864</v>
      </c>
      <c r="G208" s="3">
        <v>33023</v>
      </c>
      <c r="H208" s="3">
        <v>43875</v>
      </c>
      <c r="I208" s="2">
        <v>29</v>
      </c>
      <c r="J208" s="2">
        <v>7</v>
      </c>
      <c r="K208" s="2" t="s">
        <v>857</v>
      </c>
      <c r="L208" s="2">
        <v>391</v>
      </c>
      <c r="M208" s="2">
        <v>2</v>
      </c>
      <c r="N208">
        <v>12.48</v>
      </c>
      <c r="O208">
        <v>4.42</v>
      </c>
      <c r="P208">
        <v>301.16000000000003</v>
      </c>
      <c r="Q208">
        <v>338.5</v>
      </c>
      <c r="R208">
        <v>31.74</v>
      </c>
      <c r="S208">
        <v>86.67</v>
      </c>
      <c r="T208">
        <v>11.68</v>
      </c>
      <c r="U208">
        <v>5.22</v>
      </c>
      <c r="V208">
        <v>890.67</v>
      </c>
      <c r="W208">
        <v>513.73</v>
      </c>
      <c r="X208">
        <v>325.99</v>
      </c>
      <c r="Y208">
        <v>189.2</v>
      </c>
      <c r="Z208">
        <v>11.52</v>
      </c>
      <c r="AA208">
        <v>150</v>
      </c>
      <c r="AB208">
        <v>124.33</v>
      </c>
      <c r="AC208">
        <v>40.909999999999997</v>
      </c>
      <c r="AD208">
        <v>240.99</v>
      </c>
      <c r="AE208">
        <v>65.3</v>
      </c>
      <c r="AF208">
        <v>15.55</v>
      </c>
      <c r="AG208">
        <v>907.15</v>
      </c>
      <c r="AH208">
        <v>119.29</v>
      </c>
      <c r="AI208">
        <v>133.22</v>
      </c>
    </row>
    <row r="209" spans="1:35" ht="15.75">
      <c r="A209" t="s">
        <v>607</v>
      </c>
      <c r="B209" s="2" t="s">
        <v>607</v>
      </c>
      <c r="C209" s="2" t="str">
        <f t="shared" si="3"/>
        <v>TRUE</v>
      </c>
      <c r="D209" s="2" t="s">
        <v>858</v>
      </c>
      <c r="E209" s="2" t="s">
        <v>863</v>
      </c>
      <c r="F209" s="2" t="s">
        <v>864</v>
      </c>
      <c r="G209" s="3">
        <v>29354</v>
      </c>
      <c r="H209" s="3">
        <v>43882</v>
      </c>
      <c r="I209" s="2">
        <v>39</v>
      </c>
      <c r="J209" s="2">
        <v>3</v>
      </c>
      <c r="K209" s="2" t="s">
        <v>857</v>
      </c>
      <c r="L209" s="2" t="s">
        <v>856</v>
      </c>
      <c r="M209" s="2">
        <v>6</v>
      </c>
      <c r="N209">
        <v>9.51</v>
      </c>
      <c r="O209">
        <v>7.53</v>
      </c>
      <c r="P209">
        <v>240.13</v>
      </c>
      <c r="Q209">
        <v>306.32</v>
      </c>
      <c r="R209">
        <v>124.96</v>
      </c>
      <c r="S209">
        <v>51.43</v>
      </c>
      <c r="T209">
        <v>29.72</v>
      </c>
      <c r="U209">
        <v>2.73</v>
      </c>
      <c r="V209">
        <v>859.73</v>
      </c>
      <c r="W209">
        <v>312.89</v>
      </c>
      <c r="X209">
        <v>95.07</v>
      </c>
      <c r="Y209">
        <v>242.93</v>
      </c>
      <c r="Z209">
        <v>7.82</v>
      </c>
      <c r="AA209">
        <v>173.55</v>
      </c>
      <c r="AB209">
        <v>97.21</v>
      </c>
      <c r="AC209">
        <v>86.47</v>
      </c>
      <c r="AD209">
        <v>48.79</v>
      </c>
      <c r="AE209">
        <v>64.290000000000006</v>
      </c>
      <c r="AF209">
        <v>21.92</v>
      </c>
      <c r="AG209">
        <v>106</v>
      </c>
      <c r="AH209">
        <v>23.32</v>
      </c>
      <c r="AI209">
        <v>53.82</v>
      </c>
    </row>
    <row r="210" spans="1:35" ht="15.75">
      <c r="A210" t="s">
        <v>814</v>
      </c>
      <c r="B210" s="2" t="s">
        <v>814</v>
      </c>
      <c r="C210" s="2" t="str">
        <f t="shared" si="3"/>
        <v>TRUE</v>
      </c>
      <c r="D210" s="2" t="s">
        <v>865</v>
      </c>
      <c r="E210" s="2" t="s">
        <v>873</v>
      </c>
      <c r="F210" s="2" t="s">
        <v>860</v>
      </c>
      <c r="G210" s="3">
        <v>26203</v>
      </c>
      <c r="H210" s="3">
        <v>43885</v>
      </c>
      <c r="I210" s="2">
        <v>48</v>
      </c>
      <c r="J210" s="2">
        <v>1</v>
      </c>
      <c r="K210" s="2" t="s">
        <v>861</v>
      </c>
      <c r="L210" s="2">
        <v>247</v>
      </c>
      <c r="M210" s="2">
        <v>6</v>
      </c>
      <c r="N210">
        <v>11.95</v>
      </c>
      <c r="O210">
        <v>9.5299999999999994</v>
      </c>
      <c r="P210">
        <v>233.6</v>
      </c>
      <c r="Q210" s="12">
        <v>1000.01</v>
      </c>
      <c r="R210">
        <v>135.32</v>
      </c>
      <c r="S210">
        <v>57.89</v>
      </c>
      <c r="T210">
        <v>23.05</v>
      </c>
      <c r="U210">
        <v>4.24</v>
      </c>
      <c r="V210">
        <v>1590.55</v>
      </c>
      <c r="W210">
        <v>1319.33</v>
      </c>
      <c r="X210">
        <v>120.9</v>
      </c>
      <c r="Y210">
        <v>415.94</v>
      </c>
      <c r="Z210">
        <v>15.11</v>
      </c>
      <c r="AA210">
        <v>387.72</v>
      </c>
      <c r="AB210">
        <v>436.27</v>
      </c>
      <c r="AC210">
        <v>145.91999999999999</v>
      </c>
      <c r="AD210">
        <v>455.9</v>
      </c>
      <c r="AE210">
        <v>63.57</v>
      </c>
      <c r="AF210">
        <v>19.72</v>
      </c>
      <c r="AG210">
        <v>1125.74</v>
      </c>
      <c r="AH210">
        <v>33.58</v>
      </c>
      <c r="AI210">
        <v>261.58999999999997</v>
      </c>
    </row>
    <row r="211" spans="1:35" ht="15.75">
      <c r="A211" t="s">
        <v>598</v>
      </c>
      <c r="B211" s="2" t="s">
        <v>598</v>
      </c>
      <c r="C211" s="2" t="str">
        <f t="shared" si="3"/>
        <v>TRUE</v>
      </c>
      <c r="D211" s="2" t="s">
        <v>858</v>
      </c>
      <c r="E211" s="2" t="s">
        <v>863</v>
      </c>
      <c r="F211" s="2" t="s">
        <v>864</v>
      </c>
      <c r="G211" s="3">
        <v>29354</v>
      </c>
      <c r="H211" s="3">
        <v>43889</v>
      </c>
      <c r="I211" s="2">
        <v>39</v>
      </c>
      <c r="J211" s="2">
        <v>4</v>
      </c>
      <c r="K211" s="2" t="s">
        <v>857</v>
      </c>
      <c r="L211" s="2" t="s">
        <v>856</v>
      </c>
      <c r="M211" s="2">
        <v>8</v>
      </c>
      <c r="N211">
        <v>13.68</v>
      </c>
      <c r="O211">
        <v>6.31</v>
      </c>
      <c r="P211">
        <v>213.01</v>
      </c>
      <c r="Q211">
        <v>499.75</v>
      </c>
      <c r="R211">
        <v>126.8</v>
      </c>
      <c r="S211">
        <v>52.71</v>
      </c>
      <c r="T211">
        <v>29.44</v>
      </c>
      <c r="U211">
        <v>4.91</v>
      </c>
      <c r="V211">
        <v>2500.0100000000002</v>
      </c>
      <c r="W211">
        <v>1576.1</v>
      </c>
      <c r="X211">
        <v>267.51</v>
      </c>
      <c r="Y211" s="14">
        <v>1000.01</v>
      </c>
      <c r="Z211">
        <v>9.91</v>
      </c>
      <c r="AA211">
        <v>1177.3499999999999</v>
      </c>
      <c r="AB211">
        <v>716.92</v>
      </c>
      <c r="AC211">
        <v>694.86</v>
      </c>
      <c r="AD211">
        <v>159.69</v>
      </c>
      <c r="AE211">
        <v>47.23</v>
      </c>
      <c r="AF211">
        <v>22.52</v>
      </c>
      <c r="AG211">
        <v>368.85</v>
      </c>
      <c r="AH211">
        <v>28.24</v>
      </c>
      <c r="AI211">
        <v>64.05</v>
      </c>
    </row>
    <row r="212" spans="1:35" ht="15.75">
      <c r="A212" t="s">
        <v>610</v>
      </c>
      <c r="B212" s="2" t="s">
        <v>610</v>
      </c>
      <c r="C212" s="2" t="str">
        <f t="shared" si="3"/>
        <v>TRUE</v>
      </c>
      <c r="D212" s="2" t="s">
        <v>858</v>
      </c>
      <c r="E212" s="2" t="s">
        <v>863</v>
      </c>
      <c r="F212" s="2" t="s">
        <v>864</v>
      </c>
      <c r="G212" s="3">
        <v>29354</v>
      </c>
      <c r="H212" s="3">
        <v>43894</v>
      </c>
      <c r="I212" s="2">
        <v>39</v>
      </c>
      <c r="J212" s="2">
        <v>5</v>
      </c>
      <c r="K212" s="2" t="s">
        <v>857</v>
      </c>
      <c r="L212" s="2">
        <v>4033</v>
      </c>
      <c r="M212" s="2">
        <v>8</v>
      </c>
      <c r="N212">
        <v>12.56</v>
      </c>
      <c r="O212">
        <v>8.9600000000000009</v>
      </c>
      <c r="P212">
        <v>122.08</v>
      </c>
      <c r="Q212">
        <v>924.66</v>
      </c>
      <c r="R212">
        <v>885.16</v>
      </c>
      <c r="S212">
        <v>78.91</v>
      </c>
      <c r="T212">
        <v>637.77</v>
      </c>
      <c r="U212">
        <v>14.2</v>
      </c>
      <c r="V212">
        <v>2036.46</v>
      </c>
      <c r="W212">
        <v>1164.5</v>
      </c>
      <c r="X212">
        <v>143.78</v>
      </c>
      <c r="Y212">
        <v>703.18</v>
      </c>
      <c r="Z212">
        <v>8.1999999999999993</v>
      </c>
      <c r="AA212">
        <v>687.16</v>
      </c>
      <c r="AB212">
        <v>515.54999999999995</v>
      </c>
      <c r="AC212">
        <v>365.35</v>
      </c>
      <c r="AD212">
        <v>138.04</v>
      </c>
      <c r="AE212">
        <v>75.77</v>
      </c>
      <c r="AF212">
        <v>28.84</v>
      </c>
      <c r="AG212">
        <v>343.13</v>
      </c>
      <c r="AH212">
        <v>26.59</v>
      </c>
      <c r="AI212">
        <v>85.61</v>
      </c>
    </row>
    <row r="213" spans="1:35" ht="15.75">
      <c r="A213" t="s">
        <v>352</v>
      </c>
      <c r="B213" s="2" t="s">
        <v>352</v>
      </c>
      <c r="C213" s="2" t="str">
        <f t="shared" si="3"/>
        <v>TRUE</v>
      </c>
      <c r="D213" s="2" t="s">
        <v>858</v>
      </c>
      <c r="E213" s="2" t="s">
        <v>863</v>
      </c>
      <c r="F213" s="2" t="s">
        <v>864</v>
      </c>
      <c r="G213" s="3">
        <v>29943</v>
      </c>
      <c r="H213" s="3">
        <v>43865</v>
      </c>
      <c r="I213" s="2">
        <v>38</v>
      </c>
      <c r="J213" s="2">
        <v>2</v>
      </c>
      <c r="K213" s="2" t="s">
        <v>857</v>
      </c>
      <c r="L213" s="2" t="s">
        <v>856</v>
      </c>
      <c r="M213" s="2">
        <v>8</v>
      </c>
      <c r="N213">
        <v>14.8</v>
      </c>
      <c r="O213">
        <v>12.59</v>
      </c>
      <c r="P213">
        <v>296.86</v>
      </c>
      <c r="Q213">
        <v>144.4</v>
      </c>
      <c r="R213">
        <v>179.31</v>
      </c>
      <c r="S213">
        <v>106.05</v>
      </c>
      <c r="T213">
        <v>79.849999999999994</v>
      </c>
      <c r="U213">
        <v>9.52</v>
      </c>
      <c r="V213">
        <v>478.41</v>
      </c>
      <c r="W213">
        <v>113.99</v>
      </c>
      <c r="X213">
        <v>133.86000000000001</v>
      </c>
      <c r="Y213">
        <v>168.36</v>
      </c>
      <c r="Z213">
        <v>10.65</v>
      </c>
      <c r="AA213">
        <v>53.36</v>
      </c>
      <c r="AB213">
        <v>15.29</v>
      </c>
      <c r="AC213">
        <v>21.6</v>
      </c>
      <c r="AD213">
        <v>25.03</v>
      </c>
      <c r="AE213">
        <v>50.71</v>
      </c>
      <c r="AF213">
        <v>15.19</v>
      </c>
      <c r="AG213">
        <v>100.03</v>
      </c>
      <c r="AH213">
        <v>34.11</v>
      </c>
      <c r="AI213">
        <v>33.130000000000003</v>
      </c>
    </row>
    <row r="214" spans="1:35" ht="15.75">
      <c r="A214" t="s">
        <v>340</v>
      </c>
      <c r="B214" s="2" t="s">
        <v>340</v>
      </c>
      <c r="C214" s="2" t="str">
        <f t="shared" si="3"/>
        <v>TRUE</v>
      </c>
      <c r="D214" s="2" t="s">
        <v>858</v>
      </c>
      <c r="E214" s="2" t="s">
        <v>863</v>
      </c>
      <c r="F214" s="2" t="s">
        <v>864</v>
      </c>
      <c r="G214" s="3">
        <v>29943</v>
      </c>
      <c r="H214" s="3">
        <v>43882</v>
      </c>
      <c r="I214" s="2">
        <v>38</v>
      </c>
      <c r="J214" s="2">
        <v>3</v>
      </c>
      <c r="K214" s="2" t="s">
        <v>857</v>
      </c>
      <c r="L214" s="2" t="s">
        <v>856</v>
      </c>
      <c r="M214" s="2">
        <v>11</v>
      </c>
      <c r="N214">
        <v>16.98</v>
      </c>
      <c r="O214">
        <v>6.48</v>
      </c>
      <c r="P214">
        <v>18.739999999999998</v>
      </c>
      <c r="Q214">
        <v>46.56</v>
      </c>
      <c r="R214">
        <v>116.08</v>
      </c>
      <c r="S214">
        <v>13.62</v>
      </c>
      <c r="T214">
        <v>42.54</v>
      </c>
      <c r="U214">
        <v>7.3</v>
      </c>
      <c r="V214">
        <v>1214.82</v>
      </c>
      <c r="W214">
        <v>249.13</v>
      </c>
      <c r="X214">
        <v>148.38</v>
      </c>
      <c r="Y214">
        <v>567.84</v>
      </c>
      <c r="Z214">
        <v>42.47</v>
      </c>
      <c r="AA214">
        <v>165.82</v>
      </c>
      <c r="AB214">
        <v>39.5</v>
      </c>
      <c r="AC214">
        <v>61.21</v>
      </c>
      <c r="AD214">
        <v>26.88</v>
      </c>
      <c r="AE214">
        <v>157.77000000000001</v>
      </c>
      <c r="AF214">
        <v>47.64</v>
      </c>
      <c r="AG214">
        <v>194.85</v>
      </c>
      <c r="AH214">
        <v>27.32</v>
      </c>
      <c r="AI214">
        <v>77.77</v>
      </c>
    </row>
    <row r="215" spans="1:35" ht="15.75">
      <c r="A215" t="s">
        <v>343</v>
      </c>
      <c r="B215" s="2" t="s">
        <v>343</v>
      </c>
      <c r="C215" s="2" t="str">
        <f t="shared" si="3"/>
        <v>TRUE</v>
      </c>
      <c r="D215" s="2" t="s">
        <v>858</v>
      </c>
      <c r="E215" s="2" t="s">
        <v>863</v>
      </c>
      <c r="F215" s="2" t="s">
        <v>860</v>
      </c>
      <c r="G215" s="3">
        <v>29943</v>
      </c>
      <c r="H215" s="3">
        <v>43889</v>
      </c>
      <c r="I215" s="2">
        <v>38</v>
      </c>
      <c r="J215" s="2">
        <v>4</v>
      </c>
      <c r="K215" s="2" t="s">
        <v>857</v>
      </c>
      <c r="L215" s="2" t="s">
        <v>856</v>
      </c>
      <c r="M215" s="2">
        <v>10</v>
      </c>
      <c r="N215">
        <v>15.82</v>
      </c>
      <c r="O215">
        <v>1.52</v>
      </c>
      <c r="P215">
        <v>13.9</v>
      </c>
      <c r="Q215">
        <v>17.11</v>
      </c>
      <c r="R215">
        <v>61.69</v>
      </c>
      <c r="S215">
        <v>5.47</v>
      </c>
      <c r="T215">
        <v>31.73</v>
      </c>
      <c r="U215">
        <v>3.77</v>
      </c>
      <c r="V215">
        <v>2500.0100000000002</v>
      </c>
      <c r="W215">
        <v>353.45</v>
      </c>
      <c r="X215">
        <v>117.73</v>
      </c>
      <c r="Y215">
        <v>974.17</v>
      </c>
      <c r="Z215">
        <v>24.75</v>
      </c>
      <c r="AA215">
        <v>682.45</v>
      </c>
      <c r="AB215">
        <v>107.94</v>
      </c>
      <c r="AC215">
        <v>239.18</v>
      </c>
      <c r="AD215">
        <v>39.520000000000003</v>
      </c>
      <c r="AE215">
        <v>115.46</v>
      </c>
      <c r="AF215">
        <v>28.19</v>
      </c>
      <c r="AG215">
        <v>82.78</v>
      </c>
      <c r="AH215">
        <v>11.23</v>
      </c>
      <c r="AI215">
        <v>28.52</v>
      </c>
    </row>
    <row r="216" spans="1:35" ht="15.75">
      <c r="A216" t="s">
        <v>355</v>
      </c>
      <c r="B216" s="2" t="s">
        <v>355</v>
      </c>
      <c r="C216" s="2" t="str">
        <f t="shared" si="3"/>
        <v>TRUE</v>
      </c>
      <c r="D216" s="2" t="s">
        <v>858</v>
      </c>
      <c r="E216" s="2" t="s">
        <v>863</v>
      </c>
      <c r="F216" s="2" t="s">
        <v>860</v>
      </c>
      <c r="G216" s="3">
        <v>29943</v>
      </c>
      <c r="H216" s="3">
        <v>43896</v>
      </c>
      <c r="I216" s="2">
        <v>38</v>
      </c>
      <c r="J216" s="2">
        <v>4</v>
      </c>
      <c r="K216" s="2" t="s">
        <v>857</v>
      </c>
      <c r="L216" s="2">
        <v>1144</v>
      </c>
      <c r="M216" s="2">
        <v>5</v>
      </c>
      <c r="N216">
        <v>9.25</v>
      </c>
      <c r="O216">
        <v>10.74</v>
      </c>
      <c r="P216">
        <v>22.29</v>
      </c>
      <c r="Q216">
        <v>87.58</v>
      </c>
      <c r="R216">
        <v>452.65</v>
      </c>
      <c r="S216">
        <v>13.67</v>
      </c>
      <c r="T216">
        <v>270.92</v>
      </c>
      <c r="U216">
        <v>11.93</v>
      </c>
      <c r="V216">
        <v>964.24</v>
      </c>
      <c r="W216">
        <v>118.98</v>
      </c>
      <c r="X216">
        <v>41.18</v>
      </c>
      <c r="Y216">
        <v>290.02</v>
      </c>
      <c r="Z216">
        <v>19.39</v>
      </c>
      <c r="AA216">
        <v>145.81</v>
      </c>
      <c r="AB216">
        <v>20.18</v>
      </c>
      <c r="AC216">
        <v>58.6</v>
      </c>
      <c r="AD216">
        <v>28.25</v>
      </c>
      <c r="AE216">
        <v>135.55000000000001</v>
      </c>
      <c r="AF216">
        <v>29.73</v>
      </c>
      <c r="AG216">
        <v>122.62</v>
      </c>
      <c r="AH216">
        <v>9.36</v>
      </c>
      <c r="AI216">
        <v>47.85</v>
      </c>
    </row>
    <row r="217" spans="1:35" ht="15.75">
      <c r="A217" t="s">
        <v>556</v>
      </c>
      <c r="B217" s="2" t="s">
        <v>556</v>
      </c>
      <c r="C217" s="2" t="str">
        <f t="shared" si="3"/>
        <v>TRUE</v>
      </c>
      <c r="D217" s="2" t="s">
        <v>865</v>
      </c>
      <c r="E217" s="2" t="s">
        <v>869</v>
      </c>
      <c r="F217" s="2" t="s">
        <v>864</v>
      </c>
      <c r="G217" s="3">
        <v>29371</v>
      </c>
      <c r="H217" s="3">
        <v>43896</v>
      </c>
      <c r="I217" s="2">
        <v>39</v>
      </c>
      <c r="J217" s="2">
        <v>7</v>
      </c>
      <c r="K217" s="2" t="s">
        <v>861</v>
      </c>
      <c r="L217" s="2">
        <v>1822</v>
      </c>
      <c r="M217" s="2">
        <v>3</v>
      </c>
      <c r="N217">
        <v>20.64</v>
      </c>
      <c r="O217">
        <v>9.33</v>
      </c>
      <c r="P217">
        <v>390.94</v>
      </c>
      <c r="Q217">
        <v>376.36</v>
      </c>
      <c r="R217">
        <v>605.01</v>
      </c>
      <c r="S217">
        <v>94.67</v>
      </c>
      <c r="T217">
        <v>442.22</v>
      </c>
      <c r="U217">
        <v>9.32</v>
      </c>
      <c r="V217">
        <v>1229.3599999999999</v>
      </c>
      <c r="W217">
        <v>275.54000000000002</v>
      </c>
      <c r="X217">
        <v>97.51</v>
      </c>
      <c r="Y217">
        <v>307.5</v>
      </c>
      <c r="Z217">
        <v>7.06</v>
      </c>
      <c r="AA217">
        <v>250.66</v>
      </c>
      <c r="AB217">
        <v>60.11</v>
      </c>
      <c r="AC217">
        <v>84.26</v>
      </c>
      <c r="AD217">
        <v>34.89</v>
      </c>
      <c r="AE217">
        <v>67.989999999999995</v>
      </c>
      <c r="AF217">
        <v>12.73</v>
      </c>
      <c r="AG217">
        <v>167.13</v>
      </c>
      <c r="AH217">
        <v>26.04</v>
      </c>
      <c r="AI217">
        <v>95.35</v>
      </c>
    </row>
    <row r="218" spans="1:35" ht="15.75">
      <c r="A218" t="s">
        <v>613</v>
      </c>
      <c r="B218" s="2" t="s">
        <v>613</v>
      </c>
      <c r="C218" s="2" t="str">
        <f t="shared" si="3"/>
        <v>TRUE</v>
      </c>
      <c r="D218" s="2" t="s">
        <v>858</v>
      </c>
      <c r="E218" s="2" t="s">
        <v>863</v>
      </c>
      <c r="F218" s="2" t="s">
        <v>864</v>
      </c>
      <c r="G218" s="3">
        <v>29354</v>
      </c>
      <c r="H218" s="3">
        <v>44007</v>
      </c>
      <c r="I218" s="2">
        <v>40</v>
      </c>
      <c r="J218" s="2">
        <v>6</v>
      </c>
      <c r="K218" s="2" t="s">
        <v>857</v>
      </c>
      <c r="L218" s="2">
        <v>43</v>
      </c>
      <c r="M218" s="2">
        <v>2</v>
      </c>
      <c r="N218">
        <v>14.32</v>
      </c>
      <c r="O218">
        <v>1.78</v>
      </c>
      <c r="P218">
        <v>202.05</v>
      </c>
      <c r="Q218">
        <v>235.16</v>
      </c>
      <c r="R218">
        <v>191.55</v>
      </c>
      <c r="S218">
        <v>29.68</v>
      </c>
      <c r="T218">
        <v>185.12</v>
      </c>
      <c r="U218">
        <v>5.28</v>
      </c>
      <c r="V218">
        <v>1002.68</v>
      </c>
      <c r="W218">
        <v>571.64</v>
      </c>
      <c r="X218">
        <v>115.66</v>
      </c>
      <c r="Y218">
        <v>342.88</v>
      </c>
      <c r="Z218">
        <v>9.94</v>
      </c>
      <c r="AA218">
        <v>318.06</v>
      </c>
      <c r="AB218">
        <v>188.03</v>
      </c>
      <c r="AC218">
        <v>150.30000000000001</v>
      </c>
      <c r="AD218">
        <v>275.02</v>
      </c>
      <c r="AE218">
        <v>121.42</v>
      </c>
      <c r="AF218">
        <v>33.229999999999997</v>
      </c>
      <c r="AG218">
        <v>424.35</v>
      </c>
      <c r="AH218">
        <v>33.909999999999997</v>
      </c>
      <c r="AI218">
        <v>126.88</v>
      </c>
    </row>
    <row r="219" spans="1:35" ht="15.75">
      <c r="A219" t="s">
        <v>346</v>
      </c>
      <c r="B219" s="2" t="s">
        <v>346</v>
      </c>
      <c r="C219" s="2" t="str">
        <f t="shared" si="3"/>
        <v>TRUE</v>
      </c>
      <c r="D219" s="2" t="s">
        <v>858</v>
      </c>
      <c r="E219" s="2" t="s">
        <v>863</v>
      </c>
      <c r="F219" s="2" t="s">
        <v>860</v>
      </c>
      <c r="G219" s="3">
        <v>29943</v>
      </c>
      <c r="H219" s="3">
        <v>44011</v>
      </c>
      <c r="I219" s="2">
        <v>38</v>
      </c>
      <c r="J219" s="2">
        <v>4</v>
      </c>
      <c r="K219" s="2" t="s">
        <v>857</v>
      </c>
      <c r="L219" s="2">
        <v>20</v>
      </c>
      <c r="M219" s="2">
        <v>0</v>
      </c>
      <c r="N219">
        <v>13.58</v>
      </c>
      <c r="O219">
        <v>1.18</v>
      </c>
      <c r="P219">
        <v>24.85</v>
      </c>
      <c r="Q219">
        <v>24.72</v>
      </c>
      <c r="R219">
        <v>113.99</v>
      </c>
      <c r="S219">
        <v>10.27</v>
      </c>
      <c r="T219">
        <v>87.25</v>
      </c>
      <c r="U219">
        <v>2.86</v>
      </c>
      <c r="V219">
        <v>628.82000000000005</v>
      </c>
      <c r="W219">
        <v>52.98</v>
      </c>
      <c r="X219">
        <v>107.9</v>
      </c>
      <c r="Y219">
        <v>228.21</v>
      </c>
      <c r="Z219">
        <v>16.600000000000001</v>
      </c>
      <c r="AA219">
        <v>98.27</v>
      </c>
      <c r="AB219">
        <v>9.73</v>
      </c>
      <c r="AC219">
        <v>25.74</v>
      </c>
      <c r="AD219">
        <v>31.46</v>
      </c>
      <c r="AE219">
        <v>208.8</v>
      </c>
      <c r="AF219">
        <v>40.08</v>
      </c>
      <c r="AG219">
        <v>180.19</v>
      </c>
      <c r="AH219">
        <v>37.57</v>
      </c>
      <c r="AI219">
        <v>66.42</v>
      </c>
    </row>
    <row r="220" spans="1:35" ht="15.75">
      <c r="A220" t="s">
        <v>202</v>
      </c>
      <c r="B220" s="2" t="s">
        <v>202</v>
      </c>
      <c r="C220" s="2" t="str">
        <f t="shared" si="3"/>
        <v>TRUE</v>
      </c>
      <c r="D220" s="2" t="s">
        <v>865</v>
      </c>
      <c r="E220" s="2" t="s">
        <v>873</v>
      </c>
      <c r="F220" s="2" t="s">
        <v>864</v>
      </c>
      <c r="G220" s="3">
        <v>19925</v>
      </c>
      <c r="H220" s="3">
        <v>43768</v>
      </c>
      <c r="I220" s="2">
        <v>65</v>
      </c>
      <c r="J220" s="2">
        <v>7</v>
      </c>
      <c r="K220" s="2" t="s">
        <v>861</v>
      </c>
      <c r="L220" s="2">
        <v>157</v>
      </c>
      <c r="M220" s="2">
        <v>3</v>
      </c>
      <c r="N220">
        <v>9.51</v>
      </c>
      <c r="O220">
        <v>1.75</v>
      </c>
      <c r="P220">
        <v>23.88</v>
      </c>
      <c r="Q220">
        <v>775.79</v>
      </c>
      <c r="R220">
        <v>34.020000000000003</v>
      </c>
      <c r="S220">
        <v>34.770000000000003</v>
      </c>
      <c r="T220">
        <v>11.9</v>
      </c>
      <c r="U220">
        <v>0.99</v>
      </c>
      <c r="V220">
        <v>700.74</v>
      </c>
      <c r="W220">
        <v>754.88</v>
      </c>
      <c r="X220">
        <v>18.38</v>
      </c>
      <c r="Y220">
        <v>160.76</v>
      </c>
      <c r="Z220" s="14">
        <v>2.4900000000000002</v>
      </c>
      <c r="AA220">
        <v>66.16</v>
      </c>
      <c r="AB220">
        <v>87.45</v>
      </c>
      <c r="AC220">
        <v>19.84</v>
      </c>
      <c r="AD220">
        <v>97.46</v>
      </c>
      <c r="AE220">
        <v>34.909999999999997</v>
      </c>
      <c r="AF220" s="14">
        <v>4.99</v>
      </c>
      <c r="AG220">
        <v>778.73</v>
      </c>
      <c r="AH220">
        <v>11.36</v>
      </c>
      <c r="AI220">
        <v>123.65</v>
      </c>
    </row>
    <row r="221" spans="1:35" ht="15.75">
      <c r="A221" t="s">
        <v>274</v>
      </c>
      <c r="B221" s="2" t="s">
        <v>274</v>
      </c>
      <c r="C221" s="2" t="str">
        <f t="shared" si="3"/>
        <v>TRUE</v>
      </c>
      <c r="D221" s="2" t="s">
        <v>865</v>
      </c>
      <c r="E221" s="2" t="s">
        <v>874</v>
      </c>
      <c r="F221" s="2" t="s">
        <v>860</v>
      </c>
      <c r="G221" s="3">
        <v>21300</v>
      </c>
      <c r="H221" s="3">
        <v>43770</v>
      </c>
      <c r="I221" s="2">
        <v>61</v>
      </c>
      <c r="J221" s="2">
        <v>2</v>
      </c>
      <c r="K221" s="2" t="s">
        <v>861</v>
      </c>
      <c r="L221" s="2">
        <v>921</v>
      </c>
      <c r="M221" s="2">
        <v>12</v>
      </c>
      <c r="N221">
        <v>8.86</v>
      </c>
      <c r="O221">
        <v>1.99</v>
      </c>
      <c r="P221">
        <v>146.91</v>
      </c>
      <c r="Q221">
        <v>0.99</v>
      </c>
      <c r="R221">
        <v>79.72</v>
      </c>
      <c r="S221">
        <v>37.83</v>
      </c>
      <c r="T221">
        <v>74.89</v>
      </c>
      <c r="U221">
        <v>1.37</v>
      </c>
      <c r="V221">
        <v>1877.72</v>
      </c>
      <c r="W221">
        <v>2.4900000000000002</v>
      </c>
      <c r="X221">
        <v>331.38</v>
      </c>
      <c r="Y221">
        <v>648.49</v>
      </c>
      <c r="Z221">
        <v>8.17</v>
      </c>
      <c r="AA221">
        <v>10.32</v>
      </c>
      <c r="AB221" s="14">
        <v>2.4900000000000002</v>
      </c>
      <c r="AC221">
        <v>3.24</v>
      </c>
      <c r="AD221" s="14">
        <v>9.99</v>
      </c>
      <c r="AE221">
        <v>70.5</v>
      </c>
      <c r="AF221" s="14">
        <v>4.99</v>
      </c>
      <c r="AG221" s="14">
        <v>4.99</v>
      </c>
      <c r="AH221">
        <v>84.96</v>
      </c>
      <c r="AI221" s="14">
        <v>4.99</v>
      </c>
    </row>
    <row r="222" spans="1:35" ht="15.75">
      <c r="A222" t="s">
        <v>277</v>
      </c>
      <c r="B222" s="2" t="s">
        <v>277</v>
      </c>
      <c r="C222" s="2" t="str">
        <f t="shared" si="3"/>
        <v>TRUE</v>
      </c>
      <c r="D222" s="2" t="s">
        <v>865</v>
      </c>
      <c r="E222" s="2" t="s">
        <v>874</v>
      </c>
      <c r="F222" s="2" t="s">
        <v>860</v>
      </c>
      <c r="G222" s="3">
        <v>21300</v>
      </c>
      <c r="H222" s="3">
        <v>43784</v>
      </c>
      <c r="I222" s="2">
        <v>61</v>
      </c>
      <c r="J222" s="2">
        <v>3</v>
      </c>
      <c r="K222" s="2" t="s">
        <v>861</v>
      </c>
      <c r="L222" s="2" t="s">
        <v>856</v>
      </c>
      <c r="M222" s="2">
        <v>10</v>
      </c>
      <c r="N222">
        <v>6.98</v>
      </c>
      <c r="O222">
        <v>8.1</v>
      </c>
      <c r="P222">
        <v>194.03</v>
      </c>
      <c r="Q222">
        <v>0.99</v>
      </c>
      <c r="R222" s="12">
        <v>1000.01</v>
      </c>
      <c r="S222">
        <v>126.93</v>
      </c>
      <c r="T222">
        <v>269.91000000000003</v>
      </c>
      <c r="U222">
        <v>10.220000000000001</v>
      </c>
      <c r="V222">
        <v>2129.4299999999998</v>
      </c>
      <c r="W222">
        <v>2.4900000000000002</v>
      </c>
      <c r="X222">
        <v>183.75</v>
      </c>
      <c r="Y222">
        <v>438.46</v>
      </c>
      <c r="Z222">
        <v>9.76</v>
      </c>
      <c r="AA222">
        <v>6.53</v>
      </c>
      <c r="AB222" s="14">
        <v>2.4900000000000002</v>
      </c>
      <c r="AC222" s="14">
        <v>2.4900000000000002</v>
      </c>
      <c r="AD222" s="14">
        <v>9.99</v>
      </c>
      <c r="AE222">
        <v>64.97</v>
      </c>
      <c r="AF222" s="14">
        <v>4.99</v>
      </c>
      <c r="AG222" s="14">
        <v>4.99</v>
      </c>
      <c r="AH222">
        <v>41.51</v>
      </c>
      <c r="AI222" s="14">
        <v>4.99</v>
      </c>
    </row>
    <row r="223" spans="1:35" ht="15.75">
      <c r="A223" t="s">
        <v>292</v>
      </c>
      <c r="B223" s="2" t="s">
        <v>292</v>
      </c>
      <c r="C223" s="2" t="str">
        <f t="shared" si="3"/>
        <v>TRUE</v>
      </c>
      <c r="D223" s="2" t="s">
        <v>858</v>
      </c>
      <c r="E223" s="2" t="s">
        <v>859</v>
      </c>
      <c r="F223" s="2" t="s">
        <v>864</v>
      </c>
      <c r="G223" s="3">
        <v>34948</v>
      </c>
      <c r="H223" s="3">
        <v>43788</v>
      </c>
      <c r="I223" s="2">
        <v>24</v>
      </c>
      <c r="J223" s="2">
        <v>7</v>
      </c>
      <c r="K223" s="2" t="s">
        <v>861</v>
      </c>
      <c r="L223" s="2">
        <v>61</v>
      </c>
      <c r="M223" s="2">
        <v>1</v>
      </c>
      <c r="N223">
        <v>10.72</v>
      </c>
      <c r="O223">
        <v>0.99</v>
      </c>
      <c r="P223">
        <v>135.91</v>
      </c>
      <c r="Q223">
        <v>38.130000000000003</v>
      </c>
      <c r="R223">
        <v>12.72</v>
      </c>
      <c r="S223">
        <v>5.66</v>
      </c>
      <c r="T223">
        <v>25.2</v>
      </c>
      <c r="U223">
        <v>0.99</v>
      </c>
      <c r="V223">
        <v>1228.8900000000001</v>
      </c>
      <c r="W223">
        <v>510.13</v>
      </c>
      <c r="X223">
        <v>170.48</v>
      </c>
      <c r="Y223">
        <v>380.55</v>
      </c>
      <c r="Z223">
        <v>22.42</v>
      </c>
      <c r="AA223">
        <v>211.97</v>
      </c>
      <c r="AB223">
        <v>142.13999999999999</v>
      </c>
      <c r="AC223">
        <v>107.24</v>
      </c>
      <c r="AD223">
        <v>143.34</v>
      </c>
      <c r="AE223">
        <v>76.430000000000007</v>
      </c>
      <c r="AF223">
        <v>22.62</v>
      </c>
      <c r="AG223">
        <v>428.44</v>
      </c>
      <c r="AH223">
        <v>42.7</v>
      </c>
      <c r="AI223">
        <v>101.74</v>
      </c>
    </row>
    <row r="224" spans="1:35" ht="15.75">
      <c r="A224" t="s">
        <v>844</v>
      </c>
      <c r="B224" s="2" t="s">
        <v>844</v>
      </c>
      <c r="C224" s="2" t="str">
        <f t="shared" si="3"/>
        <v>TRUE</v>
      </c>
      <c r="D224" s="2" t="s">
        <v>865</v>
      </c>
      <c r="E224" s="2" t="s">
        <v>866</v>
      </c>
      <c r="F224" s="2" t="s">
        <v>864</v>
      </c>
      <c r="G224" s="3">
        <v>33023</v>
      </c>
      <c r="H224" s="3">
        <v>43788</v>
      </c>
      <c r="I224" s="2">
        <v>29</v>
      </c>
      <c r="J224" s="2">
        <v>1</v>
      </c>
      <c r="K224" s="2" t="s">
        <v>857</v>
      </c>
      <c r="L224" s="2">
        <v>1213</v>
      </c>
      <c r="M224" s="2">
        <v>7</v>
      </c>
      <c r="N224">
        <v>5.59</v>
      </c>
      <c r="O224">
        <v>2.06</v>
      </c>
      <c r="P224">
        <v>373.67</v>
      </c>
      <c r="Q224">
        <v>160.22</v>
      </c>
      <c r="R224">
        <v>31.57</v>
      </c>
      <c r="S224">
        <v>41.03</v>
      </c>
      <c r="T224">
        <v>15.78</v>
      </c>
      <c r="U224">
        <v>1.64</v>
      </c>
      <c r="V224">
        <v>802.28</v>
      </c>
      <c r="W224">
        <v>221.44</v>
      </c>
      <c r="X224">
        <v>211.02</v>
      </c>
      <c r="Y224">
        <v>172.89</v>
      </c>
      <c r="Z224">
        <v>2.92</v>
      </c>
      <c r="AA224">
        <v>108.95</v>
      </c>
      <c r="AB224">
        <v>36.57</v>
      </c>
      <c r="AC224">
        <v>26.42</v>
      </c>
      <c r="AD224">
        <v>32.58</v>
      </c>
      <c r="AE224">
        <v>50.13</v>
      </c>
      <c r="AF224">
        <v>11.19</v>
      </c>
      <c r="AG224">
        <v>204.13</v>
      </c>
      <c r="AH224">
        <v>93.44</v>
      </c>
      <c r="AI224">
        <v>44.85</v>
      </c>
    </row>
    <row r="225" spans="1:35" ht="15.75">
      <c r="A225" t="s">
        <v>676</v>
      </c>
      <c r="B225" s="2" t="s">
        <v>676</v>
      </c>
      <c r="C225" s="2" t="str">
        <f t="shared" si="3"/>
        <v>TRUE</v>
      </c>
      <c r="D225" s="2" t="s">
        <v>865</v>
      </c>
      <c r="E225" s="2" t="s">
        <v>869</v>
      </c>
      <c r="F225" s="2" t="s">
        <v>860</v>
      </c>
      <c r="G225" s="3">
        <v>31009</v>
      </c>
      <c r="H225" s="3">
        <v>43756</v>
      </c>
      <c r="I225" s="2">
        <v>34</v>
      </c>
      <c r="J225" s="2">
        <v>2</v>
      </c>
      <c r="K225" s="2" t="s">
        <v>857</v>
      </c>
      <c r="L225" s="2" t="s">
        <v>856</v>
      </c>
      <c r="M225" s="2">
        <v>3</v>
      </c>
      <c r="N225">
        <v>103.87</v>
      </c>
      <c r="O225">
        <v>8.99</v>
      </c>
      <c r="P225">
        <v>48.18</v>
      </c>
      <c r="Q225">
        <v>343</v>
      </c>
      <c r="R225">
        <v>177.64</v>
      </c>
      <c r="S225">
        <v>26.45</v>
      </c>
      <c r="T225">
        <v>25.26</v>
      </c>
      <c r="U225">
        <v>2.63</v>
      </c>
      <c r="V225">
        <v>2070.1</v>
      </c>
      <c r="W225">
        <v>498.59</v>
      </c>
      <c r="X225">
        <v>33.57</v>
      </c>
      <c r="Y225">
        <v>817.22</v>
      </c>
      <c r="Z225">
        <v>42.6</v>
      </c>
      <c r="AA225">
        <v>222.18</v>
      </c>
      <c r="AB225">
        <v>96.72</v>
      </c>
      <c r="AC225">
        <v>127.1</v>
      </c>
      <c r="AD225">
        <v>166.76</v>
      </c>
      <c r="AE225">
        <v>253.06</v>
      </c>
      <c r="AF225">
        <v>28.17</v>
      </c>
      <c r="AG225">
        <v>793.65</v>
      </c>
      <c r="AH225">
        <v>12.13</v>
      </c>
      <c r="AI225">
        <v>185.62</v>
      </c>
    </row>
    <row r="226" spans="1:35" ht="15.75">
      <c r="A226" t="s">
        <v>391</v>
      </c>
      <c r="B226" s="2" t="s">
        <v>391</v>
      </c>
      <c r="C226" s="2" t="str">
        <f t="shared" si="3"/>
        <v>TRUE</v>
      </c>
      <c r="D226" s="2" t="s">
        <v>858</v>
      </c>
      <c r="E226" s="2" t="s">
        <v>859</v>
      </c>
      <c r="F226" s="2" t="s">
        <v>864</v>
      </c>
      <c r="G226" s="3">
        <v>23568</v>
      </c>
      <c r="H226" s="3">
        <v>43756</v>
      </c>
      <c r="I226" s="2">
        <v>55</v>
      </c>
      <c r="J226" s="2">
        <v>7</v>
      </c>
      <c r="K226" s="2" t="s">
        <v>857</v>
      </c>
      <c r="L226" s="2">
        <v>51</v>
      </c>
      <c r="M226" s="2">
        <v>2</v>
      </c>
      <c r="N226">
        <v>17.16</v>
      </c>
      <c r="O226">
        <v>8.07</v>
      </c>
      <c r="P226">
        <v>13.8</v>
      </c>
      <c r="Q226">
        <v>99.7</v>
      </c>
      <c r="R226">
        <v>534.74</v>
      </c>
      <c r="S226">
        <v>25.48</v>
      </c>
      <c r="T226">
        <v>442.02</v>
      </c>
      <c r="U226">
        <v>12.17</v>
      </c>
      <c r="V226">
        <v>1926.93</v>
      </c>
      <c r="W226">
        <v>174.77</v>
      </c>
      <c r="X226">
        <v>153.97999999999999</v>
      </c>
      <c r="Y226">
        <v>390.13</v>
      </c>
      <c r="Z226">
        <v>24.94</v>
      </c>
      <c r="AA226">
        <v>199.93</v>
      </c>
      <c r="AB226">
        <v>19.77</v>
      </c>
      <c r="AC226">
        <v>32.020000000000003</v>
      </c>
      <c r="AD226">
        <v>43.96</v>
      </c>
      <c r="AE226">
        <v>81.81</v>
      </c>
      <c r="AF226">
        <v>17.7</v>
      </c>
      <c r="AG226">
        <v>119.69</v>
      </c>
      <c r="AH226">
        <v>23.54</v>
      </c>
      <c r="AI226">
        <v>26.86</v>
      </c>
    </row>
    <row r="227" spans="1:35" ht="15.75">
      <c r="A227" t="s">
        <v>679</v>
      </c>
      <c r="B227" s="2" t="s">
        <v>679</v>
      </c>
      <c r="C227" s="2" t="str">
        <f t="shared" si="3"/>
        <v>TRUE</v>
      </c>
      <c r="D227" s="2" t="s">
        <v>865</v>
      </c>
      <c r="E227" s="2" t="s">
        <v>869</v>
      </c>
      <c r="F227" s="2" t="s">
        <v>860</v>
      </c>
      <c r="G227" s="3">
        <v>31009</v>
      </c>
      <c r="H227" s="3">
        <v>43763</v>
      </c>
      <c r="I227" s="2">
        <v>34</v>
      </c>
      <c r="J227" s="2">
        <v>3</v>
      </c>
      <c r="K227" s="2" t="s">
        <v>857</v>
      </c>
      <c r="L227" s="2">
        <v>445</v>
      </c>
      <c r="M227" s="2">
        <v>2</v>
      </c>
      <c r="N227">
        <v>27.77</v>
      </c>
      <c r="O227">
        <v>0.99</v>
      </c>
      <c r="P227">
        <v>8</v>
      </c>
      <c r="Q227">
        <v>50.6</v>
      </c>
      <c r="R227">
        <v>53.13</v>
      </c>
      <c r="S227">
        <v>5.75</v>
      </c>
      <c r="T227">
        <v>6.84</v>
      </c>
      <c r="U227">
        <v>0.99</v>
      </c>
      <c r="V227">
        <v>1841.52</v>
      </c>
      <c r="W227">
        <v>425.96</v>
      </c>
      <c r="X227">
        <v>25.95</v>
      </c>
      <c r="Y227">
        <v>490.77</v>
      </c>
      <c r="Z227">
        <v>44.53</v>
      </c>
      <c r="AA227">
        <v>198.7</v>
      </c>
      <c r="AB227">
        <v>89.83</v>
      </c>
      <c r="AC227">
        <v>80.489999999999995</v>
      </c>
      <c r="AD227">
        <v>163.38</v>
      </c>
      <c r="AE227">
        <v>160.31</v>
      </c>
      <c r="AF227">
        <v>19.87</v>
      </c>
      <c r="AG227">
        <v>576.34</v>
      </c>
      <c r="AH227">
        <v>6.91</v>
      </c>
      <c r="AI227">
        <v>102.76</v>
      </c>
    </row>
    <row r="228" spans="1:35" ht="15.75">
      <c r="A228" t="s">
        <v>673</v>
      </c>
      <c r="B228" s="2" t="s">
        <v>673</v>
      </c>
      <c r="C228" s="2" t="str">
        <f t="shared" si="3"/>
        <v>TRUE</v>
      </c>
      <c r="D228" s="2" t="s">
        <v>865</v>
      </c>
      <c r="E228" s="2" t="s">
        <v>869</v>
      </c>
      <c r="F228" s="2" t="s">
        <v>860</v>
      </c>
      <c r="G228" s="3">
        <v>31009</v>
      </c>
      <c r="H228" s="3">
        <v>43769</v>
      </c>
      <c r="I228" s="2">
        <v>34</v>
      </c>
      <c r="J228" s="2">
        <v>4</v>
      </c>
      <c r="K228" s="2" t="s">
        <v>857</v>
      </c>
      <c r="L228" s="2" t="s">
        <v>856</v>
      </c>
      <c r="M228" s="2">
        <v>5</v>
      </c>
      <c r="N228">
        <v>58.82</v>
      </c>
      <c r="O228">
        <v>8.7100000000000009</v>
      </c>
      <c r="P228">
        <v>26.15</v>
      </c>
      <c r="Q228">
        <v>235.35</v>
      </c>
      <c r="R228">
        <v>196.06</v>
      </c>
      <c r="S228">
        <v>14.12</v>
      </c>
      <c r="T228">
        <v>15.73</v>
      </c>
      <c r="U228">
        <v>5.09</v>
      </c>
      <c r="V228">
        <v>1424.3</v>
      </c>
      <c r="W228">
        <v>354.41</v>
      </c>
      <c r="X228">
        <v>29.37</v>
      </c>
      <c r="Y228">
        <v>331.73</v>
      </c>
      <c r="Z228">
        <v>42.33</v>
      </c>
      <c r="AA228">
        <v>131.55000000000001</v>
      </c>
      <c r="AB228">
        <v>56.88</v>
      </c>
      <c r="AC228">
        <v>52.86</v>
      </c>
      <c r="AD228">
        <v>173.25</v>
      </c>
      <c r="AE228">
        <v>183</v>
      </c>
      <c r="AF228">
        <v>24.6</v>
      </c>
      <c r="AG228">
        <v>666.41</v>
      </c>
      <c r="AH228">
        <v>15.8</v>
      </c>
      <c r="AI228">
        <v>133.30000000000001</v>
      </c>
    </row>
    <row r="229" spans="1:35" ht="15.75">
      <c r="A229" t="s">
        <v>688</v>
      </c>
      <c r="B229" s="2" t="s">
        <v>688</v>
      </c>
      <c r="C229" s="2" t="str">
        <f t="shared" si="3"/>
        <v>TRUE</v>
      </c>
      <c r="D229" s="2" t="s">
        <v>865</v>
      </c>
      <c r="E229" s="2" t="s">
        <v>869</v>
      </c>
      <c r="F229" s="2" t="s">
        <v>860</v>
      </c>
      <c r="G229" s="3">
        <v>31009</v>
      </c>
      <c r="H229" s="3">
        <v>43775</v>
      </c>
      <c r="I229" s="2">
        <v>34</v>
      </c>
      <c r="J229" s="2">
        <v>5</v>
      </c>
      <c r="K229" s="2" t="s">
        <v>857</v>
      </c>
      <c r="L229" s="2">
        <v>843</v>
      </c>
      <c r="M229" s="2">
        <v>5</v>
      </c>
      <c r="N229">
        <v>21.17</v>
      </c>
      <c r="O229">
        <v>2.48</v>
      </c>
      <c r="P229">
        <v>12.5</v>
      </c>
      <c r="Q229">
        <v>75.150000000000006</v>
      </c>
      <c r="R229">
        <v>188.27</v>
      </c>
      <c r="S229">
        <v>5.85</v>
      </c>
      <c r="T229">
        <v>18.97</v>
      </c>
      <c r="U229">
        <v>3.55</v>
      </c>
      <c r="V229">
        <v>1854.85</v>
      </c>
      <c r="W229">
        <v>247.97</v>
      </c>
      <c r="X229">
        <v>32.369999999999997</v>
      </c>
      <c r="Y229">
        <v>376.6</v>
      </c>
      <c r="Z229">
        <v>59.28</v>
      </c>
      <c r="AA229">
        <v>237.87</v>
      </c>
      <c r="AB229">
        <v>62.92</v>
      </c>
      <c r="AC229">
        <v>85.17</v>
      </c>
      <c r="AD229">
        <v>104.04</v>
      </c>
      <c r="AE229">
        <v>199.47</v>
      </c>
      <c r="AF229">
        <v>47.71</v>
      </c>
      <c r="AG229">
        <v>298.88</v>
      </c>
      <c r="AH229">
        <v>11.78</v>
      </c>
      <c r="AI229">
        <v>92.24</v>
      </c>
    </row>
    <row r="230" spans="1:35" ht="15.75">
      <c r="A230" t="s">
        <v>553</v>
      </c>
      <c r="B230" s="2" t="s">
        <v>553</v>
      </c>
      <c r="C230" s="2" t="str">
        <f t="shared" si="3"/>
        <v>TRUE</v>
      </c>
      <c r="D230" s="2" t="s">
        <v>865</v>
      </c>
      <c r="E230" s="2" t="s">
        <v>869</v>
      </c>
      <c r="F230" s="2" t="s">
        <v>864</v>
      </c>
      <c r="G230" s="3">
        <v>29371</v>
      </c>
      <c r="H230" s="3">
        <v>43784</v>
      </c>
      <c r="I230" s="2">
        <v>39</v>
      </c>
      <c r="J230" s="2">
        <v>1</v>
      </c>
      <c r="K230" s="2" t="s">
        <v>861</v>
      </c>
      <c r="L230" s="2">
        <v>3792</v>
      </c>
      <c r="M230" s="2">
        <v>8</v>
      </c>
      <c r="N230">
        <v>17.8</v>
      </c>
      <c r="O230">
        <v>35.03</v>
      </c>
      <c r="P230">
        <v>88.85</v>
      </c>
      <c r="Q230">
        <v>2.8</v>
      </c>
      <c r="R230" s="12">
        <v>1000.01</v>
      </c>
      <c r="S230">
        <v>406.46</v>
      </c>
      <c r="T230" s="12">
        <v>1000.01</v>
      </c>
      <c r="U230">
        <v>42.09</v>
      </c>
      <c r="V230">
        <v>2500.0100000000002</v>
      </c>
      <c r="W230">
        <v>2.4900000000000002</v>
      </c>
      <c r="X230">
        <v>309.08</v>
      </c>
      <c r="Y230" s="14">
        <v>1000.01</v>
      </c>
      <c r="Z230">
        <v>16.47</v>
      </c>
      <c r="AA230">
        <v>232.44</v>
      </c>
      <c r="AB230" s="14">
        <v>2.4900000000000002</v>
      </c>
      <c r="AC230">
        <v>99.33</v>
      </c>
      <c r="AD230" s="14">
        <v>9.99</v>
      </c>
      <c r="AE230">
        <v>207.08</v>
      </c>
      <c r="AF230">
        <v>14.1</v>
      </c>
      <c r="AG230" s="14">
        <v>4.99</v>
      </c>
      <c r="AH230">
        <v>112.56</v>
      </c>
      <c r="AI230" s="14">
        <v>4.99</v>
      </c>
    </row>
    <row r="231" spans="1:35" ht="15.75">
      <c r="A231" t="s">
        <v>280</v>
      </c>
      <c r="B231" s="2" t="s">
        <v>280</v>
      </c>
      <c r="C231" s="2" t="str">
        <f t="shared" si="3"/>
        <v>TRUE</v>
      </c>
      <c r="D231" s="2" t="s">
        <v>865</v>
      </c>
      <c r="E231" s="2" t="s">
        <v>874</v>
      </c>
      <c r="F231" s="2" t="s">
        <v>860</v>
      </c>
      <c r="G231" s="3">
        <v>21300</v>
      </c>
      <c r="H231" s="3">
        <v>43791</v>
      </c>
      <c r="I231" s="2">
        <v>61</v>
      </c>
      <c r="J231" s="2">
        <v>4</v>
      </c>
      <c r="K231" s="2" t="s">
        <v>861</v>
      </c>
      <c r="L231" s="2">
        <v>784</v>
      </c>
      <c r="M231" s="2">
        <v>6</v>
      </c>
      <c r="N231">
        <v>10.83</v>
      </c>
      <c r="O231">
        <v>14.01</v>
      </c>
      <c r="P231">
        <v>1.49</v>
      </c>
      <c r="Q231">
        <v>0.99</v>
      </c>
      <c r="R231">
        <v>153.94</v>
      </c>
      <c r="S231">
        <v>11.97</v>
      </c>
      <c r="T231">
        <v>142.72</v>
      </c>
      <c r="U231">
        <v>1.1299999999999999</v>
      </c>
      <c r="V231">
        <v>1050.6099999999999</v>
      </c>
      <c r="W231">
        <v>2.4900000000000002</v>
      </c>
      <c r="X231">
        <v>92.57</v>
      </c>
      <c r="Y231">
        <v>920.79</v>
      </c>
      <c r="Z231">
        <v>28.55</v>
      </c>
      <c r="AA231" s="14">
        <v>4.99</v>
      </c>
      <c r="AB231" s="14">
        <v>2.4900000000000002</v>
      </c>
      <c r="AC231">
        <v>4.16</v>
      </c>
      <c r="AD231" s="14">
        <v>9.99</v>
      </c>
      <c r="AE231">
        <v>161.83000000000001</v>
      </c>
      <c r="AF231" s="14">
        <v>4.99</v>
      </c>
      <c r="AG231" s="14">
        <v>4.99</v>
      </c>
      <c r="AH231">
        <v>28.5</v>
      </c>
      <c r="AI231" s="14">
        <v>4.99</v>
      </c>
    </row>
    <row r="232" spans="1:35" ht="15.75">
      <c r="A232" t="s">
        <v>574</v>
      </c>
      <c r="B232" s="2" t="s">
        <v>574</v>
      </c>
      <c r="C232" s="2" t="str">
        <f t="shared" si="3"/>
        <v>TRUE</v>
      </c>
      <c r="D232" s="2" t="s">
        <v>858</v>
      </c>
      <c r="E232" s="2" t="s">
        <v>863</v>
      </c>
      <c r="F232" s="2" t="s">
        <v>864</v>
      </c>
      <c r="G232" s="3">
        <v>28094</v>
      </c>
      <c r="H232" s="3">
        <v>44251</v>
      </c>
      <c r="I232" s="2">
        <v>44</v>
      </c>
      <c r="J232" s="2">
        <v>2</v>
      </c>
      <c r="K232" s="2" t="s">
        <v>857</v>
      </c>
      <c r="L232" s="2">
        <v>20</v>
      </c>
      <c r="M232" s="2">
        <v>0</v>
      </c>
      <c r="N232">
        <v>32.369999999999997</v>
      </c>
      <c r="O232">
        <v>8.2899999999999991</v>
      </c>
      <c r="P232">
        <v>228.73</v>
      </c>
      <c r="Q232">
        <v>556.62</v>
      </c>
      <c r="R232">
        <v>497.59</v>
      </c>
      <c r="S232">
        <v>148.38999999999999</v>
      </c>
      <c r="T232">
        <v>399.53</v>
      </c>
      <c r="U232">
        <v>11.44</v>
      </c>
      <c r="V232">
        <v>1006.54</v>
      </c>
      <c r="W232">
        <v>402.73</v>
      </c>
      <c r="X232">
        <v>223.38</v>
      </c>
      <c r="Y232">
        <v>494.95</v>
      </c>
      <c r="Z232">
        <v>12.86</v>
      </c>
      <c r="AA232">
        <v>82.17</v>
      </c>
      <c r="AB232">
        <v>26.81</v>
      </c>
      <c r="AC232">
        <v>36.56</v>
      </c>
      <c r="AD232">
        <v>54.46</v>
      </c>
      <c r="AE232">
        <v>99.28</v>
      </c>
      <c r="AF232">
        <v>15.25</v>
      </c>
      <c r="AG232">
        <v>360.94</v>
      </c>
      <c r="AH232">
        <v>69.06</v>
      </c>
      <c r="AI232">
        <v>109.81</v>
      </c>
    </row>
    <row r="233" spans="1:35" ht="15.75">
      <c r="A233" t="s">
        <v>190</v>
      </c>
      <c r="B233" s="2" t="s">
        <v>190</v>
      </c>
      <c r="C233" s="2" t="str">
        <f t="shared" si="3"/>
        <v>TRUE</v>
      </c>
      <c r="D233" s="2" t="s">
        <v>858</v>
      </c>
      <c r="E233" s="2" t="s">
        <v>863</v>
      </c>
      <c r="F233" s="2" t="s">
        <v>860</v>
      </c>
      <c r="G233" s="3">
        <v>34311</v>
      </c>
      <c r="H233" s="3">
        <v>44259</v>
      </c>
      <c r="I233" s="2">
        <v>27</v>
      </c>
      <c r="J233" s="2">
        <v>2</v>
      </c>
      <c r="K233" s="2" t="s">
        <v>857</v>
      </c>
      <c r="L233" s="2">
        <v>1826</v>
      </c>
      <c r="M233" s="2">
        <v>6</v>
      </c>
      <c r="N233">
        <v>14.52</v>
      </c>
      <c r="O233">
        <v>1.53</v>
      </c>
      <c r="P233">
        <v>14.07</v>
      </c>
      <c r="Q233">
        <v>49.01</v>
      </c>
      <c r="R233">
        <v>55.61</v>
      </c>
      <c r="S233">
        <v>7.59</v>
      </c>
      <c r="T233">
        <v>21.44</v>
      </c>
      <c r="U233">
        <v>0.99</v>
      </c>
      <c r="V233">
        <v>1329.03</v>
      </c>
      <c r="W233">
        <v>303.51</v>
      </c>
      <c r="X233">
        <v>72.349999999999994</v>
      </c>
      <c r="Y233">
        <v>422.2</v>
      </c>
      <c r="Z233">
        <v>21.36</v>
      </c>
      <c r="AA233">
        <v>497.03</v>
      </c>
      <c r="AB233">
        <v>184.5</v>
      </c>
      <c r="AC233">
        <v>198.37</v>
      </c>
      <c r="AD233">
        <v>166.17</v>
      </c>
      <c r="AE233">
        <v>73.8</v>
      </c>
      <c r="AF233">
        <v>43.06</v>
      </c>
      <c r="AG233">
        <v>127.1</v>
      </c>
      <c r="AH233">
        <v>8.2100000000000009</v>
      </c>
      <c r="AI233">
        <v>56.69</v>
      </c>
    </row>
    <row r="234" spans="1:35" ht="15.75">
      <c r="A234" t="s">
        <v>529</v>
      </c>
      <c r="B234" s="2" t="s">
        <v>529</v>
      </c>
      <c r="C234" s="2" t="str">
        <f t="shared" si="3"/>
        <v>TRUE</v>
      </c>
      <c r="D234" s="2" t="s">
        <v>858</v>
      </c>
      <c r="E234" s="2" t="s">
        <v>863</v>
      </c>
      <c r="F234" s="2" t="s">
        <v>864</v>
      </c>
      <c r="G234" s="3">
        <v>23988</v>
      </c>
      <c r="H234" s="3">
        <v>44264</v>
      </c>
      <c r="I234" s="2">
        <v>55</v>
      </c>
      <c r="J234" s="2">
        <v>2</v>
      </c>
      <c r="K234" s="2" t="s">
        <v>861</v>
      </c>
      <c r="L234" s="2">
        <v>57</v>
      </c>
      <c r="M234" s="2">
        <v>1</v>
      </c>
      <c r="N234">
        <v>27.1</v>
      </c>
      <c r="O234">
        <v>9.56</v>
      </c>
      <c r="P234">
        <v>240.11</v>
      </c>
      <c r="Q234">
        <v>395.03</v>
      </c>
      <c r="R234">
        <v>104.02</v>
      </c>
      <c r="S234">
        <v>52.07</v>
      </c>
      <c r="T234">
        <v>58.92</v>
      </c>
      <c r="U234">
        <v>2.71</v>
      </c>
      <c r="V234">
        <v>2500.0100000000002</v>
      </c>
      <c r="W234" s="14">
        <v>2500.0100000000002</v>
      </c>
      <c r="X234">
        <v>245.38</v>
      </c>
      <c r="Y234" s="14">
        <v>1000.01</v>
      </c>
      <c r="Z234">
        <v>25.07</v>
      </c>
      <c r="AA234">
        <v>703.33</v>
      </c>
      <c r="AB234">
        <v>407.33</v>
      </c>
      <c r="AC234">
        <v>934.19</v>
      </c>
      <c r="AD234">
        <v>48.23</v>
      </c>
      <c r="AE234">
        <v>118.12</v>
      </c>
      <c r="AF234">
        <v>5.96</v>
      </c>
      <c r="AG234">
        <v>608.11</v>
      </c>
      <c r="AH234">
        <v>25.1</v>
      </c>
      <c r="AI234">
        <v>157.11000000000001</v>
      </c>
    </row>
    <row r="235" spans="1:35" ht="15.75">
      <c r="A235" t="s">
        <v>154</v>
      </c>
      <c r="B235" s="2" t="s">
        <v>154</v>
      </c>
      <c r="C235" s="2" t="str">
        <f t="shared" si="3"/>
        <v>TRUE</v>
      </c>
      <c r="D235" s="2" t="s">
        <v>885</v>
      </c>
      <c r="E235" s="2" t="s">
        <v>856</v>
      </c>
      <c r="F235" s="2" t="s">
        <v>856</v>
      </c>
      <c r="G235" s="3">
        <v>26667</v>
      </c>
      <c r="H235" s="3">
        <v>44231</v>
      </c>
      <c r="I235" s="2">
        <v>48</v>
      </c>
      <c r="J235" s="2">
        <v>1</v>
      </c>
      <c r="K235" s="2" t="s">
        <v>857</v>
      </c>
      <c r="L235" s="2" t="s">
        <v>856</v>
      </c>
      <c r="M235" s="2" t="s">
        <v>856</v>
      </c>
      <c r="N235">
        <v>26.89</v>
      </c>
      <c r="O235">
        <v>10.44</v>
      </c>
      <c r="P235">
        <v>205.69</v>
      </c>
      <c r="Q235">
        <v>185.24</v>
      </c>
      <c r="R235">
        <v>97.97</v>
      </c>
      <c r="S235">
        <v>75.930000000000007</v>
      </c>
      <c r="T235">
        <v>51.33</v>
      </c>
      <c r="U235">
        <v>11.46</v>
      </c>
      <c r="V235">
        <v>164.96</v>
      </c>
      <c r="W235">
        <v>69.849999999999994</v>
      </c>
      <c r="X235">
        <v>41.15</v>
      </c>
      <c r="Y235">
        <v>36.33</v>
      </c>
      <c r="Z235">
        <v>10.86</v>
      </c>
      <c r="AA235">
        <v>16.72</v>
      </c>
      <c r="AB235">
        <v>6.68</v>
      </c>
      <c r="AC235">
        <v>3.35</v>
      </c>
      <c r="AD235">
        <v>69.66</v>
      </c>
      <c r="AE235">
        <v>99.4</v>
      </c>
      <c r="AF235">
        <v>22.02</v>
      </c>
      <c r="AG235">
        <v>239.4</v>
      </c>
      <c r="AH235">
        <v>32.94</v>
      </c>
      <c r="AI235">
        <v>118.97</v>
      </c>
    </row>
    <row r="236" spans="1:35" ht="15.75">
      <c r="A236" t="s">
        <v>535</v>
      </c>
      <c r="B236" s="2" t="s">
        <v>535</v>
      </c>
      <c r="C236" s="2" t="str">
        <f t="shared" si="3"/>
        <v>TRUE</v>
      </c>
      <c r="D236" s="2" t="s">
        <v>885</v>
      </c>
      <c r="E236" s="2" t="s">
        <v>856</v>
      </c>
      <c r="F236" s="2" t="s">
        <v>856</v>
      </c>
      <c r="G236" s="3">
        <v>24872</v>
      </c>
      <c r="H236" s="3">
        <v>44231</v>
      </c>
      <c r="I236" s="2">
        <v>53</v>
      </c>
      <c r="J236" s="2">
        <v>1</v>
      </c>
      <c r="K236" s="2" t="s">
        <v>857</v>
      </c>
      <c r="L236" s="2" t="s">
        <v>856</v>
      </c>
      <c r="M236" s="2" t="s">
        <v>856</v>
      </c>
      <c r="N236">
        <v>11.82</v>
      </c>
      <c r="O236">
        <v>1.94</v>
      </c>
      <c r="P236">
        <v>354.57</v>
      </c>
      <c r="Q236">
        <v>150.93</v>
      </c>
      <c r="R236">
        <v>89.37</v>
      </c>
      <c r="S236">
        <v>33.75</v>
      </c>
      <c r="T236">
        <v>3.29</v>
      </c>
      <c r="U236">
        <v>1.35</v>
      </c>
      <c r="V236">
        <v>130.19</v>
      </c>
      <c r="W236">
        <v>49.3</v>
      </c>
      <c r="X236">
        <v>26.23</v>
      </c>
      <c r="Y236">
        <v>35.79</v>
      </c>
      <c r="Z236">
        <v>9.75</v>
      </c>
      <c r="AA236">
        <v>38.53</v>
      </c>
      <c r="AB236">
        <v>16.98</v>
      </c>
      <c r="AC236">
        <v>8.19</v>
      </c>
      <c r="AD236">
        <v>236.14</v>
      </c>
      <c r="AE236">
        <v>84.83</v>
      </c>
      <c r="AF236">
        <v>29.59</v>
      </c>
      <c r="AG236">
        <v>575.23</v>
      </c>
      <c r="AH236">
        <v>25.29</v>
      </c>
      <c r="AI236">
        <v>155.94</v>
      </c>
    </row>
    <row r="237" spans="1:35" ht="15.75">
      <c r="A237" t="s">
        <v>129</v>
      </c>
      <c r="B237" s="2" t="s">
        <v>129</v>
      </c>
      <c r="C237" s="2" t="str">
        <f t="shared" si="3"/>
        <v>TRUE</v>
      </c>
      <c r="D237" s="2" t="s">
        <v>885</v>
      </c>
      <c r="E237" s="2" t="s">
        <v>856</v>
      </c>
      <c r="F237" s="2" t="s">
        <v>856</v>
      </c>
      <c r="G237" s="3">
        <v>24477</v>
      </c>
      <c r="H237" s="3">
        <v>44233</v>
      </c>
      <c r="I237" s="2">
        <v>54</v>
      </c>
      <c r="J237" s="2">
        <v>1</v>
      </c>
      <c r="K237" s="2" t="s">
        <v>861</v>
      </c>
      <c r="L237" s="2" t="s">
        <v>856</v>
      </c>
      <c r="M237" s="2" t="s">
        <v>856</v>
      </c>
      <c r="N237">
        <v>28.65</v>
      </c>
      <c r="O237">
        <v>0.99</v>
      </c>
      <c r="P237">
        <v>94.17</v>
      </c>
      <c r="Q237">
        <v>84.94</v>
      </c>
      <c r="R237">
        <v>15.68</v>
      </c>
      <c r="S237">
        <v>28.81</v>
      </c>
      <c r="T237">
        <v>6.36</v>
      </c>
      <c r="U237">
        <v>1.03</v>
      </c>
      <c r="V237">
        <v>475.57</v>
      </c>
      <c r="W237">
        <v>232.8</v>
      </c>
      <c r="X237">
        <v>50.82</v>
      </c>
      <c r="Y237">
        <v>96.99</v>
      </c>
      <c r="Z237">
        <v>4.03</v>
      </c>
      <c r="AA237">
        <v>151.69999999999999</v>
      </c>
      <c r="AB237">
        <v>105.36</v>
      </c>
      <c r="AC237">
        <v>59.94</v>
      </c>
      <c r="AD237">
        <v>198.58</v>
      </c>
      <c r="AE237">
        <v>29.92</v>
      </c>
      <c r="AF237">
        <v>11.55</v>
      </c>
      <c r="AG237">
        <v>191.7</v>
      </c>
      <c r="AH237">
        <v>8.5299999999999994</v>
      </c>
      <c r="AI237">
        <v>77.180000000000007</v>
      </c>
    </row>
    <row r="238" spans="1:35" ht="15.75">
      <c r="A238" t="s">
        <v>625</v>
      </c>
      <c r="B238" s="2" t="s">
        <v>625</v>
      </c>
      <c r="C238" s="2" t="str">
        <f t="shared" si="3"/>
        <v>TRUE</v>
      </c>
      <c r="D238" s="2" t="s">
        <v>885</v>
      </c>
      <c r="E238" s="2" t="s">
        <v>856</v>
      </c>
      <c r="F238" s="2" t="s">
        <v>856</v>
      </c>
      <c r="G238" s="3">
        <v>32884</v>
      </c>
      <c r="H238" s="3">
        <v>44233</v>
      </c>
      <c r="I238" s="2">
        <v>31</v>
      </c>
      <c r="J238" s="2">
        <v>1</v>
      </c>
      <c r="K238" s="2" t="s">
        <v>857</v>
      </c>
      <c r="L238" s="2" t="s">
        <v>856</v>
      </c>
      <c r="M238" s="2" t="s">
        <v>856</v>
      </c>
      <c r="N238">
        <v>18.059999999999999</v>
      </c>
      <c r="O238">
        <v>0.99</v>
      </c>
      <c r="P238">
        <v>23.15</v>
      </c>
      <c r="Q238">
        <v>344.54</v>
      </c>
      <c r="R238">
        <v>45.88</v>
      </c>
      <c r="S238">
        <v>29.79</v>
      </c>
      <c r="T238">
        <v>104.62</v>
      </c>
      <c r="U238">
        <v>6.78</v>
      </c>
      <c r="V238">
        <v>283.5</v>
      </c>
      <c r="W238">
        <v>161.94999999999999</v>
      </c>
      <c r="X238">
        <v>12.82</v>
      </c>
      <c r="Y238">
        <v>113.17</v>
      </c>
      <c r="Z238">
        <v>12.21</v>
      </c>
      <c r="AA238">
        <v>33.29</v>
      </c>
      <c r="AB238">
        <v>26.41</v>
      </c>
      <c r="AC238">
        <v>16.73</v>
      </c>
      <c r="AD238">
        <v>144.18</v>
      </c>
      <c r="AE238">
        <v>90.23</v>
      </c>
      <c r="AF238">
        <v>19.11</v>
      </c>
      <c r="AG238">
        <v>467.16</v>
      </c>
      <c r="AH238">
        <v>6.58</v>
      </c>
      <c r="AI238">
        <v>226.19</v>
      </c>
    </row>
    <row r="239" spans="1:35" ht="15.75">
      <c r="A239" t="s">
        <v>769</v>
      </c>
      <c r="B239" s="2" t="s">
        <v>769</v>
      </c>
      <c r="C239" s="2" t="str">
        <f t="shared" si="3"/>
        <v>TRUE</v>
      </c>
      <c r="D239" s="2" t="s">
        <v>885</v>
      </c>
      <c r="E239" s="2" t="s">
        <v>856</v>
      </c>
      <c r="F239" s="2" t="s">
        <v>856</v>
      </c>
      <c r="G239" s="3">
        <v>33635</v>
      </c>
      <c r="H239" s="3">
        <v>44236</v>
      </c>
      <c r="I239" s="2">
        <v>29</v>
      </c>
      <c r="J239" s="2">
        <v>1</v>
      </c>
      <c r="K239" s="2" t="s">
        <v>857</v>
      </c>
      <c r="L239" s="2" t="s">
        <v>856</v>
      </c>
      <c r="M239" s="2" t="s">
        <v>856</v>
      </c>
      <c r="N239">
        <v>24.14</v>
      </c>
      <c r="O239">
        <v>7.77</v>
      </c>
      <c r="P239">
        <v>60.43</v>
      </c>
      <c r="Q239">
        <v>270.36</v>
      </c>
      <c r="R239">
        <v>136.68</v>
      </c>
      <c r="S239">
        <v>41.06</v>
      </c>
      <c r="T239">
        <v>260.39999999999998</v>
      </c>
      <c r="U239">
        <v>7.97</v>
      </c>
      <c r="V239">
        <v>1545.03</v>
      </c>
      <c r="W239">
        <v>677.17</v>
      </c>
      <c r="X239">
        <v>64.3</v>
      </c>
      <c r="Y239">
        <v>910.33</v>
      </c>
      <c r="Z239">
        <v>16.489999999999998</v>
      </c>
      <c r="AA239">
        <v>168.63</v>
      </c>
      <c r="AB239">
        <v>99.87</v>
      </c>
      <c r="AC239">
        <v>133.44999999999999</v>
      </c>
      <c r="AD239">
        <v>155.33000000000001</v>
      </c>
      <c r="AE239">
        <v>112.08</v>
      </c>
      <c r="AF239">
        <v>18.510000000000002</v>
      </c>
      <c r="AG239">
        <v>714.97</v>
      </c>
      <c r="AH239">
        <v>12.25</v>
      </c>
      <c r="AI239">
        <v>112.86</v>
      </c>
    </row>
    <row r="240" spans="1:35" ht="15.75">
      <c r="A240" t="s">
        <v>376</v>
      </c>
      <c r="B240" s="2" t="s">
        <v>376</v>
      </c>
      <c r="C240" s="2" t="str">
        <f t="shared" si="3"/>
        <v>TRUE</v>
      </c>
      <c r="D240" s="2" t="s">
        <v>885</v>
      </c>
      <c r="E240" s="2" t="s">
        <v>856</v>
      </c>
      <c r="F240" s="2" t="s">
        <v>856</v>
      </c>
      <c r="G240" s="3">
        <v>33608</v>
      </c>
      <c r="H240" s="3">
        <v>44237</v>
      </c>
      <c r="I240" s="2">
        <v>29</v>
      </c>
      <c r="J240" s="2">
        <v>1</v>
      </c>
      <c r="K240" s="2" t="s">
        <v>857</v>
      </c>
      <c r="L240" s="2" t="s">
        <v>856</v>
      </c>
      <c r="M240" s="2" t="s">
        <v>856</v>
      </c>
      <c r="N240">
        <v>19.649999999999999</v>
      </c>
      <c r="O240">
        <v>1.26</v>
      </c>
      <c r="P240">
        <v>98.66</v>
      </c>
      <c r="Q240">
        <v>79.64</v>
      </c>
      <c r="R240">
        <v>39.659999999999997</v>
      </c>
      <c r="S240">
        <v>7.62</v>
      </c>
      <c r="T240">
        <v>25.38</v>
      </c>
      <c r="U240">
        <v>3.63</v>
      </c>
      <c r="V240">
        <v>524.99</v>
      </c>
      <c r="W240">
        <v>105.41</v>
      </c>
      <c r="X240">
        <v>40.049999999999997</v>
      </c>
      <c r="Y240">
        <v>88.78</v>
      </c>
      <c r="Z240">
        <v>10.19</v>
      </c>
      <c r="AA240">
        <v>28.03</v>
      </c>
      <c r="AB240">
        <v>5.94</v>
      </c>
      <c r="AC240">
        <v>4.92</v>
      </c>
      <c r="AD240">
        <v>51.36</v>
      </c>
      <c r="AE240">
        <v>31.32</v>
      </c>
      <c r="AF240">
        <v>5.92</v>
      </c>
      <c r="AG240">
        <v>319.41000000000003</v>
      </c>
      <c r="AH240">
        <v>5.2</v>
      </c>
      <c r="AI240">
        <v>36.44</v>
      </c>
    </row>
    <row r="241" spans="1:35" ht="15.75">
      <c r="A241" t="s">
        <v>286</v>
      </c>
      <c r="B241" s="2" t="s">
        <v>286</v>
      </c>
      <c r="C241" s="2" t="str">
        <f t="shared" si="3"/>
        <v>TRUE</v>
      </c>
      <c r="D241" s="2" t="s">
        <v>885</v>
      </c>
      <c r="E241" s="2" t="s">
        <v>856</v>
      </c>
      <c r="F241" s="2" t="s">
        <v>856</v>
      </c>
      <c r="G241" s="3">
        <v>34726</v>
      </c>
      <c r="H241" s="3">
        <v>44237</v>
      </c>
      <c r="I241" s="2">
        <v>26</v>
      </c>
      <c r="J241" s="2">
        <v>1</v>
      </c>
      <c r="K241" s="2" t="s">
        <v>857</v>
      </c>
      <c r="L241" s="2" t="s">
        <v>856</v>
      </c>
      <c r="M241" s="2" t="s">
        <v>856</v>
      </c>
      <c r="N241">
        <v>14.23</v>
      </c>
      <c r="O241">
        <v>0.99</v>
      </c>
      <c r="P241">
        <v>27.89</v>
      </c>
      <c r="Q241">
        <v>209.81</v>
      </c>
      <c r="R241">
        <v>16.260000000000002</v>
      </c>
      <c r="S241">
        <v>51.76</v>
      </c>
      <c r="T241">
        <v>36.64</v>
      </c>
      <c r="U241">
        <v>1.48</v>
      </c>
      <c r="V241">
        <v>179.11</v>
      </c>
      <c r="W241">
        <v>105.61</v>
      </c>
      <c r="X241">
        <v>6.25</v>
      </c>
      <c r="Y241">
        <v>106.75</v>
      </c>
      <c r="Z241">
        <v>6.22</v>
      </c>
      <c r="AA241">
        <v>25.17</v>
      </c>
      <c r="AB241">
        <v>15.4</v>
      </c>
      <c r="AC241">
        <v>11.07</v>
      </c>
      <c r="AD241">
        <v>85.77</v>
      </c>
      <c r="AE241">
        <v>40.35</v>
      </c>
      <c r="AF241">
        <v>8.9499999999999993</v>
      </c>
      <c r="AG241">
        <v>202.75</v>
      </c>
      <c r="AH241" s="14">
        <v>4.99</v>
      </c>
      <c r="AI241">
        <v>49.9</v>
      </c>
    </row>
    <row r="242" spans="1:35" ht="15.75">
      <c r="A242" t="s">
        <v>811</v>
      </c>
      <c r="B242" s="2" t="s">
        <v>811</v>
      </c>
      <c r="C242" s="2" t="str">
        <f t="shared" si="3"/>
        <v>TRUE</v>
      </c>
      <c r="D242" s="2" t="s">
        <v>885</v>
      </c>
      <c r="E242" s="2" t="s">
        <v>856</v>
      </c>
      <c r="F242" s="2" t="s">
        <v>856</v>
      </c>
      <c r="G242" s="3">
        <v>31660</v>
      </c>
      <c r="H242" s="3">
        <v>44237</v>
      </c>
      <c r="I242" s="2">
        <v>34</v>
      </c>
      <c r="J242" s="2">
        <v>1</v>
      </c>
      <c r="K242" s="2" t="s">
        <v>861</v>
      </c>
      <c r="L242" s="2" t="s">
        <v>856</v>
      </c>
      <c r="M242" s="2" t="s">
        <v>856</v>
      </c>
      <c r="N242">
        <v>32.46</v>
      </c>
      <c r="O242">
        <v>5.31</v>
      </c>
      <c r="P242">
        <v>216.44</v>
      </c>
      <c r="Q242">
        <v>438.05</v>
      </c>
      <c r="R242">
        <v>178.23</v>
      </c>
      <c r="S242">
        <v>89.9</v>
      </c>
      <c r="T242">
        <v>77.22</v>
      </c>
      <c r="U242">
        <v>12.7</v>
      </c>
      <c r="V242">
        <v>469.94</v>
      </c>
      <c r="W242">
        <v>262.16000000000003</v>
      </c>
      <c r="X242">
        <v>117.05</v>
      </c>
      <c r="Y242">
        <v>203.7</v>
      </c>
      <c r="Z242">
        <v>32.75</v>
      </c>
      <c r="AA242">
        <v>34.31</v>
      </c>
      <c r="AB242">
        <v>20.3</v>
      </c>
      <c r="AC242">
        <v>15.37</v>
      </c>
      <c r="AD242">
        <v>263.60000000000002</v>
      </c>
      <c r="AE242">
        <v>226.23</v>
      </c>
      <c r="AF242">
        <v>32.58</v>
      </c>
      <c r="AG242">
        <v>1102.1199999999999</v>
      </c>
      <c r="AH242">
        <v>53.73</v>
      </c>
      <c r="AI242">
        <v>319.38</v>
      </c>
    </row>
    <row r="243" spans="1:35" ht="15.75">
      <c r="A243" t="s">
        <v>643</v>
      </c>
      <c r="B243" s="2" t="s">
        <v>643</v>
      </c>
      <c r="C243" s="2" t="str">
        <f t="shared" si="3"/>
        <v>TRUE</v>
      </c>
      <c r="D243" s="2" t="s">
        <v>885</v>
      </c>
      <c r="E243" s="2" t="s">
        <v>856</v>
      </c>
      <c r="F243" s="2" t="s">
        <v>856</v>
      </c>
      <c r="G243" s="3">
        <v>33457</v>
      </c>
      <c r="H243" s="3">
        <v>44238</v>
      </c>
      <c r="I243" s="2">
        <v>29</v>
      </c>
      <c r="J243" s="2">
        <v>1</v>
      </c>
      <c r="K243" s="2" t="s">
        <v>857</v>
      </c>
      <c r="L243" s="2" t="s">
        <v>856</v>
      </c>
      <c r="M243" s="2" t="s">
        <v>856</v>
      </c>
      <c r="N243">
        <v>21.57</v>
      </c>
      <c r="O243">
        <v>2.86</v>
      </c>
      <c r="P243">
        <v>24.73</v>
      </c>
      <c r="Q243">
        <v>37.26</v>
      </c>
      <c r="R243">
        <v>146.82</v>
      </c>
      <c r="S243">
        <v>20.59</v>
      </c>
      <c r="T243">
        <v>144.15</v>
      </c>
      <c r="U243">
        <v>3.72</v>
      </c>
      <c r="V243">
        <v>2500.0100000000002</v>
      </c>
      <c r="W243">
        <v>277.93</v>
      </c>
      <c r="X243">
        <v>182.71</v>
      </c>
      <c r="Y243">
        <v>680.43</v>
      </c>
      <c r="Z243">
        <v>23.3</v>
      </c>
      <c r="AA243">
        <v>675.46</v>
      </c>
      <c r="AB243">
        <v>97.73</v>
      </c>
      <c r="AC243">
        <v>180.4</v>
      </c>
      <c r="AD243">
        <v>222.22</v>
      </c>
      <c r="AE243">
        <v>82.69</v>
      </c>
      <c r="AF243">
        <v>29.86</v>
      </c>
      <c r="AG243">
        <v>329.62</v>
      </c>
      <c r="AH243">
        <v>7.36</v>
      </c>
      <c r="AI243">
        <v>20.61</v>
      </c>
    </row>
    <row r="244" spans="1:35" ht="15.75">
      <c r="A244" t="s">
        <v>739</v>
      </c>
      <c r="B244" s="2" t="s">
        <v>739</v>
      </c>
      <c r="C244" s="2" t="str">
        <f t="shared" si="3"/>
        <v>TRUE</v>
      </c>
      <c r="D244" s="2" t="s">
        <v>885</v>
      </c>
      <c r="E244" s="2" t="s">
        <v>856</v>
      </c>
      <c r="F244" s="2" t="s">
        <v>856</v>
      </c>
      <c r="G244" s="3">
        <v>31079</v>
      </c>
      <c r="H244" s="3">
        <v>44238</v>
      </c>
      <c r="I244" s="2">
        <v>36</v>
      </c>
      <c r="J244" s="2">
        <v>1</v>
      </c>
      <c r="K244" s="2" t="s">
        <v>861</v>
      </c>
      <c r="L244" s="2" t="s">
        <v>856</v>
      </c>
      <c r="M244" s="2" t="s">
        <v>856</v>
      </c>
      <c r="N244">
        <v>20.54</v>
      </c>
      <c r="O244">
        <v>21.89</v>
      </c>
      <c r="P244">
        <v>307.43</v>
      </c>
      <c r="Q244">
        <v>925.74</v>
      </c>
      <c r="R244">
        <v>515.46</v>
      </c>
      <c r="S244">
        <v>145.91</v>
      </c>
      <c r="T244">
        <v>183.53</v>
      </c>
      <c r="U244">
        <v>5.0199999999999996</v>
      </c>
      <c r="V244">
        <v>349.51</v>
      </c>
      <c r="W244">
        <v>248.42</v>
      </c>
      <c r="X244">
        <v>71.72</v>
      </c>
      <c r="Y244">
        <v>80.760000000000005</v>
      </c>
      <c r="Z244">
        <v>2.82</v>
      </c>
      <c r="AA244">
        <v>20.68</v>
      </c>
      <c r="AB244">
        <v>13.03</v>
      </c>
      <c r="AC244">
        <v>8.41</v>
      </c>
      <c r="AD244">
        <v>22.73</v>
      </c>
      <c r="AE244">
        <v>28.86</v>
      </c>
      <c r="AF244" s="14">
        <v>4.99</v>
      </c>
      <c r="AG244">
        <v>291.20999999999998</v>
      </c>
      <c r="AH244">
        <v>36.29</v>
      </c>
      <c r="AI244">
        <v>65.78</v>
      </c>
    </row>
    <row r="245" spans="1:35" ht="15.75">
      <c r="A245" t="s">
        <v>781</v>
      </c>
      <c r="B245" s="2" t="s">
        <v>781</v>
      </c>
      <c r="C245" s="2" t="str">
        <f t="shared" si="3"/>
        <v>TRUE</v>
      </c>
      <c r="D245" s="2" t="s">
        <v>885</v>
      </c>
      <c r="E245" s="2" t="s">
        <v>856</v>
      </c>
      <c r="F245" s="2" t="s">
        <v>856</v>
      </c>
      <c r="G245" s="3">
        <v>31751</v>
      </c>
      <c r="H245" s="3">
        <v>44244</v>
      </c>
      <c r="I245" s="2">
        <v>34</v>
      </c>
      <c r="J245" s="2">
        <v>1</v>
      </c>
      <c r="K245" s="2" t="s">
        <v>861</v>
      </c>
      <c r="L245" s="2" t="s">
        <v>856</v>
      </c>
      <c r="M245" s="2" t="s">
        <v>856</v>
      </c>
      <c r="N245">
        <v>13.63</v>
      </c>
      <c r="O245">
        <v>13.61</v>
      </c>
      <c r="P245">
        <v>51.68</v>
      </c>
      <c r="Q245" s="12">
        <v>1000.01</v>
      </c>
      <c r="R245">
        <v>650.80999999999995</v>
      </c>
      <c r="S245">
        <v>92.66</v>
      </c>
      <c r="T245" s="12">
        <v>1000.01</v>
      </c>
      <c r="U245">
        <v>15.99</v>
      </c>
      <c r="V245">
        <v>866.09</v>
      </c>
      <c r="W245">
        <v>922.14</v>
      </c>
      <c r="X245">
        <v>128.59</v>
      </c>
      <c r="Y245">
        <v>308.45999999999998</v>
      </c>
      <c r="Z245">
        <v>13.62</v>
      </c>
      <c r="AA245">
        <v>42.79</v>
      </c>
      <c r="AB245">
        <v>60.7</v>
      </c>
      <c r="AC245">
        <v>16.75</v>
      </c>
      <c r="AD245">
        <v>62.8</v>
      </c>
      <c r="AE245">
        <v>47.18</v>
      </c>
      <c r="AF245" s="14">
        <v>4.99</v>
      </c>
      <c r="AG245">
        <v>433.33</v>
      </c>
      <c r="AH245">
        <v>22.62</v>
      </c>
      <c r="AI245">
        <v>128.72999999999999</v>
      </c>
    </row>
    <row r="246" spans="1:35" ht="15.75">
      <c r="A246" t="s">
        <v>226</v>
      </c>
      <c r="B246" s="2" t="s">
        <v>226</v>
      </c>
      <c r="C246" s="2" t="str">
        <f t="shared" si="3"/>
        <v>TRUE</v>
      </c>
      <c r="D246" s="2" t="s">
        <v>885</v>
      </c>
      <c r="E246" s="2" t="s">
        <v>856</v>
      </c>
      <c r="F246" s="2" t="s">
        <v>856</v>
      </c>
      <c r="G246" s="3">
        <v>31873</v>
      </c>
      <c r="H246" s="3">
        <v>44244</v>
      </c>
      <c r="I246" s="2">
        <v>33</v>
      </c>
      <c r="J246" s="2">
        <v>1</v>
      </c>
      <c r="K246" s="2" t="s">
        <v>857</v>
      </c>
      <c r="L246" s="2" t="s">
        <v>856</v>
      </c>
      <c r="M246" s="2" t="s">
        <v>856</v>
      </c>
      <c r="N246">
        <v>26.74</v>
      </c>
      <c r="O246">
        <v>22.56</v>
      </c>
      <c r="P246">
        <v>22.96</v>
      </c>
      <c r="Q246">
        <v>523.64</v>
      </c>
      <c r="R246">
        <v>263.27999999999997</v>
      </c>
      <c r="S246">
        <v>50</v>
      </c>
      <c r="T246">
        <v>273.54000000000002</v>
      </c>
      <c r="U246">
        <v>30.35</v>
      </c>
      <c r="V246">
        <v>1034.57</v>
      </c>
      <c r="W246">
        <v>561.09</v>
      </c>
      <c r="X246">
        <v>68.75</v>
      </c>
      <c r="Y246">
        <v>289.52999999999997</v>
      </c>
      <c r="Z246">
        <v>13.2</v>
      </c>
      <c r="AA246">
        <v>82.54</v>
      </c>
      <c r="AB246">
        <v>49.96</v>
      </c>
      <c r="AC246">
        <v>20.96</v>
      </c>
      <c r="AD246">
        <v>47.69</v>
      </c>
      <c r="AE246">
        <v>43.59</v>
      </c>
      <c r="AF246">
        <v>9.9700000000000006</v>
      </c>
      <c r="AG246">
        <v>309.16000000000003</v>
      </c>
      <c r="AH246">
        <v>14.17</v>
      </c>
      <c r="AI246">
        <v>90.93</v>
      </c>
    </row>
    <row r="247" spans="1:35" ht="15.75">
      <c r="A247" t="s">
        <v>709</v>
      </c>
      <c r="B247" s="2" t="s">
        <v>709</v>
      </c>
      <c r="C247" s="2" t="str">
        <f t="shared" si="3"/>
        <v>TRUE</v>
      </c>
      <c r="D247" s="2" t="s">
        <v>885</v>
      </c>
      <c r="E247" s="2" t="s">
        <v>856</v>
      </c>
      <c r="F247" s="2" t="s">
        <v>856</v>
      </c>
      <c r="G247" s="3">
        <v>34733</v>
      </c>
      <c r="H247" s="3">
        <v>44244</v>
      </c>
      <c r="I247" s="2">
        <v>26</v>
      </c>
      <c r="J247" s="2">
        <v>1</v>
      </c>
      <c r="K247" s="2" t="s">
        <v>857</v>
      </c>
      <c r="L247" s="2" t="s">
        <v>856</v>
      </c>
      <c r="M247" s="2" t="s">
        <v>856</v>
      </c>
      <c r="N247">
        <v>21.08</v>
      </c>
      <c r="O247">
        <v>21.99</v>
      </c>
      <c r="P247">
        <v>360.53</v>
      </c>
      <c r="Q247">
        <v>461.06</v>
      </c>
      <c r="R247">
        <v>221.72</v>
      </c>
      <c r="S247">
        <v>49.96</v>
      </c>
      <c r="T247">
        <v>194.19</v>
      </c>
      <c r="U247">
        <v>10.15</v>
      </c>
      <c r="V247">
        <v>236.86</v>
      </c>
      <c r="W247">
        <v>145.86000000000001</v>
      </c>
      <c r="X247">
        <v>26.58</v>
      </c>
      <c r="Y247">
        <v>111.61</v>
      </c>
      <c r="Z247">
        <v>9.9</v>
      </c>
      <c r="AA247">
        <v>17.309999999999999</v>
      </c>
      <c r="AB247">
        <v>10.41</v>
      </c>
      <c r="AC247">
        <v>7.33</v>
      </c>
      <c r="AD247">
        <v>83.06</v>
      </c>
      <c r="AE247">
        <v>56.56</v>
      </c>
      <c r="AF247" s="14">
        <v>4.99</v>
      </c>
      <c r="AG247">
        <v>462.56</v>
      </c>
      <c r="AH247">
        <v>17.399999999999999</v>
      </c>
      <c r="AI247">
        <v>105.95</v>
      </c>
    </row>
    <row r="248" spans="1:35" ht="15.75">
      <c r="A248" t="s">
        <v>289</v>
      </c>
      <c r="B248" s="2" t="s">
        <v>289</v>
      </c>
      <c r="C248" s="2" t="str">
        <f t="shared" si="3"/>
        <v>TRUE</v>
      </c>
      <c r="D248" s="2" t="s">
        <v>886</v>
      </c>
      <c r="E248" s="2" t="s">
        <v>856</v>
      </c>
      <c r="F248" s="2" t="s">
        <v>856</v>
      </c>
      <c r="G248" s="3">
        <v>24855</v>
      </c>
      <c r="H248" s="3">
        <v>44245</v>
      </c>
      <c r="I248" s="2">
        <v>53</v>
      </c>
      <c r="J248" s="2">
        <v>1</v>
      </c>
      <c r="K248" s="2" t="s">
        <v>857</v>
      </c>
      <c r="L248" s="2" t="s">
        <v>856</v>
      </c>
      <c r="M248" s="2" t="s">
        <v>856</v>
      </c>
      <c r="N248">
        <v>16.72</v>
      </c>
      <c r="O248">
        <v>2.57</v>
      </c>
      <c r="P248">
        <v>40.99</v>
      </c>
      <c r="Q248">
        <v>59.95</v>
      </c>
      <c r="R248">
        <v>223.25</v>
      </c>
      <c r="S248">
        <v>21.76</v>
      </c>
      <c r="T248">
        <v>146.80000000000001</v>
      </c>
      <c r="U248">
        <v>12.31</v>
      </c>
      <c r="V248">
        <v>629.25</v>
      </c>
      <c r="W248">
        <v>59.64</v>
      </c>
      <c r="X248">
        <v>64.61</v>
      </c>
      <c r="Y248">
        <v>242.63</v>
      </c>
      <c r="Z248">
        <v>17.66</v>
      </c>
      <c r="AA248">
        <v>51.88</v>
      </c>
      <c r="AB248">
        <v>3.66</v>
      </c>
      <c r="AC248">
        <v>11.92</v>
      </c>
      <c r="AD248">
        <v>45.61</v>
      </c>
      <c r="AE248">
        <v>87.83</v>
      </c>
      <c r="AF248">
        <v>10.24</v>
      </c>
      <c r="AG248">
        <v>298.16000000000003</v>
      </c>
      <c r="AH248">
        <v>18.04</v>
      </c>
      <c r="AI248">
        <v>23.69</v>
      </c>
    </row>
    <row r="249" spans="1:35" ht="15.75">
      <c r="A249" t="s">
        <v>157</v>
      </c>
      <c r="B249" s="2" t="s">
        <v>157</v>
      </c>
      <c r="C249" s="2" t="str">
        <f t="shared" si="3"/>
        <v>TRUE</v>
      </c>
      <c r="D249" s="2" t="s">
        <v>885</v>
      </c>
      <c r="E249" s="2" t="s">
        <v>856</v>
      </c>
      <c r="F249" s="2" t="s">
        <v>856</v>
      </c>
      <c r="G249" s="3">
        <v>32239</v>
      </c>
      <c r="H249" s="3">
        <v>44245</v>
      </c>
      <c r="I249" s="2">
        <v>32</v>
      </c>
      <c r="J249" s="2">
        <v>1</v>
      </c>
      <c r="K249" s="2" t="s">
        <v>857</v>
      </c>
      <c r="L249" s="2" t="s">
        <v>856</v>
      </c>
      <c r="M249" s="2" t="s">
        <v>856</v>
      </c>
      <c r="N249">
        <v>24.1</v>
      </c>
      <c r="O249">
        <v>0.99</v>
      </c>
      <c r="P249">
        <v>58.93</v>
      </c>
      <c r="Q249">
        <v>332.2</v>
      </c>
      <c r="R249">
        <v>36.4</v>
      </c>
      <c r="S249">
        <v>33.619999999999997</v>
      </c>
      <c r="T249">
        <v>19.5</v>
      </c>
      <c r="U249">
        <v>0.99</v>
      </c>
      <c r="V249">
        <v>82.45</v>
      </c>
      <c r="W249">
        <v>64.569999999999993</v>
      </c>
      <c r="X249">
        <v>9.6300000000000008</v>
      </c>
      <c r="Y249">
        <v>19.61</v>
      </c>
      <c r="Z249" s="14">
        <v>2.4900000000000002</v>
      </c>
      <c r="AA249">
        <v>16.79</v>
      </c>
      <c r="AB249">
        <v>8.93</v>
      </c>
      <c r="AC249">
        <v>3.08</v>
      </c>
      <c r="AD249">
        <v>33.21</v>
      </c>
      <c r="AE249">
        <v>10.09</v>
      </c>
      <c r="AF249" s="14">
        <v>4.99</v>
      </c>
      <c r="AG249">
        <v>200.24</v>
      </c>
      <c r="AH249">
        <v>7.75</v>
      </c>
      <c r="AI249">
        <v>24.85</v>
      </c>
    </row>
    <row r="250" spans="1:35" ht="15.75">
      <c r="A250" t="s">
        <v>646</v>
      </c>
      <c r="B250" s="2" t="s">
        <v>646</v>
      </c>
      <c r="C250" s="2" t="str">
        <f t="shared" si="3"/>
        <v>TRUE</v>
      </c>
      <c r="D250" s="2" t="s">
        <v>885</v>
      </c>
      <c r="E250" s="2" t="s">
        <v>856</v>
      </c>
      <c r="F250" s="2" t="s">
        <v>856</v>
      </c>
      <c r="G250" s="3">
        <v>30318</v>
      </c>
      <c r="H250" s="3">
        <v>44250</v>
      </c>
      <c r="I250" s="2">
        <v>38</v>
      </c>
      <c r="J250" s="2">
        <v>1</v>
      </c>
      <c r="K250" s="2" t="s">
        <v>861</v>
      </c>
      <c r="L250" s="2" t="s">
        <v>856</v>
      </c>
      <c r="M250" s="2" t="s">
        <v>856</v>
      </c>
      <c r="N250">
        <v>17.07</v>
      </c>
      <c r="O250">
        <v>4.47</v>
      </c>
      <c r="P250">
        <v>215.65</v>
      </c>
      <c r="Q250">
        <v>635.4</v>
      </c>
      <c r="R250">
        <v>242.54</v>
      </c>
      <c r="S250">
        <v>109.54</v>
      </c>
      <c r="T250">
        <v>94</v>
      </c>
      <c r="U250">
        <v>11.23</v>
      </c>
      <c r="V250">
        <v>166.84</v>
      </c>
      <c r="W250">
        <v>136.77000000000001</v>
      </c>
      <c r="X250">
        <v>33.9</v>
      </c>
      <c r="Y250">
        <v>50.37</v>
      </c>
      <c r="Z250">
        <v>7.64</v>
      </c>
      <c r="AA250">
        <v>10.35</v>
      </c>
      <c r="AB250">
        <v>6.42</v>
      </c>
      <c r="AC250">
        <v>2.6</v>
      </c>
      <c r="AD250">
        <v>26.02</v>
      </c>
      <c r="AE250">
        <v>44.18</v>
      </c>
      <c r="AF250" s="14">
        <v>4.99</v>
      </c>
      <c r="AG250">
        <v>301.98</v>
      </c>
      <c r="AH250">
        <v>20.329999999999998</v>
      </c>
      <c r="AI250">
        <v>115.62</v>
      </c>
    </row>
    <row r="251" spans="1:35" ht="15.75">
      <c r="A251" t="s">
        <v>853</v>
      </c>
      <c r="B251" s="2" t="s">
        <v>853</v>
      </c>
      <c r="C251" s="2" t="str">
        <f t="shared" si="3"/>
        <v>TRUE</v>
      </c>
      <c r="D251" s="2" t="s">
        <v>885</v>
      </c>
      <c r="E251" s="2" t="s">
        <v>856</v>
      </c>
      <c r="F251" s="2" t="s">
        <v>856</v>
      </c>
      <c r="G251" s="3">
        <v>29625</v>
      </c>
      <c r="H251" s="3">
        <v>44251</v>
      </c>
      <c r="I251" s="2">
        <v>40</v>
      </c>
      <c r="J251" s="2">
        <v>1</v>
      </c>
      <c r="K251" s="2" t="s">
        <v>857</v>
      </c>
      <c r="L251" s="2" t="s">
        <v>856</v>
      </c>
      <c r="M251" s="2" t="s">
        <v>856</v>
      </c>
      <c r="N251">
        <v>13.26</v>
      </c>
      <c r="O251">
        <v>0.99</v>
      </c>
      <c r="P251">
        <v>66.260000000000005</v>
      </c>
      <c r="Q251">
        <v>139.72</v>
      </c>
      <c r="R251">
        <v>50.65</v>
      </c>
      <c r="S251">
        <v>22.23</v>
      </c>
      <c r="T251">
        <v>35.69</v>
      </c>
      <c r="U251">
        <v>3.5</v>
      </c>
      <c r="V251">
        <v>229.19</v>
      </c>
      <c r="W251">
        <v>81.739999999999995</v>
      </c>
      <c r="X251">
        <v>21.55</v>
      </c>
      <c r="Y251">
        <v>37.19</v>
      </c>
      <c r="Z251">
        <v>4.16</v>
      </c>
      <c r="AA251">
        <v>19.579999999999998</v>
      </c>
      <c r="AB251">
        <v>5.83</v>
      </c>
      <c r="AC251">
        <v>2.63</v>
      </c>
      <c r="AD251">
        <v>55.9</v>
      </c>
      <c r="AE251">
        <v>34.74</v>
      </c>
      <c r="AF251">
        <v>5.77</v>
      </c>
      <c r="AG251">
        <v>350.76</v>
      </c>
      <c r="AH251">
        <v>6.71</v>
      </c>
      <c r="AI251">
        <v>46.85</v>
      </c>
    </row>
    <row r="252" spans="1:35" ht="15.75">
      <c r="A252" t="s">
        <v>784</v>
      </c>
      <c r="B252" s="2" t="s">
        <v>784</v>
      </c>
      <c r="C252" s="2" t="str">
        <f t="shared" si="3"/>
        <v>TRUE</v>
      </c>
      <c r="D252" s="2" t="s">
        <v>885</v>
      </c>
      <c r="E252" s="2" t="s">
        <v>856</v>
      </c>
      <c r="F252" s="2" t="s">
        <v>856</v>
      </c>
      <c r="G252" s="3">
        <v>30742</v>
      </c>
      <c r="H252" s="3">
        <v>44256</v>
      </c>
      <c r="I252" s="2">
        <v>37</v>
      </c>
      <c r="J252" s="2">
        <v>1</v>
      </c>
      <c r="K252" s="2" t="s">
        <v>861</v>
      </c>
      <c r="L252" s="2" t="s">
        <v>856</v>
      </c>
      <c r="M252" s="2" t="s">
        <v>856</v>
      </c>
      <c r="N252">
        <v>20.12</v>
      </c>
      <c r="O252">
        <v>3.38</v>
      </c>
      <c r="P252">
        <v>68.739999999999995</v>
      </c>
      <c r="Q252">
        <v>227.34</v>
      </c>
      <c r="R252">
        <v>75.81</v>
      </c>
      <c r="S252">
        <v>55.41</v>
      </c>
      <c r="T252">
        <v>31.13</v>
      </c>
      <c r="U252">
        <v>8.26</v>
      </c>
      <c r="V252">
        <v>856.55</v>
      </c>
      <c r="W252">
        <v>259.35000000000002</v>
      </c>
      <c r="X252">
        <v>89.76</v>
      </c>
      <c r="Y252">
        <v>323.48</v>
      </c>
      <c r="Z252">
        <v>32.5</v>
      </c>
      <c r="AA252">
        <v>73.89</v>
      </c>
      <c r="AB252">
        <v>30.12</v>
      </c>
      <c r="AC252">
        <v>28.1</v>
      </c>
      <c r="AD252">
        <v>58.58</v>
      </c>
      <c r="AE252">
        <v>120.98</v>
      </c>
      <c r="AF252">
        <v>18.100000000000001</v>
      </c>
      <c r="AG252">
        <v>506.11</v>
      </c>
      <c r="AH252">
        <v>52.83</v>
      </c>
      <c r="AI252">
        <v>76.08</v>
      </c>
    </row>
    <row r="253" spans="1:35" ht="15.75">
      <c r="A253" t="s">
        <v>787</v>
      </c>
      <c r="B253" s="2" t="s">
        <v>787</v>
      </c>
      <c r="C253" s="2" t="str">
        <f t="shared" si="3"/>
        <v>TRUE</v>
      </c>
      <c r="D253" s="2" t="s">
        <v>885</v>
      </c>
      <c r="E253" s="2" t="s">
        <v>856</v>
      </c>
      <c r="F253" s="2" t="s">
        <v>856</v>
      </c>
      <c r="G253" s="3">
        <v>31628</v>
      </c>
      <c r="H253" s="3">
        <v>44258</v>
      </c>
      <c r="I253" s="2">
        <v>34</v>
      </c>
      <c r="J253" s="2">
        <v>1</v>
      </c>
      <c r="K253" s="2" t="s">
        <v>861</v>
      </c>
      <c r="L253" s="2" t="s">
        <v>856</v>
      </c>
      <c r="M253" s="2" t="s">
        <v>856</v>
      </c>
      <c r="N253">
        <v>22.07</v>
      </c>
      <c r="O253">
        <v>4.66</v>
      </c>
      <c r="P253">
        <v>118.96</v>
      </c>
      <c r="Q253">
        <v>185.81</v>
      </c>
      <c r="R253">
        <v>71.06</v>
      </c>
      <c r="S253">
        <v>17.88</v>
      </c>
      <c r="T253">
        <v>23.93</v>
      </c>
      <c r="U253">
        <v>3.29</v>
      </c>
      <c r="V253">
        <v>370.97</v>
      </c>
      <c r="W253">
        <v>210.41</v>
      </c>
      <c r="X253">
        <v>17.95</v>
      </c>
      <c r="Y253">
        <v>125.68</v>
      </c>
      <c r="Z253">
        <v>11.86</v>
      </c>
      <c r="AA253">
        <v>44.05</v>
      </c>
      <c r="AB253">
        <v>34.479999999999997</v>
      </c>
      <c r="AC253">
        <v>17.91</v>
      </c>
      <c r="AD253">
        <v>55.12</v>
      </c>
      <c r="AE253">
        <v>57.92</v>
      </c>
      <c r="AF253">
        <v>8.92</v>
      </c>
      <c r="AG253">
        <v>232.28</v>
      </c>
      <c r="AH253">
        <v>7.94</v>
      </c>
      <c r="AI253">
        <v>174.68</v>
      </c>
    </row>
    <row r="254" spans="1:35" ht="15.75">
      <c r="A254" t="s">
        <v>577</v>
      </c>
      <c r="B254" s="2" t="s">
        <v>577</v>
      </c>
      <c r="C254" s="2" t="str">
        <f t="shared" si="3"/>
        <v>TRUE</v>
      </c>
      <c r="D254" s="2" t="s">
        <v>885</v>
      </c>
      <c r="E254" s="2" t="s">
        <v>856</v>
      </c>
      <c r="F254" s="2" t="s">
        <v>856</v>
      </c>
      <c r="G254" s="3">
        <v>31809</v>
      </c>
      <c r="H254" s="3">
        <v>44258</v>
      </c>
      <c r="I254" s="2">
        <v>34</v>
      </c>
      <c r="J254" s="2">
        <v>1</v>
      </c>
      <c r="K254" s="2" t="s">
        <v>861</v>
      </c>
      <c r="L254" s="2" t="s">
        <v>856</v>
      </c>
      <c r="M254" s="2" t="s">
        <v>856</v>
      </c>
      <c r="N254">
        <v>27.46</v>
      </c>
      <c r="O254">
        <v>19.98</v>
      </c>
      <c r="P254">
        <v>156.47</v>
      </c>
      <c r="Q254">
        <v>242.13</v>
      </c>
      <c r="R254">
        <v>407.93</v>
      </c>
      <c r="S254">
        <v>94.32</v>
      </c>
      <c r="T254">
        <v>216.85</v>
      </c>
      <c r="U254">
        <v>20.45</v>
      </c>
      <c r="V254">
        <v>2500.0100000000002</v>
      </c>
      <c r="W254">
        <v>532.79999999999995</v>
      </c>
      <c r="X254">
        <v>486.67</v>
      </c>
      <c r="Y254">
        <v>612.63</v>
      </c>
      <c r="Z254">
        <v>33.76</v>
      </c>
      <c r="AA254">
        <v>185.17</v>
      </c>
      <c r="AB254">
        <v>49.39</v>
      </c>
      <c r="AC254">
        <v>44.71</v>
      </c>
      <c r="AD254">
        <v>15.36</v>
      </c>
      <c r="AE254">
        <v>75.709999999999994</v>
      </c>
      <c r="AF254">
        <v>8.14</v>
      </c>
      <c r="AG254">
        <v>74.22</v>
      </c>
      <c r="AH254">
        <v>42.16</v>
      </c>
      <c r="AI254">
        <v>33.97</v>
      </c>
    </row>
    <row r="258" spans="14:35">
      <c r="N258" t="s">
        <v>88</v>
      </c>
      <c r="O258" t="s">
        <v>88</v>
      </c>
      <c r="P258" t="s">
        <v>88</v>
      </c>
      <c r="Q258" t="s">
        <v>88</v>
      </c>
      <c r="R258" t="s">
        <v>88</v>
      </c>
      <c r="S258" t="s">
        <v>88</v>
      </c>
      <c r="T258" t="s">
        <v>88</v>
      </c>
      <c r="U258" t="s">
        <v>88</v>
      </c>
      <c r="V258" t="s">
        <v>88</v>
      </c>
      <c r="W258" t="s">
        <v>88</v>
      </c>
      <c r="X258" t="s">
        <v>88</v>
      </c>
      <c r="Y258" t="s">
        <v>88</v>
      </c>
      <c r="Z258" t="s">
        <v>88</v>
      </c>
      <c r="AA258" t="s">
        <v>88</v>
      </c>
      <c r="AB258" t="s">
        <v>88</v>
      </c>
      <c r="AC258" t="s">
        <v>88</v>
      </c>
      <c r="AD258" t="s">
        <v>88</v>
      </c>
      <c r="AE258" t="s">
        <v>88</v>
      </c>
      <c r="AF258" t="s">
        <v>88</v>
      </c>
      <c r="AG258" t="s">
        <v>88</v>
      </c>
      <c r="AH258" t="s">
        <v>88</v>
      </c>
      <c r="AI258" t="s">
        <v>88</v>
      </c>
    </row>
    <row r="259" spans="14:35">
      <c r="N259">
        <v>2.5</v>
      </c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2.5</v>
      </c>
      <c r="W259">
        <v>2.5</v>
      </c>
      <c r="X259">
        <v>2.5</v>
      </c>
      <c r="Y259">
        <v>5</v>
      </c>
      <c r="Z259">
        <v>2.5</v>
      </c>
      <c r="AA259">
        <v>5</v>
      </c>
      <c r="AB259">
        <v>2.5</v>
      </c>
      <c r="AC259">
        <v>2.5</v>
      </c>
      <c r="AD259">
        <v>10</v>
      </c>
      <c r="AE259">
        <v>2.5</v>
      </c>
      <c r="AF259">
        <v>5</v>
      </c>
      <c r="AG259">
        <v>5</v>
      </c>
      <c r="AH259">
        <v>5</v>
      </c>
      <c r="AI259">
        <v>5</v>
      </c>
    </row>
    <row r="260" spans="14:35">
      <c r="N260">
        <v>500</v>
      </c>
      <c r="O260">
        <v>500</v>
      </c>
      <c r="P260">
        <v>1000</v>
      </c>
      <c r="Q260">
        <v>1000</v>
      </c>
      <c r="R260">
        <v>1000</v>
      </c>
      <c r="S260">
        <v>1000</v>
      </c>
      <c r="T260">
        <v>1000</v>
      </c>
      <c r="U260">
        <v>1000</v>
      </c>
      <c r="V260">
        <v>2500</v>
      </c>
      <c r="W260">
        <v>2500</v>
      </c>
      <c r="X260">
        <v>2500</v>
      </c>
      <c r="Y260">
        <v>1000</v>
      </c>
      <c r="Z260">
        <v>1000</v>
      </c>
      <c r="AA260">
        <v>2500</v>
      </c>
      <c r="AB260">
        <v>2500</v>
      </c>
      <c r="AC260">
        <v>1000</v>
      </c>
      <c r="AD260">
        <v>2500</v>
      </c>
      <c r="AE260">
        <v>1000</v>
      </c>
      <c r="AF260">
        <v>1000</v>
      </c>
      <c r="AG260">
        <v>2500</v>
      </c>
      <c r="AH260">
        <v>2500</v>
      </c>
      <c r="AI260">
        <v>2500</v>
      </c>
    </row>
    <row r="262" spans="14:35">
      <c r="O262">
        <v>253</v>
      </c>
    </row>
    <row r="263" spans="14:35">
      <c r="O263" t="s">
        <v>888</v>
      </c>
    </row>
    <row r="264" spans="14:35" ht="26.25">
      <c r="O264">
        <v>44</v>
      </c>
      <c r="P264">
        <v>12</v>
      </c>
      <c r="Q264" s="9">
        <v>29</v>
      </c>
      <c r="R264" s="9">
        <v>12</v>
      </c>
      <c r="S264" s="9">
        <v>4</v>
      </c>
      <c r="T264" s="9">
        <v>10</v>
      </c>
      <c r="U264" s="9">
        <v>38</v>
      </c>
      <c r="V264" s="9">
        <v>43</v>
      </c>
      <c r="W264" s="9">
        <v>26</v>
      </c>
      <c r="X264" s="9">
        <v>6</v>
      </c>
      <c r="Y264" s="9">
        <v>45</v>
      </c>
      <c r="Z264" s="9">
        <v>14</v>
      </c>
      <c r="AA264" s="9">
        <v>2</v>
      </c>
      <c r="AB264" s="9">
        <v>32</v>
      </c>
      <c r="AC264" s="9">
        <v>9</v>
      </c>
      <c r="AD264" s="9">
        <v>42</v>
      </c>
      <c r="AE264" s="9">
        <v>0</v>
      </c>
      <c r="AF264" s="9">
        <v>46</v>
      </c>
      <c r="AG264" s="9">
        <v>22</v>
      </c>
      <c r="AH264" s="9">
        <v>16</v>
      </c>
      <c r="AI264" s="9">
        <v>30</v>
      </c>
    </row>
    <row r="265" spans="14:35" ht="16.5"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</row>
    <row r="268" spans="14:35">
      <c r="O268">
        <v>17.391304347826086</v>
      </c>
      <c r="P268">
        <v>4.7430830039525684</v>
      </c>
      <c r="Q268">
        <v>11.462450592885375</v>
      </c>
      <c r="R268">
        <v>4.7430830039525684</v>
      </c>
      <c r="S268">
        <v>1.5810276679841897</v>
      </c>
      <c r="T268">
        <v>3.9525691699604746</v>
      </c>
      <c r="U268">
        <v>15.019762845849801</v>
      </c>
      <c r="V268">
        <v>16.996047430830039</v>
      </c>
      <c r="W268">
        <v>10.276679841897234</v>
      </c>
      <c r="X268">
        <v>2.3715415019762842</v>
      </c>
      <c r="Y268">
        <v>17.786561264822133</v>
      </c>
      <c r="Z268">
        <v>5.5335968379446641</v>
      </c>
      <c r="AA268">
        <v>0.79051383399209485</v>
      </c>
      <c r="AB268">
        <v>12.648221343873518</v>
      </c>
      <c r="AC268">
        <v>3.5573122529644272</v>
      </c>
      <c r="AD268">
        <v>16.600790513833992</v>
      </c>
      <c r="AE268">
        <v>0</v>
      </c>
      <c r="AF268">
        <v>18.181818181818183</v>
      </c>
      <c r="AG268">
        <v>8.695652173913043</v>
      </c>
      <c r="AH268">
        <v>6.3241106719367588</v>
      </c>
      <c r="AI268">
        <v>11.857707509881422</v>
      </c>
    </row>
    <row r="277" spans="14:36">
      <c r="N277" s="8" t="s">
        <v>15</v>
      </c>
      <c r="O277" s="8" t="s">
        <v>27</v>
      </c>
      <c r="P277" s="8" t="s">
        <v>29</v>
      </c>
      <c r="Q277" s="8" t="s">
        <v>32</v>
      </c>
      <c r="R277" s="8" t="s">
        <v>33</v>
      </c>
      <c r="S277" s="8" t="s">
        <v>41</v>
      </c>
      <c r="T277" s="8" t="s">
        <v>44</v>
      </c>
      <c r="U277" s="8" t="s">
        <v>45</v>
      </c>
      <c r="V277" s="8" t="s">
        <v>50</v>
      </c>
      <c r="W277" s="8" t="s">
        <v>51</v>
      </c>
      <c r="X277" s="8" t="s">
        <v>52</v>
      </c>
      <c r="Y277" s="8" t="s">
        <v>54</v>
      </c>
      <c r="Z277" s="8" t="s">
        <v>57</v>
      </c>
      <c r="AA277" s="8" t="s">
        <v>60</v>
      </c>
      <c r="AB277" s="8" t="s">
        <v>61</v>
      </c>
      <c r="AC277" s="8" t="s">
        <v>65</v>
      </c>
      <c r="AD277" s="8" t="s">
        <v>66</v>
      </c>
      <c r="AE277" s="8" t="s">
        <v>73</v>
      </c>
      <c r="AF277" s="8" t="s">
        <v>74</v>
      </c>
      <c r="AG277" s="8" t="s">
        <v>76</v>
      </c>
      <c r="AH277" s="8" t="s">
        <v>79</v>
      </c>
      <c r="AI277" s="8" t="s">
        <v>80</v>
      </c>
    </row>
    <row r="279" spans="14:36">
      <c r="N279" t="str">
        <f>IF(N277=N1, "TRUE", "FALSE")</f>
        <v>TRUE</v>
      </c>
      <c r="O279" t="str">
        <f t="shared" ref="O279:AJ279" si="4">IF(O277=O1, "TRUE", "FALSE")</f>
        <v>TRUE</v>
      </c>
      <c r="P279" t="str">
        <f t="shared" si="4"/>
        <v>TRUE</v>
      </c>
      <c r="Q279" t="str">
        <f t="shared" si="4"/>
        <v>TRUE</v>
      </c>
      <c r="R279" t="str">
        <f t="shared" si="4"/>
        <v>TRUE</v>
      </c>
      <c r="S279" t="str">
        <f t="shared" si="4"/>
        <v>TRUE</v>
      </c>
      <c r="T279" t="str">
        <f t="shared" si="4"/>
        <v>TRUE</v>
      </c>
      <c r="U279" t="str">
        <f t="shared" si="4"/>
        <v>TRUE</v>
      </c>
      <c r="V279" t="str">
        <f t="shared" si="4"/>
        <v>TRUE</v>
      </c>
      <c r="W279" t="str">
        <f t="shared" si="4"/>
        <v>TRUE</v>
      </c>
      <c r="X279" t="str">
        <f t="shared" si="4"/>
        <v>TRUE</v>
      </c>
      <c r="Y279" t="str">
        <f t="shared" si="4"/>
        <v>TRUE</v>
      </c>
      <c r="Z279" t="str">
        <f t="shared" si="4"/>
        <v>TRUE</v>
      </c>
      <c r="AA279" t="str">
        <f t="shared" si="4"/>
        <v>TRUE</v>
      </c>
      <c r="AB279" t="str">
        <f t="shared" si="4"/>
        <v>TRUE</v>
      </c>
      <c r="AC279" t="str">
        <f t="shared" si="4"/>
        <v>TRUE</v>
      </c>
      <c r="AD279" t="str">
        <f>IF(AD277=AD1, "TRUE", "FALSE")</f>
        <v>TRUE</v>
      </c>
      <c r="AE279" t="str">
        <f t="shared" si="4"/>
        <v>TRUE</v>
      </c>
      <c r="AF279" t="str">
        <f t="shared" si="4"/>
        <v>TRUE</v>
      </c>
      <c r="AG279" t="str">
        <f t="shared" si="4"/>
        <v>TRUE</v>
      </c>
      <c r="AH279" t="str">
        <f>IF(AH277=AH1, "TRUE", "FALSE")</f>
        <v>TRUE</v>
      </c>
      <c r="AI279" t="str">
        <f t="shared" si="4"/>
        <v>TRUE</v>
      </c>
      <c r="AJ279" t="str">
        <f t="shared" si="4"/>
        <v>TRUE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5E67-86DE-F649-8006-8D64E50BF6AE}">
  <sheetPr filterMode="1"/>
  <dimension ref="A1:AU235"/>
  <sheetViews>
    <sheetView tabSelected="1" workbookViewId="0">
      <pane ySplit="1" topLeftCell="A3" activePane="bottomLeft" state="frozen"/>
      <selection activeCell="B1" sqref="B1"/>
      <selection pane="bottomLeft" activeCell="M3" sqref="M3:M99"/>
    </sheetView>
  </sheetViews>
  <sheetFormatPr defaultColWidth="11.42578125" defaultRowHeight="15"/>
  <cols>
    <col min="13" max="13" width="16.28515625" customWidth="1"/>
  </cols>
  <sheetData>
    <row r="1" spans="1:47" ht="15.75">
      <c r="A1" s="5" t="s">
        <v>887</v>
      </c>
      <c r="B1" s="5" t="s">
        <v>1057</v>
      </c>
      <c r="C1" s="5" t="s">
        <v>875</v>
      </c>
      <c r="D1" s="5" t="s">
        <v>876</v>
      </c>
      <c r="E1" s="6" t="s">
        <v>877</v>
      </c>
      <c r="F1" s="6" t="s">
        <v>878</v>
      </c>
      <c r="G1" s="6" t="s">
        <v>879</v>
      </c>
      <c r="H1" s="6" t="s">
        <v>880</v>
      </c>
      <c r="I1" s="6" t="s">
        <v>881</v>
      </c>
      <c r="J1" s="6" t="s">
        <v>882</v>
      </c>
      <c r="K1" s="6" t="s">
        <v>883</v>
      </c>
      <c r="L1" s="6" t="s">
        <v>884</v>
      </c>
      <c r="M1" s="17" t="s">
        <v>1053</v>
      </c>
      <c r="N1" s="17" t="s">
        <v>1054</v>
      </c>
      <c r="O1" s="17" t="s">
        <v>1055</v>
      </c>
      <c r="P1" s="17" t="s">
        <v>1056</v>
      </c>
      <c r="Q1" s="6" t="s">
        <v>8</v>
      </c>
      <c r="R1" s="6" t="s">
        <v>1051</v>
      </c>
      <c r="S1" s="8" t="s">
        <v>15</v>
      </c>
      <c r="T1" s="8" t="s">
        <v>27</v>
      </c>
      <c r="U1" s="8" t="s">
        <v>29</v>
      </c>
      <c r="V1" s="8" t="s">
        <v>32</v>
      </c>
      <c r="W1" s="8" t="s">
        <v>33</v>
      </c>
      <c r="X1" s="8" t="s">
        <v>41</v>
      </c>
      <c r="Y1" s="8" t="s">
        <v>44</v>
      </c>
      <c r="Z1" s="8" t="s">
        <v>45</v>
      </c>
      <c r="AA1" s="8" t="s">
        <v>50</v>
      </c>
      <c r="AB1" s="8" t="s">
        <v>51</v>
      </c>
      <c r="AC1" s="8" t="s">
        <v>52</v>
      </c>
      <c r="AD1" s="8" t="s">
        <v>54</v>
      </c>
      <c r="AE1" s="8" t="s">
        <v>57</v>
      </c>
      <c r="AF1" s="8" t="s">
        <v>60</v>
      </c>
      <c r="AG1" s="8" t="s">
        <v>61</v>
      </c>
      <c r="AH1" s="8" t="s">
        <v>65</v>
      </c>
      <c r="AI1" s="8" t="s">
        <v>66</v>
      </c>
      <c r="AJ1" s="8" t="s">
        <v>73</v>
      </c>
      <c r="AK1" s="8" t="s">
        <v>74</v>
      </c>
      <c r="AL1" s="8" t="s">
        <v>76</v>
      </c>
      <c r="AM1" s="8" t="s">
        <v>79</v>
      </c>
      <c r="AN1" s="8" t="s">
        <v>80</v>
      </c>
      <c r="AO1" s="8"/>
      <c r="AP1" s="8"/>
      <c r="AQ1" s="8"/>
      <c r="AR1" s="8"/>
      <c r="AS1" s="8"/>
      <c r="AT1" s="8"/>
      <c r="AU1" s="8"/>
    </row>
    <row r="2" spans="1:47" ht="15.75" hidden="1">
      <c r="A2" s="2" t="s">
        <v>427</v>
      </c>
      <c r="B2" s="8" t="s">
        <v>1058</v>
      </c>
      <c r="C2" s="2" t="s">
        <v>854</v>
      </c>
      <c r="D2" s="2" t="s">
        <v>855</v>
      </c>
      <c r="E2" s="2" t="s">
        <v>856</v>
      </c>
      <c r="F2" s="3">
        <v>36363</v>
      </c>
      <c r="G2" s="3">
        <v>43210</v>
      </c>
      <c r="H2" s="2">
        <v>18</v>
      </c>
      <c r="I2" s="2">
        <v>1</v>
      </c>
      <c r="J2" s="2" t="s">
        <v>857</v>
      </c>
      <c r="K2" s="2">
        <v>200</v>
      </c>
      <c r="L2" s="2" t="s">
        <v>856</v>
      </c>
      <c r="M2" s="2">
        <v>1</v>
      </c>
      <c r="N2" s="2">
        <v>3</v>
      </c>
      <c r="O2" s="2">
        <v>1</v>
      </c>
      <c r="P2" s="2">
        <v>0</v>
      </c>
      <c r="Q2" t="s">
        <v>427</v>
      </c>
      <c r="R2" s="2" t="str">
        <f t="shared" ref="R2:R33" si="0">IF(A2=Q2, "TRUE", "FALSE")</f>
        <v>TRUE</v>
      </c>
      <c r="S2">
        <v>22.52</v>
      </c>
      <c r="T2">
        <v>61.74</v>
      </c>
      <c r="U2">
        <v>262.68</v>
      </c>
      <c r="V2">
        <v>356.88</v>
      </c>
      <c r="W2">
        <v>917.94</v>
      </c>
      <c r="X2">
        <v>148.26</v>
      </c>
      <c r="Y2">
        <v>171.92</v>
      </c>
      <c r="Z2">
        <v>9.17</v>
      </c>
      <c r="AA2">
        <v>832.19</v>
      </c>
      <c r="AB2">
        <v>123.64</v>
      </c>
      <c r="AC2">
        <v>140.41</v>
      </c>
      <c r="AD2">
        <v>220.67</v>
      </c>
      <c r="AE2">
        <v>6.29</v>
      </c>
      <c r="AF2">
        <v>55.83</v>
      </c>
      <c r="AG2">
        <v>8.36</v>
      </c>
      <c r="AH2">
        <v>20.8</v>
      </c>
      <c r="AI2" s="14">
        <v>9.99</v>
      </c>
      <c r="AJ2">
        <v>92.16</v>
      </c>
      <c r="AK2">
        <v>7.62</v>
      </c>
      <c r="AL2">
        <v>74.05</v>
      </c>
      <c r="AM2">
        <v>139.80000000000001</v>
      </c>
      <c r="AN2">
        <v>54.4</v>
      </c>
    </row>
    <row r="3" spans="1:47" ht="15.75">
      <c r="A3" s="2" t="s">
        <v>136</v>
      </c>
      <c r="B3" s="8" t="s">
        <v>894</v>
      </c>
      <c r="C3" s="2" t="s">
        <v>858</v>
      </c>
      <c r="D3" s="2" t="s">
        <v>859</v>
      </c>
      <c r="E3" s="2" t="s">
        <v>860</v>
      </c>
      <c r="F3" s="3">
        <v>21294</v>
      </c>
      <c r="G3" s="3">
        <v>43210</v>
      </c>
      <c r="H3" s="2">
        <v>60</v>
      </c>
      <c r="I3" s="2">
        <v>1</v>
      </c>
      <c r="J3" s="2" t="s">
        <v>861</v>
      </c>
      <c r="K3" s="2">
        <v>1269</v>
      </c>
      <c r="L3" s="2">
        <v>8</v>
      </c>
      <c r="M3">
        <v>0</v>
      </c>
      <c r="N3">
        <v>3</v>
      </c>
      <c r="O3">
        <v>0</v>
      </c>
      <c r="P3">
        <v>1</v>
      </c>
      <c r="Q3" t="s">
        <v>136</v>
      </c>
      <c r="R3" s="2" t="str">
        <f t="shared" si="0"/>
        <v>TRUE</v>
      </c>
      <c r="S3">
        <v>13.96</v>
      </c>
      <c r="T3">
        <v>2.94</v>
      </c>
      <c r="U3">
        <v>172.78</v>
      </c>
      <c r="V3">
        <v>0.99</v>
      </c>
      <c r="W3">
        <v>836.11</v>
      </c>
      <c r="X3">
        <v>44.05</v>
      </c>
      <c r="Y3">
        <v>85.35</v>
      </c>
      <c r="Z3">
        <v>5.14</v>
      </c>
      <c r="AA3" s="14">
        <v>2500.0100000000002</v>
      </c>
      <c r="AB3">
        <v>3.21</v>
      </c>
      <c r="AC3">
        <v>159.05000000000001</v>
      </c>
      <c r="AD3" s="14">
        <v>1000.01</v>
      </c>
      <c r="AE3">
        <v>25.28</v>
      </c>
      <c r="AF3">
        <v>281.48</v>
      </c>
      <c r="AG3" s="14">
        <v>2.4900000000000002</v>
      </c>
      <c r="AH3">
        <v>115.65</v>
      </c>
      <c r="AI3" s="14">
        <v>9.99</v>
      </c>
      <c r="AJ3">
        <v>434.96</v>
      </c>
      <c r="AK3">
        <v>27.07</v>
      </c>
      <c r="AL3">
        <v>12.86</v>
      </c>
      <c r="AM3">
        <v>92.38</v>
      </c>
      <c r="AN3" s="14">
        <v>4.99</v>
      </c>
    </row>
    <row r="4" spans="1:47" ht="15.75" hidden="1">
      <c r="A4" s="2" t="s">
        <v>448</v>
      </c>
      <c r="B4" s="8" t="s">
        <v>895</v>
      </c>
      <c r="C4" s="2" t="s">
        <v>858</v>
      </c>
      <c r="D4" s="2" t="s">
        <v>859</v>
      </c>
      <c r="E4" s="2" t="s">
        <v>860</v>
      </c>
      <c r="F4" s="3">
        <v>21589</v>
      </c>
      <c r="G4" s="3">
        <v>43291</v>
      </c>
      <c r="H4" s="2">
        <v>59</v>
      </c>
      <c r="I4" s="2">
        <v>1</v>
      </c>
      <c r="J4" s="2" t="s">
        <v>857</v>
      </c>
      <c r="K4" s="2">
        <v>3000</v>
      </c>
      <c r="L4" s="2">
        <v>9</v>
      </c>
      <c r="M4">
        <v>1</v>
      </c>
      <c r="N4">
        <v>2</v>
      </c>
      <c r="O4" s="18">
        <v>1</v>
      </c>
      <c r="P4" s="18">
        <v>0</v>
      </c>
      <c r="Q4" t="s">
        <v>448</v>
      </c>
      <c r="R4" s="2" t="str">
        <f t="shared" si="0"/>
        <v>TRUE</v>
      </c>
      <c r="S4">
        <v>7.57</v>
      </c>
      <c r="T4">
        <v>1.71</v>
      </c>
      <c r="U4">
        <v>6.18</v>
      </c>
      <c r="V4">
        <v>35.57</v>
      </c>
      <c r="W4">
        <v>67.069999999999993</v>
      </c>
      <c r="X4">
        <v>4.76</v>
      </c>
      <c r="Y4">
        <v>56.98</v>
      </c>
      <c r="Z4" s="13">
        <v>0.99</v>
      </c>
      <c r="AA4">
        <v>1107.47</v>
      </c>
      <c r="AB4">
        <v>44.63</v>
      </c>
      <c r="AC4">
        <v>9.3000000000000007</v>
      </c>
      <c r="AD4">
        <v>812.37</v>
      </c>
      <c r="AE4">
        <v>6.69</v>
      </c>
      <c r="AF4">
        <v>74.37</v>
      </c>
      <c r="AG4">
        <v>3.69</v>
      </c>
      <c r="AH4">
        <v>106.85</v>
      </c>
      <c r="AI4" s="14">
        <v>9.99</v>
      </c>
      <c r="AJ4">
        <v>109.93</v>
      </c>
      <c r="AK4">
        <v>10.67</v>
      </c>
      <c r="AL4">
        <v>34.85</v>
      </c>
      <c r="AM4">
        <v>7.76</v>
      </c>
      <c r="AN4">
        <v>11.32</v>
      </c>
    </row>
    <row r="5" spans="1:47" ht="15.75">
      <c r="A5" s="2" t="s">
        <v>132</v>
      </c>
      <c r="B5" s="8" t="s">
        <v>1059</v>
      </c>
      <c r="C5" s="2" t="s">
        <v>854</v>
      </c>
      <c r="D5" s="2" t="s">
        <v>862</v>
      </c>
      <c r="E5" s="2" t="s">
        <v>856</v>
      </c>
      <c r="F5" s="3">
        <v>21741</v>
      </c>
      <c r="G5" s="3">
        <v>43297</v>
      </c>
      <c r="H5" s="2">
        <v>59</v>
      </c>
      <c r="I5" s="2">
        <v>1</v>
      </c>
      <c r="J5" s="2" t="s">
        <v>861</v>
      </c>
      <c r="K5" s="2">
        <v>289</v>
      </c>
      <c r="L5" s="2" t="s">
        <v>856</v>
      </c>
      <c r="M5">
        <v>0</v>
      </c>
      <c r="N5">
        <v>2</v>
      </c>
      <c r="O5">
        <v>1</v>
      </c>
      <c r="P5">
        <v>0</v>
      </c>
      <c r="Q5" t="s">
        <v>132</v>
      </c>
      <c r="R5" s="2" t="str">
        <f t="shared" si="0"/>
        <v>TRUE</v>
      </c>
      <c r="S5">
        <v>14.07</v>
      </c>
      <c r="T5">
        <v>1.45</v>
      </c>
      <c r="U5">
        <v>0.99</v>
      </c>
      <c r="V5">
        <v>0.99</v>
      </c>
      <c r="W5">
        <v>102.54</v>
      </c>
      <c r="X5">
        <v>1.47</v>
      </c>
      <c r="Y5">
        <v>33.909999999999997</v>
      </c>
      <c r="Z5">
        <v>1.35</v>
      </c>
      <c r="AA5" s="14">
        <v>2500.0100000000002</v>
      </c>
      <c r="AB5">
        <v>8.44</v>
      </c>
      <c r="AC5">
        <v>13.26</v>
      </c>
      <c r="AD5" s="14">
        <v>1000.01</v>
      </c>
      <c r="AE5">
        <v>20.41</v>
      </c>
      <c r="AF5">
        <v>815.98</v>
      </c>
      <c r="AG5">
        <v>3.19</v>
      </c>
      <c r="AH5">
        <v>1000.01</v>
      </c>
      <c r="AI5">
        <v>11.82</v>
      </c>
      <c r="AJ5">
        <v>185.43</v>
      </c>
      <c r="AK5">
        <v>47.09</v>
      </c>
      <c r="AL5" s="14">
        <v>4.99</v>
      </c>
      <c r="AM5">
        <v>5.64</v>
      </c>
      <c r="AN5" s="14">
        <v>4.99</v>
      </c>
    </row>
    <row r="6" spans="1:47" ht="15.75">
      <c r="A6" s="2" t="s">
        <v>178</v>
      </c>
      <c r="B6" s="8" t="s">
        <v>905</v>
      </c>
      <c r="C6" s="2" t="s">
        <v>858</v>
      </c>
      <c r="D6" s="2" t="s">
        <v>863</v>
      </c>
      <c r="E6" s="2" t="s">
        <v>864</v>
      </c>
      <c r="F6" s="3">
        <v>30401</v>
      </c>
      <c r="G6" s="3">
        <v>43300</v>
      </c>
      <c r="H6" s="2">
        <v>35</v>
      </c>
      <c r="I6" s="2">
        <v>1</v>
      </c>
      <c r="J6" s="2" t="s">
        <v>857</v>
      </c>
      <c r="K6" s="2">
        <v>250</v>
      </c>
      <c r="L6" s="2">
        <v>0</v>
      </c>
      <c r="M6">
        <v>0</v>
      </c>
      <c r="N6">
        <v>2</v>
      </c>
      <c r="O6" s="18">
        <v>1</v>
      </c>
      <c r="P6" s="18">
        <v>0</v>
      </c>
      <c r="Q6" t="s">
        <v>178</v>
      </c>
      <c r="R6" s="2" t="str">
        <f t="shared" si="0"/>
        <v>TRUE</v>
      </c>
      <c r="S6">
        <v>11.47</v>
      </c>
      <c r="T6">
        <v>13.51</v>
      </c>
      <c r="U6">
        <v>25.47</v>
      </c>
      <c r="V6">
        <v>210.41</v>
      </c>
      <c r="W6">
        <v>299.60000000000002</v>
      </c>
      <c r="X6">
        <v>37.32</v>
      </c>
      <c r="Y6">
        <v>644.79</v>
      </c>
      <c r="Z6">
        <v>15.34</v>
      </c>
      <c r="AA6">
        <v>1242.1400000000001</v>
      </c>
      <c r="AB6">
        <v>274.97000000000003</v>
      </c>
      <c r="AC6">
        <v>46.68</v>
      </c>
      <c r="AD6">
        <v>577.04</v>
      </c>
      <c r="AE6">
        <v>21.34</v>
      </c>
      <c r="AF6">
        <v>119.96</v>
      </c>
      <c r="AG6">
        <v>31.02</v>
      </c>
      <c r="AH6">
        <v>53.52</v>
      </c>
      <c r="AI6">
        <v>83.37</v>
      </c>
      <c r="AJ6">
        <v>98.73</v>
      </c>
      <c r="AK6">
        <v>23.32</v>
      </c>
      <c r="AL6">
        <v>485.56</v>
      </c>
      <c r="AM6">
        <v>9.4</v>
      </c>
      <c r="AN6">
        <v>60.14</v>
      </c>
    </row>
    <row r="7" spans="1:47" ht="15.75">
      <c r="A7" s="2" t="s">
        <v>748</v>
      </c>
      <c r="B7" s="8" t="s">
        <v>1060</v>
      </c>
      <c r="C7" s="2" t="s">
        <v>865</v>
      </c>
      <c r="D7" s="2" t="s">
        <v>866</v>
      </c>
      <c r="E7" s="2" t="s">
        <v>860</v>
      </c>
      <c r="F7" s="3">
        <v>29526</v>
      </c>
      <c r="G7" s="3">
        <v>43301</v>
      </c>
      <c r="H7" s="2">
        <v>37</v>
      </c>
      <c r="I7" s="2">
        <v>1</v>
      </c>
      <c r="J7" s="2" t="s">
        <v>861</v>
      </c>
      <c r="K7" s="2">
        <v>70</v>
      </c>
      <c r="L7" s="2">
        <v>6</v>
      </c>
      <c r="M7">
        <v>0</v>
      </c>
      <c r="N7">
        <v>2</v>
      </c>
      <c r="O7" s="18">
        <v>1</v>
      </c>
      <c r="P7" s="18">
        <v>0</v>
      </c>
      <c r="Q7" t="s">
        <v>748</v>
      </c>
      <c r="R7" s="2" t="str">
        <f t="shared" si="0"/>
        <v>TRUE</v>
      </c>
      <c r="S7">
        <v>8.3699999999999992</v>
      </c>
      <c r="T7">
        <v>17.41</v>
      </c>
      <c r="U7">
        <v>792.86</v>
      </c>
      <c r="V7">
        <v>25.12</v>
      </c>
      <c r="W7">
        <v>144.87</v>
      </c>
      <c r="X7">
        <v>148.02000000000001</v>
      </c>
      <c r="Y7">
        <v>74.53</v>
      </c>
      <c r="Z7">
        <v>5.15</v>
      </c>
      <c r="AA7">
        <v>1088.44</v>
      </c>
      <c r="AB7">
        <v>13.88</v>
      </c>
      <c r="AC7">
        <v>322.76</v>
      </c>
      <c r="AD7">
        <v>321.13</v>
      </c>
      <c r="AE7">
        <v>24.9</v>
      </c>
      <c r="AF7">
        <v>115.47</v>
      </c>
      <c r="AG7" s="14">
        <v>2.4900000000000002</v>
      </c>
      <c r="AH7">
        <v>27.32</v>
      </c>
      <c r="AI7" s="14">
        <v>9.99</v>
      </c>
      <c r="AJ7">
        <v>131.88999999999999</v>
      </c>
      <c r="AK7">
        <v>25.89</v>
      </c>
      <c r="AL7">
        <v>12.46</v>
      </c>
      <c r="AM7">
        <v>66.39</v>
      </c>
      <c r="AN7">
        <v>7.02</v>
      </c>
    </row>
    <row r="8" spans="1:47" ht="15.75">
      <c r="A8" s="2" t="s">
        <v>718</v>
      </c>
      <c r="B8" s="8" t="s">
        <v>907</v>
      </c>
      <c r="C8" s="2" t="s">
        <v>858</v>
      </c>
      <c r="D8" s="2" t="s">
        <v>863</v>
      </c>
      <c r="E8" s="2" t="s">
        <v>864</v>
      </c>
      <c r="F8" s="3">
        <v>32618</v>
      </c>
      <c r="G8" s="3">
        <v>43308</v>
      </c>
      <c r="H8" s="2">
        <v>29</v>
      </c>
      <c r="I8" s="2">
        <v>1</v>
      </c>
      <c r="J8" s="2" t="s">
        <v>857</v>
      </c>
      <c r="K8" s="2">
        <v>2826</v>
      </c>
      <c r="L8" s="2">
        <v>5</v>
      </c>
      <c r="M8">
        <v>0</v>
      </c>
      <c r="N8">
        <v>1</v>
      </c>
      <c r="O8" s="18">
        <v>1</v>
      </c>
      <c r="P8" s="18">
        <v>0</v>
      </c>
      <c r="Q8" t="s">
        <v>718</v>
      </c>
      <c r="R8" s="2" t="str">
        <f t="shared" si="0"/>
        <v>TRUE</v>
      </c>
      <c r="S8">
        <v>20.6</v>
      </c>
      <c r="T8">
        <v>2.37</v>
      </c>
      <c r="U8">
        <v>36.450000000000003</v>
      </c>
      <c r="V8">
        <v>227.29</v>
      </c>
      <c r="W8">
        <v>56.71</v>
      </c>
      <c r="X8">
        <v>21.07</v>
      </c>
      <c r="Y8">
        <v>57.7</v>
      </c>
      <c r="Z8">
        <v>16.41</v>
      </c>
      <c r="AA8">
        <v>1903.06</v>
      </c>
      <c r="AB8">
        <v>502.28</v>
      </c>
      <c r="AC8">
        <v>74.400000000000006</v>
      </c>
      <c r="AD8">
        <v>733.64</v>
      </c>
      <c r="AE8">
        <v>34.81</v>
      </c>
      <c r="AF8">
        <v>499.57</v>
      </c>
      <c r="AG8">
        <v>184.75</v>
      </c>
      <c r="AH8">
        <v>226.66</v>
      </c>
      <c r="AI8">
        <v>248.39</v>
      </c>
      <c r="AJ8">
        <v>161.51</v>
      </c>
      <c r="AK8">
        <v>47.48</v>
      </c>
      <c r="AL8">
        <v>495.22</v>
      </c>
      <c r="AM8">
        <v>17.52</v>
      </c>
      <c r="AN8">
        <v>163.71</v>
      </c>
    </row>
    <row r="9" spans="1:47" ht="15.75">
      <c r="A9" s="2" t="s">
        <v>412</v>
      </c>
      <c r="B9" s="8" t="s">
        <v>1061</v>
      </c>
      <c r="C9" s="2" t="s">
        <v>865</v>
      </c>
      <c r="D9" s="2" t="s">
        <v>866</v>
      </c>
      <c r="E9" s="2" t="s">
        <v>864</v>
      </c>
      <c r="F9" s="3">
        <v>32901</v>
      </c>
      <c r="G9" s="3">
        <v>43296</v>
      </c>
      <c r="H9" s="2">
        <v>28</v>
      </c>
      <c r="I9" s="2">
        <v>1</v>
      </c>
      <c r="J9" s="2" t="s">
        <v>857</v>
      </c>
      <c r="K9" s="2">
        <v>796</v>
      </c>
      <c r="L9" s="2">
        <v>6</v>
      </c>
      <c r="M9">
        <v>0</v>
      </c>
      <c r="N9">
        <v>2</v>
      </c>
      <c r="O9" s="18">
        <v>1</v>
      </c>
      <c r="P9" s="18">
        <v>0</v>
      </c>
      <c r="Q9" t="s">
        <v>412</v>
      </c>
      <c r="R9" s="2" t="str">
        <f t="shared" si="0"/>
        <v>TRUE</v>
      </c>
      <c r="S9">
        <v>16.3</v>
      </c>
      <c r="T9">
        <v>10.71</v>
      </c>
      <c r="U9">
        <v>19.11</v>
      </c>
      <c r="V9">
        <v>170.41</v>
      </c>
      <c r="W9">
        <v>264.32</v>
      </c>
      <c r="X9">
        <v>32.380000000000003</v>
      </c>
      <c r="Y9">
        <v>429.23</v>
      </c>
      <c r="Z9">
        <v>26.3</v>
      </c>
      <c r="AA9">
        <v>1585.53</v>
      </c>
      <c r="AB9">
        <v>382.74</v>
      </c>
      <c r="AC9">
        <v>102.99</v>
      </c>
      <c r="AD9">
        <v>460.25</v>
      </c>
      <c r="AE9">
        <v>22.66</v>
      </c>
      <c r="AF9">
        <v>90.31</v>
      </c>
      <c r="AG9">
        <v>21.05</v>
      </c>
      <c r="AH9">
        <v>26.08</v>
      </c>
      <c r="AI9">
        <v>93.56</v>
      </c>
      <c r="AJ9">
        <v>91.34</v>
      </c>
      <c r="AK9">
        <v>30.85</v>
      </c>
      <c r="AL9">
        <v>276.68</v>
      </c>
      <c r="AM9">
        <v>12.57</v>
      </c>
      <c r="AN9">
        <v>46.93</v>
      </c>
    </row>
    <row r="10" spans="1:47" ht="15.75" hidden="1">
      <c r="A10" s="2" t="s">
        <v>730</v>
      </c>
      <c r="B10" s="6" t="s">
        <v>1121</v>
      </c>
      <c r="C10" s="2" t="s">
        <v>854</v>
      </c>
      <c r="D10" s="2" t="s">
        <v>855</v>
      </c>
      <c r="E10" s="2" t="s">
        <v>856</v>
      </c>
      <c r="F10" s="3">
        <v>27100</v>
      </c>
      <c r="G10" s="3">
        <v>43318</v>
      </c>
      <c r="H10" s="2">
        <v>44</v>
      </c>
      <c r="I10" s="2">
        <v>1</v>
      </c>
      <c r="J10" s="2" t="s">
        <v>861</v>
      </c>
      <c r="K10" s="2">
        <v>300</v>
      </c>
      <c r="L10" s="2" t="s">
        <v>856</v>
      </c>
      <c r="M10" s="2">
        <v>1</v>
      </c>
      <c r="N10" s="2">
        <v>2</v>
      </c>
      <c r="O10" s="2">
        <v>1</v>
      </c>
      <c r="P10" s="2">
        <v>0</v>
      </c>
      <c r="Q10" t="s">
        <v>730</v>
      </c>
      <c r="R10" s="2" t="str">
        <f t="shared" si="0"/>
        <v>TRUE</v>
      </c>
      <c r="S10">
        <v>30.54</v>
      </c>
      <c r="T10">
        <v>84.75</v>
      </c>
      <c r="U10">
        <v>2.29</v>
      </c>
      <c r="V10">
        <v>0.99</v>
      </c>
      <c r="W10">
        <v>325.95999999999998</v>
      </c>
      <c r="X10">
        <v>6.94</v>
      </c>
      <c r="Y10">
        <v>14.78</v>
      </c>
      <c r="Z10">
        <v>4.03</v>
      </c>
      <c r="AA10" s="14">
        <v>2500.0100000000002</v>
      </c>
      <c r="AB10">
        <v>8.6300000000000008</v>
      </c>
      <c r="AC10">
        <v>141.9</v>
      </c>
      <c r="AD10" s="14">
        <v>1000.01</v>
      </c>
      <c r="AE10">
        <v>278.91000000000003</v>
      </c>
      <c r="AF10">
        <v>2500.0100000000002</v>
      </c>
      <c r="AG10">
        <v>14.58</v>
      </c>
      <c r="AH10">
        <v>1000.01</v>
      </c>
      <c r="AI10">
        <v>80.41</v>
      </c>
      <c r="AJ10">
        <v>495.84</v>
      </c>
      <c r="AK10" s="15">
        <v>110.65</v>
      </c>
      <c r="AL10">
        <v>26.96</v>
      </c>
      <c r="AM10">
        <v>12.73</v>
      </c>
      <c r="AN10" s="14">
        <v>4.99</v>
      </c>
    </row>
    <row r="11" spans="1:47" ht="15.75">
      <c r="A11" s="2" t="s">
        <v>151</v>
      </c>
      <c r="B11" s="8" t="s">
        <v>1062</v>
      </c>
      <c r="C11" s="2" t="s">
        <v>854</v>
      </c>
      <c r="D11" s="2" t="s">
        <v>862</v>
      </c>
      <c r="E11" s="2" t="s">
        <v>856</v>
      </c>
      <c r="F11" s="3">
        <v>36594</v>
      </c>
      <c r="G11" s="3">
        <v>43320</v>
      </c>
      <c r="H11" s="2">
        <v>18</v>
      </c>
      <c r="I11" s="2">
        <v>1</v>
      </c>
      <c r="J11" s="2" t="s">
        <v>857</v>
      </c>
      <c r="K11" s="2">
        <v>133</v>
      </c>
      <c r="L11" s="2" t="s">
        <v>856</v>
      </c>
      <c r="M11">
        <v>0</v>
      </c>
      <c r="N11">
        <v>2</v>
      </c>
      <c r="O11">
        <v>1</v>
      </c>
      <c r="P11">
        <v>0</v>
      </c>
      <c r="Q11" t="s">
        <v>151</v>
      </c>
      <c r="R11" s="2" t="str">
        <f t="shared" si="0"/>
        <v>TRUE</v>
      </c>
      <c r="S11">
        <v>14.17</v>
      </c>
      <c r="T11">
        <v>3.33</v>
      </c>
      <c r="U11">
        <v>97.23</v>
      </c>
      <c r="V11">
        <v>160.26</v>
      </c>
      <c r="W11">
        <v>168.19</v>
      </c>
      <c r="X11">
        <v>35.409999999999997</v>
      </c>
      <c r="Y11">
        <v>73.510000000000005</v>
      </c>
      <c r="Z11">
        <v>4.7300000000000004</v>
      </c>
      <c r="AA11">
        <v>1569.1</v>
      </c>
      <c r="AB11">
        <v>299.37</v>
      </c>
      <c r="AC11">
        <v>158.06</v>
      </c>
      <c r="AD11">
        <v>289.24</v>
      </c>
      <c r="AE11">
        <v>16.899999999999999</v>
      </c>
      <c r="AF11">
        <v>111.85</v>
      </c>
      <c r="AG11">
        <v>27.94</v>
      </c>
      <c r="AH11">
        <v>25.11</v>
      </c>
      <c r="AI11">
        <v>15.81</v>
      </c>
      <c r="AJ11">
        <v>79.02</v>
      </c>
      <c r="AK11">
        <v>16.13</v>
      </c>
      <c r="AL11">
        <v>74.89</v>
      </c>
      <c r="AM11">
        <v>35.65</v>
      </c>
      <c r="AN11">
        <v>92.22</v>
      </c>
    </row>
    <row r="12" spans="1:47" ht="15.75" hidden="1">
      <c r="A12" s="2" t="s">
        <v>580</v>
      </c>
      <c r="B12" s="8" t="s">
        <v>1063</v>
      </c>
      <c r="C12" s="2" t="s">
        <v>854</v>
      </c>
      <c r="D12" s="2" t="s">
        <v>862</v>
      </c>
      <c r="E12" s="2" t="s">
        <v>867</v>
      </c>
      <c r="F12" s="3">
        <v>32592</v>
      </c>
      <c r="G12" s="3">
        <v>43321</v>
      </c>
      <c r="H12" s="2">
        <v>29</v>
      </c>
      <c r="I12" s="2">
        <v>1</v>
      </c>
      <c r="J12" s="2" t="s">
        <v>857</v>
      </c>
      <c r="K12" s="2">
        <v>125</v>
      </c>
      <c r="L12" s="2" t="s">
        <v>856</v>
      </c>
      <c r="M12">
        <v>1</v>
      </c>
      <c r="N12">
        <v>3</v>
      </c>
      <c r="O12" s="18">
        <v>1</v>
      </c>
      <c r="P12" s="18">
        <v>0</v>
      </c>
      <c r="Q12" t="s">
        <v>580</v>
      </c>
      <c r="R12" s="2" t="str">
        <f t="shared" si="0"/>
        <v>TRUE</v>
      </c>
      <c r="S12">
        <v>18.52</v>
      </c>
      <c r="T12">
        <v>7.05</v>
      </c>
      <c r="U12">
        <v>729.73</v>
      </c>
      <c r="V12">
        <v>126.19</v>
      </c>
      <c r="W12">
        <v>91.84</v>
      </c>
      <c r="X12">
        <v>81.709999999999994</v>
      </c>
      <c r="Y12">
        <v>38.47</v>
      </c>
      <c r="Z12">
        <v>3.46</v>
      </c>
      <c r="AA12">
        <v>2188.0700000000002</v>
      </c>
      <c r="AB12">
        <v>356.97</v>
      </c>
      <c r="AC12">
        <v>467.69</v>
      </c>
      <c r="AD12">
        <v>918.56</v>
      </c>
      <c r="AE12">
        <v>19.57</v>
      </c>
      <c r="AF12">
        <v>438.97</v>
      </c>
      <c r="AG12">
        <v>95.22</v>
      </c>
      <c r="AH12">
        <v>238.41</v>
      </c>
      <c r="AI12">
        <v>28.78</v>
      </c>
      <c r="AJ12">
        <v>71.63</v>
      </c>
      <c r="AK12">
        <v>13.96</v>
      </c>
      <c r="AL12">
        <v>145</v>
      </c>
      <c r="AM12">
        <v>108.98</v>
      </c>
      <c r="AN12">
        <v>35.81</v>
      </c>
    </row>
    <row r="13" spans="1:47" ht="15.75" hidden="1">
      <c r="A13" s="2" t="s">
        <v>706</v>
      </c>
      <c r="B13" s="8" t="s">
        <v>908</v>
      </c>
      <c r="C13" s="2" t="s">
        <v>858</v>
      </c>
      <c r="D13" s="2" t="s">
        <v>859</v>
      </c>
      <c r="E13" s="2" t="s">
        <v>864</v>
      </c>
      <c r="F13" s="3">
        <v>29445</v>
      </c>
      <c r="G13" s="3">
        <v>43329</v>
      </c>
      <c r="H13" s="2">
        <v>38</v>
      </c>
      <c r="I13" s="2">
        <v>1</v>
      </c>
      <c r="J13" s="2" t="s">
        <v>857</v>
      </c>
      <c r="K13" s="2">
        <v>2043</v>
      </c>
      <c r="L13" s="2">
        <v>8</v>
      </c>
      <c r="M13">
        <v>1</v>
      </c>
      <c r="N13">
        <v>2</v>
      </c>
      <c r="O13" s="18">
        <v>0</v>
      </c>
      <c r="P13" s="18">
        <v>0</v>
      </c>
      <c r="Q13" t="s">
        <v>706</v>
      </c>
      <c r="R13" s="2" t="str">
        <f t="shared" si="0"/>
        <v>TRUE</v>
      </c>
      <c r="S13">
        <v>12.7</v>
      </c>
      <c r="T13">
        <v>7.38</v>
      </c>
      <c r="U13">
        <v>27.12</v>
      </c>
      <c r="V13">
        <v>117.13</v>
      </c>
      <c r="W13">
        <v>259.51</v>
      </c>
      <c r="X13">
        <v>49.75</v>
      </c>
      <c r="Y13">
        <v>248.56</v>
      </c>
      <c r="Z13">
        <v>12.19</v>
      </c>
      <c r="AA13">
        <v>2497.25</v>
      </c>
      <c r="AB13">
        <v>405.52</v>
      </c>
      <c r="AC13">
        <v>270.97000000000003</v>
      </c>
      <c r="AD13" s="14">
        <v>1000.01</v>
      </c>
      <c r="AE13">
        <v>51.59</v>
      </c>
      <c r="AF13">
        <v>378.3</v>
      </c>
      <c r="AG13">
        <v>102.73</v>
      </c>
      <c r="AH13">
        <v>186.06</v>
      </c>
      <c r="AI13">
        <v>177.56</v>
      </c>
      <c r="AJ13">
        <v>154.82</v>
      </c>
      <c r="AK13">
        <v>37.79</v>
      </c>
      <c r="AL13">
        <v>232.66</v>
      </c>
      <c r="AM13">
        <v>42.15</v>
      </c>
      <c r="AN13">
        <v>104.72</v>
      </c>
    </row>
    <row r="14" spans="1:47" ht="15.75">
      <c r="A14" s="2" t="s">
        <v>160</v>
      </c>
      <c r="B14" s="8" t="s">
        <v>1064</v>
      </c>
      <c r="C14" s="2" t="s">
        <v>858</v>
      </c>
      <c r="D14" s="2" t="s">
        <v>868</v>
      </c>
      <c r="E14" s="2" t="s">
        <v>864</v>
      </c>
      <c r="F14" s="3">
        <v>31343</v>
      </c>
      <c r="G14" s="3">
        <v>43340</v>
      </c>
      <c r="H14" s="2">
        <v>32</v>
      </c>
      <c r="I14" s="4">
        <v>1</v>
      </c>
      <c r="J14" s="2" t="s">
        <v>857</v>
      </c>
      <c r="K14" s="2">
        <v>143</v>
      </c>
      <c r="L14" s="2">
        <v>5</v>
      </c>
      <c r="M14">
        <v>0</v>
      </c>
      <c r="N14">
        <v>2</v>
      </c>
      <c r="O14" s="18">
        <v>1</v>
      </c>
      <c r="P14" s="18">
        <v>0</v>
      </c>
      <c r="Q14" t="s">
        <v>160</v>
      </c>
      <c r="R14" s="2" t="str">
        <f t="shared" si="0"/>
        <v>TRUE</v>
      </c>
      <c r="S14">
        <v>22</v>
      </c>
      <c r="T14">
        <v>0.99</v>
      </c>
      <c r="U14">
        <v>114.02</v>
      </c>
      <c r="V14">
        <v>23.35</v>
      </c>
      <c r="W14">
        <v>8.4</v>
      </c>
      <c r="X14">
        <v>12.8</v>
      </c>
      <c r="Y14">
        <v>3.09</v>
      </c>
      <c r="Z14" s="13">
        <v>0.99</v>
      </c>
      <c r="AA14">
        <v>313.42</v>
      </c>
      <c r="AB14">
        <v>120.41</v>
      </c>
      <c r="AC14">
        <v>24.71</v>
      </c>
      <c r="AD14">
        <v>37.81</v>
      </c>
      <c r="AE14">
        <v>4.96</v>
      </c>
      <c r="AF14">
        <v>119.15</v>
      </c>
      <c r="AG14">
        <v>30.28</v>
      </c>
      <c r="AH14">
        <v>11.2</v>
      </c>
      <c r="AI14">
        <v>123.62</v>
      </c>
      <c r="AJ14">
        <v>39.840000000000003</v>
      </c>
      <c r="AK14">
        <v>13.51</v>
      </c>
      <c r="AL14">
        <v>752.29</v>
      </c>
      <c r="AM14">
        <v>11.74</v>
      </c>
      <c r="AN14">
        <v>56.52</v>
      </c>
    </row>
    <row r="15" spans="1:47" ht="15.75" hidden="1">
      <c r="A15" s="2" t="s">
        <v>108</v>
      </c>
      <c r="B15" s="8" t="s">
        <v>1065</v>
      </c>
      <c r="C15" s="2" t="s">
        <v>854</v>
      </c>
      <c r="D15" s="2" t="s">
        <v>855</v>
      </c>
      <c r="E15" s="2" t="s">
        <v>856</v>
      </c>
      <c r="F15" s="3">
        <v>32770</v>
      </c>
      <c r="G15" s="3">
        <v>43341</v>
      </c>
      <c r="H15" s="2">
        <v>28</v>
      </c>
      <c r="I15" s="2">
        <v>1</v>
      </c>
      <c r="J15" s="2" t="s">
        <v>857</v>
      </c>
      <c r="K15" s="2">
        <v>56</v>
      </c>
      <c r="L15" s="2" t="s">
        <v>856</v>
      </c>
      <c r="M15">
        <v>1</v>
      </c>
      <c r="N15">
        <v>2</v>
      </c>
      <c r="O15">
        <v>1</v>
      </c>
      <c r="P15">
        <v>0</v>
      </c>
      <c r="Q15" t="s">
        <v>108</v>
      </c>
      <c r="R15" s="2" t="str">
        <f t="shared" si="0"/>
        <v>TRUE</v>
      </c>
      <c r="S15">
        <v>22.68</v>
      </c>
      <c r="T15">
        <v>6.73</v>
      </c>
      <c r="U15">
        <v>77.260000000000005</v>
      </c>
      <c r="V15">
        <v>760.12</v>
      </c>
      <c r="W15">
        <v>247.85</v>
      </c>
      <c r="X15">
        <v>87.52</v>
      </c>
      <c r="Y15">
        <v>13.64</v>
      </c>
      <c r="Z15">
        <v>4.8</v>
      </c>
      <c r="AA15">
        <v>644.85</v>
      </c>
      <c r="AB15">
        <v>583.61</v>
      </c>
      <c r="AC15">
        <v>62.81</v>
      </c>
      <c r="AD15">
        <v>141.22999999999999</v>
      </c>
      <c r="AE15">
        <v>9.44</v>
      </c>
      <c r="AF15">
        <v>96.78</v>
      </c>
      <c r="AG15">
        <v>105.12</v>
      </c>
      <c r="AH15">
        <v>37.15</v>
      </c>
      <c r="AI15">
        <v>26.7</v>
      </c>
      <c r="AJ15">
        <v>24.12</v>
      </c>
      <c r="AK15">
        <v>6.49</v>
      </c>
      <c r="AL15">
        <v>154.04</v>
      </c>
      <c r="AM15">
        <v>7.78</v>
      </c>
      <c r="AN15">
        <v>49.26</v>
      </c>
    </row>
    <row r="16" spans="1:47" ht="15.75" hidden="1">
      <c r="A16" s="2" t="s">
        <v>766</v>
      </c>
      <c r="B16" s="8" t="s">
        <v>1066</v>
      </c>
      <c r="C16" s="2" t="s">
        <v>865</v>
      </c>
      <c r="D16" s="2" t="s">
        <v>869</v>
      </c>
      <c r="E16" s="2" t="s">
        <v>860</v>
      </c>
      <c r="F16" s="3">
        <v>36556</v>
      </c>
      <c r="G16" s="3">
        <v>43343</v>
      </c>
      <c r="H16" s="2">
        <v>18</v>
      </c>
      <c r="I16" s="2">
        <v>1</v>
      </c>
      <c r="J16" s="2" t="s">
        <v>861</v>
      </c>
      <c r="K16" s="2">
        <v>2552</v>
      </c>
      <c r="L16" s="2">
        <v>6</v>
      </c>
      <c r="M16" s="2">
        <v>1</v>
      </c>
      <c r="N16" s="2">
        <v>1</v>
      </c>
      <c r="O16" s="2">
        <v>1</v>
      </c>
      <c r="P16" s="2">
        <v>0</v>
      </c>
      <c r="Q16" t="s">
        <v>766</v>
      </c>
      <c r="R16" s="2" t="str">
        <f t="shared" si="0"/>
        <v>TRUE</v>
      </c>
      <c r="S16">
        <v>9.2100000000000009</v>
      </c>
      <c r="T16">
        <v>2.88</v>
      </c>
      <c r="U16">
        <v>215.43</v>
      </c>
      <c r="V16">
        <v>47.2</v>
      </c>
      <c r="W16">
        <v>16.07</v>
      </c>
      <c r="X16">
        <v>22.05</v>
      </c>
      <c r="Y16">
        <v>14.93</v>
      </c>
      <c r="Z16">
        <v>2.76</v>
      </c>
      <c r="AA16">
        <v>1403.28</v>
      </c>
      <c r="AB16">
        <v>198.22</v>
      </c>
      <c r="AC16">
        <v>128.41999999999999</v>
      </c>
      <c r="AD16">
        <v>489.32</v>
      </c>
      <c r="AE16">
        <v>30.67</v>
      </c>
      <c r="AF16">
        <v>105.82</v>
      </c>
      <c r="AG16">
        <v>20.28</v>
      </c>
      <c r="AH16">
        <v>51.68</v>
      </c>
      <c r="AI16">
        <v>25.08</v>
      </c>
      <c r="AJ16">
        <v>141.5</v>
      </c>
      <c r="AK16">
        <v>17.14</v>
      </c>
      <c r="AL16">
        <v>204.37</v>
      </c>
      <c r="AM16">
        <v>83.82</v>
      </c>
      <c r="AN16">
        <v>27.66</v>
      </c>
    </row>
    <row r="17" spans="1:40" ht="15.75">
      <c r="A17" s="2" t="s">
        <v>322</v>
      </c>
      <c r="B17" s="8" t="s">
        <v>1067</v>
      </c>
      <c r="C17" s="2" t="s">
        <v>865</v>
      </c>
      <c r="D17" s="2" t="s">
        <v>866</v>
      </c>
      <c r="E17" s="2" t="s">
        <v>864</v>
      </c>
      <c r="F17" s="3">
        <v>21233</v>
      </c>
      <c r="G17" s="3">
        <v>43350</v>
      </c>
      <c r="H17" s="2">
        <v>60</v>
      </c>
      <c r="I17" s="2">
        <v>1</v>
      </c>
      <c r="J17" s="2" t="s">
        <v>857</v>
      </c>
      <c r="K17" s="2">
        <v>992</v>
      </c>
      <c r="L17" s="2">
        <v>1</v>
      </c>
      <c r="M17">
        <v>0</v>
      </c>
      <c r="N17">
        <v>3</v>
      </c>
      <c r="O17" s="18">
        <v>1</v>
      </c>
      <c r="P17" s="18">
        <v>0</v>
      </c>
      <c r="Q17" t="s">
        <v>322</v>
      </c>
      <c r="R17" s="2" t="str">
        <f t="shared" si="0"/>
        <v>TRUE</v>
      </c>
      <c r="S17">
        <v>14.36</v>
      </c>
      <c r="T17">
        <v>9.01</v>
      </c>
      <c r="U17">
        <v>34.17</v>
      </c>
      <c r="V17" s="12">
        <v>1000.01</v>
      </c>
      <c r="W17" s="12">
        <v>1000.01</v>
      </c>
      <c r="X17">
        <v>61.74</v>
      </c>
      <c r="Y17">
        <v>1000.01</v>
      </c>
      <c r="Z17">
        <v>13.94</v>
      </c>
      <c r="AA17">
        <v>403.28</v>
      </c>
      <c r="AB17">
        <v>161.78</v>
      </c>
      <c r="AC17">
        <v>19.64</v>
      </c>
      <c r="AD17">
        <v>127.02</v>
      </c>
      <c r="AE17">
        <v>6.18</v>
      </c>
      <c r="AF17">
        <v>12.69</v>
      </c>
      <c r="AG17">
        <v>4.7300000000000004</v>
      </c>
      <c r="AH17">
        <v>2.5299999999999998</v>
      </c>
      <c r="AI17">
        <v>13.16</v>
      </c>
      <c r="AJ17">
        <v>45.24</v>
      </c>
      <c r="AK17" s="14">
        <v>4.99</v>
      </c>
      <c r="AL17">
        <v>365.87</v>
      </c>
      <c r="AM17">
        <v>7.28</v>
      </c>
      <c r="AN17">
        <v>51.77</v>
      </c>
    </row>
    <row r="18" spans="1:40" ht="15.75" hidden="1">
      <c r="A18" s="2" t="s">
        <v>382</v>
      </c>
      <c r="B18" s="8" t="s">
        <v>1068</v>
      </c>
      <c r="C18" s="2" t="s">
        <v>870</v>
      </c>
      <c r="D18" s="2" t="s">
        <v>871</v>
      </c>
      <c r="E18" s="2" t="s">
        <v>856</v>
      </c>
      <c r="F18" s="3">
        <v>26185</v>
      </c>
      <c r="G18" s="3">
        <v>43354</v>
      </c>
      <c r="H18" s="2">
        <v>47</v>
      </c>
      <c r="I18" s="2">
        <v>1</v>
      </c>
      <c r="J18" s="2" t="s">
        <v>857</v>
      </c>
      <c r="K18" s="2">
        <v>644</v>
      </c>
      <c r="L18" s="2" t="s">
        <v>856</v>
      </c>
      <c r="M18" s="2">
        <v>1</v>
      </c>
      <c r="N18" s="2">
        <v>2</v>
      </c>
      <c r="O18" s="2">
        <v>1</v>
      </c>
      <c r="P18" s="2">
        <v>0</v>
      </c>
      <c r="Q18" t="s">
        <v>382</v>
      </c>
      <c r="R18" s="2" t="str">
        <f t="shared" si="0"/>
        <v>TRUE</v>
      </c>
      <c r="S18">
        <v>16.66</v>
      </c>
      <c r="T18">
        <v>0.99</v>
      </c>
      <c r="U18">
        <v>7.23</v>
      </c>
      <c r="V18">
        <v>3.31</v>
      </c>
      <c r="W18">
        <v>6.32</v>
      </c>
      <c r="X18">
        <v>2.2599999999999998</v>
      </c>
      <c r="Y18">
        <v>8.61</v>
      </c>
      <c r="Z18" s="13">
        <v>0.99</v>
      </c>
      <c r="AA18">
        <v>257.68</v>
      </c>
      <c r="AB18">
        <v>31.96</v>
      </c>
      <c r="AC18">
        <v>9.2100000000000009</v>
      </c>
      <c r="AD18">
        <v>69.61</v>
      </c>
      <c r="AE18">
        <v>5.7</v>
      </c>
      <c r="AF18">
        <v>42.01</v>
      </c>
      <c r="AG18">
        <v>7.11</v>
      </c>
      <c r="AH18">
        <v>8.02</v>
      </c>
      <c r="AI18">
        <v>30.5</v>
      </c>
      <c r="AJ18">
        <v>38.29</v>
      </c>
      <c r="AK18">
        <v>9.17</v>
      </c>
      <c r="AL18">
        <v>63.82</v>
      </c>
      <c r="AM18" s="14">
        <v>4.99</v>
      </c>
      <c r="AN18">
        <v>25.71</v>
      </c>
    </row>
    <row r="19" spans="1:40" ht="15.75" hidden="1">
      <c r="A19" s="2" t="s">
        <v>406</v>
      </c>
      <c r="B19" s="8" t="s">
        <v>1069</v>
      </c>
      <c r="C19" s="2" t="s">
        <v>865</v>
      </c>
      <c r="D19" s="2" t="s">
        <v>866</v>
      </c>
      <c r="E19" s="2" t="s">
        <v>860</v>
      </c>
      <c r="F19" s="3">
        <v>28506</v>
      </c>
      <c r="G19" s="3">
        <v>43356</v>
      </c>
      <c r="H19" s="2">
        <v>40</v>
      </c>
      <c r="I19" s="2">
        <v>1</v>
      </c>
      <c r="J19" s="2" t="s">
        <v>861</v>
      </c>
      <c r="K19" s="2">
        <v>177</v>
      </c>
      <c r="L19" s="2">
        <v>7</v>
      </c>
      <c r="M19" s="2">
        <v>1</v>
      </c>
      <c r="N19" s="2">
        <v>2</v>
      </c>
      <c r="O19" s="2">
        <v>1</v>
      </c>
      <c r="P19" s="2">
        <v>0</v>
      </c>
      <c r="Q19" t="s">
        <v>406</v>
      </c>
      <c r="R19" s="2" t="str">
        <f t="shared" si="0"/>
        <v>TRUE</v>
      </c>
      <c r="S19">
        <v>17.07</v>
      </c>
      <c r="T19">
        <v>0.99</v>
      </c>
      <c r="U19">
        <v>45.22</v>
      </c>
      <c r="V19">
        <v>90.83</v>
      </c>
      <c r="W19">
        <v>21.4</v>
      </c>
      <c r="X19">
        <v>13.7</v>
      </c>
      <c r="Y19">
        <v>6.08</v>
      </c>
      <c r="Z19" s="13">
        <v>0.99</v>
      </c>
      <c r="AA19">
        <v>1175.9000000000001</v>
      </c>
      <c r="AB19">
        <v>273.36</v>
      </c>
      <c r="AC19">
        <v>54.91</v>
      </c>
      <c r="AD19">
        <v>133.77000000000001</v>
      </c>
      <c r="AE19">
        <v>7.55</v>
      </c>
      <c r="AF19">
        <v>106.77</v>
      </c>
      <c r="AG19">
        <v>36.39</v>
      </c>
      <c r="AH19">
        <v>15.29</v>
      </c>
      <c r="AI19">
        <v>54.74</v>
      </c>
      <c r="AJ19">
        <v>65.33</v>
      </c>
      <c r="AK19">
        <v>9.2799999999999994</v>
      </c>
      <c r="AL19">
        <v>500.51</v>
      </c>
      <c r="AM19">
        <v>14.03</v>
      </c>
      <c r="AN19">
        <v>72.19</v>
      </c>
    </row>
    <row r="20" spans="1:40" ht="15.75">
      <c r="A20" s="2" t="s">
        <v>187</v>
      </c>
      <c r="B20" s="8" t="s">
        <v>913</v>
      </c>
      <c r="C20" s="2" t="s">
        <v>858</v>
      </c>
      <c r="D20" s="2" t="s">
        <v>859</v>
      </c>
      <c r="E20" s="2" t="s">
        <v>864</v>
      </c>
      <c r="F20" s="3">
        <v>35211</v>
      </c>
      <c r="G20" s="3">
        <v>43377</v>
      </c>
      <c r="H20" s="2">
        <v>22</v>
      </c>
      <c r="I20" s="2">
        <v>1</v>
      </c>
      <c r="J20" s="2" t="s">
        <v>857</v>
      </c>
      <c r="K20" s="2">
        <v>69</v>
      </c>
      <c r="L20" s="2">
        <v>4</v>
      </c>
      <c r="M20" s="2">
        <v>0</v>
      </c>
      <c r="N20" s="2">
        <v>2</v>
      </c>
      <c r="O20" s="2">
        <v>1</v>
      </c>
      <c r="P20" s="2">
        <v>0</v>
      </c>
      <c r="Q20" t="s">
        <v>187</v>
      </c>
      <c r="R20" s="2" t="str">
        <f t="shared" si="0"/>
        <v>TRUE</v>
      </c>
      <c r="S20">
        <v>22.39</v>
      </c>
      <c r="T20">
        <v>3.07</v>
      </c>
      <c r="U20">
        <v>95.17</v>
      </c>
      <c r="V20">
        <v>201.6</v>
      </c>
      <c r="W20">
        <v>209.22</v>
      </c>
      <c r="X20">
        <v>25.73</v>
      </c>
      <c r="Y20">
        <v>204.96</v>
      </c>
      <c r="Z20">
        <v>4.05</v>
      </c>
      <c r="AA20">
        <v>2271.79</v>
      </c>
      <c r="AB20">
        <v>555.29</v>
      </c>
      <c r="AC20">
        <v>165.61</v>
      </c>
      <c r="AD20">
        <v>447.88</v>
      </c>
      <c r="AE20">
        <v>11.79</v>
      </c>
      <c r="AF20">
        <v>182.49</v>
      </c>
      <c r="AG20">
        <v>53.41</v>
      </c>
      <c r="AH20">
        <v>47.34</v>
      </c>
      <c r="AI20">
        <v>38.46</v>
      </c>
      <c r="AJ20">
        <v>102.58</v>
      </c>
      <c r="AK20">
        <v>16.329999999999998</v>
      </c>
      <c r="AL20">
        <v>189.35</v>
      </c>
      <c r="AM20">
        <v>43.64</v>
      </c>
      <c r="AN20">
        <v>144.31</v>
      </c>
    </row>
    <row r="21" spans="1:40" ht="15.75">
      <c r="A21" s="2" t="s">
        <v>499</v>
      </c>
      <c r="B21" s="8" t="s">
        <v>916</v>
      </c>
      <c r="C21" s="2" t="s">
        <v>858</v>
      </c>
      <c r="D21" s="2" t="s">
        <v>863</v>
      </c>
      <c r="E21" s="2" t="s">
        <v>864</v>
      </c>
      <c r="F21" s="3">
        <v>23573</v>
      </c>
      <c r="G21" s="3">
        <v>43392</v>
      </c>
      <c r="H21" s="2">
        <v>54</v>
      </c>
      <c r="I21" s="2">
        <v>1</v>
      </c>
      <c r="J21" s="2" t="s">
        <v>857</v>
      </c>
      <c r="K21" s="2">
        <v>6000</v>
      </c>
      <c r="L21" s="2">
        <v>7</v>
      </c>
      <c r="M21">
        <v>0</v>
      </c>
      <c r="N21">
        <v>2</v>
      </c>
      <c r="O21" s="18">
        <v>1</v>
      </c>
      <c r="P21" s="18">
        <v>0</v>
      </c>
      <c r="Q21" t="s">
        <v>499</v>
      </c>
      <c r="R21" s="2" t="str">
        <f t="shared" si="0"/>
        <v>TRUE</v>
      </c>
      <c r="S21">
        <v>13.82</v>
      </c>
      <c r="T21">
        <v>0.99</v>
      </c>
      <c r="U21">
        <v>3.64</v>
      </c>
      <c r="V21">
        <v>254.71</v>
      </c>
      <c r="W21" s="12">
        <v>1000.01</v>
      </c>
      <c r="X21">
        <v>21.12</v>
      </c>
      <c r="Y21">
        <v>579.42999999999995</v>
      </c>
      <c r="Z21">
        <v>3.12</v>
      </c>
      <c r="AA21">
        <v>941.06</v>
      </c>
      <c r="AB21">
        <v>112.36</v>
      </c>
      <c r="AC21">
        <v>23.97</v>
      </c>
      <c r="AD21">
        <v>282.83999999999997</v>
      </c>
      <c r="AE21">
        <v>21.39</v>
      </c>
      <c r="AF21">
        <v>79.69</v>
      </c>
      <c r="AG21">
        <v>16.72</v>
      </c>
      <c r="AH21">
        <v>36.549999999999997</v>
      </c>
      <c r="AI21">
        <v>228.29</v>
      </c>
      <c r="AJ21">
        <v>414.59</v>
      </c>
      <c r="AK21">
        <v>65.63</v>
      </c>
      <c r="AL21">
        <v>927.22</v>
      </c>
      <c r="AM21">
        <v>40.909999999999997</v>
      </c>
      <c r="AN21">
        <v>184.24</v>
      </c>
    </row>
    <row r="22" spans="1:40" ht="15.75">
      <c r="A22" s="2" t="s">
        <v>421</v>
      </c>
      <c r="B22" s="8" t="s">
        <v>1070</v>
      </c>
      <c r="C22" s="2" t="s">
        <v>865</v>
      </c>
      <c r="D22" s="2" t="s">
        <v>866</v>
      </c>
      <c r="E22" s="2" t="s">
        <v>864</v>
      </c>
      <c r="F22" s="3">
        <v>33786</v>
      </c>
      <c r="G22" s="3">
        <v>43399</v>
      </c>
      <c r="H22" s="2">
        <v>26</v>
      </c>
      <c r="I22" s="4">
        <v>1</v>
      </c>
      <c r="J22" s="2" t="s">
        <v>861</v>
      </c>
      <c r="K22" s="2">
        <v>239</v>
      </c>
      <c r="L22" s="2">
        <v>7</v>
      </c>
      <c r="M22">
        <v>0</v>
      </c>
      <c r="N22">
        <v>3</v>
      </c>
      <c r="O22" s="18">
        <v>1</v>
      </c>
      <c r="P22" s="18">
        <v>0</v>
      </c>
      <c r="Q22" t="s">
        <v>421</v>
      </c>
      <c r="R22" s="2" t="str">
        <f t="shared" si="0"/>
        <v>TRUE</v>
      </c>
      <c r="S22">
        <v>13.39</v>
      </c>
      <c r="T22">
        <v>0.99</v>
      </c>
      <c r="U22">
        <v>24.29</v>
      </c>
      <c r="V22">
        <v>18.63</v>
      </c>
      <c r="W22">
        <v>49.42</v>
      </c>
      <c r="X22">
        <v>5.29</v>
      </c>
      <c r="Y22">
        <v>44.01</v>
      </c>
      <c r="Z22">
        <v>11.47</v>
      </c>
      <c r="AA22">
        <v>504.98</v>
      </c>
      <c r="AB22">
        <v>25.56</v>
      </c>
      <c r="AC22">
        <v>32.58</v>
      </c>
      <c r="AD22">
        <v>266.51</v>
      </c>
      <c r="AE22">
        <v>48.4</v>
      </c>
      <c r="AF22">
        <v>74.94</v>
      </c>
      <c r="AG22">
        <v>4.18</v>
      </c>
      <c r="AH22">
        <v>28.19</v>
      </c>
      <c r="AI22">
        <v>47.13</v>
      </c>
      <c r="AJ22">
        <v>173.91</v>
      </c>
      <c r="AK22">
        <v>80.680000000000007</v>
      </c>
      <c r="AL22">
        <v>156.41999999999999</v>
      </c>
      <c r="AM22">
        <v>17.920000000000002</v>
      </c>
      <c r="AN22">
        <v>27.81</v>
      </c>
    </row>
    <row r="23" spans="1:40" ht="15.75">
      <c r="A23" s="2" t="s">
        <v>727</v>
      </c>
      <c r="B23" s="8" t="s">
        <v>1071</v>
      </c>
      <c r="C23" s="2" t="s">
        <v>854</v>
      </c>
      <c r="D23" s="2" t="s">
        <v>862</v>
      </c>
      <c r="E23" s="2" t="s">
        <v>856</v>
      </c>
      <c r="F23" s="3">
        <v>26190</v>
      </c>
      <c r="G23" s="3">
        <v>43409</v>
      </c>
      <c r="H23" s="2">
        <v>47</v>
      </c>
      <c r="I23" s="2">
        <v>1</v>
      </c>
      <c r="J23" s="2" t="s">
        <v>857</v>
      </c>
      <c r="K23" s="2">
        <v>189</v>
      </c>
      <c r="L23" s="2">
        <v>5</v>
      </c>
      <c r="M23">
        <v>0</v>
      </c>
      <c r="N23">
        <v>2</v>
      </c>
      <c r="O23">
        <v>1</v>
      </c>
      <c r="P23">
        <v>0</v>
      </c>
      <c r="Q23" t="s">
        <v>727</v>
      </c>
      <c r="R23" s="2" t="str">
        <f t="shared" si="0"/>
        <v>TRUE</v>
      </c>
      <c r="S23">
        <v>18.95</v>
      </c>
      <c r="T23">
        <v>4.93</v>
      </c>
      <c r="U23">
        <v>65.819999999999993</v>
      </c>
      <c r="V23">
        <v>322.62</v>
      </c>
      <c r="W23">
        <v>120.18</v>
      </c>
      <c r="X23">
        <v>22.05</v>
      </c>
      <c r="Y23">
        <v>88.58</v>
      </c>
      <c r="Z23" s="13">
        <v>0.99</v>
      </c>
      <c r="AA23">
        <v>1010.65</v>
      </c>
      <c r="AB23">
        <v>526.23</v>
      </c>
      <c r="AC23">
        <v>28.17</v>
      </c>
      <c r="AD23">
        <v>308.47000000000003</v>
      </c>
      <c r="AE23">
        <v>10.88</v>
      </c>
      <c r="AF23">
        <v>83.64</v>
      </c>
      <c r="AG23">
        <v>58.54</v>
      </c>
      <c r="AH23">
        <v>21.57</v>
      </c>
      <c r="AI23">
        <v>90.46</v>
      </c>
      <c r="AJ23">
        <v>61.23</v>
      </c>
      <c r="AK23">
        <v>11.99</v>
      </c>
      <c r="AL23">
        <v>585.4</v>
      </c>
      <c r="AM23" s="14">
        <v>4.99</v>
      </c>
      <c r="AN23">
        <v>105.6</v>
      </c>
    </row>
    <row r="24" spans="1:40" ht="15.75">
      <c r="A24" s="2" t="s">
        <v>93</v>
      </c>
      <c r="B24" s="8" t="s">
        <v>917</v>
      </c>
      <c r="C24" s="2" t="s">
        <v>858</v>
      </c>
      <c r="D24" s="2" t="s">
        <v>868</v>
      </c>
      <c r="E24" s="2" t="s">
        <v>864</v>
      </c>
      <c r="F24" s="3">
        <v>30482</v>
      </c>
      <c r="G24" s="3">
        <v>43410</v>
      </c>
      <c r="H24" s="2">
        <v>35</v>
      </c>
      <c r="I24" s="4">
        <v>1</v>
      </c>
      <c r="J24" s="2" t="s">
        <v>857</v>
      </c>
      <c r="K24" s="2" t="s">
        <v>856</v>
      </c>
      <c r="L24" s="2">
        <v>7</v>
      </c>
      <c r="M24" s="2">
        <v>0</v>
      </c>
      <c r="N24" s="2">
        <v>2</v>
      </c>
      <c r="O24" s="2">
        <v>1</v>
      </c>
      <c r="P24" s="2">
        <v>0</v>
      </c>
      <c r="Q24" t="s">
        <v>93</v>
      </c>
      <c r="R24" s="2" t="str">
        <f t="shared" si="0"/>
        <v>TRUE</v>
      </c>
      <c r="S24">
        <v>13.64</v>
      </c>
      <c r="T24">
        <v>0.99</v>
      </c>
      <c r="U24">
        <v>11.88</v>
      </c>
      <c r="V24">
        <v>27.43</v>
      </c>
      <c r="W24">
        <v>32.840000000000003</v>
      </c>
      <c r="X24">
        <v>4.03</v>
      </c>
      <c r="Y24">
        <v>38.82</v>
      </c>
      <c r="Z24">
        <v>2.19</v>
      </c>
      <c r="AA24">
        <v>84.36</v>
      </c>
      <c r="AB24">
        <v>24.96</v>
      </c>
      <c r="AC24">
        <v>8.01</v>
      </c>
      <c r="AD24">
        <v>14.68</v>
      </c>
      <c r="AE24" s="14">
        <v>2.4900000000000002</v>
      </c>
      <c r="AF24">
        <v>11.8</v>
      </c>
      <c r="AG24">
        <v>3.11</v>
      </c>
      <c r="AH24">
        <v>2.73</v>
      </c>
      <c r="AI24">
        <v>29.76</v>
      </c>
      <c r="AJ24">
        <v>46.71</v>
      </c>
      <c r="AK24">
        <v>6.72</v>
      </c>
      <c r="AL24">
        <v>104.92</v>
      </c>
      <c r="AM24">
        <v>28.98</v>
      </c>
      <c r="AN24">
        <v>42.67</v>
      </c>
    </row>
    <row r="25" spans="1:40" ht="15.75" hidden="1">
      <c r="A25" s="2" t="s">
        <v>661</v>
      </c>
      <c r="B25" s="8" t="s">
        <v>918</v>
      </c>
      <c r="C25" s="2" t="s">
        <v>858</v>
      </c>
      <c r="D25" s="2" t="s">
        <v>863</v>
      </c>
      <c r="E25" s="2" t="s">
        <v>864</v>
      </c>
      <c r="F25" s="3">
        <v>24908</v>
      </c>
      <c r="G25" s="3">
        <v>43411</v>
      </c>
      <c r="H25" s="2">
        <v>50</v>
      </c>
      <c r="I25" s="2">
        <v>1</v>
      </c>
      <c r="J25" s="2" t="s">
        <v>857</v>
      </c>
      <c r="K25" s="2">
        <v>322</v>
      </c>
      <c r="L25" s="2">
        <v>4</v>
      </c>
      <c r="M25">
        <v>1</v>
      </c>
      <c r="N25">
        <v>2</v>
      </c>
      <c r="O25" s="18">
        <v>0</v>
      </c>
      <c r="P25" s="18">
        <v>0</v>
      </c>
      <c r="Q25" t="s">
        <v>661</v>
      </c>
      <c r="R25" s="2" t="str">
        <f t="shared" si="0"/>
        <v>TRUE</v>
      </c>
      <c r="S25">
        <v>18.48</v>
      </c>
      <c r="T25">
        <v>4.3899999999999997</v>
      </c>
      <c r="U25">
        <v>32.049999999999997</v>
      </c>
      <c r="V25">
        <v>519.45000000000005</v>
      </c>
      <c r="W25">
        <v>83.51</v>
      </c>
      <c r="X25">
        <v>43.81</v>
      </c>
      <c r="Y25">
        <v>146.16</v>
      </c>
      <c r="Z25">
        <v>12.72</v>
      </c>
      <c r="AA25">
        <v>1278.8699999999999</v>
      </c>
      <c r="AB25">
        <v>873.39</v>
      </c>
      <c r="AC25">
        <v>46.52</v>
      </c>
      <c r="AD25">
        <v>621.29999999999995</v>
      </c>
      <c r="AE25">
        <v>30.4</v>
      </c>
      <c r="AF25">
        <v>60.2</v>
      </c>
      <c r="AG25">
        <v>57.38</v>
      </c>
      <c r="AH25">
        <v>34.93</v>
      </c>
      <c r="AI25">
        <v>199.47</v>
      </c>
      <c r="AJ25">
        <v>215.29</v>
      </c>
      <c r="AK25">
        <v>20.93</v>
      </c>
      <c r="AL25">
        <v>1199.54</v>
      </c>
      <c r="AM25">
        <v>26.93</v>
      </c>
      <c r="AN25">
        <v>534.14</v>
      </c>
    </row>
    <row r="26" spans="1:40" ht="15.75" hidden="1">
      <c r="A26" s="2" t="s">
        <v>337</v>
      </c>
      <c r="B26" s="8" t="s">
        <v>919</v>
      </c>
      <c r="C26" s="2" t="s">
        <v>858</v>
      </c>
      <c r="D26" s="2" t="s">
        <v>863</v>
      </c>
      <c r="E26" s="2" t="s">
        <v>864</v>
      </c>
      <c r="F26" s="3">
        <v>29437</v>
      </c>
      <c r="G26" s="3">
        <v>43417</v>
      </c>
      <c r="H26" s="2">
        <v>38</v>
      </c>
      <c r="I26" s="2">
        <v>1</v>
      </c>
      <c r="J26" s="2" t="s">
        <v>857</v>
      </c>
      <c r="K26" s="2">
        <v>1073</v>
      </c>
      <c r="L26" s="2">
        <v>10</v>
      </c>
      <c r="M26">
        <v>1</v>
      </c>
      <c r="N26">
        <v>3</v>
      </c>
      <c r="O26" s="18">
        <v>1</v>
      </c>
      <c r="P26" s="18">
        <v>0</v>
      </c>
      <c r="Q26" t="s">
        <v>337</v>
      </c>
      <c r="R26" s="2" t="str">
        <f t="shared" si="0"/>
        <v>TRUE</v>
      </c>
      <c r="S26">
        <v>21.11</v>
      </c>
      <c r="T26">
        <v>9.75</v>
      </c>
      <c r="U26">
        <v>117.46</v>
      </c>
      <c r="V26">
        <v>627.55999999999995</v>
      </c>
      <c r="W26">
        <v>517.07000000000005</v>
      </c>
      <c r="X26">
        <v>47.21</v>
      </c>
      <c r="Y26">
        <v>678.01</v>
      </c>
      <c r="Z26">
        <v>17.489999999999998</v>
      </c>
      <c r="AA26">
        <v>1802.91</v>
      </c>
      <c r="AB26">
        <v>1211.8599999999999</v>
      </c>
      <c r="AC26">
        <v>109.86</v>
      </c>
      <c r="AD26">
        <v>462.77</v>
      </c>
      <c r="AE26">
        <v>10.61</v>
      </c>
      <c r="AF26">
        <v>155.85</v>
      </c>
      <c r="AG26">
        <v>134.5</v>
      </c>
      <c r="AH26">
        <v>42.66</v>
      </c>
      <c r="AI26">
        <v>161.16</v>
      </c>
      <c r="AJ26">
        <v>67.849999999999994</v>
      </c>
      <c r="AK26">
        <v>13.76</v>
      </c>
      <c r="AL26">
        <v>378.7</v>
      </c>
      <c r="AM26">
        <v>26.28</v>
      </c>
      <c r="AN26">
        <v>78.42</v>
      </c>
    </row>
    <row r="27" spans="1:40" ht="15.75" hidden="1">
      <c r="A27" s="2" t="s">
        <v>562</v>
      </c>
      <c r="B27" s="8" t="s">
        <v>1072</v>
      </c>
      <c r="C27" s="2" t="s">
        <v>858</v>
      </c>
      <c r="D27" s="2" t="s">
        <v>859</v>
      </c>
      <c r="E27" s="2" t="s">
        <v>864</v>
      </c>
      <c r="F27" s="3">
        <v>36196</v>
      </c>
      <c r="G27" s="3">
        <v>43419</v>
      </c>
      <c r="H27" s="2">
        <v>19</v>
      </c>
      <c r="I27" s="2">
        <v>1</v>
      </c>
      <c r="J27" s="2" t="s">
        <v>857</v>
      </c>
      <c r="K27" s="2">
        <v>900</v>
      </c>
      <c r="L27" s="2">
        <v>9</v>
      </c>
      <c r="M27">
        <v>1</v>
      </c>
      <c r="N27">
        <v>1</v>
      </c>
      <c r="O27" s="18">
        <v>1</v>
      </c>
      <c r="P27" s="18">
        <v>0</v>
      </c>
      <c r="Q27" t="s">
        <v>562</v>
      </c>
      <c r="R27" s="2" t="str">
        <f t="shared" si="0"/>
        <v>TRUE</v>
      </c>
      <c r="S27">
        <v>17.72</v>
      </c>
      <c r="T27">
        <v>1.35</v>
      </c>
      <c r="U27">
        <v>133.9</v>
      </c>
      <c r="V27">
        <v>9.65</v>
      </c>
      <c r="W27">
        <v>43.09</v>
      </c>
      <c r="X27">
        <v>26.54</v>
      </c>
      <c r="Y27">
        <v>38.25</v>
      </c>
      <c r="Z27">
        <v>14.8</v>
      </c>
      <c r="AA27">
        <v>480.8</v>
      </c>
      <c r="AB27">
        <v>32.92</v>
      </c>
      <c r="AC27">
        <v>56.95</v>
      </c>
      <c r="AD27">
        <v>81.319999999999993</v>
      </c>
      <c r="AE27">
        <v>18.46</v>
      </c>
      <c r="AF27">
        <v>61.84</v>
      </c>
      <c r="AG27">
        <v>5.0999999999999996</v>
      </c>
      <c r="AH27">
        <v>11.89</v>
      </c>
      <c r="AI27">
        <v>29.96</v>
      </c>
      <c r="AJ27">
        <v>114.58</v>
      </c>
      <c r="AK27">
        <v>23.94</v>
      </c>
      <c r="AL27">
        <v>119.23</v>
      </c>
      <c r="AM27">
        <v>39.42</v>
      </c>
      <c r="AN27">
        <v>33.65</v>
      </c>
    </row>
    <row r="28" spans="1:40" ht="15.75">
      <c r="A28" s="2" t="s">
        <v>805</v>
      </c>
      <c r="B28" s="8" t="s">
        <v>921</v>
      </c>
      <c r="C28" s="2" t="s">
        <v>858</v>
      </c>
      <c r="D28" s="2" t="s">
        <v>868</v>
      </c>
      <c r="E28" s="2" t="s">
        <v>864</v>
      </c>
      <c r="F28" s="3">
        <v>25575</v>
      </c>
      <c r="G28" s="3">
        <v>43426</v>
      </c>
      <c r="H28" s="2">
        <v>48</v>
      </c>
      <c r="I28" s="2">
        <v>1</v>
      </c>
      <c r="J28" s="2" t="s">
        <v>857</v>
      </c>
      <c r="K28" s="2">
        <v>98</v>
      </c>
      <c r="L28" s="2">
        <v>4</v>
      </c>
      <c r="M28">
        <v>0</v>
      </c>
      <c r="N28">
        <v>3</v>
      </c>
      <c r="O28" s="18">
        <v>1</v>
      </c>
      <c r="P28" s="18">
        <v>0</v>
      </c>
      <c r="Q28" t="s">
        <v>805</v>
      </c>
      <c r="R28" s="2" t="str">
        <f t="shared" si="0"/>
        <v>TRUE</v>
      </c>
      <c r="S28">
        <v>11.43</v>
      </c>
      <c r="T28">
        <v>1.38</v>
      </c>
      <c r="U28">
        <v>54.24</v>
      </c>
      <c r="V28">
        <v>567.02</v>
      </c>
      <c r="W28">
        <v>90.92</v>
      </c>
      <c r="X28">
        <v>30.51</v>
      </c>
      <c r="Y28">
        <v>23.46</v>
      </c>
      <c r="Z28">
        <v>4.22</v>
      </c>
      <c r="AA28">
        <v>967.45</v>
      </c>
      <c r="AB28">
        <v>665.04</v>
      </c>
      <c r="AC28">
        <v>71.86</v>
      </c>
      <c r="AD28">
        <v>296.20999999999998</v>
      </c>
      <c r="AE28">
        <v>14.7</v>
      </c>
      <c r="AF28">
        <v>76.62</v>
      </c>
      <c r="AG28">
        <v>47.81</v>
      </c>
      <c r="AH28">
        <v>37.47</v>
      </c>
      <c r="AI28">
        <v>72.09</v>
      </c>
      <c r="AJ28">
        <v>80.7</v>
      </c>
      <c r="AK28">
        <v>12.36</v>
      </c>
      <c r="AL28">
        <v>990.07</v>
      </c>
      <c r="AM28">
        <v>11.64</v>
      </c>
      <c r="AN28">
        <v>131.88</v>
      </c>
    </row>
    <row r="29" spans="1:40" ht="15.75">
      <c r="A29" s="2" t="s">
        <v>319</v>
      </c>
      <c r="B29" s="8" t="s">
        <v>932</v>
      </c>
      <c r="C29" s="2" t="s">
        <v>858</v>
      </c>
      <c r="D29" s="2" t="s">
        <v>859</v>
      </c>
      <c r="E29" s="2" t="s">
        <v>864</v>
      </c>
      <c r="F29" s="3">
        <v>17139</v>
      </c>
      <c r="G29" s="3">
        <v>43427</v>
      </c>
      <c r="H29" s="2">
        <v>71</v>
      </c>
      <c r="I29" s="2">
        <v>1</v>
      </c>
      <c r="J29" s="2" t="s">
        <v>857</v>
      </c>
      <c r="K29" s="2">
        <v>164</v>
      </c>
      <c r="L29" s="2">
        <v>4</v>
      </c>
      <c r="M29">
        <v>0</v>
      </c>
      <c r="N29">
        <v>1</v>
      </c>
      <c r="O29" s="18">
        <v>1</v>
      </c>
      <c r="P29" s="18">
        <v>0</v>
      </c>
      <c r="Q29" t="s">
        <v>319</v>
      </c>
      <c r="R29" s="2" t="str">
        <f t="shared" si="0"/>
        <v>TRUE</v>
      </c>
      <c r="S29">
        <v>16.29</v>
      </c>
      <c r="T29">
        <v>3.35</v>
      </c>
      <c r="U29">
        <v>98.7</v>
      </c>
      <c r="V29">
        <v>466.72</v>
      </c>
      <c r="W29">
        <v>31.1</v>
      </c>
      <c r="X29">
        <v>39.119999999999997</v>
      </c>
      <c r="Y29">
        <v>8.3000000000000007</v>
      </c>
      <c r="Z29" s="13">
        <v>0.99</v>
      </c>
      <c r="AA29">
        <v>397.47</v>
      </c>
      <c r="AB29">
        <v>380.98</v>
      </c>
      <c r="AC29">
        <v>44.29</v>
      </c>
      <c r="AD29">
        <v>68.92</v>
      </c>
      <c r="AE29">
        <v>4.32</v>
      </c>
      <c r="AF29">
        <v>33.25</v>
      </c>
      <c r="AG29">
        <v>42.42</v>
      </c>
      <c r="AH29">
        <v>7</v>
      </c>
      <c r="AI29">
        <v>62.93</v>
      </c>
      <c r="AJ29">
        <v>28.8</v>
      </c>
      <c r="AK29">
        <v>4.99</v>
      </c>
      <c r="AL29">
        <v>356.87</v>
      </c>
      <c r="AM29">
        <v>9.7899999999999991</v>
      </c>
      <c r="AN29">
        <v>78.319999999999993</v>
      </c>
    </row>
    <row r="30" spans="1:40" ht="15.75" hidden="1">
      <c r="A30" s="2" t="s">
        <v>517</v>
      </c>
      <c r="B30" s="8" t="s">
        <v>1073</v>
      </c>
      <c r="C30" s="2" t="s">
        <v>870</v>
      </c>
      <c r="D30" s="2" t="s">
        <v>871</v>
      </c>
      <c r="E30" s="2" t="s">
        <v>856</v>
      </c>
      <c r="F30" s="3">
        <v>32551</v>
      </c>
      <c r="G30" s="3">
        <v>43469</v>
      </c>
      <c r="H30" s="2">
        <v>29</v>
      </c>
      <c r="I30" s="2">
        <v>1</v>
      </c>
      <c r="J30" s="2" t="s">
        <v>857</v>
      </c>
      <c r="K30" s="2">
        <v>510</v>
      </c>
      <c r="L30" s="2" t="s">
        <v>856</v>
      </c>
      <c r="M30">
        <v>1</v>
      </c>
      <c r="N30">
        <v>1</v>
      </c>
      <c r="O30">
        <v>1</v>
      </c>
      <c r="P30">
        <v>0</v>
      </c>
      <c r="Q30" t="s">
        <v>517</v>
      </c>
      <c r="R30" s="2" t="str">
        <f t="shared" si="0"/>
        <v>TRUE</v>
      </c>
      <c r="S30">
        <v>28.03</v>
      </c>
      <c r="T30">
        <v>22.48</v>
      </c>
      <c r="U30" s="12">
        <v>1000.01</v>
      </c>
      <c r="V30">
        <v>77.06</v>
      </c>
      <c r="W30">
        <v>221.19</v>
      </c>
      <c r="X30">
        <v>187.62</v>
      </c>
      <c r="Y30">
        <v>33.799999999999997</v>
      </c>
      <c r="Z30">
        <v>16.98</v>
      </c>
      <c r="AA30">
        <v>1159.04</v>
      </c>
      <c r="AB30">
        <v>99.83</v>
      </c>
      <c r="AC30">
        <v>550.71</v>
      </c>
      <c r="AD30">
        <v>192.97</v>
      </c>
      <c r="AE30">
        <v>33.409999999999997</v>
      </c>
      <c r="AF30">
        <v>103.11</v>
      </c>
      <c r="AG30">
        <v>13.81</v>
      </c>
      <c r="AH30">
        <v>20.079999999999998</v>
      </c>
      <c r="AI30">
        <v>38.25</v>
      </c>
      <c r="AJ30">
        <v>140.31</v>
      </c>
      <c r="AK30">
        <v>24.12</v>
      </c>
      <c r="AL30">
        <v>92.03</v>
      </c>
      <c r="AM30">
        <v>140.26</v>
      </c>
      <c r="AN30">
        <v>26.06</v>
      </c>
    </row>
    <row r="31" spans="1:40" ht="15.75" hidden="1">
      <c r="A31" s="2" t="s">
        <v>220</v>
      </c>
      <c r="B31" s="8" t="s">
        <v>1074</v>
      </c>
      <c r="C31" s="2" t="s">
        <v>865</v>
      </c>
      <c r="D31" s="2" t="s">
        <v>866</v>
      </c>
      <c r="E31" s="2" t="s">
        <v>864</v>
      </c>
      <c r="F31" s="3">
        <v>33939</v>
      </c>
      <c r="G31" s="3">
        <v>43465</v>
      </c>
      <c r="H31" s="2">
        <v>26</v>
      </c>
      <c r="I31" s="2">
        <v>1</v>
      </c>
      <c r="J31" s="2" t="s">
        <v>857</v>
      </c>
      <c r="K31" s="2">
        <v>2103</v>
      </c>
      <c r="L31" s="2">
        <v>10</v>
      </c>
      <c r="M31" s="2">
        <v>1</v>
      </c>
      <c r="N31" s="2">
        <v>3</v>
      </c>
      <c r="O31" s="2">
        <v>1</v>
      </c>
      <c r="P31" s="2">
        <v>0</v>
      </c>
      <c r="Q31" t="s">
        <v>220</v>
      </c>
      <c r="R31" s="2" t="str">
        <f t="shared" si="0"/>
        <v>TRUE</v>
      </c>
      <c r="S31">
        <v>34.9</v>
      </c>
      <c r="T31">
        <v>30.16</v>
      </c>
      <c r="U31" s="12">
        <v>1000.01</v>
      </c>
      <c r="V31">
        <v>890.75</v>
      </c>
      <c r="W31">
        <v>254.09</v>
      </c>
      <c r="X31">
        <v>323.36</v>
      </c>
      <c r="Y31">
        <v>37.04</v>
      </c>
      <c r="Z31">
        <v>9.02</v>
      </c>
      <c r="AA31">
        <v>192.26</v>
      </c>
      <c r="AB31">
        <v>156.07</v>
      </c>
      <c r="AC31">
        <v>99.71</v>
      </c>
      <c r="AD31">
        <v>59.49</v>
      </c>
      <c r="AE31">
        <v>6.42</v>
      </c>
      <c r="AF31">
        <v>5.45</v>
      </c>
      <c r="AG31">
        <v>4.26</v>
      </c>
      <c r="AH31" s="14">
        <v>2.4900000000000002</v>
      </c>
      <c r="AI31">
        <v>17.16</v>
      </c>
      <c r="AJ31">
        <v>48.78</v>
      </c>
      <c r="AK31" s="14">
        <v>4.99</v>
      </c>
      <c r="AL31">
        <v>460.99</v>
      </c>
      <c r="AM31">
        <v>117.27</v>
      </c>
      <c r="AN31">
        <v>85.03</v>
      </c>
    </row>
    <row r="32" spans="1:40" ht="15.75" hidden="1">
      <c r="A32" s="2" t="s">
        <v>169</v>
      </c>
      <c r="B32" s="8" t="s">
        <v>1075</v>
      </c>
      <c r="C32" s="2" t="s">
        <v>870</v>
      </c>
      <c r="D32" s="2" t="s">
        <v>862</v>
      </c>
      <c r="E32" s="2" t="s">
        <v>856</v>
      </c>
      <c r="F32" s="3">
        <v>26595</v>
      </c>
      <c r="G32" s="3">
        <v>43480</v>
      </c>
      <c r="H32" s="2">
        <v>46</v>
      </c>
      <c r="I32" s="2">
        <v>1</v>
      </c>
      <c r="J32" s="2" t="s">
        <v>857</v>
      </c>
      <c r="K32" s="2">
        <v>208</v>
      </c>
      <c r="L32" s="2" t="s">
        <v>856</v>
      </c>
      <c r="M32" s="2">
        <v>1</v>
      </c>
      <c r="N32" s="2">
        <v>2</v>
      </c>
      <c r="O32" s="2">
        <v>1</v>
      </c>
      <c r="P32" s="2">
        <v>0</v>
      </c>
      <c r="Q32" t="s">
        <v>169</v>
      </c>
      <c r="R32" s="2" t="str">
        <f t="shared" si="0"/>
        <v>TRUE</v>
      </c>
      <c r="S32">
        <v>14.06</v>
      </c>
      <c r="T32">
        <v>27.56</v>
      </c>
      <c r="U32" s="12">
        <v>1000.01</v>
      </c>
      <c r="V32">
        <v>25.35</v>
      </c>
      <c r="W32">
        <v>400.04</v>
      </c>
      <c r="X32">
        <v>348.41</v>
      </c>
      <c r="Y32">
        <v>84.83</v>
      </c>
      <c r="Z32">
        <v>11.44</v>
      </c>
      <c r="AA32">
        <v>1143.5999999999999</v>
      </c>
      <c r="AB32">
        <v>34.67</v>
      </c>
      <c r="AC32">
        <v>490.77</v>
      </c>
      <c r="AD32">
        <v>103.56</v>
      </c>
      <c r="AE32">
        <v>8.1300000000000008</v>
      </c>
      <c r="AF32">
        <v>37.51</v>
      </c>
      <c r="AG32" s="14">
        <v>2.4900000000000002</v>
      </c>
      <c r="AH32">
        <v>7.56</v>
      </c>
      <c r="AI32" s="14">
        <v>9.99</v>
      </c>
      <c r="AJ32">
        <v>63.17</v>
      </c>
      <c r="AK32">
        <v>6.06</v>
      </c>
      <c r="AL32">
        <v>68.7</v>
      </c>
      <c r="AM32">
        <v>205.54</v>
      </c>
      <c r="AN32">
        <v>9.25</v>
      </c>
    </row>
    <row r="33" spans="1:40" ht="15.75" hidden="1">
      <c r="A33" s="2" t="s">
        <v>463</v>
      </c>
      <c r="B33" s="8" t="s">
        <v>1076</v>
      </c>
      <c r="C33" s="2" t="s">
        <v>865</v>
      </c>
      <c r="D33" s="2" t="s">
        <v>872</v>
      </c>
      <c r="E33" s="2" t="s">
        <v>864</v>
      </c>
      <c r="F33" s="3">
        <v>33519</v>
      </c>
      <c r="G33" s="3">
        <v>43487</v>
      </c>
      <c r="H33" s="2">
        <v>27</v>
      </c>
      <c r="I33" s="2">
        <v>1</v>
      </c>
      <c r="J33" s="2" t="s">
        <v>857</v>
      </c>
      <c r="K33" s="2">
        <v>448</v>
      </c>
      <c r="L33" s="2">
        <v>2</v>
      </c>
      <c r="M33">
        <v>1</v>
      </c>
      <c r="N33">
        <v>1</v>
      </c>
      <c r="O33" s="18">
        <v>0</v>
      </c>
      <c r="P33" s="18">
        <v>0</v>
      </c>
      <c r="Q33" t="s">
        <v>463</v>
      </c>
      <c r="R33" s="2" t="str">
        <f t="shared" si="0"/>
        <v>TRUE</v>
      </c>
      <c r="S33">
        <v>28.42</v>
      </c>
      <c r="T33">
        <v>7.07</v>
      </c>
      <c r="U33">
        <v>198.35</v>
      </c>
      <c r="V33">
        <v>368.39</v>
      </c>
      <c r="W33">
        <v>31.77</v>
      </c>
      <c r="X33" s="12">
        <v>1000.01</v>
      </c>
      <c r="Y33">
        <v>38.630000000000003</v>
      </c>
      <c r="Z33">
        <v>10.42</v>
      </c>
      <c r="AA33" s="14">
        <v>2500.0100000000002</v>
      </c>
      <c r="AB33" s="14">
        <v>2500.0100000000002</v>
      </c>
      <c r="AC33" s="14">
        <v>2500.0100000000002</v>
      </c>
      <c r="AD33" s="14">
        <v>1000.01</v>
      </c>
      <c r="AE33">
        <v>62.33</v>
      </c>
      <c r="AF33">
        <v>409.52</v>
      </c>
      <c r="AG33">
        <v>351.56</v>
      </c>
      <c r="AH33">
        <v>882.39</v>
      </c>
      <c r="AI33">
        <v>688.59</v>
      </c>
      <c r="AJ33">
        <v>494.33</v>
      </c>
      <c r="AK33">
        <v>52</v>
      </c>
      <c r="AL33">
        <v>2500.0100000000002</v>
      </c>
      <c r="AM33">
        <v>250.65</v>
      </c>
      <c r="AN33">
        <v>1100.58</v>
      </c>
    </row>
    <row r="34" spans="1:40" ht="15.75">
      <c r="A34" s="2" t="s">
        <v>763</v>
      </c>
      <c r="B34" s="8" t="s">
        <v>936</v>
      </c>
      <c r="C34" s="2" t="s">
        <v>858</v>
      </c>
      <c r="D34" s="2" t="s">
        <v>863</v>
      </c>
      <c r="E34" s="2" t="s">
        <v>864</v>
      </c>
      <c r="F34" s="3">
        <v>35129</v>
      </c>
      <c r="G34" s="3">
        <v>43489</v>
      </c>
      <c r="H34" s="2">
        <v>23</v>
      </c>
      <c r="I34" s="2">
        <v>1</v>
      </c>
      <c r="J34" s="2" t="s">
        <v>857</v>
      </c>
      <c r="K34" s="2">
        <v>6000</v>
      </c>
      <c r="L34" s="2">
        <v>7</v>
      </c>
      <c r="M34">
        <v>0</v>
      </c>
      <c r="N34">
        <v>2</v>
      </c>
      <c r="O34" s="18">
        <v>1</v>
      </c>
      <c r="P34" s="18">
        <v>0</v>
      </c>
      <c r="Q34" t="s">
        <v>763</v>
      </c>
      <c r="R34" s="2" t="str">
        <f t="shared" ref="R34:R65" si="1">IF(A34=Q34, "TRUE", "FALSE")</f>
        <v>TRUE</v>
      </c>
      <c r="S34">
        <v>8.59</v>
      </c>
      <c r="T34">
        <v>0.99</v>
      </c>
      <c r="U34">
        <v>2.06</v>
      </c>
      <c r="V34">
        <v>3.12</v>
      </c>
      <c r="W34">
        <v>2.3199999999999998</v>
      </c>
      <c r="X34">
        <v>1.87</v>
      </c>
      <c r="Y34">
        <v>5.32</v>
      </c>
      <c r="Z34">
        <v>2.0299999999999998</v>
      </c>
      <c r="AA34">
        <v>28.82</v>
      </c>
      <c r="AB34">
        <v>2.56</v>
      </c>
      <c r="AC34">
        <v>2.4900000000000002</v>
      </c>
      <c r="AD34" s="14">
        <v>1000.01</v>
      </c>
      <c r="AE34">
        <v>5.05</v>
      </c>
      <c r="AF34">
        <v>17.100000000000001</v>
      </c>
      <c r="AG34" s="14">
        <v>2.4900000000000002</v>
      </c>
      <c r="AH34">
        <v>6.07</v>
      </c>
      <c r="AI34">
        <v>50.42</v>
      </c>
      <c r="AJ34">
        <v>13.6</v>
      </c>
      <c r="AK34">
        <v>11.53</v>
      </c>
      <c r="AL34">
        <v>49.15</v>
      </c>
      <c r="AM34" s="14">
        <v>4.99</v>
      </c>
      <c r="AN34" s="14">
        <v>4.99</v>
      </c>
    </row>
    <row r="35" spans="1:40" ht="15.75" hidden="1">
      <c r="A35" s="2" t="s">
        <v>616</v>
      </c>
      <c r="B35" s="8" t="s">
        <v>939</v>
      </c>
      <c r="C35" s="2" t="s">
        <v>858</v>
      </c>
      <c r="D35" s="2" t="s">
        <v>859</v>
      </c>
      <c r="E35" s="2" t="s">
        <v>864</v>
      </c>
      <c r="F35" s="3">
        <v>25311</v>
      </c>
      <c r="G35" s="3">
        <v>43511</v>
      </c>
      <c r="H35" s="2">
        <v>49</v>
      </c>
      <c r="I35" s="2">
        <v>1</v>
      </c>
      <c r="J35" s="2" t="s">
        <v>857</v>
      </c>
      <c r="K35" s="2">
        <v>2216</v>
      </c>
      <c r="L35" s="2">
        <v>7</v>
      </c>
      <c r="M35">
        <v>1</v>
      </c>
      <c r="N35">
        <v>3</v>
      </c>
      <c r="O35" s="18">
        <v>1</v>
      </c>
      <c r="P35" s="18">
        <v>0</v>
      </c>
      <c r="Q35" t="s">
        <v>616</v>
      </c>
      <c r="R35" s="2" t="str">
        <f t="shared" si="1"/>
        <v>TRUE</v>
      </c>
      <c r="S35">
        <v>6.6</v>
      </c>
      <c r="T35">
        <v>0.99</v>
      </c>
      <c r="U35">
        <v>27</v>
      </c>
      <c r="V35">
        <v>30.39</v>
      </c>
      <c r="W35">
        <v>4.84</v>
      </c>
      <c r="X35">
        <v>2.74</v>
      </c>
      <c r="Y35">
        <v>6.52</v>
      </c>
      <c r="Z35" s="13">
        <v>0.99</v>
      </c>
      <c r="AA35">
        <v>382.65</v>
      </c>
      <c r="AB35">
        <v>51.9</v>
      </c>
      <c r="AC35">
        <v>34.6</v>
      </c>
      <c r="AD35">
        <v>312.16000000000003</v>
      </c>
      <c r="AE35">
        <v>3.72</v>
      </c>
      <c r="AF35">
        <v>24.09</v>
      </c>
      <c r="AG35" s="14">
        <v>2.4900000000000002</v>
      </c>
      <c r="AH35">
        <v>28.38</v>
      </c>
      <c r="AI35" s="14">
        <v>9.99</v>
      </c>
      <c r="AJ35">
        <v>102.01</v>
      </c>
      <c r="AK35">
        <v>9.65</v>
      </c>
      <c r="AL35">
        <v>69.19</v>
      </c>
      <c r="AM35">
        <v>40.65</v>
      </c>
      <c r="AN35">
        <v>43.1</v>
      </c>
    </row>
    <row r="36" spans="1:40" ht="15.75" hidden="1">
      <c r="A36" s="2" t="s">
        <v>595</v>
      </c>
      <c r="B36" s="8" t="s">
        <v>896</v>
      </c>
      <c r="C36" s="2" t="s">
        <v>858</v>
      </c>
      <c r="D36" s="2" t="s">
        <v>859</v>
      </c>
      <c r="E36" s="2" t="s">
        <v>860</v>
      </c>
      <c r="F36" s="3">
        <v>36595</v>
      </c>
      <c r="G36" s="3">
        <v>43490</v>
      </c>
      <c r="H36" s="2">
        <v>18</v>
      </c>
      <c r="I36" s="2">
        <v>1</v>
      </c>
      <c r="J36" s="2" t="s">
        <v>861</v>
      </c>
      <c r="K36" s="2">
        <v>1276</v>
      </c>
      <c r="L36" s="2">
        <v>11</v>
      </c>
      <c r="M36">
        <v>1</v>
      </c>
      <c r="N36">
        <v>2</v>
      </c>
      <c r="O36" s="18">
        <v>1</v>
      </c>
      <c r="P36" s="18">
        <v>0</v>
      </c>
      <c r="Q36" t="s">
        <v>595</v>
      </c>
      <c r="R36" s="2" t="str">
        <f t="shared" si="1"/>
        <v>TRUE</v>
      </c>
      <c r="S36">
        <v>22.25</v>
      </c>
      <c r="T36">
        <v>2.93</v>
      </c>
      <c r="U36">
        <v>114.43</v>
      </c>
      <c r="V36">
        <v>66.150000000000006</v>
      </c>
      <c r="W36">
        <v>313.52999999999997</v>
      </c>
      <c r="X36">
        <v>24.36</v>
      </c>
      <c r="Y36">
        <v>121.18</v>
      </c>
      <c r="Z36">
        <v>11.49</v>
      </c>
      <c r="AA36" s="14">
        <v>2500.0100000000002</v>
      </c>
      <c r="AB36">
        <v>449.24</v>
      </c>
      <c r="AC36">
        <v>235.58</v>
      </c>
      <c r="AD36" s="14">
        <v>1000.01</v>
      </c>
      <c r="AE36">
        <v>95.13</v>
      </c>
      <c r="AF36">
        <v>566.62</v>
      </c>
      <c r="AG36">
        <v>48.35</v>
      </c>
      <c r="AH36">
        <v>183.48</v>
      </c>
      <c r="AI36">
        <v>26.41</v>
      </c>
      <c r="AJ36">
        <v>457.35</v>
      </c>
      <c r="AK36">
        <v>81.78</v>
      </c>
      <c r="AL36">
        <v>124.59</v>
      </c>
      <c r="AM36">
        <v>49.48</v>
      </c>
      <c r="AN36">
        <v>98.8</v>
      </c>
    </row>
    <row r="37" spans="1:40" ht="15.75" hidden="1">
      <c r="A37" s="2" t="s">
        <v>694</v>
      </c>
      <c r="B37" s="8" t="s">
        <v>1077</v>
      </c>
      <c r="C37" s="2" t="s">
        <v>865</v>
      </c>
      <c r="D37" s="2" t="s">
        <v>873</v>
      </c>
      <c r="E37" s="2" t="s">
        <v>864</v>
      </c>
      <c r="F37" s="3">
        <v>35185</v>
      </c>
      <c r="G37" s="3">
        <v>43501</v>
      </c>
      <c r="H37" s="2">
        <v>22</v>
      </c>
      <c r="I37" s="2">
        <v>1</v>
      </c>
      <c r="J37" s="2" t="s">
        <v>861</v>
      </c>
      <c r="K37" s="2">
        <v>307</v>
      </c>
      <c r="L37" s="2">
        <v>4</v>
      </c>
      <c r="M37">
        <v>1</v>
      </c>
      <c r="N37">
        <v>2</v>
      </c>
      <c r="O37" s="18">
        <v>1</v>
      </c>
      <c r="P37" s="18">
        <v>0</v>
      </c>
      <c r="Q37" t="s">
        <v>694</v>
      </c>
      <c r="R37" s="2" t="str">
        <f t="shared" si="1"/>
        <v>TRUE</v>
      </c>
      <c r="S37">
        <v>17.22</v>
      </c>
      <c r="T37">
        <v>2.94</v>
      </c>
      <c r="U37">
        <v>71.069999999999993</v>
      </c>
      <c r="V37">
        <v>0.99</v>
      </c>
      <c r="W37">
        <v>576.70000000000005</v>
      </c>
      <c r="X37">
        <v>29.23</v>
      </c>
      <c r="Y37">
        <v>12.02</v>
      </c>
      <c r="Z37">
        <v>8.65</v>
      </c>
      <c r="AA37">
        <v>494.2</v>
      </c>
      <c r="AB37">
        <v>2.4900000000000002</v>
      </c>
      <c r="AC37">
        <v>42.03</v>
      </c>
      <c r="AD37">
        <v>35.83</v>
      </c>
      <c r="AE37">
        <v>26.73</v>
      </c>
      <c r="AF37">
        <v>81.239999999999995</v>
      </c>
      <c r="AG37" s="14">
        <v>2.4900000000000002</v>
      </c>
      <c r="AH37">
        <v>7.13</v>
      </c>
      <c r="AI37" s="14">
        <v>9.99</v>
      </c>
      <c r="AJ37">
        <v>75.44</v>
      </c>
      <c r="AK37">
        <v>16.309999999999999</v>
      </c>
      <c r="AL37" s="14">
        <v>4.99</v>
      </c>
      <c r="AM37">
        <v>31.45</v>
      </c>
      <c r="AN37" s="14">
        <v>4.99</v>
      </c>
    </row>
    <row r="38" spans="1:40" ht="15.75">
      <c r="A38" s="2" t="s">
        <v>238</v>
      </c>
      <c r="B38" s="8" t="s">
        <v>1078</v>
      </c>
      <c r="C38" s="2" t="s">
        <v>858</v>
      </c>
      <c r="D38" s="2" t="s">
        <v>859</v>
      </c>
      <c r="E38" s="2" t="s">
        <v>860</v>
      </c>
      <c r="F38" s="3">
        <v>34403</v>
      </c>
      <c r="G38" s="3">
        <v>43516</v>
      </c>
      <c r="H38" s="2">
        <v>24</v>
      </c>
      <c r="I38" s="2">
        <v>1</v>
      </c>
      <c r="J38" s="2" t="s">
        <v>861</v>
      </c>
      <c r="K38" s="2">
        <v>2021</v>
      </c>
      <c r="L38" s="2">
        <v>5</v>
      </c>
      <c r="M38">
        <v>0</v>
      </c>
      <c r="N38">
        <v>1</v>
      </c>
      <c r="O38" s="18">
        <v>0</v>
      </c>
      <c r="P38" s="18">
        <v>1</v>
      </c>
      <c r="Q38" t="s">
        <v>238</v>
      </c>
      <c r="R38" s="2" t="str">
        <f t="shared" si="1"/>
        <v>TRUE</v>
      </c>
      <c r="S38">
        <v>17.010000000000002</v>
      </c>
      <c r="T38">
        <v>0.99</v>
      </c>
      <c r="U38">
        <v>11.74</v>
      </c>
      <c r="V38">
        <v>13.69</v>
      </c>
      <c r="W38">
        <v>5.74</v>
      </c>
      <c r="X38">
        <v>2.08</v>
      </c>
      <c r="Y38">
        <v>16</v>
      </c>
      <c r="Z38" s="13">
        <v>0.99</v>
      </c>
      <c r="AA38">
        <v>641.42999999999995</v>
      </c>
      <c r="AB38">
        <v>145.87</v>
      </c>
      <c r="AC38">
        <v>21.84</v>
      </c>
      <c r="AD38">
        <v>260.49</v>
      </c>
      <c r="AE38">
        <v>25.78</v>
      </c>
      <c r="AF38">
        <v>8.82</v>
      </c>
      <c r="AG38">
        <v>2.58</v>
      </c>
      <c r="AH38">
        <v>6.89</v>
      </c>
      <c r="AI38" s="14">
        <v>9.99</v>
      </c>
      <c r="AJ38">
        <v>80.709999999999994</v>
      </c>
      <c r="AK38" s="14">
        <v>4.99</v>
      </c>
      <c r="AL38">
        <v>133.72999999999999</v>
      </c>
      <c r="AM38">
        <v>11.29</v>
      </c>
      <c r="AN38">
        <v>66.7</v>
      </c>
    </row>
    <row r="39" spans="1:40" ht="15.75">
      <c r="A39" s="2" t="s">
        <v>148</v>
      </c>
      <c r="B39" s="8" t="s">
        <v>1079</v>
      </c>
      <c r="C39" s="2" t="s">
        <v>870</v>
      </c>
      <c r="D39" s="2" t="s">
        <v>871</v>
      </c>
      <c r="E39" s="2" t="s">
        <v>856</v>
      </c>
      <c r="F39" s="3">
        <v>29872</v>
      </c>
      <c r="G39" s="3">
        <v>43521</v>
      </c>
      <c r="H39" s="2">
        <v>37</v>
      </c>
      <c r="I39" s="2">
        <v>1</v>
      </c>
      <c r="J39" s="2" t="s">
        <v>857</v>
      </c>
      <c r="K39" s="2">
        <v>370</v>
      </c>
      <c r="L39" s="2" t="s">
        <v>856</v>
      </c>
      <c r="M39" s="2">
        <v>0</v>
      </c>
      <c r="N39" s="2">
        <v>2</v>
      </c>
      <c r="O39" s="2">
        <v>1</v>
      </c>
      <c r="P39" s="2">
        <v>0</v>
      </c>
      <c r="Q39" t="s">
        <v>148</v>
      </c>
      <c r="R39" s="2" t="str">
        <f t="shared" si="1"/>
        <v>TRUE</v>
      </c>
      <c r="S39">
        <v>16.2</v>
      </c>
      <c r="T39">
        <v>0.99</v>
      </c>
      <c r="U39">
        <v>107.84</v>
      </c>
      <c r="V39">
        <v>19.940000000000001</v>
      </c>
      <c r="W39">
        <v>7.1</v>
      </c>
      <c r="X39">
        <v>14.16</v>
      </c>
      <c r="Y39">
        <v>8.5500000000000007</v>
      </c>
      <c r="Z39" s="13">
        <v>0.99</v>
      </c>
      <c r="AA39">
        <v>101.66</v>
      </c>
      <c r="AB39">
        <v>40.380000000000003</v>
      </c>
      <c r="AC39">
        <v>17.82</v>
      </c>
      <c r="AD39">
        <v>25.05</v>
      </c>
      <c r="AE39">
        <v>2.99</v>
      </c>
      <c r="AF39">
        <v>11.91</v>
      </c>
      <c r="AG39">
        <v>4.6500000000000004</v>
      </c>
      <c r="AH39">
        <v>5.55</v>
      </c>
      <c r="AI39">
        <v>53.2</v>
      </c>
      <c r="AJ39">
        <v>23.13</v>
      </c>
      <c r="AK39" s="14">
        <v>4.99</v>
      </c>
      <c r="AL39">
        <v>570.59</v>
      </c>
      <c r="AM39">
        <v>16.77</v>
      </c>
      <c r="AN39">
        <v>20.49</v>
      </c>
    </row>
    <row r="40" spans="1:40" ht="15.75">
      <c r="A40" s="2" t="s">
        <v>349</v>
      </c>
      <c r="B40" s="8" t="s">
        <v>898</v>
      </c>
      <c r="C40" s="2" t="s">
        <v>858</v>
      </c>
      <c r="D40" s="2" t="s">
        <v>863</v>
      </c>
      <c r="E40" s="2" t="s">
        <v>860</v>
      </c>
      <c r="F40" s="3">
        <v>29943</v>
      </c>
      <c r="G40" s="3">
        <v>43525</v>
      </c>
      <c r="H40" s="2">
        <v>37</v>
      </c>
      <c r="I40" s="2">
        <v>1</v>
      </c>
      <c r="J40" s="2" t="s">
        <v>857</v>
      </c>
      <c r="K40" s="2">
        <v>922</v>
      </c>
      <c r="L40" s="2">
        <v>8</v>
      </c>
      <c r="M40">
        <v>0</v>
      </c>
      <c r="N40">
        <v>3</v>
      </c>
      <c r="O40" s="18">
        <v>1</v>
      </c>
      <c r="P40" s="18">
        <v>0</v>
      </c>
      <c r="Q40" t="s">
        <v>349</v>
      </c>
      <c r="R40" s="2" t="str">
        <f t="shared" si="1"/>
        <v>TRUE</v>
      </c>
      <c r="S40">
        <v>21.37</v>
      </c>
      <c r="T40">
        <v>3.82</v>
      </c>
      <c r="U40">
        <v>80.3</v>
      </c>
      <c r="V40">
        <v>104.3</v>
      </c>
      <c r="W40">
        <v>234.88</v>
      </c>
      <c r="X40">
        <v>59.5</v>
      </c>
      <c r="Y40">
        <v>92.3</v>
      </c>
      <c r="Z40">
        <v>14.28</v>
      </c>
      <c r="AA40">
        <v>1328.7</v>
      </c>
      <c r="AB40">
        <v>196.36</v>
      </c>
      <c r="AC40">
        <v>168.85</v>
      </c>
      <c r="AD40">
        <v>319.77</v>
      </c>
      <c r="AE40">
        <v>29.64</v>
      </c>
      <c r="AF40">
        <v>127.12</v>
      </c>
      <c r="AG40">
        <v>25.84</v>
      </c>
      <c r="AH40">
        <v>36.33</v>
      </c>
      <c r="AI40">
        <v>84.8</v>
      </c>
      <c r="AJ40">
        <v>142.54</v>
      </c>
      <c r="AK40">
        <v>25.78</v>
      </c>
      <c r="AL40">
        <v>283.81</v>
      </c>
      <c r="AM40">
        <v>33.200000000000003</v>
      </c>
      <c r="AN40">
        <v>64.010000000000005</v>
      </c>
    </row>
    <row r="41" spans="1:40" ht="15.75">
      <c r="A41" s="2" t="s">
        <v>117</v>
      </c>
      <c r="B41" s="8" t="s">
        <v>940</v>
      </c>
      <c r="C41" s="2" t="s">
        <v>858</v>
      </c>
      <c r="D41" s="2" t="s">
        <v>859</v>
      </c>
      <c r="E41" s="2" t="s">
        <v>864</v>
      </c>
      <c r="F41" s="3">
        <v>31823</v>
      </c>
      <c r="G41" s="3">
        <v>43546</v>
      </c>
      <c r="H41" s="2">
        <v>32</v>
      </c>
      <c r="I41" s="2">
        <v>1</v>
      </c>
      <c r="J41" s="2" t="s">
        <v>861</v>
      </c>
      <c r="K41" s="2">
        <v>306</v>
      </c>
      <c r="L41" s="2">
        <v>4</v>
      </c>
      <c r="M41">
        <v>0</v>
      </c>
      <c r="N41">
        <v>2</v>
      </c>
      <c r="O41" s="18">
        <v>0</v>
      </c>
      <c r="P41" s="18">
        <v>0</v>
      </c>
      <c r="Q41" t="s">
        <v>117</v>
      </c>
      <c r="R41" s="2" t="str">
        <f t="shared" si="1"/>
        <v>TRUE</v>
      </c>
      <c r="S41">
        <v>10.69</v>
      </c>
      <c r="T41">
        <v>3.82</v>
      </c>
      <c r="U41">
        <v>93.12</v>
      </c>
      <c r="V41">
        <v>65.69</v>
      </c>
      <c r="W41">
        <v>136.81</v>
      </c>
      <c r="X41">
        <v>33.869999999999997</v>
      </c>
      <c r="Y41">
        <v>37.53</v>
      </c>
      <c r="Z41">
        <v>6.55</v>
      </c>
      <c r="AA41">
        <v>475.41</v>
      </c>
      <c r="AB41">
        <v>40.01</v>
      </c>
      <c r="AC41">
        <v>35.020000000000003</v>
      </c>
      <c r="AD41">
        <v>201.93</v>
      </c>
      <c r="AE41">
        <v>13.81</v>
      </c>
      <c r="AF41">
        <v>106.77</v>
      </c>
      <c r="AG41">
        <v>14.88</v>
      </c>
      <c r="AH41">
        <v>44.62</v>
      </c>
      <c r="AI41">
        <v>29.25</v>
      </c>
      <c r="AJ41">
        <v>163.04</v>
      </c>
      <c r="AK41">
        <v>52.42</v>
      </c>
      <c r="AL41">
        <v>77.459999999999994</v>
      </c>
      <c r="AM41">
        <v>42.43</v>
      </c>
      <c r="AN41">
        <v>38.659999999999997</v>
      </c>
    </row>
    <row r="42" spans="1:40" ht="15.75">
      <c r="A42" s="2" t="s">
        <v>586</v>
      </c>
      <c r="B42" s="8" t="s">
        <v>1080</v>
      </c>
      <c r="C42" s="2" t="s">
        <v>854</v>
      </c>
      <c r="D42" s="2" t="s">
        <v>862</v>
      </c>
      <c r="E42" s="2" t="s">
        <v>856</v>
      </c>
      <c r="F42" s="3">
        <v>34502</v>
      </c>
      <c r="G42" s="3">
        <v>43677</v>
      </c>
      <c r="H42" s="2">
        <v>25</v>
      </c>
      <c r="I42" s="2">
        <v>1</v>
      </c>
      <c r="J42" s="2" t="s">
        <v>861</v>
      </c>
      <c r="K42" s="2">
        <v>769</v>
      </c>
      <c r="L42" s="2" t="s">
        <v>856</v>
      </c>
      <c r="M42">
        <v>0</v>
      </c>
      <c r="N42">
        <v>2</v>
      </c>
      <c r="O42">
        <v>1</v>
      </c>
      <c r="P42">
        <v>0</v>
      </c>
      <c r="Q42" t="s">
        <v>586</v>
      </c>
      <c r="R42" s="2" t="str">
        <f t="shared" si="1"/>
        <v>TRUE</v>
      </c>
      <c r="S42">
        <v>21.83</v>
      </c>
      <c r="T42">
        <v>12.42</v>
      </c>
      <c r="U42">
        <v>147.13999999999999</v>
      </c>
      <c r="V42">
        <v>73.64</v>
      </c>
      <c r="W42">
        <v>217.14</v>
      </c>
      <c r="X42">
        <v>26.78</v>
      </c>
      <c r="Y42">
        <v>50.58</v>
      </c>
      <c r="Z42">
        <v>5.65</v>
      </c>
      <c r="AA42">
        <v>1071.29</v>
      </c>
      <c r="AB42">
        <v>161.43</v>
      </c>
      <c r="AC42">
        <v>82.52</v>
      </c>
      <c r="AD42">
        <v>642.49</v>
      </c>
      <c r="AE42">
        <v>90.05</v>
      </c>
      <c r="AF42">
        <v>441.62</v>
      </c>
      <c r="AG42">
        <v>67.75</v>
      </c>
      <c r="AH42">
        <v>369.12</v>
      </c>
      <c r="AI42">
        <v>31.18</v>
      </c>
      <c r="AJ42">
        <v>155.81</v>
      </c>
      <c r="AK42">
        <v>68.14</v>
      </c>
      <c r="AL42">
        <v>27.46</v>
      </c>
      <c r="AM42">
        <v>30.84</v>
      </c>
      <c r="AN42">
        <v>58.41</v>
      </c>
    </row>
    <row r="43" spans="1:40" ht="15.75" hidden="1">
      <c r="A43" s="2" t="s">
        <v>829</v>
      </c>
      <c r="B43" s="8" t="s">
        <v>979</v>
      </c>
      <c r="C43" s="2" t="s">
        <v>865</v>
      </c>
      <c r="D43" s="2" t="s">
        <v>866</v>
      </c>
      <c r="E43" s="2" t="s">
        <v>864</v>
      </c>
      <c r="F43" s="3">
        <v>22293</v>
      </c>
      <c r="G43" s="3">
        <v>43657</v>
      </c>
      <c r="H43" s="2">
        <v>58</v>
      </c>
      <c r="I43" s="2">
        <v>1</v>
      </c>
      <c r="J43" s="2" t="s">
        <v>861</v>
      </c>
      <c r="K43" s="2">
        <v>1013</v>
      </c>
      <c r="L43" s="2">
        <v>8</v>
      </c>
      <c r="M43">
        <v>1</v>
      </c>
      <c r="N43">
        <v>2</v>
      </c>
      <c r="O43">
        <v>1</v>
      </c>
      <c r="P43">
        <v>0</v>
      </c>
      <c r="Q43" t="s">
        <v>829</v>
      </c>
      <c r="R43" s="2" t="str">
        <f t="shared" si="1"/>
        <v>TRUE</v>
      </c>
      <c r="S43">
        <v>9.91</v>
      </c>
      <c r="T43">
        <v>0.99</v>
      </c>
      <c r="U43">
        <v>31.08</v>
      </c>
      <c r="V43">
        <v>49.34</v>
      </c>
      <c r="W43">
        <v>14.52</v>
      </c>
      <c r="X43">
        <v>3.56</v>
      </c>
      <c r="Y43">
        <v>18.13</v>
      </c>
      <c r="Z43">
        <v>1.88</v>
      </c>
      <c r="AA43" s="15">
        <v>1560.98</v>
      </c>
      <c r="AB43">
        <v>68.77</v>
      </c>
      <c r="AC43">
        <v>7.98</v>
      </c>
      <c r="AD43">
        <v>46.83</v>
      </c>
      <c r="AE43">
        <v>3.27</v>
      </c>
      <c r="AF43">
        <v>15.54</v>
      </c>
      <c r="AG43">
        <v>7.33</v>
      </c>
      <c r="AH43">
        <v>11.75</v>
      </c>
      <c r="AI43">
        <v>58.86</v>
      </c>
      <c r="AJ43">
        <v>35.47</v>
      </c>
      <c r="AK43">
        <v>5.32</v>
      </c>
      <c r="AL43">
        <v>262.2</v>
      </c>
      <c r="AM43">
        <v>14.9</v>
      </c>
      <c r="AN43">
        <v>73.31</v>
      </c>
    </row>
    <row r="44" spans="1:40" ht="15.75">
      <c r="A44" s="2" t="s">
        <v>778</v>
      </c>
      <c r="B44" s="8" t="s">
        <v>1081</v>
      </c>
      <c r="C44" s="2" t="s">
        <v>854</v>
      </c>
      <c r="D44" s="2" t="s">
        <v>871</v>
      </c>
      <c r="E44" s="2" t="s">
        <v>856</v>
      </c>
      <c r="F44" s="3">
        <v>34656</v>
      </c>
      <c r="G44" s="3">
        <v>43695</v>
      </c>
      <c r="H44" s="2">
        <v>24</v>
      </c>
      <c r="I44" s="2">
        <v>1</v>
      </c>
      <c r="J44" s="2" t="s">
        <v>857</v>
      </c>
      <c r="K44" s="2" t="s">
        <v>856</v>
      </c>
      <c r="L44" s="2" t="s">
        <v>856</v>
      </c>
      <c r="M44">
        <v>0</v>
      </c>
      <c r="N44">
        <v>2</v>
      </c>
      <c r="O44">
        <v>1</v>
      </c>
      <c r="P44">
        <v>0</v>
      </c>
      <c r="Q44" t="s">
        <v>778</v>
      </c>
      <c r="R44" s="2" t="str">
        <f t="shared" si="1"/>
        <v>TRUE</v>
      </c>
      <c r="S44">
        <v>9.7899999999999991</v>
      </c>
      <c r="T44">
        <v>1.63</v>
      </c>
      <c r="U44">
        <v>15.66</v>
      </c>
      <c r="V44">
        <v>7.4</v>
      </c>
      <c r="W44">
        <v>37.6</v>
      </c>
      <c r="X44">
        <v>6.75</v>
      </c>
      <c r="Y44">
        <v>47.89</v>
      </c>
      <c r="Z44">
        <v>1.92</v>
      </c>
      <c r="AA44">
        <v>2500.0100000000002</v>
      </c>
      <c r="AB44">
        <v>285.51</v>
      </c>
      <c r="AC44">
        <v>98.36</v>
      </c>
      <c r="AD44" s="14">
        <v>1000.01</v>
      </c>
      <c r="AE44">
        <v>61.38</v>
      </c>
      <c r="AF44">
        <v>720.08</v>
      </c>
      <c r="AG44">
        <v>68.11</v>
      </c>
      <c r="AH44">
        <v>233.36</v>
      </c>
      <c r="AI44">
        <v>262.10000000000002</v>
      </c>
      <c r="AJ44">
        <v>298.74</v>
      </c>
      <c r="AK44">
        <v>64.709999999999994</v>
      </c>
      <c r="AL44">
        <v>521</v>
      </c>
      <c r="AM44">
        <v>29.17</v>
      </c>
      <c r="AN44">
        <v>58.72</v>
      </c>
    </row>
    <row r="45" spans="1:40" ht="15.75">
      <c r="A45" s="2" t="s">
        <v>754</v>
      </c>
      <c r="B45" s="8" t="s">
        <v>1082</v>
      </c>
      <c r="C45" s="2" t="s">
        <v>865</v>
      </c>
      <c r="D45" s="2" t="s">
        <v>873</v>
      </c>
      <c r="E45" s="2" t="s">
        <v>864</v>
      </c>
      <c r="F45" s="3">
        <v>25311</v>
      </c>
      <c r="G45" s="3">
        <v>43731</v>
      </c>
      <c r="H45" s="2">
        <v>50</v>
      </c>
      <c r="I45" s="2">
        <v>1</v>
      </c>
      <c r="J45" s="2" t="s">
        <v>857</v>
      </c>
      <c r="K45" s="2">
        <v>1112</v>
      </c>
      <c r="L45" s="2">
        <v>8</v>
      </c>
      <c r="M45">
        <v>0</v>
      </c>
      <c r="N45">
        <v>2</v>
      </c>
      <c r="O45" s="18">
        <v>1</v>
      </c>
      <c r="P45" s="18">
        <v>0</v>
      </c>
      <c r="Q45" t="s">
        <v>754</v>
      </c>
      <c r="R45" s="2" t="str">
        <f t="shared" si="1"/>
        <v>TRUE</v>
      </c>
      <c r="S45">
        <v>16.54</v>
      </c>
      <c r="T45">
        <v>2.08</v>
      </c>
      <c r="U45">
        <v>208.22</v>
      </c>
      <c r="V45">
        <v>291.97000000000003</v>
      </c>
      <c r="W45">
        <v>229.64</v>
      </c>
      <c r="X45">
        <v>52.81</v>
      </c>
      <c r="Y45">
        <v>20.28</v>
      </c>
      <c r="Z45" s="13">
        <v>0.99</v>
      </c>
      <c r="AA45">
        <v>1035.46</v>
      </c>
      <c r="AB45">
        <v>290.2</v>
      </c>
      <c r="AC45">
        <v>92.94</v>
      </c>
      <c r="AD45">
        <v>180.71</v>
      </c>
      <c r="AE45">
        <v>8.5500000000000007</v>
      </c>
      <c r="AF45">
        <v>70.540000000000006</v>
      </c>
      <c r="AG45">
        <v>21.18</v>
      </c>
      <c r="AH45">
        <v>11.71</v>
      </c>
      <c r="AI45">
        <v>153.96</v>
      </c>
      <c r="AJ45">
        <v>193.3</v>
      </c>
      <c r="AK45">
        <v>17.600000000000001</v>
      </c>
      <c r="AL45">
        <v>1567.36</v>
      </c>
      <c r="AM45">
        <v>32.36</v>
      </c>
      <c r="AN45">
        <v>168.56</v>
      </c>
    </row>
    <row r="46" spans="1:40" ht="15.75">
      <c r="A46" s="2" t="s">
        <v>508</v>
      </c>
      <c r="B46" s="8" t="s">
        <v>942</v>
      </c>
      <c r="C46" s="2" t="s">
        <v>858</v>
      </c>
      <c r="D46" s="2" t="s">
        <v>868</v>
      </c>
      <c r="E46" s="2" t="s">
        <v>864</v>
      </c>
      <c r="F46" s="3">
        <v>34720</v>
      </c>
      <c r="G46" s="3">
        <v>43812</v>
      </c>
      <c r="H46" s="2">
        <v>24</v>
      </c>
      <c r="I46" s="2">
        <v>1</v>
      </c>
      <c r="J46" s="2" t="s">
        <v>857</v>
      </c>
      <c r="K46" s="2">
        <v>375</v>
      </c>
      <c r="L46" s="2">
        <v>9</v>
      </c>
      <c r="M46">
        <v>0</v>
      </c>
      <c r="N46">
        <v>1</v>
      </c>
      <c r="O46" s="19">
        <v>0</v>
      </c>
      <c r="P46" s="19">
        <v>1</v>
      </c>
      <c r="Q46" t="s">
        <v>508</v>
      </c>
      <c r="R46" s="2" t="str">
        <f t="shared" si="1"/>
        <v>TRUE</v>
      </c>
      <c r="S46">
        <v>18.38</v>
      </c>
      <c r="T46">
        <v>3.57</v>
      </c>
      <c r="U46">
        <v>92.63</v>
      </c>
      <c r="V46">
        <v>409.96</v>
      </c>
      <c r="W46">
        <v>104.58</v>
      </c>
      <c r="X46">
        <v>29.8</v>
      </c>
      <c r="Y46">
        <v>74.349999999999994</v>
      </c>
      <c r="Z46">
        <v>1.06</v>
      </c>
      <c r="AA46">
        <v>1505.83</v>
      </c>
      <c r="AB46">
        <v>1299.6300000000001</v>
      </c>
      <c r="AC46">
        <v>72.989999999999995</v>
      </c>
      <c r="AD46" s="14">
        <v>1000.01</v>
      </c>
      <c r="AE46">
        <v>38.64</v>
      </c>
      <c r="AF46">
        <v>57.84</v>
      </c>
      <c r="AG46">
        <v>87.94</v>
      </c>
      <c r="AH46">
        <v>59.69</v>
      </c>
      <c r="AI46">
        <v>97.14</v>
      </c>
      <c r="AJ46">
        <v>325.49</v>
      </c>
      <c r="AK46">
        <v>14.78</v>
      </c>
      <c r="AL46">
        <v>1360.04</v>
      </c>
      <c r="AM46">
        <v>29.25</v>
      </c>
      <c r="AN46">
        <v>1178.56</v>
      </c>
    </row>
    <row r="47" spans="1:40" ht="15.75" hidden="1">
      <c r="A47" s="2" t="s">
        <v>123</v>
      </c>
      <c r="B47" s="8" t="s">
        <v>1083</v>
      </c>
      <c r="C47" s="2" t="s">
        <v>854</v>
      </c>
      <c r="D47" s="2" t="s">
        <v>862</v>
      </c>
      <c r="E47" s="2" t="s">
        <v>856</v>
      </c>
      <c r="F47" s="3">
        <v>29236</v>
      </c>
      <c r="G47" s="3">
        <v>43763</v>
      </c>
      <c r="H47" s="2">
        <v>39</v>
      </c>
      <c r="I47" s="2">
        <v>1</v>
      </c>
      <c r="J47" s="2" t="s">
        <v>857</v>
      </c>
      <c r="K47" s="2">
        <v>2317</v>
      </c>
      <c r="L47" s="2" t="s">
        <v>856</v>
      </c>
      <c r="M47">
        <v>1</v>
      </c>
      <c r="N47">
        <v>2</v>
      </c>
      <c r="O47">
        <v>1</v>
      </c>
      <c r="P47">
        <v>0</v>
      </c>
      <c r="Q47" t="s">
        <v>123</v>
      </c>
      <c r="R47" s="2" t="str">
        <f t="shared" si="1"/>
        <v>TRUE</v>
      </c>
      <c r="S47">
        <v>24.6</v>
      </c>
      <c r="T47">
        <v>5.45</v>
      </c>
      <c r="U47">
        <v>364.23</v>
      </c>
      <c r="V47">
        <v>106.17</v>
      </c>
      <c r="W47">
        <v>140.9</v>
      </c>
      <c r="X47">
        <v>70.44</v>
      </c>
      <c r="Y47">
        <v>153.84</v>
      </c>
      <c r="Z47">
        <v>9.67</v>
      </c>
      <c r="AA47">
        <v>517.97</v>
      </c>
      <c r="AB47">
        <v>75.84</v>
      </c>
      <c r="AC47">
        <v>104.43</v>
      </c>
      <c r="AD47">
        <v>174.82</v>
      </c>
      <c r="AE47">
        <v>9.6999999999999993</v>
      </c>
      <c r="AF47">
        <v>45.18</v>
      </c>
      <c r="AG47">
        <v>7.4</v>
      </c>
      <c r="AH47">
        <v>14.94</v>
      </c>
      <c r="AI47">
        <v>39.799999999999997</v>
      </c>
      <c r="AJ47">
        <v>52.55</v>
      </c>
      <c r="AK47">
        <v>12.55</v>
      </c>
      <c r="AL47">
        <v>122.41</v>
      </c>
      <c r="AM47">
        <v>38.53</v>
      </c>
      <c r="AN47">
        <v>29.1</v>
      </c>
    </row>
    <row r="48" spans="1:40" ht="15.75">
      <c r="A48" s="2" t="s">
        <v>628</v>
      </c>
      <c r="B48" s="8" t="s">
        <v>1084</v>
      </c>
      <c r="C48" s="2" t="s">
        <v>854</v>
      </c>
      <c r="D48" s="2" t="s">
        <v>862</v>
      </c>
      <c r="E48" s="2" t="s">
        <v>856</v>
      </c>
      <c r="F48" s="3">
        <v>33514</v>
      </c>
      <c r="G48" s="3">
        <v>43805</v>
      </c>
      <c r="H48" s="2">
        <v>28</v>
      </c>
      <c r="I48" s="2">
        <v>1</v>
      </c>
      <c r="J48" s="2" t="s">
        <v>857</v>
      </c>
      <c r="K48" s="2">
        <v>874</v>
      </c>
      <c r="L48" s="2" t="s">
        <v>856</v>
      </c>
      <c r="M48" s="2">
        <v>0</v>
      </c>
      <c r="N48" s="2">
        <v>2</v>
      </c>
      <c r="O48" s="2">
        <v>1</v>
      </c>
      <c r="P48" s="2">
        <v>0</v>
      </c>
      <c r="Q48" t="s">
        <v>628</v>
      </c>
      <c r="R48" s="2" t="str">
        <f t="shared" si="1"/>
        <v>TRUE</v>
      </c>
      <c r="S48">
        <v>11.83</v>
      </c>
      <c r="T48">
        <v>60.2</v>
      </c>
      <c r="U48">
        <v>462.25</v>
      </c>
      <c r="V48">
        <v>370</v>
      </c>
      <c r="W48">
        <v>343.29</v>
      </c>
      <c r="X48">
        <v>97.61</v>
      </c>
      <c r="Y48">
        <v>43.61</v>
      </c>
      <c r="Z48">
        <v>6.14</v>
      </c>
      <c r="AA48">
        <v>1729.73</v>
      </c>
      <c r="AB48">
        <v>344.33</v>
      </c>
      <c r="AC48">
        <v>262.44</v>
      </c>
      <c r="AD48">
        <v>268.06</v>
      </c>
      <c r="AE48">
        <v>25.55</v>
      </c>
      <c r="AF48">
        <v>153.51</v>
      </c>
      <c r="AG48">
        <v>40.54</v>
      </c>
      <c r="AH48">
        <v>32.44</v>
      </c>
      <c r="AI48">
        <v>28.12</v>
      </c>
      <c r="AJ48">
        <v>86.93</v>
      </c>
      <c r="AK48">
        <v>12.7</v>
      </c>
      <c r="AL48">
        <v>102.76</v>
      </c>
      <c r="AM48">
        <v>58.46</v>
      </c>
      <c r="AN48">
        <v>64.23</v>
      </c>
    </row>
    <row r="49" spans="1:40" ht="15.75">
      <c r="A49" s="2" t="s">
        <v>283</v>
      </c>
      <c r="B49" s="8" t="s">
        <v>1022</v>
      </c>
      <c r="C49" s="2" t="s">
        <v>865</v>
      </c>
      <c r="D49" s="2" t="s">
        <v>874</v>
      </c>
      <c r="E49" s="2" t="s">
        <v>860</v>
      </c>
      <c r="F49" s="3">
        <v>21300</v>
      </c>
      <c r="G49" s="3">
        <v>43741</v>
      </c>
      <c r="H49" s="2">
        <v>61</v>
      </c>
      <c r="I49" s="2">
        <v>1</v>
      </c>
      <c r="J49" s="2" t="s">
        <v>861</v>
      </c>
      <c r="K49" s="2">
        <v>1217</v>
      </c>
      <c r="L49" s="2">
        <v>8</v>
      </c>
      <c r="M49">
        <v>0</v>
      </c>
      <c r="N49">
        <v>1</v>
      </c>
      <c r="O49">
        <v>0</v>
      </c>
      <c r="P49">
        <v>1</v>
      </c>
      <c r="Q49" t="s">
        <v>283</v>
      </c>
      <c r="R49" s="2" t="str">
        <f t="shared" si="1"/>
        <v>TRUE</v>
      </c>
      <c r="S49">
        <v>9.1999999999999993</v>
      </c>
      <c r="T49">
        <v>22.07</v>
      </c>
      <c r="U49">
        <v>1000.01</v>
      </c>
      <c r="V49">
        <v>0.99</v>
      </c>
      <c r="W49">
        <v>555.4</v>
      </c>
      <c r="X49">
        <v>309.16000000000003</v>
      </c>
      <c r="Y49">
        <v>44.23</v>
      </c>
      <c r="Z49">
        <v>1.18</v>
      </c>
      <c r="AA49">
        <v>2171.29</v>
      </c>
      <c r="AB49">
        <v>2.4900000000000002</v>
      </c>
      <c r="AC49">
        <v>380.93</v>
      </c>
      <c r="AD49">
        <v>453.63</v>
      </c>
      <c r="AE49">
        <v>5.4</v>
      </c>
      <c r="AF49">
        <v>5.74</v>
      </c>
      <c r="AG49" s="14">
        <v>2.4900000000000002</v>
      </c>
      <c r="AH49" s="14">
        <v>2.4900000000000002</v>
      </c>
      <c r="AI49" s="14">
        <v>9.99</v>
      </c>
      <c r="AJ49">
        <v>81.96</v>
      </c>
      <c r="AK49" s="14">
        <v>4.99</v>
      </c>
      <c r="AL49">
        <v>5.39</v>
      </c>
      <c r="AM49">
        <v>113.52</v>
      </c>
      <c r="AN49" s="14">
        <v>4.99</v>
      </c>
    </row>
    <row r="50" spans="1:40" ht="15.75" hidden="1">
      <c r="A50" s="2" t="s">
        <v>640</v>
      </c>
      <c r="B50" s="8" t="s">
        <v>943</v>
      </c>
      <c r="C50" s="2" t="s">
        <v>858</v>
      </c>
      <c r="D50" s="2" t="s">
        <v>863</v>
      </c>
      <c r="E50" s="2" t="s">
        <v>864</v>
      </c>
      <c r="F50" s="3">
        <v>33760</v>
      </c>
      <c r="G50" s="3">
        <v>43815</v>
      </c>
      <c r="H50" s="2">
        <v>27</v>
      </c>
      <c r="I50" s="2">
        <v>1</v>
      </c>
      <c r="J50" s="2" t="s">
        <v>857</v>
      </c>
      <c r="K50" s="2">
        <v>704</v>
      </c>
      <c r="L50" s="2">
        <v>10</v>
      </c>
      <c r="M50">
        <v>1</v>
      </c>
      <c r="N50">
        <v>2</v>
      </c>
      <c r="O50" s="18">
        <v>1</v>
      </c>
      <c r="P50" s="18">
        <v>0</v>
      </c>
      <c r="Q50" t="s">
        <v>640</v>
      </c>
      <c r="R50" s="2" t="str">
        <f t="shared" si="1"/>
        <v>TRUE</v>
      </c>
      <c r="S50">
        <v>13.26</v>
      </c>
      <c r="T50">
        <v>2.94</v>
      </c>
      <c r="U50">
        <v>252.02</v>
      </c>
      <c r="V50">
        <v>331.16</v>
      </c>
      <c r="W50">
        <v>36.56</v>
      </c>
      <c r="X50">
        <v>57.95</v>
      </c>
      <c r="Y50">
        <v>31.99</v>
      </c>
      <c r="Z50">
        <v>3.62</v>
      </c>
      <c r="AA50">
        <v>503.11</v>
      </c>
      <c r="AB50">
        <v>314.06</v>
      </c>
      <c r="AC50">
        <v>56.47</v>
      </c>
      <c r="AD50">
        <v>349.51</v>
      </c>
      <c r="AE50">
        <v>22.81</v>
      </c>
      <c r="AF50">
        <v>53.7</v>
      </c>
      <c r="AG50">
        <v>34.9</v>
      </c>
      <c r="AH50">
        <v>31.49</v>
      </c>
      <c r="AI50">
        <v>69.72</v>
      </c>
      <c r="AJ50">
        <v>60.5</v>
      </c>
      <c r="AK50">
        <v>9.5299999999999994</v>
      </c>
      <c r="AL50">
        <v>476.69</v>
      </c>
      <c r="AM50">
        <v>11.28</v>
      </c>
      <c r="AN50">
        <v>77.209999999999994</v>
      </c>
    </row>
    <row r="51" spans="1:40" ht="15.75">
      <c r="A51" s="2" t="s">
        <v>370</v>
      </c>
      <c r="B51" s="8" t="s">
        <v>899</v>
      </c>
      <c r="C51" s="2" t="s">
        <v>858</v>
      </c>
      <c r="D51" s="2" t="s">
        <v>859</v>
      </c>
      <c r="E51" s="2" t="s">
        <v>860</v>
      </c>
      <c r="F51" s="3">
        <v>23236</v>
      </c>
      <c r="G51" s="3">
        <v>43866</v>
      </c>
      <c r="H51" s="2">
        <v>56</v>
      </c>
      <c r="I51" s="2">
        <v>1</v>
      </c>
      <c r="J51" s="2" t="s">
        <v>857</v>
      </c>
      <c r="K51" s="2">
        <v>1854</v>
      </c>
      <c r="L51" s="2">
        <v>14</v>
      </c>
      <c r="M51">
        <v>0</v>
      </c>
      <c r="N51">
        <v>3</v>
      </c>
      <c r="O51" s="18">
        <v>0</v>
      </c>
      <c r="P51" s="18">
        <v>0</v>
      </c>
      <c r="Q51" t="s">
        <v>370</v>
      </c>
      <c r="R51" s="2" t="str">
        <f t="shared" si="1"/>
        <v>TRUE</v>
      </c>
      <c r="S51">
        <v>9.6300000000000008</v>
      </c>
      <c r="T51">
        <v>2.5299999999999998</v>
      </c>
      <c r="U51">
        <v>90.82</v>
      </c>
      <c r="V51">
        <v>182.52</v>
      </c>
      <c r="W51">
        <v>68.599999999999994</v>
      </c>
      <c r="X51">
        <v>10.44</v>
      </c>
      <c r="Y51">
        <v>24.57</v>
      </c>
      <c r="Z51" s="13">
        <v>0.99</v>
      </c>
      <c r="AA51">
        <v>877.53</v>
      </c>
      <c r="AB51">
        <v>954.48</v>
      </c>
      <c r="AC51">
        <v>35.340000000000003</v>
      </c>
      <c r="AD51" s="14">
        <v>1000.01</v>
      </c>
      <c r="AE51">
        <v>10.53</v>
      </c>
      <c r="AF51">
        <v>73.42</v>
      </c>
      <c r="AG51">
        <v>99.07</v>
      </c>
      <c r="AH51">
        <v>237.2</v>
      </c>
      <c r="AI51">
        <v>46.08</v>
      </c>
      <c r="AJ51">
        <v>111.13</v>
      </c>
      <c r="AK51">
        <v>8.77</v>
      </c>
      <c r="AL51">
        <v>425.04</v>
      </c>
      <c r="AM51">
        <v>12.91</v>
      </c>
      <c r="AN51">
        <v>650.41999999999996</v>
      </c>
    </row>
    <row r="52" spans="1:40" ht="15.75" hidden="1">
      <c r="A52" s="2" t="s">
        <v>793</v>
      </c>
      <c r="B52" s="8" t="s">
        <v>1085</v>
      </c>
      <c r="C52" s="2" t="s">
        <v>865</v>
      </c>
      <c r="D52" s="2" t="s">
        <v>866</v>
      </c>
      <c r="E52" s="2" t="s">
        <v>864</v>
      </c>
      <c r="F52" s="3">
        <v>33242</v>
      </c>
      <c r="G52" s="3">
        <v>43878</v>
      </c>
      <c r="H52" s="2">
        <v>29</v>
      </c>
      <c r="I52" s="2">
        <v>1</v>
      </c>
      <c r="J52" s="2" t="s">
        <v>857</v>
      </c>
      <c r="K52" s="2">
        <v>148</v>
      </c>
      <c r="L52" s="2">
        <v>9</v>
      </c>
      <c r="M52">
        <v>1</v>
      </c>
      <c r="N52">
        <v>2</v>
      </c>
      <c r="O52" s="18">
        <v>0</v>
      </c>
      <c r="P52" s="18">
        <v>1</v>
      </c>
      <c r="Q52" t="s">
        <v>793</v>
      </c>
      <c r="R52" s="2" t="str">
        <f t="shared" si="1"/>
        <v>TRUE</v>
      </c>
      <c r="S52">
        <v>5.3</v>
      </c>
      <c r="T52">
        <v>9.18</v>
      </c>
      <c r="U52">
        <v>459.95</v>
      </c>
      <c r="V52">
        <v>593.26</v>
      </c>
      <c r="W52">
        <v>172.54</v>
      </c>
      <c r="X52">
        <v>72.430000000000007</v>
      </c>
      <c r="Y52">
        <v>71.650000000000006</v>
      </c>
      <c r="Z52">
        <v>9.3699999999999992</v>
      </c>
      <c r="AA52">
        <v>934.92</v>
      </c>
      <c r="AB52">
        <v>404.41</v>
      </c>
      <c r="AC52">
        <v>100.5</v>
      </c>
      <c r="AD52">
        <v>244.26</v>
      </c>
      <c r="AE52">
        <v>17.940000000000001</v>
      </c>
      <c r="AF52">
        <v>13.72</v>
      </c>
      <c r="AG52">
        <v>6.34</v>
      </c>
      <c r="AH52">
        <v>3.29</v>
      </c>
      <c r="AI52">
        <v>14.44</v>
      </c>
      <c r="AJ52">
        <v>110.46</v>
      </c>
      <c r="AK52" s="14">
        <v>4.99</v>
      </c>
      <c r="AL52">
        <v>611.29</v>
      </c>
      <c r="AM52">
        <v>51.14</v>
      </c>
      <c r="AN52">
        <v>194.22</v>
      </c>
    </row>
    <row r="53" spans="1:40" ht="15.75" hidden="1">
      <c r="A53" s="2" t="s">
        <v>364</v>
      </c>
      <c r="B53" s="8" t="s">
        <v>901</v>
      </c>
      <c r="C53" s="2" t="s">
        <v>858</v>
      </c>
      <c r="D53" s="2" t="s">
        <v>859</v>
      </c>
      <c r="E53" s="2" t="s">
        <v>860</v>
      </c>
      <c r="F53" s="3">
        <v>30355</v>
      </c>
      <c r="G53" s="3">
        <v>43854</v>
      </c>
      <c r="H53" s="2">
        <v>36</v>
      </c>
      <c r="I53" s="2">
        <v>1</v>
      </c>
      <c r="J53" s="2" t="s">
        <v>861</v>
      </c>
      <c r="K53" s="2">
        <v>2375</v>
      </c>
      <c r="L53" s="2">
        <v>14</v>
      </c>
      <c r="M53">
        <v>1</v>
      </c>
      <c r="N53">
        <v>3</v>
      </c>
      <c r="O53" s="18">
        <v>1</v>
      </c>
      <c r="P53" s="18">
        <v>0</v>
      </c>
      <c r="Q53" t="s">
        <v>364</v>
      </c>
      <c r="R53" s="2" t="str">
        <f t="shared" si="1"/>
        <v>TRUE</v>
      </c>
      <c r="S53">
        <v>6.05</v>
      </c>
      <c r="T53">
        <v>0.99</v>
      </c>
      <c r="U53">
        <v>1.9</v>
      </c>
      <c r="V53">
        <v>20.61</v>
      </c>
      <c r="W53">
        <v>7.7</v>
      </c>
      <c r="X53">
        <v>1.89</v>
      </c>
      <c r="Y53">
        <v>14.22</v>
      </c>
      <c r="Z53" s="13">
        <v>0.99</v>
      </c>
      <c r="AA53">
        <v>886.15</v>
      </c>
      <c r="AB53">
        <v>61.54</v>
      </c>
      <c r="AC53">
        <v>44.32</v>
      </c>
      <c r="AD53">
        <v>376.42</v>
      </c>
      <c r="AE53">
        <v>9.42</v>
      </c>
      <c r="AF53">
        <v>111.4</v>
      </c>
      <c r="AG53">
        <v>9.48</v>
      </c>
      <c r="AH53">
        <v>49.08</v>
      </c>
      <c r="AI53">
        <v>34.31</v>
      </c>
      <c r="AJ53">
        <v>104.72</v>
      </c>
      <c r="AK53">
        <v>22.27</v>
      </c>
      <c r="AL53">
        <v>107.93</v>
      </c>
      <c r="AM53">
        <v>16.91</v>
      </c>
      <c r="AN53">
        <v>19.7</v>
      </c>
    </row>
    <row r="54" spans="1:40" ht="15.75">
      <c r="A54" s="2" t="s">
        <v>229</v>
      </c>
      <c r="B54" s="8" t="s">
        <v>1086</v>
      </c>
      <c r="C54" s="2" t="s">
        <v>865</v>
      </c>
      <c r="D54" s="2" t="s">
        <v>873</v>
      </c>
      <c r="E54" s="2" t="s">
        <v>864</v>
      </c>
      <c r="F54" s="3">
        <v>34130</v>
      </c>
      <c r="G54" s="3">
        <v>43854</v>
      </c>
      <c r="H54" s="2">
        <v>26</v>
      </c>
      <c r="I54" s="2">
        <v>1</v>
      </c>
      <c r="J54" s="2" t="s">
        <v>861</v>
      </c>
      <c r="K54" s="2">
        <v>647</v>
      </c>
      <c r="L54" s="2">
        <v>4</v>
      </c>
      <c r="M54">
        <v>0</v>
      </c>
      <c r="N54">
        <v>2</v>
      </c>
      <c r="O54" s="18">
        <v>0</v>
      </c>
      <c r="P54" s="18">
        <v>0</v>
      </c>
      <c r="Q54" t="s">
        <v>229</v>
      </c>
      <c r="R54" s="2" t="str">
        <f t="shared" si="1"/>
        <v>TRUE</v>
      </c>
      <c r="S54">
        <v>16.489999999999998</v>
      </c>
      <c r="T54">
        <v>3.95</v>
      </c>
      <c r="U54">
        <v>374.05</v>
      </c>
      <c r="V54">
        <v>84.06</v>
      </c>
      <c r="W54">
        <v>83.4</v>
      </c>
      <c r="X54">
        <v>58.5</v>
      </c>
      <c r="Y54">
        <v>57.05</v>
      </c>
      <c r="Z54">
        <v>4.75</v>
      </c>
      <c r="AA54">
        <v>2500.0100000000002</v>
      </c>
      <c r="AB54">
        <v>1184.73</v>
      </c>
      <c r="AC54">
        <v>613.33000000000004</v>
      </c>
      <c r="AD54" s="14">
        <v>1000.01</v>
      </c>
      <c r="AE54">
        <v>43.25</v>
      </c>
      <c r="AF54">
        <v>262.12</v>
      </c>
      <c r="AG54">
        <v>117.18</v>
      </c>
      <c r="AH54">
        <v>116.89</v>
      </c>
      <c r="AI54">
        <v>82.89</v>
      </c>
      <c r="AJ54">
        <v>136.15</v>
      </c>
      <c r="AK54">
        <v>17.190000000000001</v>
      </c>
      <c r="AL54">
        <v>443.77</v>
      </c>
      <c r="AM54">
        <v>53.54</v>
      </c>
      <c r="AN54">
        <v>153.97999999999999</v>
      </c>
    </row>
    <row r="55" spans="1:40" ht="15.75">
      <c r="A55" s="2" t="s">
        <v>271</v>
      </c>
      <c r="B55" s="8" t="s">
        <v>945</v>
      </c>
      <c r="C55" s="2" t="s">
        <v>858</v>
      </c>
      <c r="D55" s="2" t="s">
        <v>863</v>
      </c>
      <c r="E55" s="2" t="s">
        <v>864</v>
      </c>
      <c r="F55" s="3">
        <v>25518</v>
      </c>
      <c r="G55" s="3">
        <v>43864</v>
      </c>
      <c r="H55" s="2">
        <v>50</v>
      </c>
      <c r="I55" s="2">
        <v>1</v>
      </c>
      <c r="J55" s="2" t="s">
        <v>861</v>
      </c>
      <c r="K55" s="2">
        <v>1982</v>
      </c>
      <c r="L55" s="2">
        <v>10</v>
      </c>
      <c r="M55">
        <v>0</v>
      </c>
      <c r="N55">
        <v>3</v>
      </c>
      <c r="O55" s="18">
        <v>1</v>
      </c>
      <c r="P55" s="18">
        <v>0</v>
      </c>
      <c r="Q55" t="s">
        <v>271</v>
      </c>
      <c r="R55" s="2" t="str">
        <f t="shared" si="1"/>
        <v>TRUE</v>
      </c>
      <c r="S55">
        <v>11.44</v>
      </c>
      <c r="T55">
        <v>1.96</v>
      </c>
      <c r="U55">
        <v>34.4</v>
      </c>
      <c r="V55">
        <v>201.95</v>
      </c>
      <c r="W55">
        <v>98.57</v>
      </c>
      <c r="X55">
        <v>40.86</v>
      </c>
      <c r="Y55">
        <v>96.77</v>
      </c>
      <c r="Z55">
        <v>8.0500000000000007</v>
      </c>
      <c r="AA55">
        <v>1726.15</v>
      </c>
      <c r="AB55">
        <v>352.14</v>
      </c>
      <c r="AC55">
        <v>104.17</v>
      </c>
      <c r="AD55">
        <v>423.21</v>
      </c>
      <c r="AE55">
        <v>10.25</v>
      </c>
      <c r="AF55">
        <v>368.48</v>
      </c>
      <c r="AG55">
        <v>78.87</v>
      </c>
      <c r="AH55">
        <v>112.32</v>
      </c>
      <c r="AI55">
        <v>29.72</v>
      </c>
      <c r="AJ55">
        <v>109.87</v>
      </c>
      <c r="AK55">
        <v>54.54</v>
      </c>
      <c r="AL55">
        <v>110.91</v>
      </c>
      <c r="AM55">
        <v>31.34</v>
      </c>
      <c r="AN55">
        <v>68.709999999999994</v>
      </c>
    </row>
    <row r="56" spans="1:40" ht="15.75">
      <c r="A56" s="2" t="s">
        <v>439</v>
      </c>
      <c r="B56" s="8" t="s">
        <v>947</v>
      </c>
      <c r="C56" s="2" t="s">
        <v>858</v>
      </c>
      <c r="D56" s="2" t="s">
        <v>868</v>
      </c>
      <c r="E56" s="2" t="s">
        <v>864</v>
      </c>
      <c r="F56" s="3">
        <v>21477</v>
      </c>
      <c r="G56" s="3">
        <v>44042</v>
      </c>
      <c r="H56" s="2">
        <v>61</v>
      </c>
      <c r="I56" s="2">
        <v>1</v>
      </c>
      <c r="J56" s="2" t="s">
        <v>857</v>
      </c>
      <c r="K56" s="2">
        <v>394</v>
      </c>
      <c r="L56" s="2">
        <v>6</v>
      </c>
      <c r="M56">
        <v>0</v>
      </c>
      <c r="N56">
        <v>2</v>
      </c>
      <c r="O56" s="18">
        <v>0</v>
      </c>
      <c r="P56" s="18">
        <v>1</v>
      </c>
      <c r="Q56" t="s">
        <v>439</v>
      </c>
      <c r="R56" s="2" t="str">
        <f t="shared" si="1"/>
        <v>TRUE</v>
      </c>
      <c r="S56">
        <v>10.31</v>
      </c>
      <c r="T56">
        <v>12.21</v>
      </c>
      <c r="U56">
        <v>68.680000000000007</v>
      </c>
      <c r="V56">
        <v>356.83</v>
      </c>
      <c r="W56">
        <v>170.96</v>
      </c>
      <c r="X56">
        <v>63.5</v>
      </c>
      <c r="Y56">
        <v>56.79</v>
      </c>
      <c r="Z56">
        <v>6.34</v>
      </c>
      <c r="AA56">
        <v>1280.28</v>
      </c>
      <c r="AB56">
        <v>628.24</v>
      </c>
      <c r="AC56">
        <v>134.03</v>
      </c>
      <c r="AD56">
        <v>180.87</v>
      </c>
      <c r="AE56">
        <v>6.4</v>
      </c>
      <c r="AF56">
        <v>58.04</v>
      </c>
      <c r="AG56">
        <v>33.950000000000003</v>
      </c>
      <c r="AH56">
        <v>11.66</v>
      </c>
      <c r="AI56">
        <v>45.64</v>
      </c>
      <c r="AJ56">
        <v>40.89</v>
      </c>
      <c r="AK56" s="14">
        <v>4.99</v>
      </c>
      <c r="AL56">
        <v>359.18</v>
      </c>
      <c r="AM56">
        <v>16.670000000000002</v>
      </c>
      <c r="AN56">
        <v>52.11</v>
      </c>
    </row>
    <row r="57" spans="1:40" ht="15.75" hidden="1">
      <c r="A57" s="2" t="s">
        <v>733</v>
      </c>
      <c r="B57" s="8" t="s">
        <v>948</v>
      </c>
      <c r="C57" s="2" t="s">
        <v>858</v>
      </c>
      <c r="D57" s="2" t="s">
        <v>863</v>
      </c>
      <c r="E57" s="2" t="s">
        <v>864</v>
      </c>
      <c r="F57" s="3">
        <v>36030</v>
      </c>
      <c r="G57" s="3">
        <v>44054</v>
      </c>
      <c r="H57" s="2">
        <v>21</v>
      </c>
      <c r="I57" s="2">
        <v>1</v>
      </c>
      <c r="J57" s="2" t="s">
        <v>857</v>
      </c>
      <c r="K57" s="2">
        <v>2208</v>
      </c>
      <c r="L57" s="2">
        <v>5</v>
      </c>
      <c r="M57">
        <v>1</v>
      </c>
      <c r="N57">
        <v>2</v>
      </c>
      <c r="O57" s="18">
        <v>1</v>
      </c>
      <c r="P57" s="18">
        <v>0</v>
      </c>
      <c r="Q57" t="s">
        <v>733</v>
      </c>
      <c r="R57" s="2" t="str">
        <f t="shared" si="1"/>
        <v>TRUE</v>
      </c>
      <c r="S57">
        <v>11.54</v>
      </c>
      <c r="T57">
        <v>0.99</v>
      </c>
      <c r="U57">
        <v>22.31</v>
      </c>
      <c r="V57">
        <v>131.24</v>
      </c>
      <c r="W57">
        <v>20.18</v>
      </c>
      <c r="X57">
        <v>15.87</v>
      </c>
      <c r="Y57">
        <v>41.1</v>
      </c>
      <c r="Z57" s="13">
        <v>0.99</v>
      </c>
      <c r="AA57">
        <v>2476.71</v>
      </c>
      <c r="AB57">
        <v>814.65</v>
      </c>
      <c r="AC57">
        <v>100.8</v>
      </c>
      <c r="AD57" s="14">
        <v>1000.01</v>
      </c>
      <c r="AE57">
        <v>35.54</v>
      </c>
      <c r="AF57">
        <v>510.65</v>
      </c>
      <c r="AG57">
        <v>225.62</v>
      </c>
      <c r="AH57">
        <v>350.47</v>
      </c>
      <c r="AI57">
        <v>169.55</v>
      </c>
      <c r="AJ57">
        <v>172.36</v>
      </c>
      <c r="AK57">
        <v>43.82</v>
      </c>
      <c r="AL57">
        <v>425.92</v>
      </c>
      <c r="AM57">
        <v>19.54</v>
      </c>
      <c r="AN57">
        <v>216.3</v>
      </c>
    </row>
    <row r="58" spans="1:40" ht="15.75" hidden="1">
      <c r="A58" s="2" t="s">
        <v>526</v>
      </c>
      <c r="B58" s="8" t="s">
        <v>1087</v>
      </c>
      <c r="C58" s="2" t="s">
        <v>865</v>
      </c>
      <c r="D58" s="2" t="s">
        <v>869</v>
      </c>
      <c r="E58" s="2" t="s">
        <v>860</v>
      </c>
      <c r="F58" s="3">
        <v>32221</v>
      </c>
      <c r="G58" s="3">
        <v>44063</v>
      </c>
      <c r="H58" s="2">
        <v>32</v>
      </c>
      <c r="I58" s="2">
        <v>1</v>
      </c>
      <c r="J58" s="2" t="s">
        <v>857</v>
      </c>
      <c r="K58" s="2">
        <v>700</v>
      </c>
      <c r="L58" s="2">
        <v>4</v>
      </c>
      <c r="M58">
        <v>1</v>
      </c>
      <c r="N58">
        <v>2</v>
      </c>
      <c r="O58" s="18">
        <v>1</v>
      </c>
      <c r="P58" s="18">
        <v>0</v>
      </c>
      <c r="Q58" t="s">
        <v>526</v>
      </c>
      <c r="R58" s="2" t="str">
        <f t="shared" si="1"/>
        <v>TRUE</v>
      </c>
      <c r="S58">
        <v>18.100000000000001</v>
      </c>
      <c r="T58">
        <v>13.05</v>
      </c>
      <c r="U58">
        <v>1000.01</v>
      </c>
      <c r="V58">
        <v>218.42</v>
      </c>
      <c r="W58">
        <v>601.01</v>
      </c>
      <c r="X58">
        <v>259.88</v>
      </c>
      <c r="Y58">
        <v>141.52000000000001</v>
      </c>
      <c r="Z58">
        <v>11.54</v>
      </c>
      <c r="AA58">
        <v>2500.0100000000002</v>
      </c>
      <c r="AB58">
        <v>1233.22</v>
      </c>
      <c r="AC58">
        <v>1858.42</v>
      </c>
      <c r="AD58" s="14">
        <v>1000.01</v>
      </c>
      <c r="AE58">
        <v>78.28</v>
      </c>
      <c r="AF58">
        <v>382.15</v>
      </c>
      <c r="AG58">
        <v>80.73</v>
      </c>
      <c r="AH58">
        <v>200.17</v>
      </c>
      <c r="AI58">
        <v>14.22</v>
      </c>
      <c r="AJ58">
        <v>282.91000000000003</v>
      </c>
      <c r="AK58">
        <v>21.89</v>
      </c>
      <c r="AL58">
        <v>273.01</v>
      </c>
      <c r="AM58">
        <v>170.52</v>
      </c>
      <c r="AN58">
        <v>78.81</v>
      </c>
    </row>
    <row r="59" spans="1:40" ht="15.75" hidden="1">
      <c r="A59" s="2" t="s">
        <v>757</v>
      </c>
      <c r="B59" s="17" t="s">
        <v>1088</v>
      </c>
      <c r="C59" s="2" t="s">
        <v>854</v>
      </c>
      <c r="D59" s="2" t="s">
        <v>862</v>
      </c>
      <c r="E59" s="2" t="s">
        <v>856</v>
      </c>
      <c r="F59" s="7">
        <v>23988</v>
      </c>
      <c r="G59" s="3">
        <v>44084</v>
      </c>
      <c r="H59" s="2">
        <v>55</v>
      </c>
      <c r="I59" s="2">
        <v>1</v>
      </c>
      <c r="J59" s="2" t="s">
        <v>857</v>
      </c>
      <c r="K59" s="2">
        <v>264</v>
      </c>
      <c r="L59" t="s">
        <v>856</v>
      </c>
      <c r="M59">
        <v>1</v>
      </c>
      <c r="N59">
        <v>2</v>
      </c>
      <c r="O59" s="2">
        <v>1</v>
      </c>
      <c r="P59" s="2">
        <v>0</v>
      </c>
      <c r="Q59" t="s">
        <v>757</v>
      </c>
      <c r="R59" s="2" t="str">
        <f t="shared" si="1"/>
        <v>TRUE</v>
      </c>
      <c r="S59">
        <v>7.84</v>
      </c>
      <c r="T59">
        <v>1.25</v>
      </c>
      <c r="U59">
        <v>47.23</v>
      </c>
      <c r="V59">
        <v>224.04</v>
      </c>
      <c r="W59">
        <v>36.96</v>
      </c>
      <c r="X59">
        <v>22.71</v>
      </c>
      <c r="Y59">
        <v>43.95</v>
      </c>
      <c r="Z59" s="13">
        <v>0.99</v>
      </c>
      <c r="AA59">
        <v>571.36</v>
      </c>
      <c r="AB59">
        <v>364.38</v>
      </c>
      <c r="AC59">
        <v>43.1</v>
      </c>
      <c r="AD59">
        <v>225.4</v>
      </c>
      <c r="AE59" s="14">
        <v>2.4900000000000002</v>
      </c>
      <c r="AF59">
        <v>53.68</v>
      </c>
      <c r="AG59">
        <v>41.69</v>
      </c>
      <c r="AH59">
        <v>22.18</v>
      </c>
      <c r="AI59">
        <v>124.68</v>
      </c>
      <c r="AJ59">
        <v>140.22999999999999</v>
      </c>
      <c r="AK59">
        <v>20.45</v>
      </c>
      <c r="AL59">
        <v>368.11</v>
      </c>
      <c r="AM59">
        <v>25.17</v>
      </c>
      <c r="AN59">
        <v>238.29</v>
      </c>
    </row>
    <row r="60" spans="1:40" ht="15.75">
      <c r="A60" s="2" t="s">
        <v>442</v>
      </c>
      <c r="B60" s="8" t="s">
        <v>1089</v>
      </c>
      <c r="C60" s="2" t="s">
        <v>854</v>
      </c>
      <c r="D60" s="2" t="s">
        <v>862</v>
      </c>
      <c r="E60" s="2" t="s">
        <v>856</v>
      </c>
      <c r="F60" s="3">
        <v>34492</v>
      </c>
      <c r="G60" s="3">
        <v>44084</v>
      </c>
      <c r="H60" s="2">
        <v>26</v>
      </c>
      <c r="I60" s="2">
        <v>1</v>
      </c>
      <c r="J60" s="2" t="s">
        <v>857</v>
      </c>
      <c r="K60" s="2">
        <v>1928</v>
      </c>
      <c r="L60" s="2" t="s">
        <v>856</v>
      </c>
      <c r="M60">
        <v>0</v>
      </c>
      <c r="N60">
        <v>2</v>
      </c>
      <c r="O60" s="2">
        <v>0</v>
      </c>
      <c r="P60" s="2">
        <v>1</v>
      </c>
      <c r="Q60" t="s">
        <v>442</v>
      </c>
      <c r="R60" s="2" t="str">
        <f t="shared" si="1"/>
        <v>TRUE</v>
      </c>
      <c r="S60">
        <v>26.17</v>
      </c>
      <c r="T60">
        <v>5.37</v>
      </c>
      <c r="U60">
        <v>216.11</v>
      </c>
      <c r="V60">
        <v>315.48</v>
      </c>
      <c r="W60">
        <v>102</v>
      </c>
      <c r="X60">
        <v>49.04</v>
      </c>
      <c r="Y60">
        <v>33.880000000000003</v>
      </c>
      <c r="Z60">
        <v>4.71</v>
      </c>
      <c r="AA60">
        <v>1328.42</v>
      </c>
      <c r="AB60">
        <v>446.92</v>
      </c>
      <c r="AC60">
        <v>107.72</v>
      </c>
      <c r="AD60">
        <v>395.08</v>
      </c>
      <c r="AE60">
        <v>13.63</v>
      </c>
      <c r="AF60">
        <v>136.72999999999999</v>
      </c>
      <c r="AG60">
        <v>61.22</v>
      </c>
      <c r="AH60">
        <v>35.369999999999997</v>
      </c>
      <c r="AI60">
        <v>29.75</v>
      </c>
      <c r="AJ60">
        <v>57.18</v>
      </c>
      <c r="AK60">
        <v>8.36</v>
      </c>
      <c r="AL60">
        <v>140.63</v>
      </c>
      <c r="AM60">
        <v>17.27</v>
      </c>
      <c r="AN60">
        <v>45.75</v>
      </c>
    </row>
    <row r="61" spans="1:40" ht="15.75" hidden="1">
      <c r="A61" s="2" t="s">
        <v>775</v>
      </c>
      <c r="B61" s="8" t="s">
        <v>949</v>
      </c>
      <c r="C61" s="2" t="s">
        <v>858</v>
      </c>
      <c r="D61" s="2" t="s">
        <v>868</v>
      </c>
      <c r="E61" s="2" t="s">
        <v>864</v>
      </c>
      <c r="F61" s="3">
        <v>33194</v>
      </c>
      <c r="G61" s="3">
        <v>44084</v>
      </c>
      <c r="H61" s="2">
        <v>29</v>
      </c>
      <c r="I61" s="2">
        <v>1</v>
      </c>
      <c r="J61" s="2" t="s">
        <v>861</v>
      </c>
      <c r="K61" s="2">
        <v>6689</v>
      </c>
      <c r="L61" s="2">
        <v>4</v>
      </c>
      <c r="M61">
        <v>1</v>
      </c>
      <c r="N61">
        <v>2</v>
      </c>
      <c r="O61" s="19">
        <v>1</v>
      </c>
      <c r="P61" s="19">
        <v>0</v>
      </c>
      <c r="Q61" t="s">
        <v>775</v>
      </c>
      <c r="R61" s="2" t="str">
        <f t="shared" si="1"/>
        <v>TRUE</v>
      </c>
      <c r="S61">
        <v>15.18</v>
      </c>
      <c r="T61">
        <v>25.82</v>
      </c>
      <c r="U61">
        <v>8.92</v>
      </c>
      <c r="V61">
        <v>120.31</v>
      </c>
      <c r="W61">
        <v>841.39</v>
      </c>
      <c r="X61">
        <v>44.45</v>
      </c>
      <c r="Y61">
        <v>1000.01</v>
      </c>
      <c r="Z61">
        <v>96.67</v>
      </c>
      <c r="AA61">
        <v>513.37</v>
      </c>
      <c r="AB61">
        <v>50</v>
      </c>
      <c r="AC61">
        <v>36.69</v>
      </c>
      <c r="AD61">
        <v>284.5</v>
      </c>
      <c r="AE61">
        <v>41.17</v>
      </c>
      <c r="AF61">
        <v>77.349999999999994</v>
      </c>
      <c r="AG61">
        <v>9.2899999999999991</v>
      </c>
      <c r="AH61">
        <v>28.67</v>
      </c>
      <c r="AI61">
        <v>136.53</v>
      </c>
      <c r="AJ61">
        <v>218.73</v>
      </c>
      <c r="AK61">
        <v>71</v>
      </c>
      <c r="AL61">
        <v>230.97</v>
      </c>
      <c r="AM61">
        <v>28.89</v>
      </c>
      <c r="AN61">
        <v>53.34</v>
      </c>
    </row>
    <row r="62" spans="1:40" ht="15.75" hidden="1">
      <c r="A62" s="2" t="s">
        <v>139</v>
      </c>
      <c r="B62" s="8" t="s">
        <v>1090</v>
      </c>
      <c r="C62" s="2" t="s">
        <v>865</v>
      </c>
      <c r="D62" s="2" t="s">
        <v>872</v>
      </c>
      <c r="E62" s="2" t="s">
        <v>860</v>
      </c>
      <c r="F62" s="3">
        <v>34219</v>
      </c>
      <c r="G62" s="3">
        <v>44092</v>
      </c>
      <c r="H62" s="2">
        <v>27</v>
      </c>
      <c r="I62" s="2">
        <v>1</v>
      </c>
      <c r="J62" s="2" t="s">
        <v>861</v>
      </c>
      <c r="K62" s="2">
        <v>2255</v>
      </c>
      <c r="L62" s="2">
        <v>11</v>
      </c>
      <c r="M62">
        <v>1</v>
      </c>
      <c r="N62">
        <v>2</v>
      </c>
      <c r="O62" s="19">
        <v>1</v>
      </c>
      <c r="P62" s="19">
        <v>0</v>
      </c>
      <c r="Q62" t="s">
        <v>139</v>
      </c>
      <c r="R62" s="2" t="str">
        <f t="shared" si="1"/>
        <v>TRUE</v>
      </c>
      <c r="S62">
        <v>21.27</v>
      </c>
      <c r="T62">
        <v>21.69</v>
      </c>
      <c r="U62">
        <v>1000.01</v>
      </c>
      <c r="V62">
        <v>0.99</v>
      </c>
      <c r="W62">
        <v>366.54</v>
      </c>
      <c r="X62">
        <v>231.39</v>
      </c>
      <c r="Y62">
        <v>56.98</v>
      </c>
      <c r="Z62">
        <v>3.24</v>
      </c>
      <c r="AA62">
        <v>282.26</v>
      </c>
      <c r="AB62">
        <v>2.4900000000000002</v>
      </c>
      <c r="AC62">
        <v>86.03</v>
      </c>
      <c r="AD62">
        <v>134.46</v>
      </c>
      <c r="AE62">
        <v>5.83</v>
      </c>
      <c r="AF62">
        <v>23.75</v>
      </c>
      <c r="AG62" s="14">
        <v>2.4900000000000002</v>
      </c>
      <c r="AH62">
        <v>11.34</v>
      </c>
      <c r="AI62" s="14">
        <v>9.99</v>
      </c>
      <c r="AJ62">
        <v>45.62</v>
      </c>
      <c r="AK62">
        <v>5.23</v>
      </c>
      <c r="AL62" s="14">
        <v>4.99</v>
      </c>
      <c r="AM62">
        <v>84.99</v>
      </c>
      <c r="AN62" s="14">
        <v>4.99</v>
      </c>
    </row>
    <row r="63" spans="1:40" ht="15.75" hidden="1">
      <c r="A63" s="2" t="s">
        <v>712</v>
      </c>
      <c r="B63" s="8" t="s">
        <v>1091</v>
      </c>
      <c r="C63" s="2" t="s">
        <v>854</v>
      </c>
      <c r="D63" s="2" t="s">
        <v>855</v>
      </c>
      <c r="E63" s="2" t="s">
        <v>856</v>
      </c>
      <c r="F63" s="3">
        <v>30903</v>
      </c>
      <c r="G63" s="3">
        <v>44095</v>
      </c>
      <c r="H63" s="2">
        <v>36</v>
      </c>
      <c r="I63" s="2">
        <v>1</v>
      </c>
      <c r="J63" s="2" t="s">
        <v>857</v>
      </c>
      <c r="K63" s="2">
        <v>1036</v>
      </c>
      <c r="L63" s="2" t="s">
        <v>856</v>
      </c>
      <c r="M63">
        <v>1</v>
      </c>
      <c r="N63">
        <v>2</v>
      </c>
      <c r="O63">
        <v>0</v>
      </c>
      <c r="P63">
        <v>1</v>
      </c>
      <c r="Q63" t="s">
        <v>712</v>
      </c>
      <c r="R63" s="2" t="str">
        <f t="shared" si="1"/>
        <v>TRUE</v>
      </c>
      <c r="S63">
        <v>24.33</v>
      </c>
      <c r="T63">
        <v>1.29</v>
      </c>
      <c r="U63">
        <v>21.21</v>
      </c>
      <c r="V63">
        <v>597.99</v>
      </c>
      <c r="W63">
        <v>117.24</v>
      </c>
      <c r="X63">
        <v>20.55</v>
      </c>
      <c r="Y63">
        <v>107.09</v>
      </c>
      <c r="Z63">
        <v>2.29</v>
      </c>
      <c r="AA63">
        <v>1458.66</v>
      </c>
      <c r="AB63">
        <v>874.07</v>
      </c>
      <c r="AC63">
        <v>37</v>
      </c>
      <c r="AD63">
        <v>632.72</v>
      </c>
      <c r="AE63">
        <v>7.26</v>
      </c>
      <c r="AF63">
        <v>51.12</v>
      </c>
      <c r="AG63">
        <v>35.1</v>
      </c>
      <c r="AH63">
        <v>28.22</v>
      </c>
      <c r="AI63">
        <v>18.149999999999999</v>
      </c>
      <c r="AJ63">
        <v>85.29</v>
      </c>
      <c r="AK63">
        <v>5.4</v>
      </c>
      <c r="AL63">
        <v>358.52</v>
      </c>
      <c r="AM63">
        <v>5.0599999999999996</v>
      </c>
      <c r="AN63">
        <v>97.02</v>
      </c>
    </row>
    <row r="64" spans="1:40" ht="15.75">
      <c r="A64" s="2" t="s">
        <v>655</v>
      </c>
      <c r="B64" s="8" t="s">
        <v>950</v>
      </c>
      <c r="C64" s="2" t="s">
        <v>858</v>
      </c>
      <c r="D64" s="2" t="s">
        <v>868</v>
      </c>
      <c r="E64" s="2" t="s">
        <v>864</v>
      </c>
      <c r="F64" s="3">
        <v>29096</v>
      </c>
      <c r="G64" s="3">
        <v>44099</v>
      </c>
      <c r="H64" s="2">
        <v>41</v>
      </c>
      <c r="I64" s="2">
        <v>1</v>
      </c>
      <c r="J64" s="2" t="s">
        <v>857</v>
      </c>
      <c r="K64" s="2">
        <v>1897</v>
      </c>
      <c r="L64" s="2">
        <v>13</v>
      </c>
      <c r="M64">
        <v>0</v>
      </c>
      <c r="N64">
        <v>1</v>
      </c>
      <c r="O64" s="19">
        <v>1</v>
      </c>
      <c r="P64" s="19">
        <v>0</v>
      </c>
      <c r="Q64" t="s">
        <v>655</v>
      </c>
      <c r="R64" s="2" t="str">
        <f t="shared" si="1"/>
        <v>TRUE</v>
      </c>
      <c r="S64">
        <v>26.37</v>
      </c>
      <c r="T64">
        <v>4.5999999999999996</v>
      </c>
      <c r="U64">
        <v>50.79</v>
      </c>
      <c r="V64">
        <v>683.84</v>
      </c>
      <c r="W64">
        <v>70.319999999999993</v>
      </c>
      <c r="X64">
        <v>71.38</v>
      </c>
      <c r="Y64">
        <v>21.66</v>
      </c>
      <c r="Z64">
        <v>2.91</v>
      </c>
      <c r="AA64">
        <v>434.91</v>
      </c>
      <c r="AB64">
        <v>545.20000000000005</v>
      </c>
      <c r="AC64">
        <v>55.16</v>
      </c>
      <c r="AD64">
        <v>35.35</v>
      </c>
      <c r="AE64" s="14">
        <v>2.4900000000000002</v>
      </c>
      <c r="AF64">
        <v>18.22</v>
      </c>
      <c r="AG64">
        <v>22.86</v>
      </c>
      <c r="AH64">
        <v>2.5099999999999998</v>
      </c>
      <c r="AI64">
        <v>22.05</v>
      </c>
      <c r="AJ64">
        <v>10.039999999999999</v>
      </c>
      <c r="AK64" s="14">
        <v>4.99</v>
      </c>
      <c r="AL64">
        <v>311.79000000000002</v>
      </c>
      <c r="AM64">
        <v>5.76</v>
      </c>
      <c r="AN64">
        <v>52.3</v>
      </c>
    </row>
    <row r="65" spans="1:40" ht="15.75" hidden="1">
      <c r="A65" s="2" t="s">
        <v>649</v>
      </c>
      <c r="B65" s="8" t="s">
        <v>902</v>
      </c>
      <c r="C65" s="2" t="s">
        <v>858</v>
      </c>
      <c r="D65" s="2" t="s">
        <v>863</v>
      </c>
      <c r="E65" s="2" t="s">
        <v>860</v>
      </c>
      <c r="F65" s="3">
        <v>24431</v>
      </c>
      <c r="G65" s="3">
        <v>44099</v>
      </c>
      <c r="H65" s="2">
        <v>53</v>
      </c>
      <c r="I65" s="2">
        <v>1</v>
      </c>
      <c r="J65" s="2" t="s">
        <v>861</v>
      </c>
      <c r="K65" s="2">
        <v>1126</v>
      </c>
      <c r="L65" s="2">
        <v>15</v>
      </c>
      <c r="M65">
        <v>1</v>
      </c>
      <c r="N65">
        <v>3</v>
      </c>
      <c r="O65" s="19">
        <v>0</v>
      </c>
      <c r="P65" s="19">
        <v>0</v>
      </c>
      <c r="Q65" t="s">
        <v>649</v>
      </c>
      <c r="R65" s="2" t="str">
        <f t="shared" si="1"/>
        <v>TRUE</v>
      </c>
      <c r="S65">
        <v>19.62</v>
      </c>
      <c r="T65">
        <v>1.22</v>
      </c>
      <c r="U65">
        <v>24.76</v>
      </c>
      <c r="V65">
        <v>792.09</v>
      </c>
      <c r="W65">
        <v>139.36000000000001</v>
      </c>
      <c r="X65">
        <v>47.6</v>
      </c>
      <c r="Y65">
        <v>29.48</v>
      </c>
      <c r="Z65">
        <v>1.73</v>
      </c>
      <c r="AA65">
        <v>2147.42</v>
      </c>
      <c r="AB65">
        <v>1635.78</v>
      </c>
      <c r="AC65">
        <v>42.45</v>
      </c>
      <c r="AD65">
        <v>541.92999999999995</v>
      </c>
      <c r="AE65">
        <v>15.04</v>
      </c>
      <c r="AF65">
        <v>113.68</v>
      </c>
      <c r="AG65">
        <v>99.85</v>
      </c>
      <c r="AH65">
        <v>39.74</v>
      </c>
      <c r="AI65">
        <v>107.56</v>
      </c>
      <c r="AJ65">
        <v>83.65</v>
      </c>
      <c r="AK65">
        <v>5.59</v>
      </c>
      <c r="AL65">
        <v>1575.59</v>
      </c>
      <c r="AM65">
        <v>9.8699999999999992</v>
      </c>
      <c r="AN65">
        <v>204.77</v>
      </c>
    </row>
    <row r="66" spans="1:40" ht="15.75" hidden="1">
      <c r="A66" s="2" t="s">
        <v>520</v>
      </c>
      <c r="B66" s="8" t="s">
        <v>1092</v>
      </c>
      <c r="C66" s="2" t="s">
        <v>865</v>
      </c>
      <c r="D66" s="2" t="s">
        <v>872</v>
      </c>
      <c r="E66" s="2" t="s">
        <v>864</v>
      </c>
      <c r="F66" s="3">
        <v>35213</v>
      </c>
      <c r="G66" s="3">
        <v>44104</v>
      </c>
      <c r="H66" s="2">
        <v>24</v>
      </c>
      <c r="I66" s="2">
        <v>1</v>
      </c>
      <c r="J66" s="2" t="s">
        <v>857</v>
      </c>
      <c r="K66" s="2">
        <v>1123</v>
      </c>
      <c r="L66" s="2">
        <v>6</v>
      </c>
      <c r="M66">
        <v>1</v>
      </c>
      <c r="N66">
        <v>2</v>
      </c>
      <c r="O66" s="19">
        <v>1</v>
      </c>
      <c r="P66" s="19">
        <v>0</v>
      </c>
      <c r="Q66" t="s">
        <v>520</v>
      </c>
      <c r="R66" s="2" t="str">
        <f t="shared" ref="R66:R97" si="2">IF(A66=Q66, "TRUE", "FALSE")</f>
        <v>TRUE</v>
      </c>
      <c r="S66">
        <v>14.25</v>
      </c>
      <c r="T66">
        <v>4.47</v>
      </c>
      <c r="U66">
        <v>190.65</v>
      </c>
      <c r="V66">
        <v>222.54</v>
      </c>
      <c r="W66">
        <v>84.51</v>
      </c>
      <c r="X66">
        <v>52.44</v>
      </c>
      <c r="Y66">
        <v>46.94</v>
      </c>
      <c r="Z66">
        <v>12.72</v>
      </c>
      <c r="AA66">
        <v>957.27</v>
      </c>
      <c r="AB66">
        <v>329.86</v>
      </c>
      <c r="AC66">
        <v>71.760000000000005</v>
      </c>
      <c r="AD66">
        <v>181.93</v>
      </c>
      <c r="AE66">
        <v>8.7200000000000006</v>
      </c>
      <c r="AF66">
        <v>20.57</v>
      </c>
      <c r="AG66">
        <v>7.73</v>
      </c>
      <c r="AH66">
        <v>5.22</v>
      </c>
      <c r="AI66">
        <v>18.600000000000001</v>
      </c>
      <c r="AJ66">
        <v>21.8</v>
      </c>
      <c r="AK66" s="14">
        <v>4.99</v>
      </c>
      <c r="AL66">
        <v>498.29</v>
      </c>
      <c r="AM66">
        <v>8.32</v>
      </c>
      <c r="AN66">
        <v>15.93</v>
      </c>
    </row>
    <row r="67" spans="1:40" ht="15.75" hidden="1">
      <c r="A67" s="2" t="s">
        <v>532</v>
      </c>
      <c r="B67" s="8" t="s">
        <v>951</v>
      </c>
      <c r="C67" s="2" t="s">
        <v>858</v>
      </c>
      <c r="D67" s="2" t="s">
        <v>863</v>
      </c>
      <c r="E67" s="2" t="s">
        <v>864</v>
      </c>
      <c r="F67" s="3">
        <v>23988</v>
      </c>
      <c r="G67" s="3">
        <v>44104</v>
      </c>
      <c r="H67" s="2">
        <v>55</v>
      </c>
      <c r="I67" s="2">
        <v>1</v>
      </c>
      <c r="J67" s="2" t="s">
        <v>861</v>
      </c>
      <c r="K67" s="2">
        <v>4713</v>
      </c>
      <c r="L67" s="2">
        <v>6</v>
      </c>
      <c r="M67">
        <v>1</v>
      </c>
      <c r="N67">
        <v>2</v>
      </c>
      <c r="O67" s="18">
        <v>0</v>
      </c>
      <c r="P67" s="18">
        <v>0</v>
      </c>
      <c r="Q67" t="s">
        <v>532</v>
      </c>
      <c r="R67" s="2" t="str">
        <f t="shared" si="2"/>
        <v>TRUE</v>
      </c>
      <c r="S67">
        <v>25.95</v>
      </c>
      <c r="T67">
        <v>12.98</v>
      </c>
      <c r="U67">
        <v>245.82</v>
      </c>
      <c r="V67">
        <v>704.49</v>
      </c>
      <c r="W67">
        <v>176.21</v>
      </c>
      <c r="X67">
        <v>119.5</v>
      </c>
      <c r="Y67">
        <v>61.9</v>
      </c>
      <c r="Z67">
        <v>4.74</v>
      </c>
      <c r="AA67">
        <v>2500.0100000000002</v>
      </c>
      <c r="AB67" s="14">
        <v>2500.0100000000002</v>
      </c>
      <c r="AC67">
        <v>841.5</v>
      </c>
      <c r="AD67" s="14">
        <v>1000.01</v>
      </c>
      <c r="AE67">
        <v>17.850000000000001</v>
      </c>
      <c r="AF67">
        <v>714.03</v>
      </c>
      <c r="AG67">
        <v>462.89</v>
      </c>
      <c r="AH67">
        <v>676.54</v>
      </c>
      <c r="AI67">
        <v>31.08</v>
      </c>
      <c r="AJ67">
        <v>112.69</v>
      </c>
      <c r="AK67">
        <v>5.65</v>
      </c>
      <c r="AL67">
        <v>437.23</v>
      </c>
      <c r="AM67">
        <v>54.14</v>
      </c>
      <c r="AN67">
        <v>196.88</v>
      </c>
    </row>
    <row r="68" spans="1:40" ht="15.75" hidden="1">
      <c r="A68" s="2" t="s">
        <v>262</v>
      </c>
      <c r="B68" s="8" t="s">
        <v>955</v>
      </c>
      <c r="C68" s="2" t="s">
        <v>858</v>
      </c>
      <c r="D68" s="2" t="s">
        <v>859</v>
      </c>
      <c r="E68" s="2" t="s">
        <v>864</v>
      </c>
      <c r="F68" s="3">
        <v>16624</v>
      </c>
      <c r="G68" s="3">
        <v>44106</v>
      </c>
      <c r="H68" s="2">
        <v>75</v>
      </c>
      <c r="I68" s="2">
        <v>1</v>
      </c>
      <c r="J68" s="2" t="s">
        <v>861</v>
      </c>
      <c r="K68" s="2">
        <v>4146</v>
      </c>
      <c r="L68" s="2">
        <v>6</v>
      </c>
      <c r="M68">
        <v>1</v>
      </c>
      <c r="N68">
        <v>2</v>
      </c>
      <c r="O68" s="18">
        <v>1</v>
      </c>
      <c r="P68" s="18">
        <v>0</v>
      </c>
      <c r="Q68" t="s">
        <v>262</v>
      </c>
      <c r="R68" s="2" t="str">
        <f t="shared" si="2"/>
        <v>TRUE</v>
      </c>
      <c r="S68">
        <v>4.8</v>
      </c>
      <c r="T68">
        <v>1.86</v>
      </c>
      <c r="U68">
        <v>34.74</v>
      </c>
      <c r="V68">
        <v>245.24</v>
      </c>
      <c r="W68">
        <v>135.12</v>
      </c>
      <c r="X68">
        <v>29.82</v>
      </c>
      <c r="Y68">
        <v>26.34</v>
      </c>
      <c r="Z68">
        <v>1.21</v>
      </c>
      <c r="AA68">
        <v>1165.78</v>
      </c>
      <c r="AB68">
        <v>201.57</v>
      </c>
      <c r="AC68">
        <v>13.52</v>
      </c>
      <c r="AD68">
        <v>221.28</v>
      </c>
      <c r="AE68" s="14">
        <v>2.4900000000000002</v>
      </c>
      <c r="AF68">
        <v>21.55</v>
      </c>
      <c r="AG68">
        <v>5.4</v>
      </c>
      <c r="AH68">
        <v>6.26</v>
      </c>
      <c r="AI68">
        <v>14.37</v>
      </c>
      <c r="AJ68">
        <v>236.33</v>
      </c>
      <c r="AK68" s="14">
        <v>4.99</v>
      </c>
      <c r="AL68">
        <v>677.69</v>
      </c>
      <c r="AM68">
        <v>22.03</v>
      </c>
      <c r="AN68">
        <v>93.68</v>
      </c>
    </row>
    <row r="69" spans="1:40" ht="15.75">
      <c r="A69" s="2" t="s">
        <v>796</v>
      </c>
      <c r="B69" s="8" t="s">
        <v>903</v>
      </c>
      <c r="C69" s="2" t="s">
        <v>858</v>
      </c>
      <c r="D69" s="2" t="s">
        <v>859</v>
      </c>
      <c r="E69" s="2" t="s">
        <v>860</v>
      </c>
      <c r="F69" s="3">
        <v>33801</v>
      </c>
      <c r="G69" s="3">
        <v>44110</v>
      </c>
      <c r="H69" s="2">
        <v>28</v>
      </c>
      <c r="I69" s="2">
        <v>1</v>
      </c>
      <c r="J69" s="2" t="s">
        <v>857</v>
      </c>
      <c r="K69" s="2">
        <v>2363</v>
      </c>
      <c r="L69" s="2">
        <v>9</v>
      </c>
      <c r="M69">
        <v>0</v>
      </c>
      <c r="N69">
        <v>2</v>
      </c>
      <c r="O69" s="18">
        <v>1</v>
      </c>
      <c r="P69" s="18">
        <v>0</v>
      </c>
      <c r="Q69" t="s">
        <v>796</v>
      </c>
      <c r="R69" s="2" t="str">
        <f t="shared" si="2"/>
        <v>TRUE</v>
      </c>
      <c r="S69">
        <v>22.38</v>
      </c>
      <c r="T69">
        <v>1.73</v>
      </c>
      <c r="U69">
        <v>63.47</v>
      </c>
      <c r="V69">
        <v>99.87</v>
      </c>
      <c r="W69">
        <v>38.229999999999997</v>
      </c>
      <c r="X69">
        <v>12.43</v>
      </c>
      <c r="Y69">
        <v>39.979999999999997</v>
      </c>
      <c r="Z69">
        <v>4.74</v>
      </c>
      <c r="AA69">
        <v>701.15</v>
      </c>
      <c r="AB69">
        <v>135.55000000000001</v>
      </c>
      <c r="AC69">
        <v>42.7</v>
      </c>
      <c r="AD69">
        <v>118.31</v>
      </c>
      <c r="AE69">
        <v>8.06</v>
      </c>
      <c r="AF69">
        <v>13.49</v>
      </c>
      <c r="AG69">
        <v>3.13</v>
      </c>
      <c r="AH69">
        <v>2.68</v>
      </c>
      <c r="AI69" s="14">
        <v>9.99</v>
      </c>
      <c r="AJ69">
        <v>26.51</v>
      </c>
      <c r="AK69" s="14">
        <v>4.99</v>
      </c>
      <c r="AL69">
        <v>110.22</v>
      </c>
      <c r="AM69" s="14">
        <v>4.99</v>
      </c>
      <c r="AN69">
        <v>13.03</v>
      </c>
    </row>
    <row r="70" spans="1:40" ht="15.75" hidden="1">
      <c r="A70" s="2" t="s">
        <v>126</v>
      </c>
      <c r="B70" s="8" t="s">
        <v>1093</v>
      </c>
      <c r="C70" s="2" t="s">
        <v>854</v>
      </c>
      <c r="D70" s="2" t="s">
        <v>855</v>
      </c>
      <c r="E70" s="2" t="s">
        <v>856</v>
      </c>
      <c r="F70" s="3">
        <v>24811</v>
      </c>
      <c r="G70" s="3">
        <v>44118</v>
      </c>
      <c r="H70" s="2">
        <v>52</v>
      </c>
      <c r="I70" s="2">
        <v>1</v>
      </c>
      <c r="J70" s="2" t="s">
        <v>861</v>
      </c>
      <c r="K70" s="2">
        <v>236</v>
      </c>
      <c r="L70" s="2" t="s">
        <v>856</v>
      </c>
      <c r="M70">
        <v>1</v>
      </c>
      <c r="N70">
        <v>2</v>
      </c>
      <c r="O70" s="19">
        <v>1</v>
      </c>
      <c r="P70" s="19">
        <v>0</v>
      </c>
      <c r="Q70" t="s">
        <v>126</v>
      </c>
      <c r="R70" s="2" t="str">
        <f t="shared" si="2"/>
        <v>TRUE</v>
      </c>
      <c r="S70">
        <v>14.85</v>
      </c>
      <c r="T70">
        <v>3.87</v>
      </c>
      <c r="U70">
        <v>237.45</v>
      </c>
      <c r="V70">
        <v>105.8</v>
      </c>
      <c r="W70">
        <v>41.77</v>
      </c>
      <c r="X70">
        <v>44.1</v>
      </c>
      <c r="Y70">
        <v>6.55</v>
      </c>
      <c r="Z70" s="13">
        <v>0.99</v>
      </c>
      <c r="AA70">
        <v>225.44</v>
      </c>
      <c r="AB70">
        <v>44.32</v>
      </c>
      <c r="AC70">
        <v>56.14</v>
      </c>
      <c r="AD70">
        <v>90.78</v>
      </c>
      <c r="AE70">
        <v>3.32</v>
      </c>
      <c r="AF70">
        <v>1799.86</v>
      </c>
      <c r="AG70">
        <v>4.99</v>
      </c>
      <c r="AH70">
        <v>9.5399999999999991</v>
      </c>
      <c r="AI70">
        <v>18.5</v>
      </c>
      <c r="AJ70">
        <v>45.69</v>
      </c>
      <c r="AK70">
        <v>7.07</v>
      </c>
      <c r="AL70">
        <v>77.16</v>
      </c>
      <c r="AM70">
        <v>55.38</v>
      </c>
      <c r="AN70">
        <v>50.34</v>
      </c>
    </row>
    <row r="71" spans="1:40" ht="15.75" hidden="1">
      <c r="A71" s="2" t="s">
        <v>634</v>
      </c>
      <c r="B71" s="8" t="s">
        <v>1094</v>
      </c>
      <c r="C71" s="2" t="s">
        <v>865</v>
      </c>
      <c r="D71" s="2" t="s">
        <v>872</v>
      </c>
      <c r="E71" s="2" t="s">
        <v>860</v>
      </c>
      <c r="F71" s="3">
        <v>19739</v>
      </c>
      <c r="G71" s="3">
        <v>44119</v>
      </c>
      <c r="H71" s="2">
        <v>66</v>
      </c>
      <c r="I71" s="2">
        <v>1</v>
      </c>
      <c r="J71" s="2" t="s">
        <v>857</v>
      </c>
      <c r="K71" s="2">
        <v>900</v>
      </c>
      <c r="L71" s="2">
        <v>10</v>
      </c>
      <c r="M71">
        <v>1</v>
      </c>
      <c r="N71">
        <v>3</v>
      </c>
      <c r="O71" s="18">
        <v>1</v>
      </c>
      <c r="P71" s="18">
        <v>0</v>
      </c>
      <c r="Q71" t="s">
        <v>634</v>
      </c>
      <c r="R71" s="2" t="str">
        <f t="shared" si="2"/>
        <v>TRUE</v>
      </c>
      <c r="S71">
        <v>14.02</v>
      </c>
      <c r="T71">
        <v>19.649999999999999</v>
      </c>
      <c r="U71">
        <v>33.56</v>
      </c>
      <c r="V71">
        <v>170.85</v>
      </c>
      <c r="W71">
        <v>393.15</v>
      </c>
      <c r="X71">
        <v>22.99</v>
      </c>
      <c r="Y71">
        <v>296.49</v>
      </c>
      <c r="Z71">
        <v>5.34</v>
      </c>
      <c r="AA71">
        <v>628.49</v>
      </c>
      <c r="AB71">
        <v>136.54</v>
      </c>
      <c r="AC71">
        <v>61.68</v>
      </c>
      <c r="AD71">
        <v>199.58</v>
      </c>
      <c r="AE71">
        <v>4.67</v>
      </c>
      <c r="AF71">
        <v>74.930000000000007</v>
      </c>
      <c r="AG71">
        <v>16.37</v>
      </c>
      <c r="AH71">
        <v>24.92</v>
      </c>
      <c r="AI71">
        <v>99.79</v>
      </c>
      <c r="AJ71">
        <v>177.98</v>
      </c>
      <c r="AK71">
        <v>46.52</v>
      </c>
      <c r="AL71">
        <v>670.95</v>
      </c>
      <c r="AM71">
        <v>75.599999999999994</v>
      </c>
      <c r="AN71">
        <v>107.53</v>
      </c>
    </row>
    <row r="72" spans="1:40" ht="15.75">
      <c r="A72" s="2" t="s">
        <v>670</v>
      </c>
      <c r="B72" s="8" t="s">
        <v>1095</v>
      </c>
      <c r="C72" s="2" t="s">
        <v>865</v>
      </c>
      <c r="D72" s="2" t="s">
        <v>872</v>
      </c>
      <c r="E72" s="2" t="s">
        <v>864</v>
      </c>
      <c r="F72" s="3">
        <v>34804</v>
      </c>
      <c r="G72" s="3">
        <v>44127</v>
      </c>
      <c r="H72" s="2">
        <v>25</v>
      </c>
      <c r="I72" s="2">
        <v>1</v>
      </c>
      <c r="J72" s="2" t="s">
        <v>857</v>
      </c>
      <c r="K72" s="2">
        <v>904</v>
      </c>
      <c r="L72" s="2">
        <v>6</v>
      </c>
      <c r="M72">
        <v>0</v>
      </c>
      <c r="N72">
        <v>1</v>
      </c>
      <c r="O72" s="18">
        <v>0</v>
      </c>
      <c r="P72" s="18">
        <v>1</v>
      </c>
      <c r="Q72" t="s">
        <v>670</v>
      </c>
      <c r="R72" s="2" t="str">
        <f t="shared" si="2"/>
        <v>TRUE</v>
      </c>
      <c r="S72">
        <v>18.47</v>
      </c>
      <c r="T72">
        <v>0.99</v>
      </c>
      <c r="U72">
        <v>45.64</v>
      </c>
      <c r="V72">
        <v>46.21</v>
      </c>
      <c r="W72">
        <v>18.39</v>
      </c>
      <c r="X72">
        <v>6.5</v>
      </c>
      <c r="Y72">
        <v>43.66</v>
      </c>
      <c r="Z72">
        <v>4.6399999999999997</v>
      </c>
      <c r="AA72">
        <v>640.95000000000005</v>
      </c>
      <c r="AB72">
        <v>110.76</v>
      </c>
      <c r="AC72">
        <v>47.64</v>
      </c>
      <c r="AD72">
        <v>352.91</v>
      </c>
      <c r="AE72">
        <v>29.82</v>
      </c>
      <c r="AF72">
        <v>47.1</v>
      </c>
      <c r="AG72">
        <v>10.14</v>
      </c>
      <c r="AH72">
        <v>22.98</v>
      </c>
      <c r="AI72">
        <v>39.1</v>
      </c>
      <c r="AJ72">
        <v>330.91</v>
      </c>
      <c r="AK72">
        <v>25.1</v>
      </c>
      <c r="AL72">
        <v>520.74</v>
      </c>
      <c r="AM72">
        <v>47.5</v>
      </c>
      <c r="AN72">
        <v>185.27</v>
      </c>
    </row>
    <row r="73" spans="1:40" ht="15.75" hidden="1">
      <c r="A73" s="2" t="s">
        <v>472</v>
      </c>
      <c r="B73" s="8" t="s">
        <v>1096</v>
      </c>
      <c r="C73" s="2" t="s">
        <v>865</v>
      </c>
      <c r="D73" s="2" t="s">
        <v>866</v>
      </c>
      <c r="E73" s="2" t="s">
        <v>864</v>
      </c>
      <c r="F73" s="3">
        <v>23778</v>
      </c>
      <c r="G73" s="3">
        <v>44130</v>
      </c>
      <c r="H73" s="2">
        <v>55</v>
      </c>
      <c r="I73" s="2">
        <v>1</v>
      </c>
      <c r="J73" s="2" t="s">
        <v>857</v>
      </c>
      <c r="K73" s="2">
        <v>319</v>
      </c>
      <c r="L73" s="2">
        <v>11</v>
      </c>
      <c r="M73">
        <v>1</v>
      </c>
      <c r="N73">
        <v>2</v>
      </c>
      <c r="O73" s="19">
        <v>1</v>
      </c>
      <c r="P73" s="19">
        <v>0</v>
      </c>
      <c r="Q73" t="s">
        <v>472</v>
      </c>
      <c r="R73" s="2" t="str">
        <f t="shared" si="2"/>
        <v>TRUE</v>
      </c>
      <c r="S73">
        <v>11.67</v>
      </c>
      <c r="T73">
        <v>4.28</v>
      </c>
      <c r="U73">
        <v>244.35</v>
      </c>
      <c r="V73">
        <v>834.8</v>
      </c>
      <c r="W73">
        <v>227.59</v>
      </c>
      <c r="X73">
        <v>70.69</v>
      </c>
      <c r="Y73">
        <v>41.4</v>
      </c>
      <c r="Z73">
        <v>2.3199999999999998</v>
      </c>
      <c r="AA73">
        <v>917.41</v>
      </c>
      <c r="AB73">
        <v>721.21</v>
      </c>
      <c r="AC73">
        <v>93.93</v>
      </c>
      <c r="AD73">
        <v>224.2</v>
      </c>
      <c r="AE73">
        <v>6.87</v>
      </c>
      <c r="AF73">
        <v>112.97</v>
      </c>
      <c r="AG73">
        <v>126.67</v>
      </c>
      <c r="AH73">
        <v>63.75</v>
      </c>
      <c r="AI73">
        <v>177.76</v>
      </c>
      <c r="AJ73">
        <v>68.11</v>
      </c>
      <c r="AK73">
        <v>11.1</v>
      </c>
      <c r="AL73">
        <v>970.93</v>
      </c>
      <c r="AM73">
        <v>41.59</v>
      </c>
      <c r="AN73">
        <v>164.18</v>
      </c>
    </row>
    <row r="74" spans="1:40" ht="15.75" hidden="1">
      <c r="A74" s="2" t="s">
        <v>457</v>
      </c>
      <c r="B74" s="8" t="s">
        <v>1097</v>
      </c>
      <c r="C74" s="2" t="s">
        <v>854</v>
      </c>
      <c r="D74" s="2" t="s">
        <v>871</v>
      </c>
      <c r="E74" s="2" t="s">
        <v>856</v>
      </c>
      <c r="F74" s="3">
        <v>37328</v>
      </c>
      <c r="G74" s="3">
        <v>44146</v>
      </c>
      <c r="H74" s="2">
        <v>18</v>
      </c>
      <c r="I74" s="2">
        <v>1</v>
      </c>
      <c r="J74" s="2" t="s">
        <v>857</v>
      </c>
      <c r="K74" s="2">
        <v>472</v>
      </c>
      <c r="L74" s="2" t="s">
        <v>856</v>
      </c>
      <c r="M74">
        <v>1</v>
      </c>
      <c r="N74">
        <v>2</v>
      </c>
      <c r="O74" s="19">
        <v>1</v>
      </c>
      <c r="P74" s="19">
        <v>0</v>
      </c>
      <c r="Q74" t="s">
        <v>457</v>
      </c>
      <c r="R74" s="2" t="str">
        <f t="shared" si="2"/>
        <v>TRUE</v>
      </c>
      <c r="S74">
        <v>16.440000000000001</v>
      </c>
      <c r="T74">
        <v>21.19</v>
      </c>
      <c r="U74">
        <v>1000.01</v>
      </c>
      <c r="V74">
        <v>164.77</v>
      </c>
      <c r="W74">
        <v>240.1</v>
      </c>
      <c r="X74">
        <v>191.06</v>
      </c>
      <c r="Y74">
        <v>54.83</v>
      </c>
      <c r="Z74">
        <v>10.43</v>
      </c>
      <c r="AA74">
        <v>2229.1999999999998</v>
      </c>
      <c r="AB74">
        <v>396.96</v>
      </c>
      <c r="AC74">
        <v>757.42</v>
      </c>
      <c r="AD74">
        <v>587.78</v>
      </c>
      <c r="AE74">
        <v>20.75</v>
      </c>
      <c r="AF74">
        <v>461.52</v>
      </c>
      <c r="AG74">
        <v>108.99</v>
      </c>
      <c r="AH74">
        <v>140.88999999999999</v>
      </c>
      <c r="AI74" s="14">
        <v>9.99</v>
      </c>
      <c r="AJ74">
        <v>67.69</v>
      </c>
      <c r="AK74">
        <v>15.71</v>
      </c>
      <c r="AL74">
        <v>54.05</v>
      </c>
      <c r="AM74">
        <v>144.38</v>
      </c>
      <c r="AN74">
        <v>31.53</v>
      </c>
    </row>
    <row r="75" spans="1:40" ht="15.75">
      <c r="A75" s="2" t="s">
        <v>193</v>
      </c>
      <c r="B75" s="8" t="s">
        <v>904</v>
      </c>
      <c r="C75" s="2" t="s">
        <v>858</v>
      </c>
      <c r="D75" s="2" t="s">
        <v>863</v>
      </c>
      <c r="E75" s="2" t="s">
        <v>860</v>
      </c>
      <c r="F75" s="3">
        <v>34311</v>
      </c>
      <c r="G75" s="3">
        <v>44148</v>
      </c>
      <c r="H75" s="2">
        <v>26</v>
      </c>
      <c r="I75" s="2">
        <v>1</v>
      </c>
      <c r="J75" s="2" t="s">
        <v>857</v>
      </c>
      <c r="K75" s="2">
        <v>1823</v>
      </c>
      <c r="L75" s="2">
        <v>9</v>
      </c>
      <c r="M75">
        <v>0</v>
      </c>
      <c r="N75">
        <v>2</v>
      </c>
      <c r="O75" s="19">
        <v>1</v>
      </c>
      <c r="P75" s="19">
        <v>0</v>
      </c>
      <c r="Q75" t="s">
        <v>193</v>
      </c>
      <c r="R75" s="2" t="str">
        <f t="shared" si="2"/>
        <v>TRUE</v>
      </c>
      <c r="S75">
        <v>17.100000000000001</v>
      </c>
      <c r="T75">
        <v>3.51</v>
      </c>
      <c r="U75">
        <v>16.16</v>
      </c>
      <c r="V75">
        <v>264.5</v>
      </c>
      <c r="W75">
        <v>204.83</v>
      </c>
      <c r="X75">
        <v>20.75</v>
      </c>
      <c r="Y75">
        <v>318.43</v>
      </c>
      <c r="Z75">
        <v>3.23</v>
      </c>
      <c r="AA75">
        <v>552.89</v>
      </c>
      <c r="AB75">
        <v>305.87</v>
      </c>
      <c r="AC75">
        <v>29.3</v>
      </c>
      <c r="AD75">
        <v>173.43</v>
      </c>
      <c r="AE75">
        <v>21.44</v>
      </c>
      <c r="AF75">
        <v>172.13</v>
      </c>
      <c r="AG75">
        <v>179.59</v>
      </c>
      <c r="AH75">
        <v>69.91</v>
      </c>
      <c r="AI75">
        <v>267.56</v>
      </c>
      <c r="AJ75">
        <v>51.54</v>
      </c>
      <c r="AK75">
        <v>39.590000000000003</v>
      </c>
      <c r="AL75">
        <v>214.79</v>
      </c>
      <c r="AM75">
        <v>7.17</v>
      </c>
      <c r="AN75">
        <v>103.68</v>
      </c>
    </row>
    <row r="76" spans="1:40" ht="15.75">
      <c r="A76" s="2" t="s">
        <v>379</v>
      </c>
      <c r="B76" s="8" t="s">
        <v>956</v>
      </c>
      <c r="C76" s="2" t="s">
        <v>858</v>
      </c>
      <c r="D76" s="2" t="s">
        <v>863</v>
      </c>
      <c r="E76" s="2" t="s">
        <v>864</v>
      </c>
      <c r="F76" s="3">
        <v>33826</v>
      </c>
      <c r="G76" s="3">
        <v>44152</v>
      </c>
      <c r="H76" s="2">
        <v>28</v>
      </c>
      <c r="I76" s="2">
        <v>1</v>
      </c>
      <c r="J76" s="2" t="s">
        <v>857</v>
      </c>
      <c r="K76" s="2">
        <v>221</v>
      </c>
      <c r="L76" s="2">
        <v>10</v>
      </c>
      <c r="M76">
        <v>0</v>
      </c>
      <c r="N76">
        <v>2</v>
      </c>
      <c r="O76" s="18">
        <v>1</v>
      </c>
      <c r="P76" s="18">
        <v>0</v>
      </c>
      <c r="Q76" t="s">
        <v>379</v>
      </c>
      <c r="R76" s="2" t="str">
        <f t="shared" si="2"/>
        <v>TRUE</v>
      </c>
      <c r="S76">
        <v>12.37</v>
      </c>
      <c r="T76">
        <v>0.99</v>
      </c>
      <c r="U76">
        <v>9.09</v>
      </c>
      <c r="V76">
        <v>345.77</v>
      </c>
      <c r="W76">
        <v>9.65</v>
      </c>
      <c r="X76">
        <v>55.11</v>
      </c>
      <c r="Y76">
        <v>9.39</v>
      </c>
      <c r="Z76" s="13">
        <v>0.99</v>
      </c>
      <c r="AA76">
        <v>575.85</v>
      </c>
      <c r="AB76">
        <v>724.71</v>
      </c>
      <c r="AC76">
        <v>13.63</v>
      </c>
      <c r="AD76">
        <v>130.16999999999999</v>
      </c>
      <c r="AE76">
        <v>2.77</v>
      </c>
      <c r="AF76">
        <v>84.83</v>
      </c>
      <c r="AG76">
        <v>143.38</v>
      </c>
      <c r="AH76">
        <v>21.58</v>
      </c>
      <c r="AI76">
        <v>111.71</v>
      </c>
      <c r="AJ76">
        <v>22.44</v>
      </c>
      <c r="AK76">
        <v>7.36</v>
      </c>
      <c r="AL76">
        <v>398.55</v>
      </c>
      <c r="AM76" s="14">
        <v>4.99</v>
      </c>
      <c r="AN76">
        <v>66.739999999999995</v>
      </c>
    </row>
    <row r="77" spans="1:40" ht="15.75" hidden="1">
      <c r="A77" s="2" t="s">
        <v>430</v>
      </c>
      <c r="B77" s="8" t="s">
        <v>957</v>
      </c>
      <c r="C77" s="2" t="s">
        <v>858</v>
      </c>
      <c r="D77" s="2" t="s">
        <v>863</v>
      </c>
      <c r="E77" s="2" t="s">
        <v>864</v>
      </c>
      <c r="F77" s="3">
        <v>35769</v>
      </c>
      <c r="G77" s="3">
        <v>44162</v>
      </c>
      <c r="H77" s="2">
        <v>22</v>
      </c>
      <c r="I77" s="2">
        <v>1</v>
      </c>
      <c r="J77" s="2" t="s">
        <v>861</v>
      </c>
      <c r="K77" s="2">
        <v>7900</v>
      </c>
      <c r="L77" s="2">
        <v>13</v>
      </c>
      <c r="M77">
        <v>1</v>
      </c>
      <c r="N77">
        <v>2</v>
      </c>
      <c r="O77" s="19">
        <v>1</v>
      </c>
      <c r="P77" s="19">
        <v>0</v>
      </c>
      <c r="Q77" t="s">
        <v>430</v>
      </c>
      <c r="R77" s="2" t="str">
        <f t="shared" si="2"/>
        <v>TRUE</v>
      </c>
      <c r="S77" s="12">
        <v>17.04</v>
      </c>
      <c r="T77" s="12">
        <v>6.31</v>
      </c>
      <c r="U77" s="12">
        <v>224.98</v>
      </c>
      <c r="V77" s="12">
        <v>244.97</v>
      </c>
      <c r="W77" s="12">
        <v>122.4</v>
      </c>
      <c r="X77" s="12">
        <v>79.06</v>
      </c>
      <c r="Y77" s="12">
        <v>51.01</v>
      </c>
      <c r="Z77" s="12">
        <v>7.06</v>
      </c>
      <c r="AA77" s="12">
        <v>2020.47</v>
      </c>
      <c r="AB77" s="12">
        <v>425.91</v>
      </c>
      <c r="AC77" s="12">
        <v>340.75</v>
      </c>
      <c r="AD77" s="12">
        <v>676.84</v>
      </c>
      <c r="AE77" s="12">
        <v>44.14</v>
      </c>
      <c r="AF77" s="12">
        <v>285.7</v>
      </c>
      <c r="AG77" s="12">
        <v>83.09</v>
      </c>
      <c r="AH77" s="12">
        <v>92.62</v>
      </c>
      <c r="AI77" s="12">
        <v>105.01</v>
      </c>
      <c r="AJ77" s="12">
        <v>120.54</v>
      </c>
      <c r="AK77" s="12">
        <v>30.19</v>
      </c>
      <c r="AL77" s="12">
        <v>290.32</v>
      </c>
      <c r="AM77" s="12">
        <v>63.15</v>
      </c>
      <c r="AN77" s="12">
        <v>47.58</v>
      </c>
    </row>
    <row r="78" spans="1:40" ht="15.75" hidden="1">
      <c r="A78" s="2" t="s">
        <v>571</v>
      </c>
      <c r="B78" s="8" t="s">
        <v>958</v>
      </c>
      <c r="C78" s="2" t="s">
        <v>858</v>
      </c>
      <c r="D78" s="2" t="s">
        <v>863</v>
      </c>
      <c r="E78" s="2" t="s">
        <v>864</v>
      </c>
      <c r="F78" s="3">
        <v>28094</v>
      </c>
      <c r="G78" s="3">
        <v>44169</v>
      </c>
      <c r="H78" s="2">
        <v>44</v>
      </c>
      <c r="I78" s="2">
        <v>1</v>
      </c>
      <c r="J78" s="2" t="s">
        <v>857</v>
      </c>
      <c r="K78" s="2">
        <v>659</v>
      </c>
      <c r="L78" s="2">
        <v>6</v>
      </c>
      <c r="M78">
        <v>1</v>
      </c>
      <c r="N78">
        <v>2</v>
      </c>
      <c r="O78" s="19">
        <v>1</v>
      </c>
      <c r="P78" s="19">
        <v>0</v>
      </c>
      <c r="Q78" t="s">
        <v>571</v>
      </c>
      <c r="R78" s="2" t="str">
        <f t="shared" si="2"/>
        <v>TRUE</v>
      </c>
      <c r="S78" s="12">
        <v>29.18</v>
      </c>
      <c r="T78" s="12">
        <v>2.15</v>
      </c>
      <c r="U78" s="12">
        <v>67.61</v>
      </c>
      <c r="V78" s="12">
        <v>254.9</v>
      </c>
      <c r="W78" s="12">
        <v>75.66</v>
      </c>
      <c r="X78" s="12">
        <v>46.22</v>
      </c>
      <c r="Y78" s="12">
        <v>72.349999999999994</v>
      </c>
      <c r="Z78" s="12">
        <v>5.83</v>
      </c>
      <c r="AA78" s="12">
        <v>1940</v>
      </c>
      <c r="AB78" s="12">
        <v>661.35</v>
      </c>
      <c r="AC78" s="12">
        <v>191.94</v>
      </c>
      <c r="AD78" s="12">
        <v>445.55</v>
      </c>
      <c r="AE78" s="12">
        <v>7.68</v>
      </c>
      <c r="AF78" s="12">
        <v>114.34</v>
      </c>
      <c r="AG78" s="12">
        <v>39.54</v>
      </c>
      <c r="AH78" s="12">
        <v>28.22</v>
      </c>
      <c r="AI78" s="12">
        <v>25.23</v>
      </c>
      <c r="AJ78" s="12">
        <v>41.29</v>
      </c>
      <c r="AK78" s="13">
        <v>4.99</v>
      </c>
      <c r="AL78" s="12">
        <v>354.88</v>
      </c>
      <c r="AM78" s="12">
        <v>20.98</v>
      </c>
      <c r="AN78" s="12">
        <v>40.28</v>
      </c>
    </row>
    <row r="79" spans="1:40" ht="15.75">
      <c r="A79" s="2" t="s">
        <v>772</v>
      </c>
      <c r="B79" s="8" t="s">
        <v>1098</v>
      </c>
      <c r="C79" s="2" t="s">
        <v>865</v>
      </c>
      <c r="D79" s="2" t="s">
        <v>872</v>
      </c>
      <c r="E79" s="2" t="s">
        <v>864</v>
      </c>
      <c r="F79" s="3">
        <v>25846</v>
      </c>
      <c r="G79" s="3">
        <v>44172</v>
      </c>
      <c r="H79" s="2">
        <v>50</v>
      </c>
      <c r="I79" s="2">
        <v>1</v>
      </c>
      <c r="J79" s="2" t="s">
        <v>861</v>
      </c>
      <c r="K79" s="2">
        <v>549</v>
      </c>
      <c r="L79" s="2">
        <v>9</v>
      </c>
      <c r="M79">
        <v>0</v>
      </c>
      <c r="N79">
        <v>3</v>
      </c>
      <c r="O79" s="19">
        <v>1</v>
      </c>
      <c r="P79" s="19">
        <v>0</v>
      </c>
      <c r="Q79" t="s">
        <v>772</v>
      </c>
      <c r="R79" s="2" t="str">
        <f t="shared" si="2"/>
        <v>TRUE</v>
      </c>
      <c r="S79" s="12">
        <v>10.18</v>
      </c>
      <c r="T79" s="12">
        <v>2.35</v>
      </c>
      <c r="U79" s="12">
        <v>17.91</v>
      </c>
      <c r="V79" s="12">
        <v>412.26</v>
      </c>
      <c r="W79" s="12">
        <v>52.33</v>
      </c>
      <c r="X79" s="12">
        <v>44.07</v>
      </c>
      <c r="Y79" s="12">
        <v>56.57</v>
      </c>
      <c r="Z79" s="13">
        <v>0.99</v>
      </c>
      <c r="AA79" s="15">
        <v>1120.1400000000001</v>
      </c>
      <c r="AB79" s="12">
        <v>231.47</v>
      </c>
      <c r="AC79" s="12">
        <v>10.35</v>
      </c>
      <c r="AD79" s="12">
        <v>47.78</v>
      </c>
      <c r="AE79" s="13">
        <v>2.4900000000000002</v>
      </c>
      <c r="AF79" s="12">
        <v>39.119999999999997</v>
      </c>
      <c r="AG79" s="12">
        <v>66.08</v>
      </c>
      <c r="AH79" s="12">
        <v>11.75</v>
      </c>
      <c r="AI79" s="12">
        <v>23.53</v>
      </c>
      <c r="AJ79" s="12">
        <v>9.73</v>
      </c>
      <c r="AK79" s="13">
        <v>4.99</v>
      </c>
      <c r="AL79" s="12">
        <v>110.71</v>
      </c>
      <c r="AM79" s="13">
        <v>4.99</v>
      </c>
      <c r="AN79" s="12">
        <v>30.85</v>
      </c>
    </row>
    <row r="80" spans="1:40" ht="15.75">
      <c r="A80" s="2" t="s">
        <v>631</v>
      </c>
      <c r="B80" s="8" t="s">
        <v>1099</v>
      </c>
      <c r="C80" s="2" t="s">
        <v>865</v>
      </c>
      <c r="D80" s="2" t="s">
        <v>866</v>
      </c>
      <c r="E80" s="2" t="s">
        <v>864</v>
      </c>
      <c r="F80" s="3">
        <v>35547</v>
      </c>
      <c r="G80" s="3">
        <v>44181</v>
      </c>
      <c r="H80" s="2">
        <v>23</v>
      </c>
      <c r="I80" s="2">
        <v>1</v>
      </c>
      <c r="J80" s="2" t="s">
        <v>861</v>
      </c>
      <c r="K80" s="2">
        <v>338</v>
      </c>
      <c r="L80" s="2">
        <v>7</v>
      </c>
      <c r="M80">
        <v>0</v>
      </c>
      <c r="N80">
        <v>1</v>
      </c>
      <c r="O80" s="19">
        <v>0</v>
      </c>
      <c r="P80" s="19">
        <v>0</v>
      </c>
      <c r="Q80" t="s">
        <v>631</v>
      </c>
      <c r="R80" s="2" t="str">
        <f t="shared" si="2"/>
        <v>TRUE</v>
      </c>
      <c r="S80">
        <v>18.5</v>
      </c>
      <c r="T80">
        <v>17.16</v>
      </c>
      <c r="U80">
        <v>337.42</v>
      </c>
      <c r="V80">
        <v>71.459999999999994</v>
      </c>
      <c r="W80">
        <v>400.74</v>
      </c>
      <c r="X80">
        <v>72.760000000000005</v>
      </c>
      <c r="Y80">
        <v>116.36</v>
      </c>
      <c r="Z80">
        <v>19.100000000000001</v>
      </c>
      <c r="AA80">
        <v>759.86</v>
      </c>
      <c r="AB80">
        <v>151.62</v>
      </c>
      <c r="AC80">
        <v>150.72999999999999</v>
      </c>
      <c r="AD80">
        <v>231.38</v>
      </c>
      <c r="AE80">
        <v>28.2</v>
      </c>
      <c r="AF80">
        <v>73.260000000000005</v>
      </c>
      <c r="AG80">
        <v>15.65</v>
      </c>
      <c r="AH80">
        <v>18.13</v>
      </c>
      <c r="AI80">
        <v>12.67</v>
      </c>
      <c r="AJ80">
        <v>102.31</v>
      </c>
      <c r="AK80">
        <v>12.95</v>
      </c>
      <c r="AL80">
        <v>67.31</v>
      </c>
      <c r="AM80">
        <v>71.11</v>
      </c>
      <c r="AN80">
        <v>93.89</v>
      </c>
    </row>
    <row r="81" spans="1:40" ht="15.75">
      <c r="A81" s="2" t="s">
        <v>460</v>
      </c>
      <c r="B81" s="8" t="s">
        <v>1100</v>
      </c>
      <c r="C81" s="2" t="s">
        <v>870</v>
      </c>
      <c r="D81" s="2" t="s">
        <v>862</v>
      </c>
      <c r="E81" s="2" t="s">
        <v>856</v>
      </c>
      <c r="F81" s="3">
        <v>21616</v>
      </c>
      <c r="G81" s="3">
        <v>43237</v>
      </c>
      <c r="H81" s="2">
        <v>59</v>
      </c>
      <c r="I81" s="2">
        <v>1</v>
      </c>
      <c r="J81" s="2" t="s">
        <v>857</v>
      </c>
      <c r="K81" s="2">
        <v>206</v>
      </c>
      <c r="L81" s="2" t="s">
        <v>856</v>
      </c>
      <c r="M81">
        <v>0</v>
      </c>
      <c r="N81">
        <v>3</v>
      </c>
      <c r="O81">
        <v>1</v>
      </c>
      <c r="P81">
        <v>0</v>
      </c>
      <c r="Q81" t="s">
        <v>460</v>
      </c>
      <c r="R81" s="2" t="str">
        <f t="shared" si="2"/>
        <v>TRUE</v>
      </c>
      <c r="S81">
        <v>15.46</v>
      </c>
      <c r="T81">
        <v>41.46</v>
      </c>
      <c r="U81">
        <v>268.31</v>
      </c>
      <c r="V81">
        <v>868.14</v>
      </c>
      <c r="W81" s="12">
        <v>1000.01</v>
      </c>
      <c r="X81">
        <v>334.75</v>
      </c>
      <c r="Y81">
        <v>868.36</v>
      </c>
      <c r="Z81">
        <v>16.690000000000001</v>
      </c>
      <c r="AA81">
        <v>1164.79</v>
      </c>
      <c r="AB81">
        <v>565.96</v>
      </c>
      <c r="AC81">
        <v>390.59</v>
      </c>
      <c r="AD81">
        <v>284.79000000000002</v>
      </c>
      <c r="AE81">
        <v>8.76</v>
      </c>
      <c r="AF81">
        <v>39.58</v>
      </c>
      <c r="AG81">
        <v>22.85</v>
      </c>
      <c r="AH81">
        <v>9.77</v>
      </c>
      <c r="AI81">
        <v>42.02</v>
      </c>
      <c r="AJ81">
        <v>72.319999999999993</v>
      </c>
      <c r="AK81" s="14">
        <v>4.99</v>
      </c>
      <c r="AL81">
        <v>296.48</v>
      </c>
      <c r="AM81">
        <v>139.58000000000001</v>
      </c>
      <c r="AN81">
        <v>93.17</v>
      </c>
    </row>
    <row r="82" spans="1:40" ht="15.75" hidden="1">
      <c r="A82" s="2" t="s">
        <v>685</v>
      </c>
      <c r="B82" s="8" t="s">
        <v>1009</v>
      </c>
      <c r="C82" s="2" t="s">
        <v>865</v>
      </c>
      <c r="D82" s="2" t="s">
        <v>869</v>
      </c>
      <c r="E82" s="2" t="s">
        <v>860</v>
      </c>
      <c r="F82" s="3">
        <v>31009</v>
      </c>
      <c r="G82" s="3">
        <v>43699</v>
      </c>
      <c r="H82" s="2">
        <v>34</v>
      </c>
      <c r="I82" s="2">
        <v>1</v>
      </c>
      <c r="J82" s="2" t="s">
        <v>857</v>
      </c>
      <c r="K82" s="2">
        <v>2000</v>
      </c>
      <c r="L82" s="2">
        <v>10</v>
      </c>
      <c r="M82">
        <v>1</v>
      </c>
      <c r="N82">
        <v>2</v>
      </c>
      <c r="O82" s="2">
        <v>1</v>
      </c>
      <c r="P82" s="2">
        <v>0</v>
      </c>
      <c r="Q82" t="s">
        <v>685</v>
      </c>
      <c r="R82" s="2" t="str">
        <f t="shared" si="2"/>
        <v>TRUE</v>
      </c>
      <c r="S82">
        <v>25.78</v>
      </c>
      <c r="T82">
        <v>4.3499999999999996</v>
      </c>
      <c r="U82">
        <v>25.1</v>
      </c>
      <c r="V82">
        <v>68.400000000000006</v>
      </c>
      <c r="W82">
        <v>48.67</v>
      </c>
      <c r="X82">
        <v>19.690000000000001</v>
      </c>
      <c r="Y82">
        <v>8.4499999999999993</v>
      </c>
      <c r="Z82">
        <v>1.82</v>
      </c>
      <c r="AA82">
        <v>524.76</v>
      </c>
      <c r="AB82">
        <v>67.099999999999994</v>
      </c>
      <c r="AC82">
        <v>17.04</v>
      </c>
      <c r="AD82">
        <v>75.569999999999993</v>
      </c>
      <c r="AE82">
        <v>8.92</v>
      </c>
      <c r="AF82">
        <v>80.81</v>
      </c>
      <c r="AG82">
        <v>18.38</v>
      </c>
      <c r="AH82">
        <v>23.23</v>
      </c>
      <c r="AI82">
        <v>45.01</v>
      </c>
      <c r="AJ82">
        <v>78.930000000000007</v>
      </c>
      <c r="AK82">
        <v>16.89</v>
      </c>
      <c r="AL82">
        <v>123.13</v>
      </c>
      <c r="AM82">
        <v>16.75</v>
      </c>
      <c r="AN82">
        <v>40.89</v>
      </c>
    </row>
    <row r="83" spans="1:40" ht="15.75">
      <c r="A83" s="2" t="s">
        <v>154</v>
      </c>
      <c r="B83" s="8" t="s">
        <v>1101</v>
      </c>
      <c r="C83" s="2" t="s">
        <v>885</v>
      </c>
      <c r="D83" s="2" t="s">
        <v>856</v>
      </c>
      <c r="E83" s="2" t="s">
        <v>856</v>
      </c>
      <c r="F83" s="3">
        <v>26667</v>
      </c>
      <c r="G83" s="3">
        <v>44231</v>
      </c>
      <c r="H83" s="2">
        <v>48</v>
      </c>
      <c r="I83" s="2">
        <v>1</v>
      </c>
      <c r="J83" s="2" t="s">
        <v>857</v>
      </c>
      <c r="K83" s="2" t="s">
        <v>856</v>
      </c>
      <c r="L83" s="2" t="s">
        <v>856</v>
      </c>
      <c r="M83">
        <v>0</v>
      </c>
      <c r="N83">
        <v>2</v>
      </c>
      <c r="O83" s="20">
        <v>1</v>
      </c>
      <c r="P83" s="20">
        <v>0</v>
      </c>
      <c r="Q83" t="s">
        <v>154</v>
      </c>
      <c r="R83" s="2" t="str">
        <f t="shared" si="2"/>
        <v>TRUE</v>
      </c>
      <c r="S83">
        <v>26.89</v>
      </c>
      <c r="T83">
        <v>10.44</v>
      </c>
      <c r="U83">
        <v>205.69</v>
      </c>
      <c r="V83">
        <v>185.24</v>
      </c>
      <c r="W83">
        <v>97.97</v>
      </c>
      <c r="X83">
        <v>75.930000000000007</v>
      </c>
      <c r="Y83">
        <v>51.33</v>
      </c>
      <c r="Z83">
        <v>11.46</v>
      </c>
      <c r="AA83">
        <v>164.96</v>
      </c>
      <c r="AB83">
        <v>69.849999999999994</v>
      </c>
      <c r="AC83">
        <v>41.15</v>
      </c>
      <c r="AD83">
        <v>36.33</v>
      </c>
      <c r="AE83">
        <v>10.86</v>
      </c>
      <c r="AF83">
        <v>16.72</v>
      </c>
      <c r="AG83">
        <v>6.68</v>
      </c>
      <c r="AH83">
        <v>3.35</v>
      </c>
      <c r="AI83">
        <v>69.66</v>
      </c>
      <c r="AJ83">
        <v>99.4</v>
      </c>
      <c r="AK83">
        <v>22.02</v>
      </c>
      <c r="AL83">
        <v>239.4</v>
      </c>
      <c r="AM83">
        <v>32.94</v>
      </c>
      <c r="AN83">
        <v>118.97</v>
      </c>
    </row>
    <row r="84" spans="1:40" ht="15.75">
      <c r="A84" s="2" t="s">
        <v>535</v>
      </c>
      <c r="B84" s="8" t="s">
        <v>1102</v>
      </c>
      <c r="C84" s="2" t="s">
        <v>885</v>
      </c>
      <c r="D84" s="2" t="s">
        <v>856</v>
      </c>
      <c r="E84" s="2" t="s">
        <v>856</v>
      </c>
      <c r="F84" s="3">
        <v>24872</v>
      </c>
      <c r="G84" s="3">
        <v>44231</v>
      </c>
      <c r="H84" s="2">
        <v>53</v>
      </c>
      <c r="I84" s="2">
        <v>1</v>
      </c>
      <c r="J84" s="2" t="s">
        <v>857</v>
      </c>
      <c r="K84" s="2" t="s">
        <v>856</v>
      </c>
      <c r="L84" s="2" t="s">
        <v>856</v>
      </c>
      <c r="M84">
        <v>0</v>
      </c>
      <c r="N84">
        <v>2</v>
      </c>
      <c r="O84" s="20">
        <v>1</v>
      </c>
      <c r="P84" s="20">
        <v>0</v>
      </c>
      <c r="Q84" t="s">
        <v>535</v>
      </c>
      <c r="R84" s="2" t="str">
        <f t="shared" si="2"/>
        <v>TRUE</v>
      </c>
      <c r="S84">
        <v>11.82</v>
      </c>
      <c r="T84">
        <v>1.94</v>
      </c>
      <c r="U84">
        <v>354.57</v>
      </c>
      <c r="V84">
        <v>150.93</v>
      </c>
      <c r="W84">
        <v>89.37</v>
      </c>
      <c r="X84">
        <v>33.75</v>
      </c>
      <c r="Y84">
        <v>3.29</v>
      </c>
      <c r="Z84">
        <v>1.35</v>
      </c>
      <c r="AA84">
        <v>130.19</v>
      </c>
      <c r="AB84">
        <v>49.3</v>
      </c>
      <c r="AC84">
        <v>26.23</v>
      </c>
      <c r="AD84">
        <v>35.79</v>
      </c>
      <c r="AE84">
        <v>9.75</v>
      </c>
      <c r="AF84">
        <v>38.53</v>
      </c>
      <c r="AG84">
        <v>16.98</v>
      </c>
      <c r="AH84">
        <v>8.19</v>
      </c>
      <c r="AI84">
        <v>236.14</v>
      </c>
      <c r="AJ84">
        <v>84.83</v>
      </c>
      <c r="AK84">
        <v>29.59</v>
      </c>
      <c r="AL84">
        <v>575.23</v>
      </c>
      <c r="AM84">
        <v>25.29</v>
      </c>
      <c r="AN84">
        <v>155.94</v>
      </c>
    </row>
    <row r="85" spans="1:40" ht="15.75">
      <c r="A85" s="2" t="s">
        <v>129</v>
      </c>
      <c r="B85" s="8" t="s">
        <v>1103</v>
      </c>
      <c r="C85" s="2" t="s">
        <v>885</v>
      </c>
      <c r="D85" s="2" t="s">
        <v>856</v>
      </c>
      <c r="E85" s="2" t="s">
        <v>856</v>
      </c>
      <c r="F85" s="3">
        <v>24477</v>
      </c>
      <c r="G85" s="3">
        <v>44233</v>
      </c>
      <c r="H85" s="2">
        <v>54</v>
      </c>
      <c r="I85" s="2">
        <v>1</v>
      </c>
      <c r="J85" s="2" t="s">
        <v>861</v>
      </c>
      <c r="K85" s="2" t="s">
        <v>856</v>
      </c>
      <c r="L85" s="2" t="s">
        <v>856</v>
      </c>
      <c r="M85">
        <v>0</v>
      </c>
      <c r="N85">
        <v>3</v>
      </c>
      <c r="O85" s="21">
        <v>0</v>
      </c>
      <c r="P85" s="21">
        <v>0</v>
      </c>
      <c r="Q85" t="s">
        <v>129</v>
      </c>
      <c r="R85" s="2" t="str">
        <f t="shared" si="2"/>
        <v>TRUE</v>
      </c>
      <c r="S85">
        <v>28.65</v>
      </c>
      <c r="T85">
        <v>0.99</v>
      </c>
      <c r="U85">
        <v>94.17</v>
      </c>
      <c r="V85">
        <v>84.94</v>
      </c>
      <c r="W85">
        <v>15.68</v>
      </c>
      <c r="X85">
        <v>28.81</v>
      </c>
      <c r="Y85">
        <v>6.36</v>
      </c>
      <c r="Z85">
        <v>1.03</v>
      </c>
      <c r="AA85">
        <v>475.57</v>
      </c>
      <c r="AB85">
        <v>232.8</v>
      </c>
      <c r="AC85">
        <v>50.82</v>
      </c>
      <c r="AD85">
        <v>96.99</v>
      </c>
      <c r="AE85">
        <v>4.03</v>
      </c>
      <c r="AF85">
        <v>151.69999999999999</v>
      </c>
      <c r="AG85">
        <v>105.36</v>
      </c>
      <c r="AH85">
        <v>59.94</v>
      </c>
      <c r="AI85">
        <v>198.58</v>
      </c>
      <c r="AJ85">
        <v>29.92</v>
      </c>
      <c r="AK85">
        <v>11.55</v>
      </c>
      <c r="AL85">
        <v>191.7</v>
      </c>
      <c r="AM85">
        <v>8.5299999999999994</v>
      </c>
      <c r="AN85">
        <v>77.180000000000007</v>
      </c>
    </row>
    <row r="86" spans="1:40" ht="15.75" hidden="1">
      <c r="A86" s="2" t="s">
        <v>625</v>
      </c>
      <c r="B86" s="8" t="s">
        <v>1104</v>
      </c>
      <c r="C86" s="2" t="s">
        <v>885</v>
      </c>
      <c r="D86" s="2" t="s">
        <v>856</v>
      </c>
      <c r="E86" s="2" t="s">
        <v>856</v>
      </c>
      <c r="F86" s="3">
        <v>32884</v>
      </c>
      <c r="G86" s="3">
        <v>44233</v>
      </c>
      <c r="H86" s="2">
        <v>31</v>
      </c>
      <c r="I86" s="2">
        <v>1</v>
      </c>
      <c r="J86" s="2" t="s">
        <v>857</v>
      </c>
      <c r="K86" s="2" t="s">
        <v>856</v>
      </c>
      <c r="L86" s="2" t="s">
        <v>856</v>
      </c>
      <c r="M86">
        <v>1</v>
      </c>
      <c r="N86">
        <v>2</v>
      </c>
      <c r="O86" s="20">
        <v>0</v>
      </c>
      <c r="P86" s="20">
        <v>0</v>
      </c>
      <c r="Q86" t="s">
        <v>625</v>
      </c>
      <c r="R86" s="2" t="str">
        <f t="shared" si="2"/>
        <v>TRUE</v>
      </c>
      <c r="S86">
        <v>18.059999999999999</v>
      </c>
      <c r="T86">
        <v>0.99</v>
      </c>
      <c r="U86">
        <v>23.15</v>
      </c>
      <c r="V86">
        <v>344.54</v>
      </c>
      <c r="W86">
        <v>45.88</v>
      </c>
      <c r="X86">
        <v>29.79</v>
      </c>
      <c r="Y86">
        <v>104.62</v>
      </c>
      <c r="Z86">
        <v>6.78</v>
      </c>
      <c r="AA86">
        <v>283.5</v>
      </c>
      <c r="AB86">
        <v>161.94999999999999</v>
      </c>
      <c r="AC86">
        <v>12.82</v>
      </c>
      <c r="AD86">
        <v>113.17</v>
      </c>
      <c r="AE86">
        <v>12.21</v>
      </c>
      <c r="AF86">
        <v>33.29</v>
      </c>
      <c r="AG86">
        <v>26.41</v>
      </c>
      <c r="AH86">
        <v>16.73</v>
      </c>
      <c r="AI86">
        <v>144.18</v>
      </c>
      <c r="AJ86">
        <v>90.23</v>
      </c>
      <c r="AK86">
        <v>19.11</v>
      </c>
      <c r="AL86">
        <v>467.16</v>
      </c>
      <c r="AM86">
        <v>6.58</v>
      </c>
      <c r="AN86">
        <v>226.19</v>
      </c>
    </row>
    <row r="87" spans="1:40" ht="15.75" hidden="1">
      <c r="A87" s="2" t="s">
        <v>769</v>
      </c>
      <c r="B87" s="8" t="s">
        <v>1105</v>
      </c>
      <c r="C87" s="2" t="s">
        <v>885</v>
      </c>
      <c r="D87" s="2" t="s">
        <v>856</v>
      </c>
      <c r="E87" s="2" t="s">
        <v>856</v>
      </c>
      <c r="F87" s="3">
        <v>33635</v>
      </c>
      <c r="G87" s="3">
        <v>44236</v>
      </c>
      <c r="H87" s="2">
        <v>29</v>
      </c>
      <c r="I87" s="2">
        <v>1</v>
      </c>
      <c r="J87" s="2" t="s">
        <v>857</v>
      </c>
      <c r="K87" s="2" t="s">
        <v>856</v>
      </c>
      <c r="L87" s="2" t="s">
        <v>856</v>
      </c>
      <c r="M87">
        <v>1</v>
      </c>
      <c r="N87">
        <v>2</v>
      </c>
      <c r="O87" s="21">
        <v>1</v>
      </c>
      <c r="P87" s="21">
        <v>0</v>
      </c>
      <c r="Q87" t="s">
        <v>769</v>
      </c>
      <c r="R87" s="2" t="str">
        <f t="shared" si="2"/>
        <v>TRUE</v>
      </c>
      <c r="S87">
        <v>24.14</v>
      </c>
      <c r="T87">
        <v>7.77</v>
      </c>
      <c r="U87">
        <v>60.43</v>
      </c>
      <c r="V87">
        <v>270.36</v>
      </c>
      <c r="W87">
        <v>136.68</v>
      </c>
      <c r="X87">
        <v>41.06</v>
      </c>
      <c r="Y87">
        <v>260.39999999999998</v>
      </c>
      <c r="Z87">
        <v>7.97</v>
      </c>
      <c r="AA87">
        <v>1545.03</v>
      </c>
      <c r="AB87">
        <v>677.17</v>
      </c>
      <c r="AC87">
        <v>64.3</v>
      </c>
      <c r="AD87">
        <v>910.33</v>
      </c>
      <c r="AE87">
        <v>16.489999999999998</v>
      </c>
      <c r="AF87">
        <v>168.63</v>
      </c>
      <c r="AG87">
        <v>99.87</v>
      </c>
      <c r="AH87">
        <v>133.44999999999999</v>
      </c>
      <c r="AI87">
        <v>155.33000000000001</v>
      </c>
      <c r="AJ87">
        <v>112.08</v>
      </c>
      <c r="AK87">
        <v>18.510000000000002</v>
      </c>
      <c r="AL87">
        <v>714.97</v>
      </c>
      <c r="AM87">
        <v>12.25</v>
      </c>
      <c r="AN87">
        <v>112.86</v>
      </c>
    </row>
    <row r="88" spans="1:40" ht="15.75">
      <c r="A88" s="2" t="s">
        <v>376</v>
      </c>
      <c r="B88" s="8" t="s">
        <v>1106</v>
      </c>
      <c r="C88" s="2" t="s">
        <v>885</v>
      </c>
      <c r="D88" s="2" t="s">
        <v>856</v>
      </c>
      <c r="E88" s="2" t="s">
        <v>856</v>
      </c>
      <c r="F88" s="3">
        <v>33608</v>
      </c>
      <c r="G88" s="3">
        <v>44237</v>
      </c>
      <c r="H88" s="2">
        <v>29</v>
      </c>
      <c r="I88" s="2">
        <v>1</v>
      </c>
      <c r="J88" s="2" t="s">
        <v>857</v>
      </c>
      <c r="K88" s="2" t="s">
        <v>856</v>
      </c>
      <c r="L88" s="2" t="s">
        <v>856</v>
      </c>
      <c r="M88">
        <v>0</v>
      </c>
      <c r="N88">
        <v>2</v>
      </c>
      <c r="O88" s="21">
        <v>0</v>
      </c>
      <c r="P88" s="21">
        <v>0</v>
      </c>
      <c r="Q88" t="s">
        <v>376</v>
      </c>
      <c r="R88" s="2" t="str">
        <f t="shared" si="2"/>
        <v>TRUE</v>
      </c>
      <c r="S88">
        <v>19.649999999999999</v>
      </c>
      <c r="T88">
        <v>1.26</v>
      </c>
      <c r="U88">
        <v>98.66</v>
      </c>
      <c r="V88">
        <v>79.64</v>
      </c>
      <c r="W88">
        <v>39.659999999999997</v>
      </c>
      <c r="X88">
        <v>7.62</v>
      </c>
      <c r="Y88">
        <v>25.38</v>
      </c>
      <c r="Z88">
        <v>3.63</v>
      </c>
      <c r="AA88">
        <v>524.99</v>
      </c>
      <c r="AB88">
        <v>105.41</v>
      </c>
      <c r="AC88">
        <v>40.049999999999997</v>
      </c>
      <c r="AD88">
        <v>88.78</v>
      </c>
      <c r="AE88">
        <v>10.19</v>
      </c>
      <c r="AF88">
        <v>28.03</v>
      </c>
      <c r="AG88">
        <v>5.94</v>
      </c>
      <c r="AH88">
        <v>4.92</v>
      </c>
      <c r="AI88">
        <v>51.36</v>
      </c>
      <c r="AJ88">
        <v>31.32</v>
      </c>
      <c r="AK88">
        <v>5.92</v>
      </c>
      <c r="AL88">
        <v>319.41000000000003</v>
      </c>
      <c r="AM88">
        <v>5.2</v>
      </c>
      <c r="AN88">
        <v>36.44</v>
      </c>
    </row>
    <row r="89" spans="1:40" ht="15.75">
      <c r="A89" s="2" t="s">
        <v>286</v>
      </c>
      <c r="B89" s="8" t="s">
        <v>1107</v>
      </c>
      <c r="C89" s="2" t="s">
        <v>885</v>
      </c>
      <c r="D89" s="2" t="s">
        <v>856</v>
      </c>
      <c r="E89" s="2" t="s">
        <v>856</v>
      </c>
      <c r="F89" s="3">
        <v>34726</v>
      </c>
      <c r="G89" s="3">
        <v>44237</v>
      </c>
      <c r="H89" s="2">
        <v>26</v>
      </c>
      <c r="I89" s="2">
        <v>1</v>
      </c>
      <c r="J89" s="2" t="s">
        <v>857</v>
      </c>
      <c r="K89" s="2" t="s">
        <v>856</v>
      </c>
      <c r="L89" s="2" t="s">
        <v>856</v>
      </c>
      <c r="M89">
        <v>0</v>
      </c>
      <c r="N89">
        <v>2</v>
      </c>
      <c r="O89" s="21">
        <v>1</v>
      </c>
      <c r="P89" s="21">
        <v>0</v>
      </c>
      <c r="Q89" t="s">
        <v>286</v>
      </c>
      <c r="R89" s="2" t="str">
        <f t="shared" si="2"/>
        <v>TRUE</v>
      </c>
      <c r="S89">
        <v>14.23</v>
      </c>
      <c r="T89">
        <v>0.99</v>
      </c>
      <c r="U89">
        <v>27.89</v>
      </c>
      <c r="V89">
        <v>209.81</v>
      </c>
      <c r="W89">
        <v>16.260000000000002</v>
      </c>
      <c r="X89">
        <v>51.76</v>
      </c>
      <c r="Y89">
        <v>36.64</v>
      </c>
      <c r="Z89">
        <v>1.48</v>
      </c>
      <c r="AA89">
        <v>179.11</v>
      </c>
      <c r="AB89">
        <v>105.61</v>
      </c>
      <c r="AC89">
        <v>6.25</v>
      </c>
      <c r="AD89">
        <v>106.75</v>
      </c>
      <c r="AE89">
        <v>6.22</v>
      </c>
      <c r="AF89">
        <v>25.17</v>
      </c>
      <c r="AG89">
        <v>15.4</v>
      </c>
      <c r="AH89">
        <v>11.07</v>
      </c>
      <c r="AI89">
        <v>85.77</v>
      </c>
      <c r="AJ89">
        <v>40.35</v>
      </c>
      <c r="AK89">
        <v>8.9499999999999993</v>
      </c>
      <c r="AL89">
        <v>202.75</v>
      </c>
      <c r="AM89" s="14">
        <v>4.99</v>
      </c>
      <c r="AN89">
        <v>49.9</v>
      </c>
    </row>
    <row r="90" spans="1:40" ht="15.75" hidden="1">
      <c r="A90" s="2" t="s">
        <v>811</v>
      </c>
      <c r="B90" s="8" t="s">
        <v>1108</v>
      </c>
      <c r="C90" s="2" t="s">
        <v>885</v>
      </c>
      <c r="D90" s="2" t="s">
        <v>856</v>
      </c>
      <c r="E90" s="2" t="s">
        <v>856</v>
      </c>
      <c r="F90" s="3">
        <v>31660</v>
      </c>
      <c r="G90" s="3">
        <v>44237</v>
      </c>
      <c r="H90" s="2">
        <v>34</v>
      </c>
      <c r="I90" s="2">
        <v>1</v>
      </c>
      <c r="J90" s="2" t="s">
        <v>861</v>
      </c>
      <c r="K90" s="2" t="s">
        <v>856</v>
      </c>
      <c r="L90" s="2" t="s">
        <v>856</v>
      </c>
      <c r="M90">
        <v>1</v>
      </c>
      <c r="N90">
        <v>2</v>
      </c>
      <c r="O90" s="21">
        <v>1</v>
      </c>
      <c r="P90" s="21">
        <v>0</v>
      </c>
      <c r="Q90" t="s">
        <v>811</v>
      </c>
      <c r="R90" s="2" t="str">
        <f t="shared" si="2"/>
        <v>TRUE</v>
      </c>
      <c r="S90">
        <v>32.46</v>
      </c>
      <c r="T90">
        <v>5.31</v>
      </c>
      <c r="U90">
        <v>216.44</v>
      </c>
      <c r="V90">
        <v>438.05</v>
      </c>
      <c r="W90">
        <v>178.23</v>
      </c>
      <c r="X90">
        <v>89.9</v>
      </c>
      <c r="Y90">
        <v>77.22</v>
      </c>
      <c r="Z90">
        <v>12.7</v>
      </c>
      <c r="AA90">
        <v>469.94</v>
      </c>
      <c r="AB90">
        <v>262.16000000000003</v>
      </c>
      <c r="AC90">
        <v>117.05</v>
      </c>
      <c r="AD90">
        <v>203.7</v>
      </c>
      <c r="AE90">
        <v>32.75</v>
      </c>
      <c r="AF90">
        <v>34.31</v>
      </c>
      <c r="AG90">
        <v>20.3</v>
      </c>
      <c r="AH90">
        <v>15.37</v>
      </c>
      <c r="AI90">
        <v>263.60000000000002</v>
      </c>
      <c r="AJ90">
        <v>226.23</v>
      </c>
      <c r="AK90">
        <v>32.58</v>
      </c>
      <c r="AL90">
        <v>1102.1199999999999</v>
      </c>
      <c r="AM90">
        <v>53.73</v>
      </c>
      <c r="AN90">
        <v>319.38</v>
      </c>
    </row>
    <row r="91" spans="1:40" ht="15.75" hidden="1">
      <c r="A91" s="2" t="s">
        <v>643</v>
      </c>
      <c r="B91" s="8" t="s">
        <v>1109</v>
      </c>
      <c r="C91" s="2" t="s">
        <v>885</v>
      </c>
      <c r="D91" s="2" t="s">
        <v>856</v>
      </c>
      <c r="E91" s="2" t="s">
        <v>856</v>
      </c>
      <c r="F91" s="3">
        <v>33457</v>
      </c>
      <c r="G91" s="3">
        <v>44238</v>
      </c>
      <c r="H91" s="2">
        <v>29</v>
      </c>
      <c r="I91" s="2">
        <v>1</v>
      </c>
      <c r="J91" s="2" t="s">
        <v>857</v>
      </c>
      <c r="K91" s="2" t="s">
        <v>856</v>
      </c>
      <c r="L91" s="2" t="s">
        <v>856</v>
      </c>
      <c r="M91">
        <v>1</v>
      </c>
      <c r="N91">
        <v>2</v>
      </c>
      <c r="O91" s="21">
        <v>1</v>
      </c>
      <c r="P91" s="21">
        <v>0</v>
      </c>
      <c r="Q91" t="s">
        <v>643</v>
      </c>
      <c r="R91" s="2" t="str">
        <f t="shared" si="2"/>
        <v>TRUE</v>
      </c>
      <c r="S91">
        <v>21.57</v>
      </c>
      <c r="T91">
        <v>2.86</v>
      </c>
      <c r="U91">
        <v>24.73</v>
      </c>
      <c r="V91">
        <v>37.26</v>
      </c>
      <c r="W91">
        <v>146.82</v>
      </c>
      <c r="X91">
        <v>20.59</v>
      </c>
      <c r="Y91">
        <v>144.15</v>
      </c>
      <c r="Z91">
        <v>3.72</v>
      </c>
      <c r="AA91">
        <v>2500.0100000000002</v>
      </c>
      <c r="AB91">
        <v>277.93</v>
      </c>
      <c r="AC91">
        <v>182.71</v>
      </c>
      <c r="AD91">
        <v>680.43</v>
      </c>
      <c r="AE91">
        <v>23.3</v>
      </c>
      <c r="AF91">
        <v>675.46</v>
      </c>
      <c r="AG91">
        <v>97.73</v>
      </c>
      <c r="AH91">
        <v>180.4</v>
      </c>
      <c r="AI91">
        <v>222.22</v>
      </c>
      <c r="AJ91">
        <v>82.69</v>
      </c>
      <c r="AK91">
        <v>29.86</v>
      </c>
      <c r="AL91">
        <v>329.62</v>
      </c>
      <c r="AM91">
        <v>7.36</v>
      </c>
      <c r="AN91">
        <v>20.61</v>
      </c>
    </row>
    <row r="92" spans="1:40" ht="15.75" hidden="1">
      <c r="A92" s="2" t="s">
        <v>739</v>
      </c>
      <c r="B92" s="8" t="s">
        <v>1110</v>
      </c>
      <c r="C92" s="2" t="s">
        <v>885</v>
      </c>
      <c r="D92" s="2" t="s">
        <v>856</v>
      </c>
      <c r="E92" s="2" t="s">
        <v>856</v>
      </c>
      <c r="F92" s="3">
        <v>31079</v>
      </c>
      <c r="G92" s="3">
        <v>44238</v>
      </c>
      <c r="H92" s="2">
        <v>36</v>
      </c>
      <c r="I92" s="2">
        <v>1</v>
      </c>
      <c r="J92" s="2" t="s">
        <v>861</v>
      </c>
      <c r="K92" s="2" t="s">
        <v>856</v>
      </c>
      <c r="L92" s="2" t="s">
        <v>856</v>
      </c>
      <c r="M92">
        <v>1</v>
      </c>
      <c r="N92">
        <v>2</v>
      </c>
      <c r="O92" s="21">
        <v>1</v>
      </c>
      <c r="P92" s="21">
        <v>0</v>
      </c>
      <c r="Q92" t="s">
        <v>739</v>
      </c>
      <c r="R92" s="2" t="str">
        <f t="shared" si="2"/>
        <v>TRUE</v>
      </c>
      <c r="S92">
        <v>20.54</v>
      </c>
      <c r="T92">
        <v>21.89</v>
      </c>
      <c r="U92">
        <v>307.43</v>
      </c>
      <c r="V92">
        <v>925.74</v>
      </c>
      <c r="W92">
        <v>515.46</v>
      </c>
      <c r="X92">
        <v>145.91</v>
      </c>
      <c r="Y92">
        <v>183.53</v>
      </c>
      <c r="Z92">
        <v>5.0199999999999996</v>
      </c>
      <c r="AA92">
        <v>349.51</v>
      </c>
      <c r="AB92">
        <v>248.42</v>
      </c>
      <c r="AC92">
        <v>71.72</v>
      </c>
      <c r="AD92">
        <v>80.760000000000005</v>
      </c>
      <c r="AE92">
        <v>2.82</v>
      </c>
      <c r="AF92">
        <v>20.68</v>
      </c>
      <c r="AG92">
        <v>13.03</v>
      </c>
      <c r="AH92">
        <v>8.41</v>
      </c>
      <c r="AI92">
        <v>22.73</v>
      </c>
      <c r="AJ92">
        <v>28.86</v>
      </c>
      <c r="AK92" s="14">
        <v>4.99</v>
      </c>
      <c r="AL92">
        <v>291.20999999999998</v>
      </c>
      <c r="AM92">
        <v>36.29</v>
      </c>
      <c r="AN92">
        <v>65.78</v>
      </c>
    </row>
    <row r="93" spans="1:40" ht="15.75" hidden="1">
      <c r="A93" s="2" t="s">
        <v>781</v>
      </c>
      <c r="B93" s="8" t="s">
        <v>1111</v>
      </c>
      <c r="C93" s="2" t="s">
        <v>885</v>
      </c>
      <c r="D93" s="2" t="s">
        <v>856</v>
      </c>
      <c r="E93" s="2" t="s">
        <v>856</v>
      </c>
      <c r="F93" s="3">
        <v>31751</v>
      </c>
      <c r="G93" s="3">
        <v>44244</v>
      </c>
      <c r="H93" s="2">
        <v>34</v>
      </c>
      <c r="I93" s="2">
        <v>1</v>
      </c>
      <c r="J93" s="2" t="s">
        <v>861</v>
      </c>
      <c r="K93" s="2" t="s">
        <v>856</v>
      </c>
      <c r="L93" s="2" t="s">
        <v>856</v>
      </c>
      <c r="M93">
        <v>1</v>
      </c>
      <c r="N93">
        <v>2</v>
      </c>
      <c r="O93" s="21">
        <v>1</v>
      </c>
      <c r="P93" s="21">
        <v>0</v>
      </c>
      <c r="Q93" t="s">
        <v>781</v>
      </c>
      <c r="R93" s="2" t="str">
        <f t="shared" si="2"/>
        <v>TRUE</v>
      </c>
      <c r="S93">
        <v>13.63</v>
      </c>
      <c r="T93">
        <v>13.61</v>
      </c>
      <c r="U93">
        <v>51.68</v>
      </c>
      <c r="V93" s="12">
        <v>1000.01</v>
      </c>
      <c r="W93">
        <v>650.80999999999995</v>
      </c>
      <c r="X93">
        <v>92.66</v>
      </c>
      <c r="Y93" s="12">
        <v>1000.01</v>
      </c>
      <c r="Z93">
        <v>15.99</v>
      </c>
      <c r="AA93">
        <v>866.09</v>
      </c>
      <c r="AB93">
        <v>922.14</v>
      </c>
      <c r="AC93">
        <v>128.59</v>
      </c>
      <c r="AD93">
        <v>308.45999999999998</v>
      </c>
      <c r="AE93">
        <v>13.62</v>
      </c>
      <c r="AF93">
        <v>42.79</v>
      </c>
      <c r="AG93">
        <v>60.7</v>
      </c>
      <c r="AH93">
        <v>16.75</v>
      </c>
      <c r="AI93">
        <v>62.8</v>
      </c>
      <c r="AJ93">
        <v>47.18</v>
      </c>
      <c r="AK93" s="14">
        <v>4.99</v>
      </c>
      <c r="AL93">
        <v>433.33</v>
      </c>
      <c r="AM93">
        <v>22.62</v>
      </c>
      <c r="AN93">
        <v>128.72999999999999</v>
      </c>
    </row>
    <row r="94" spans="1:40" ht="15.75">
      <c r="A94" s="2" t="s">
        <v>226</v>
      </c>
      <c r="B94" s="8" t="s">
        <v>1112</v>
      </c>
      <c r="C94" s="2" t="s">
        <v>885</v>
      </c>
      <c r="D94" s="2" t="s">
        <v>856</v>
      </c>
      <c r="E94" s="2" t="s">
        <v>856</v>
      </c>
      <c r="F94" s="3">
        <v>31873</v>
      </c>
      <c r="G94" s="3">
        <v>44244</v>
      </c>
      <c r="H94" s="2">
        <v>33</v>
      </c>
      <c r="I94" s="2">
        <v>1</v>
      </c>
      <c r="J94" s="2" t="s">
        <v>857</v>
      </c>
      <c r="K94" s="2" t="s">
        <v>856</v>
      </c>
      <c r="L94" s="2" t="s">
        <v>856</v>
      </c>
      <c r="M94">
        <v>0</v>
      </c>
      <c r="N94">
        <v>2</v>
      </c>
      <c r="O94" s="21">
        <v>0</v>
      </c>
      <c r="P94" s="21">
        <v>0</v>
      </c>
      <c r="Q94" t="s">
        <v>226</v>
      </c>
      <c r="R94" s="2" t="str">
        <f t="shared" si="2"/>
        <v>TRUE</v>
      </c>
      <c r="S94">
        <v>26.74</v>
      </c>
      <c r="T94">
        <v>22.56</v>
      </c>
      <c r="U94">
        <v>22.96</v>
      </c>
      <c r="V94">
        <v>523.64</v>
      </c>
      <c r="W94">
        <v>263.27999999999997</v>
      </c>
      <c r="X94">
        <v>50</v>
      </c>
      <c r="Y94">
        <v>273.54000000000002</v>
      </c>
      <c r="Z94">
        <v>30.35</v>
      </c>
      <c r="AA94">
        <v>1034.57</v>
      </c>
      <c r="AB94">
        <v>561.09</v>
      </c>
      <c r="AC94">
        <v>68.75</v>
      </c>
      <c r="AD94">
        <v>289.52999999999997</v>
      </c>
      <c r="AE94">
        <v>13.2</v>
      </c>
      <c r="AF94">
        <v>82.54</v>
      </c>
      <c r="AG94">
        <v>49.96</v>
      </c>
      <c r="AH94">
        <v>20.96</v>
      </c>
      <c r="AI94">
        <v>47.69</v>
      </c>
      <c r="AJ94">
        <v>43.59</v>
      </c>
      <c r="AK94">
        <v>9.9700000000000006</v>
      </c>
      <c r="AL94">
        <v>309.16000000000003</v>
      </c>
      <c r="AM94">
        <v>14.17</v>
      </c>
      <c r="AN94">
        <v>90.93</v>
      </c>
    </row>
    <row r="95" spans="1:40" ht="15.75">
      <c r="A95" s="2" t="s">
        <v>709</v>
      </c>
      <c r="B95" s="8" t="s">
        <v>1113</v>
      </c>
      <c r="C95" s="2" t="s">
        <v>885</v>
      </c>
      <c r="D95" s="2" t="s">
        <v>856</v>
      </c>
      <c r="E95" s="2" t="s">
        <v>856</v>
      </c>
      <c r="F95" s="3">
        <v>34733</v>
      </c>
      <c r="G95" s="3">
        <v>44244</v>
      </c>
      <c r="H95" s="2">
        <v>26</v>
      </c>
      <c r="I95" s="2">
        <v>1</v>
      </c>
      <c r="J95" s="2" t="s">
        <v>857</v>
      </c>
      <c r="K95" s="2" t="s">
        <v>856</v>
      </c>
      <c r="L95" s="2" t="s">
        <v>856</v>
      </c>
      <c r="M95">
        <v>0</v>
      </c>
      <c r="N95">
        <v>2</v>
      </c>
      <c r="O95" s="21">
        <v>1</v>
      </c>
      <c r="P95" s="21">
        <v>0</v>
      </c>
      <c r="Q95" t="s">
        <v>709</v>
      </c>
      <c r="R95" s="2" t="str">
        <f t="shared" si="2"/>
        <v>TRUE</v>
      </c>
      <c r="S95">
        <v>21.08</v>
      </c>
      <c r="T95">
        <v>21.99</v>
      </c>
      <c r="U95">
        <v>360.53</v>
      </c>
      <c r="V95">
        <v>461.06</v>
      </c>
      <c r="W95">
        <v>221.72</v>
      </c>
      <c r="X95">
        <v>49.96</v>
      </c>
      <c r="Y95">
        <v>194.19</v>
      </c>
      <c r="Z95">
        <v>10.15</v>
      </c>
      <c r="AA95">
        <v>236.86</v>
      </c>
      <c r="AB95">
        <v>145.86000000000001</v>
      </c>
      <c r="AC95">
        <v>26.58</v>
      </c>
      <c r="AD95">
        <v>111.61</v>
      </c>
      <c r="AE95">
        <v>9.9</v>
      </c>
      <c r="AF95">
        <v>17.309999999999999</v>
      </c>
      <c r="AG95">
        <v>10.41</v>
      </c>
      <c r="AH95">
        <v>7.33</v>
      </c>
      <c r="AI95">
        <v>83.06</v>
      </c>
      <c r="AJ95">
        <v>56.56</v>
      </c>
      <c r="AK95" s="14">
        <v>4.99</v>
      </c>
      <c r="AL95">
        <v>462.56</v>
      </c>
      <c r="AM95">
        <v>17.399999999999999</v>
      </c>
      <c r="AN95">
        <v>105.95</v>
      </c>
    </row>
    <row r="96" spans="1:40" ht="15.75" hidden="1">
      <c r="A96" s="2" t="s">
        <v>289</v>
      </c>
      <c r="B96" s="8" t="s">
        <v>1114</v>
      </c>
      <c r="C96" s="2" t="s">
        <v>886</v>
      </c>
      <c r="D96" s="2" t="s">
        <v>856</v>
      </c>
      <c r="E96" s="2" t="s">
        <v>856</v>
      </c>
      <c r="F96" s="3">
        <v>24855</v>
      </c>
      <c r="G96" s="3">
        <v>44245</v>
      </c>
      <c r="H96" s="2">
        <v>53</v>
      </c>
      <c r="I96" s="2">
        <v>1</v>
      </c>
      <c r="J96" s="2" t="s">
        <v>857</v>
      </c>
      <c r="K96" s="2" t="s">
        <v>856</v>
      </c>
      <c r="L96" s="2" t="s">
        <v>856</v>
      </c>
      <c r="M96">
        <v>1</v>
      </c>
      <c r="N96">
        <v>2</v>
      </c>
      <c r="O96" s="21">
        <v>1</v>
      </c>
      <c r="P96" s="21">
        <v>0</v>
      </c>
      <c r="Q96" t="s">
        <v>289</v>
      </c>
      <c r="R96" s="2" t="str">
        <f t="shared" si="2"/>
        <v>TRUE</v>
      </c>
      <c r="S96">
        <v>16.72</v>
      </c>
      <c r="T96">
        <v>2.57</v>
      </c>
      <c r="U96">
        <v>40.99</v>
      </c>
      <c r="V96">
        <v>59.95</v>
      </c>
      <c r="W96">
        <v>223.25</v>
      </c>
      <c r="X96">
        <v>21.76</v>
      </c>
      <c r="Y96">
        <v>146.80000000000001</v>
      </c>
      <c r="Z96">
        <v>12.31</v>
      </c>
      <c r="AA96">
        <v>629.25</v>
      </c>
      <c r="AB96">
        <v>59.64</v>
      </c>
      <c r="AC96">
        <v>64.61</v>
      </c>
      <c r="AD96">
        <v>242.63</v>
      </c>
      <c r="AE96">
        <v>17.66</v>
      </c>
      <c r="AF96">
        <v>51.88</v>
      </c>
      <c r="AG96">
        <v>3.66</v>
      </c>
      <c r="AH96">
        <v>11.92</v>
      </c>
      <c r="AI96">
        <v>45.61</v>
      </c>
      <c r="AJ96">
        <v>87.83</v>
      </c>
      <c r="AK96">
        <v>10.24</v>
      </c>
      <c r="AL96">
        <v>298.16000000000003</v>
      </c>
      <c r="AM96">
        <v>18.04</v>
      </c>
      <c r="AN96">
        <v>23.69</v>
      </c>
    </row>
    <row r="97" spans="1:40" ht="15.75" hidden="1">
      <c r="A97" s="2" t="s">
        <v>157</v>
      </c>
      <c r="B97" s="8" t="s">
        <v>1115</v>
      </c>
      <c r="C97" s="2" t="s">
        <v>885</v>
      </c>
      <c r="D97" s="2" t="s">
        <v>856</v>
      </c>
      <c r="E97" s="2" t="s">
        <v>856</v>
      </c>
      <c r="F97" s="3">
        <v>32239</v>
      </c>
      <c r="G97" s="3">
        <v>44245</v>
      </c>
      <c r="H97" s="2">
        <v>32</v>
      </c>
      <c r="I97" s="2">
        <v>1</v>
      </c>
      <c r="J97" s="2" t="s">
        <v>857</v>
      </c>
      <c r="K97" s="2" t="s">
        <v>856</v>
      </c>
      <c r="L97" s="2" t="s">
        <v>856</v>
      </c>
      <c r="M97">
        <v>1</v>
      </c>
      <c r="N97">
        <v>2</v>
      </c>
      <c r="O97" s="21">
        <v>1</v>
      </c>
      <c r="P97" s="21">
        <v>0</v>
      </c>
      <c r="Q97" t="s">
        <v>157</v>
      </c>
      <c r="R97" s="2" t="str">
        <f t="shared" si="2"/>
        <v>TRUE</v>
      </c>
      <c r="S97">
        <v>24.1</v>
      </c>
      <c r="T97">
        <v>0.99</v>
      </c>
      <c r="U97">
        <v>58.93</v>
      </c>
      <c r="V97">
        <v>332.2</v>
      </c>
      <c r="W97">
        <v>36.4</v>
      </c>
      <c r="X97">
        <v>33.619999999999997</v>
      </c>
      <c r="Y97">
        <v>19.5</v>
      </c>
      <c r="Z97">
        <v>0.99</v>
      </c>
      <c r="AA97">
        <v>82.45</v>
      </c>
      <c r="AB97">
        <v>64.569999999999993</v>
      </c>
      <c r="AC97">
        <v>9.6300000000000008</v>
      </c>
      <c r="AD97">
        <v>19.61</v>
      </c>
      <c r="AE97" s="14">
        <v>2.4900000000000002</v>
      </c>
      <c r="AF97">
        <v>16.79</v>
      </c>
      <c r="AG97">
        <v>8.93</v>
      </c>
      <c r="AH97">
        <v>3.08</v>
      </c>
      <c r="AI97">
        <v>33.21</v>
      </c>
      <c r="AJ97">
        <v>10.09</v>
      </c>
      <c r="AK97" s="14">
        <v>4.99</v>
      </c>
      <c r="AL97">
        <v>200.24</v>
      </c>
      <c r="AM97">
        <v>7.75</v>
      </c>
      <c r="AN97">
        <v>24.85</v>
      </c>
    </row>
    <row r="98" spans="1:40" ht="15.75" hidden="1">
      <c r="A98" s="2" t="s">
        <v>646</v>
      </c>
      <c r="B98" s="8" t="s">
        <v>1116</v>
      </c>
      <c r="C98" s="2" t="s">
        <v>885</v>
      </c>
      <c r="D98" s="2" t="s">
        <v>856</v>
      </c>
      <c r="E98" s="2" t="s">
        <v>856</v>
      </c>
      <c r="F98" s="3">
        <v>30318</v>
      </c>
      <c r="G98" s="3">
        <v>44250</v>
      </c>
      <c r="H98" s="2">
        <v>38</v>
      </c>
      <c r="I98" s="2">
        <v>1</v>
      </c>
      <c r="J98" s="2" t="s">
        <v>861</v>
      </c>
      <c r="K98" s="2" t="s">
        <v>856</v>
      </c>
      <c r="L98" s="2" t="s">
        <v>856</v>
      </c>
      <c r="M98">
        <v>1</v>
      </c>
      <c r="N98">
        <v>2</v>
      </c>
      <c r="O98" s="21">
        <v>1</v>
      </c>
      <c r="P98" s="21">
        <v>0</v>
      </c>
      <c r="Q98" t="s">
        <v>646</v>
      </c>
      <c r="R98" s="2" t="str">
        <f t="shared" ref="R98:R129" si="3">IF(A98=Q98, "TRUE", "FALSE")</f>
        <v>TRUE</v>
      </c>
      <c r="S98">
        <v>17.07</v>
      </c>
      <c r="T98">
        <v>4.47</v>
      </c>
      <c r="U98">
        <v>215.65</v>
      </c>
      <c r="V98">
        <v>635.4</v>
      </c>
      <c r="W98">
        <v>242.54</v>
      </c>
      <c r="X98">
        <v>109.54</v>
      </c>
      <c r="Y98">
        <v>94</v>
      </c>
      <c r="Z98">
        <v>11.23</v>
      </c>
      <c r="AA98">
        <v>166.84</v>
      </c>
      <c r="AB98">
        <v>136.77000000000001</v>
      </c>
      <c r="AC98">
        <v>33.9</v>
      </c>
      <c r="AD98">
        <v>50.37</v>
      </c>
      <c r="AE98">
        <v>7.64</v>
      </c>
      <c r="AF98">
        <v>10.35</v>
      </c>
      <c r="AG98">
        <v>6.42</v>
      </c>
      <c r="AH98">
        <v>2.6</v>
      </c>
      <c r="AI98">
        <v>26.02</v>
      </c>
      <c r="AJ98">
        <v>44.18</v>
      </c>
      <c r="AK98" s="14">
        <v>4.99</v>
      </c>
      <c r="AL98">
        <v>301.98</v>
      </c>
      <c r="AM98">
        <v>20.329999999999998</v>
      </c>
      <c r="AN98">
        <v>115.62</v>
      </c>
    </row>
    <row r="99" spans="1:40" ht="15.75">
      <c r="A99" s="2" t="s">
        <v>853</v>
      </c>
      <c r="B99" s="8" t="s">
        <v>1117</v>
      </c>
      <c r="C99" s="2" t="s">
        <v>885</v>
      </c>
      <c r="D99" s="2" t="s">
        <v>856</v>
      </c>
      <c r="E99" s="2" t="s">
        <v>856</v>
      </c>
      <c r="F99" s="3">
        <v>29625</v>
      </c>
      <c r="G99" s="3">
        <v>44251</v>
      </c>
      <c r="H99" s="2">
        <v>40</v>
      </c>
      <c r="I99" s="2">
        <v>1</v>
      </c>
      <c r="J99" s="2" t="s">
        <v>857</v>
      </c>
      <c r="K99" s="2" t="s">
        <v>856</v>
      </c>
      <c r="L99" s="2" t="s">
        <v>856</v>
      </c>
      <c r="M99">
        <v>0</v>
      </c>
      <c r="N99">
        <v>2</v>
      </c>
      <c r="O99" s="21">
        <v>0</v>
      </c>
      <c r="P99" s="21">
        <v>0</v>
      </c>
      <c r="Q99" t="s">
        <v>853</v>
      </c>
      <c r="R99" s="2" t="str">
        <f t="shared" si="3"/>
        <v>TRUE</v>
      </c>
      <c r="S99">
        <v>13.26</v>
      </c>
      <c r="T99">
        <v>0.99</v>
      </c>
      <c r="U99">
        <v>66.260000000000005</v>
      </c>
      <c r="V99">
        <v>139.72</v>
      </c>
      <c r="W99">
        <v>50.65</v>
      </c>
      <c r="X99">
        <v>22.23</v>
      </c>
      <c r="Y99">
        <v>35.69</v>
      </c>
      <c r="Z99">
        <v>3.5</v>
      </c>
      <c r="AA99">
        <v>229.19</v>
      </c>
      <c r="AB99">
        <v>81.739999999999995</v>
      </c>
      <c r="AC99">
        <v>21.55</v>
      </c>
      <c r="AD99">
        <v>37.19</v>
      </c>
      <c r="AE99">
        <v>4.16</v>
      </c>
      <c r="AF99">
        <v>19.579999999999998</v>
      </c>
      <c r="AG99">
        <v>5.83</v>
      </c>
      <c r="AH99">
        <v>2.63</v>
      </c>
      <c r="AI99">
        <v>55.9</v>
      </c>
      <c r="AJ99">
        <v>34.74</v>
      </c>
      <c r="AK99">
        <v>5.77</v>
      </c>
      <c r="AL99">
        <v>350.76</v>
      </c>
      <c r="AM99">
        <v>6.71</v>
      </c>
      <c r="AN99">
        <v>46.85</v>
      </c>
    </row>
    <row r="100" spans="1:40" ht="15.75" hidden="1">
      <c r="A100" s="2" t="s">
        <v>784</v>
      </c>
      <c r="B100" s="8" t="s">
        <v>1118</v>
      </c>
      <c r="C100" s="2" t="s">
        <v>885</v>
      </c>
      <c r="D100" s="2" t="s">
        <v>856</v>
      </c>
      <c r="E100" s="2" t="s">
        <v>856</v>
      </c>
      <c r="F100" s="3">
        <v>30742</v>
      </c>
      <c r="G100" s="3">
        <v>44256</v>
      </c>
      <c r="H100" s="2">
        <v>37</v>
      </c>
      <c r="I100" s="2">
        <v>1</v>
      </c>
      <c r="J100" s="2" t="s">
        <v>861</v>
      </c>
      <c r="K100" s="2" t="s">
        <v>856</v>
      </c>
      <c r="L100" s="2" t="s">
        <v>856</v>
      </c>
      <c r="M100">
        <v>1</v>
      </c>
      <c r="N100">
        <v>2</v>
      </c>
      <c r="O100" s="21">
        <v>1</v>
      </c>
      <c r="P100" s="21">
        <v>0</v>
      </c>
      <c r="Q100" t="s">
        <v>784</v>
      </c>
      <c r="R100" s="2" t="str">
        <f t="shared" si="3"/>
        <v>TRUE</v>
      </c>
      <c r="S100">
        <v>20.12</v>
      </c>
      <c r="T100">
        <v>3.38</v>
      </c>
      <c r="U100">
        <v>68.739999999999995</v>
      </c>
      <c r="V100">
        <v>227.34</v>
      </c>
      <c r="W100">
        <v>75.81</v>
      </c>
      <c r="X100">
        <v>55.41</v>
      </c>
      <c r="Y100">
        <v>31.13</v>
      </c>
      <c r="Z100">
        <v>8.26</v>
      </c>
      <c r="AA100">
        <v>856.55</v>
      </c>
      <c r="AB100">
        <v>259.35000000000002</v>
      </c>
      <c r="AC100">
        <v>89.76</v>
      </c>
      <c r="AD100">
        <v>323.48</v>
      </c>
      <c r="AE100">
        <v>32.5</v>
      </c>
      <c r="AF100">
        <v>73.89</v>
      </c>
      <c r="AG100">
        <v>30.12</v>
      </c>
      <c r="AH100">
        <v>28.1</v>
      </c>
      <c r="AI100">
        <v>58.58</v>
      </c>
      <c r="AJ100">
        <v>120.98</v>
      </c>
      <c r="AK100">
        <v>18.100000000000001</v>
      </c>
      <c r="AL100">
        <v>506.11</v>
      </c>
      <c r="AM100">
        <v>52.83</v>
      </c>
      <c r="AN100">
        <v>76.08</v>
      </c>
    </row>
    <row r="101" spans="1:40" ht="15.75" hidden="1">
      <c r="A101" s="2" t="s">
        <v>787</v>
      </c>
      <c r="B101" s="8" t="s">
        <v>1119</v>
      </c>
      <c r="C101" s="2" t="s">
        <v>885</v>
      </c>
      <c r="D101" s="2" t="s">
        <v>856</v>
      </c>
      <c r="E101" s="2" t="s">
        <v>856</v>
      </c>
      <c r="F101" s="3">
        <v>31628</v>
      </c>
      <c r="G101" s="3">
        <v>44258</v>
      </c>
      <c r="H101" s="2">
        <v>34</v>
      </c>
      <c r="I101" s="2">
        <v>1</v>
      </c>
      <c r="J101" s="2" t="s">
        <v>861</v>
      </c>
      <c r="K101" s="2" t="s">
        <v>856</v>
      </c>
      <c r="L101" s="2" t="s">
        <v>856</v>
      </c>
      <c r="M101">
        <v>1</v>
      </c>
      <c r="N101">
        <v>2</v>
      </c>
      <c r="O101" s="21">
        <v>1</v>
      </c>
      <c r="P101" s="21">
        <v>0</v>
      </c>
      <c r="Q101" t="s">
        <v>787</v>
      </c>
      <c r="R101" s="2" t="str">
        <f t="shared" si="3"/>
        <v>TRUE</v>
      </c>
      <c r="S101">
        <v>22.07</v>
      </c>
      <c r="T101">
        <v>4.66</v>
      </c>
      <c r="U101">
        <v>118.96</v>
      </c>
      <c r="V101">
        <v>185.81</v>
      </c>
      <c r="W101">
        <v>71.06</v>
      </c>
      <c r="X101">
        <v>17.88</v>
      </c>
      <c r="Y101">
        <v>23.93</v>
      </c>
      <c r="Z101">
        <v>3.29</v>
      </c>
      <c r="AA101">
        <v>370.97</v>
      </c>
      <c r="AB101">
        <v>210.41</v>
      </c>
      <c r="AC101">
        <v>17.95</v>
      </c>
      <c r="AD101">
        <v>125.68</v>
      </c>
      <c r="AE101">
        <v>11.86</v>
      </c>
      <c r="AF101">
        <v>44.05</v>
      </c>
      <c r="AG101">
        <v>34.479999999999997</v>
      </c>
      <c r="AH101">
        <v>17.91</v>
      </c>
      <c r="AI101">
        <v>55.12</v>
      </c>
      <c r="AJ101">
        <v>57.92</v>
      </c>
      <c r="AK101">
        <v>8.92</v>
      </c>
      <c r="AL101">
        <v>232.28</v>
      </c>
      <c r="AM101">
        <v>7.94</v>
      </c>
      <c r="AN101">
        <v>174.68</v>
      </c>
    </row>
    <row r="102" spans="1:40" ht="15.75" hidden="1">
      <c r="A102" s="2" t="s">
        <v>577</v>
      </c>
      <c r="B102" s="8" t="s">
        <v>1120</v>
      </c>
      <c r="C102" s="2" t="s">
        <v>885</v>
      </c>
      <c r="D102" s="2" t="s">
        <v>856</v>
      </c>
      <c r="E102" s="2" t="s">
        <v>856</v>
      </c>
      <c r="F102" s="3">
        <v>31809</v>
      </c>
      <c r="G102" s="3">
        <v>44258</v>
      </c>
      <c r="H102" s="2">
        <v>34</v>
      </c>
      <c r="I102" s="2">
        <v>1</v>
      </c>
      <c r="J102" s="2" t="s">
        <v>861</v>
      </c>
      <c r="K102" s="2" t="s">
        <v>856</v>
      </c>
      <c r="L102" s="2" t="s">
        <v>856</v>
      </c>
      <c r="M102">
        <v>1</v>
      </c>
      <c r="N102">
        <v>2</v>
      </c>
      <c r="O102" s="20">
        <v>1</v>
      </c>
      <c r="P102" s="20">
        <v>0</v>
      </c>
      <c r="Q102" t="s">
        <v>577</v>
      </c>
      <c r="R102" s="2" t="str">
        <f t="shared" si="3"/>
        <v>TRUE</v>
      </c>
      <c r="S102">
        <v>27.46</v>
      </c>
      <c r="T102">
        <v>19.98</v>
      </c>
      <c r="U102">
        <v>156.47</v>
      </c>
      <c r="V102">
        <v>242.13</v>
      </c>
      <c r="W102">
        <v>407.93</v>
      </c>
      <c r="X102">
        <v>94.32</v>
      </c>
      <c r="Y102">
        <v>216.85</v>
      </c>
      <c r="Z102">
        <v>20.45</v>
      </c>
      <c r="AA102">
        <v>2500.0100000000002</v>
      </c>
      <c r="AB102">
        <v>532.79999999999995</v>
      </c>
      <c r="AC102">
        <v>486.67</v>
      </c>
      <c r="AD102">
        <v>612.63</v>
      </c>
      <c r="AE102">
        <v>33.76</v>
      </c>
      <c r="AF102">
        <v>185.17</v>
      </c>
      <c r="AG102">
        <v>49.39</v>
      </c>
      <c r="AH102">
        <v>44.71</v>
      </c>
      <c r="AI102">
        <v>15.36</v>
      </c>
      <c r="AJ102">
        <v>75.709999999999994</v>
      </c>
      <c r="AK102">
        <v>8.14</v>
      </c>
      <c r="AL102">
        <v>74.22</v>
      </c>
      <c r="AM102">
        <v>42.16</v>
      </c>
      <c r="AN102">
        <v>33.97</v>
      </c>
    </row>
    <row r="103" spans="1:40" ht="15.75">
      <c r="C103" s="2"/>
      <c r="D103" s="2"/>
      <c r="E103" s="2"/>
      <c r="F103" s="3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</row>
    <row r="104" spans="1:40" ht="15.75">
      <c r="C104" s="2"/>
      <c r="D104" s="2"/>
      <c r="E104" s="2"/>
      <c r="F104" s="3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40" ht="15.75">
      <c r="R105" s="2"/>
    </row>
    <row r="106" spans="1:40" ht="15.75">
      <c r="C106" s="2"/>
      <c r="D106" s="2"/>
      <c r="E106" s="2"/>
      <c r="F106" s="3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</row>
    <row r="107" spans="1:40" ht="15.75">
      <c r="C107" s="2"/>
      <c r="D107" s="2"/>
      <c r="E107" s="2"/>
      <c r="F107" s="3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</row>
    <row r="108" spans="1:40" ht="15.75">
      <c r="C108" s="2"/>
      <c r="D108" s="2"/>
      <c r="E108" s="2"/>
      <c r="F108" s="3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</row>
    <row r="109" spans="1:40" ht="15.75">
      <c r="R109" s="2"/>
    </row>
    <row r="110" spans="1:40" ht="15.75">
      <c r="R110" s="2"/>
    </row>
    <row r="111" spans="1:40" ht="15.75">
      <c r="R111" s="2"/>
    </row>
    <row r="112" spans="1:40" ht="15.75">
      <c r="C112" s="2"/>
      <c r="D112" s="2"/>
      <c r="E112" s="2"/>
      <c r="F112" s="3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</row>
    <row r="113" spans="3:18" ht="15.75">
      <c r="C113" s="2"/>
      <c r="D113" s="2"/>
      <c r="E113" s="2"/>
      <c r="F113" s="3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</row>
    <row r="114" spans="3:18" ht="15.75">
      <c r="C114" s="2"/>
      <c r="D114" s="2"/>
      <c r="E114" s="2"/>
      <c r="F114" s="3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</row>
    <row r="115" spans="3:18" ht="15.75">
      <c r="C115" s="2"/>
      <c r="D115" s="2"/>
      <c r="E115" s="2"/>
      <c r="F115" s="3"/>
      <c r="G115" s="3"/>
      <c r="H115" s="2"/>
      <c r="I115" s="4"/>
      <c r="J115" s="2"/>
      <c r="K115" s="2"/>
      <c r="L115" s="2"/>
      <c r="M115" s="2"/>
      <c r="N115" s="2"/>
      <c r="O115" s="2"/>
      <c r="P115" s="2"/>
      <c r="Q115" s="2"/>
      <c r="R115" s="2"/>
    </row>
    <row r="116" spans="3:18" ht="15.75">
      <c r="C116" s="2"/>
      <c r="D116" s="2"/>
      <c r="E116" s="2"/>
      <c r="F116" s="3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</row>
    <row r="117" spans="3:18" ht="15.75">
      <c r="R117" s="2"/>
    </row>
    <row r="118" spans="3:18" ht="15.75">
      <c r="R118" s="2"/>
    </row>
    <row r="119" spans="3:18" ht="15.75">
      <c r="C119" s="2"/>
      <c r="D119" s="2"/>
      <c r="E119" s="2"/>
      <c r="F119" s="3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</row>
    <row r="120" spans="3:18" ht="15.75">
      <c r="C120" s="2"/>
      <c r="D120" s="2"/>
      <c r="E120" s="2"/>
      <c r="F120" s="3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</row>
    <row r="121" spans="3:18" ht="15.75">
      <c r="R121" s="2"/>
    </row>
    <row r="122" spans="3:18" ht="15.75">
      <c r="R122" s="2"/>
    </row>
    <row r="123" spans="3:18" ht="15.75">
      <c r="R123" s="2"/>
    </row>
    <row r="124" spans="3:18" ht="15.75">
      <c r="C124" s="2"/>
      <c r="D124" s="2"/>
      <c r="E124" s="2"/>
      <c r="F124" s="3"/>
      <c r="G124" s="3"/>
      <c r="H124" s="2"/>
      <c r="I124" s="4"/>
      <c r="J124" s="2"/>
      <c r="K124" s="2"/>
      <c r="L124" s="2"/>
      <c r="M124" s="2"/>
      <c r="N124" s="2"/>
      <c r="O124" s="2"/>
      <c r="P124" s="2"/>
      <c r="Q124" s="2"/>
      <c r="R124" s="2"/>
    </row>
    <row r="125" spans="3:18" ht="15.75">
      <c r="C125" s="2"/>
      <c r="D125" s="2"/>
      <c r="E125" s="2"/>
      <c r="F125" s="3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</row>
    <row r="126" spans="3:18" ht="15.75">
      <c r="C126" s="2"/>
      <c r="D126" s="2"/>
      <c r="E126" s="2"/>
      <c r="F126" s="3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</row>
    <row r="127" spans="3:18" ht="15.75">
      <c r="R127" s="2"/>
    </row>
    <row r="128" spans="3:18" ht="15.75">
      <c r="R128" s="2"/>
    </row>
    <row r="129" spans="3:18" ht="15.75">
      <c r="C129" s="2"/>
      <c r="D129" s="2"/>
      <c r="E129" s="2"/>
      <c r="F129" s="3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</row>
    <row r="130" spans="3:18" ht="15.75">
      <c r="R130" s="2"/>
    </row>
    <row r="131" spans="3:18" ht="15.75">
      <c r="R131" s="2"/>
    </row>
    <row r="132" spans="3:18" ht="15.75">
      <c r="R132" s="2"/>
    </row>
    <row r="133" spans="3:18" ht="15.75">
      <c r="R133" s="2"/>
    </row>
    <row r="134" spans="3:18" ht="15.75">
      <c r="R134" s="2"/>
    </row>
    <row r="135" spans="3:18" ht="15.75">
      <c r="R135" s="2"/>
    </row>
    <row r="136" spans="3:18" ht="15.75">
      <c r="C136" s="2"/>
      <c r="D136" s="2"/>
      <c r="E136" s="2"/>
      <c r="F136" s="3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</row>
    <row r="137" spans="3:18" ht="15.75">
      <c r="R137" s="2"/>
    </row>
    <row r="138" spans="3:18" ht="15.75">
      <c r="R138" s="2"/>
    </row>
    <row r="139" spans="3:18" ht="15.75">
      <c r="R139" s="2"/>
    </row>
    <row r="140" spans="3:18" ht="15.75">
      <c r="R140" s="2"/>
    </row>
    <row r="141" spans="3:18" ht="15.75">
      <c r="R141" s="2"/>
    </row>
    <row r="142" spans="3:18" ht="15.75">
      <c r="R142" s="2"/>
    </row>
    <row r="143" spans="3:18" ht="15.75">
      <c r="C143" s="2"/>
      <c r="D143" s="2"/>
      <c r="E143" s="2"/>
      <c r="F143" s="3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</row>
    <row r="144" spans="3:18" ht="15.75">
      <c r="R144" s="2"/>
    </row>
    <row r="145" spans="3:18" ht="15.75">
      <c r="R145" s="2"/>
    </row>
    <row r="146" spans="3:18" ht="15.75">
      <c r="R146" s="2"/>
    </row>
    <row r="147" spans="3:18" ht="15.75">
      <c r="R147" s="2"/>
    </row>
    <row r="148" spans="3:18" ht="15.75">
      <c r="C148" s="2"/>
      <c r="D148" s="2"/>
      <c r="E148" s="2"/>
      <c r="F148" s="3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</row>
    <row r="149" spans="3:18" ht="15.75">
      <c r="R149" s="2"/>
    </row>
    <row r="150" spans="3:18" ht="15.75">
      <c r="C150" s="2"/>
      <c r="D150" s="2"/>
      <c r="E150" s="2"/>
      <c r="F150" s="3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</row>
    <row r="151" spans="3:18" ht="15.75">
      <c r="C151" s="2"/>
      <c r="D151" s="2"/>
      <c r="E151" s="2"/>
      <c r="F151" s="3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</row>
    <row r="152" spans="3:18" ht="15.75">
      <c r="R152" s="2"/>
    </row>
    <row r="153" spans="3:18" ht="15.75">
      <c r="C153" s="2"/>
      <c r="D153" s="2"/>
      <c r="E153" s="2"/>
      <c r="F153" s="3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</row>
    <row r="154" spans="3:18" ht="15.75">
      <c r="R154" s="2"/>
    </row>
    <row r="155" spans="3:18" ht="15.75">
      <c r="C155" s="2"/>
      <c r="D155" s="2"/>
      <c r="E155" s="2"/>
      <c r="F155" s="3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</row>
    <row r="156" spans="3:18" ht="15.75">
      <c r="R156" s="2"/>
    </row>
    <row r="157" spans="3:18" ht="15.75">
      <c r="R157" s="2"/>
    </row>
    <row r="158" spans="3:18" ht="15.75">
      <c r="R158" s="2"/>
    </row>
    <row r="159" spans="3:18" ht="15.75">
      <c r="C159" s="2"/>
      <c r="D159" s="2"/>
      <c r="E159" s="2"/>
      <c r="F159" s="3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</row>
    <row r="160" spans="3:18" ht="15.75">
      <c r="C160" s="2"/>
      <c r="D160" s="2"/>
      <c r="E160" s="2"/>
      <c r="F160" s="3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</row>
    <row r="161" spans="3:18" ht="15.75">
      <c r="R161" s="2"/>
    </row>
    <row r="162" spans="3:18" ht="15.75">
      <c r="C162" s="2"/>
      <c r="D162" s="2"/>
      <c r="E162" s="2"/>
      <c r="F162" s="3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</row>
    <row r="163" spans="3:18" ht="15.75">
      <c r="C163" s="2"/>
      <c r="D163" s="2"/>
      <c r="E163" s="2"/>
      <c r="F163" s="3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</row>
    <row r="164" spans="3:18" ht="15.75">
      <c r="C164" s="2"/>
      <c r="D164" s="2"/>
      <c r="E164" s="2"/>
      <c r="F164" s="3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</row>
    <row r="165" spans="3:18" ht="15.75">
      <c r="C165" s="2"/>
      <c r="D165" s="2"/>
      <c r="E165" s="2"/>
      <c r="F165" s="3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3:18" ht="15.75">
      <c r="R166" s="2"/>
    </row>
    <row r="167" spans="3:18" ht="15.75">
      <c r="C167" s="2"/>
      <c r="D167" s="2"/>
      <c r="E167" s="2"/>
      <c r="F167" s="3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3:18" ht="15.75">
      <c r="C168" s="2"/>
      <c r="D168" s="2"/>
      <c r="E168" s="2"/>
      <c r="F168" s="3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3:18" ht="15.75">
      <c r="C169" s="2"/>
      <c r="D169" s="2"/>
      <c r="E169" s="2"/>
      <c r="F169" s="3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3:18" ht="15.75">
      <c r="C170" s="2"/>
      <c r="D170" s="2"/>
      <c r="E170" s="2"/>
      <c r="F170" s="3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3:18" ht="15.75">
      <c r="C171" s="2"/>
      <c r="D171" s="2"/>
      <c r="E171" s="2"/>
      <c r="F171" s="3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3:18" ht="15.75">
      <c r="C172" s="2"/>
      <c r="D172" s="2"/>
      <c r="E172" s="2"/>
      <c r="F172" s="3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  <row r="173" spans="3:18" ht="15.75">
      <c r="C173" s="2"/>
      <c r="D173" s="2"/>
      <c r="E173" s="2"/>
      <c r="F173" s="3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</row>
    <row r="174" spans="3:18" ht="15.75">
      <c r="C174" s="2"/>
      <c r="D174" s="2"/>
      <c r="E174" s="2"/>
      <c r="F174" s="3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</row>
    <row r="175" spans="3:18" ht="15.75">
      <c r="C175" s="2"/>
      <c r="D175" s="2"/>
      <c r="E175" s="2"/>
      <c r="F175" s="3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</row>
    <row r="176" spans="3:18" ht="15.75">
      <c r="C176" s="2"/>
      <c r="D176" s="2"/>
      <c r="E176" s="2"/>
      <c r="F176" s="3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</row>
    <row r="177" spans="3:18" ht="15.75">
      <c r="C177" s="2"/>
      <c r="D177" s="2"/>
      <c r="E177" s="2"/>
      <c r="F177" s="3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</row>
    <row r="178" spans="3:18" ht="15.75">
      <c r="C178" s="2"/>
      <c r="D178" s="2"/>
      <c r="E178" s="2"/>
      <c r="F178" s="3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</row>
    <row r="179" spans="3:18" ht="15.75">
      <c r="C179" s="2"/>
      <c r="D179" s="2"/>
      <c r="E179" s="2"/>
      <c r="F179" s="3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</row>
    <row r="180" spans="3:18" ht="15.75">
      <c r="C180" s="2"/>
      <c r="D180" s="2"/>
      <c r="E180" s="2"/>
      <c r="F180" s="3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</row>
    <row r="181" spans="3:18" ht="15.75">
      <c r="C181" s="2"/>
      <c r="D181" s="2"/>
      <c r="E181" s="2"/>
      <c r="F181" s="3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</row>
    <row r="182" spans="3:18" ht="15.75">
      <c r="C182" s="2"/>
      <c r="D182" s="2"/>
      <c r="E182" s="2"/>
      <c r="F182" s="3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</row>
    <row r="183" spans="3:18" ht="15.75">
      <c r="C183" s="2"/>
      <c r="D183" s="2"/>
      <c r="E183" s="2"/>
      <c r="F183" s="3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</row>
    <row r="184" spans="3:18" ht="15.75">
      <c r="C184" s="2"/>
      <c r="D184" s="2"/>
      <c r="E184" s="2"/>
      <c r="F184" s="3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</row>
    <row r="185" spans="3:18" ht="15.75">
      <c r="C185" s="2"/>
      <c r="D185" s="2"/>
      <c r="E185" s="2"/>
      <c r="F185" s="3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</row>
    <row r="186" spans="3:18" ht="15.75">
      <c r="C186" s="2"/>
      <c r="D186" s="2"/>
      <c r="E186" s="2"/>
      <c r="F186" s="3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</row>
    <row r="187" spans="3:18" ht="15.75">
      <c r="C187" s="2"/>
      <c r="D187" s="2"/>
      <c r="E187" s="2"/>
      <c r="F187" s="3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</row>
    <row r="188" spans="3:18" ht="15.75">
      <c r="C188" s="2"/>
      <c r="D188" s="2"/>
      <c r="E188" s="2"/>
      <c r="F188" s="3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</row>
    <row r="189" spans="3:18" ht="15.75">
      <c r="C189" s="2"/>
      <c r="D189" s="2"/>
      <c r="E189" s="2"/>
      <c r="F189" s="3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</row>
    <row r="190" spans="3:18" ht="15.75">
      <c r="C190" s="2"/>
      <c r="D190" s="2"/>
      <c r="E190" s="2"/>
      <c r="F190" s="3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</row>
    <row r="191" spans="3:18" ht="15.75">
      <c r="C191" s="2"/>
      <c r="D191" s="2"/>
      <c r="E191" s="2"/>
      <c r="F191" s="3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</row>
    <row r="192" spans="3:18" ht="15.75">
      <c r="C192" s="2"/>
      <c r="D192" s="2"/>
      <c r="E192" s="2"/>
      <c r="F192" s="3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</row>
    <row r="193" spans="3:18" ht="15.75">
      <c r="R193" s="2"/>
    </row>
    <row r="194" spans="3:18" ht="15.75">
      <c r="C194" s="2"/>
      <c r="D194" s="2"/>
      <c r="E194" s="2"/>
      <c r="F194" s="3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</row>
    <row r="195" spans="3:18" ht="15.75">
      <c r="C195" s="2"/>
      <c r="D195" s="2"/>
      <c r="E195" s="2"/>
      <c r="F195" s="3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</row>
    <row r="196" spans="3:18" ht="15.75">
      <c r="C196" s="2"/>
      <c r="D196" s="2"/>
      <c r="E196" s="2"/>
      <c r="F196" s="3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</row>
    <row r="197" spans="3:18" ht="15.75">
      <c r="C197" s="2"/>
      <c r="D197" s="2"/>
      <c r="E197" s="2"/>
      <c r="F197" s="3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</row>
    <row r="198" spans="3:18" ht="15.75">
      <c r="C198" s="2"/>
      <c r="D198" s="2"/>
      <c r="E198" s="2"/>
      <c r="F198" s="3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</row>
    <row r="199" spans="3:18" ht="15.75">
      <c r="C199" s="2"/>
      <c r="D199" s="2"/>
      <c r="E199" s="2"/>
      <c r="F199" s="3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</row>
    <row r="200" spans="3:18" ht="15.75">
      <c r="C200" s="2"/>
      <c r="D200" s="2"/>
      <c r="E200" s="2"/>
      <c r="F200" s="3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</row>
    <row r="201" spans="3:18" ht="15.75">
      <c r="C201" s="2"/>
      <c r="D201" s="2"/>
      <c r="E201" s="2"/>
      <c r="F201" s="3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</row>
    <row r="202" spans="3:18" ht="15.75">
      <c r="C202" s="2"/>
      <c r="D202" s="2"/>
      <c r="E202" s="2"/>
      <c r="F202" s="3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</row>
    <row r="203" spans="3:18" ht="15.75">
      <c r="C203" s="2"/>
      <c r="D203" s="2"/>
      <c r="E203" s="2"/>
      <c r="F203" s="3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</row>
    <row r="204" spans="3:18" ht="15.75">
      <c r="C204" s="2"/>
      <c r="D204" s="2"/>
      <c r="E204" s="2"/>
      <c r="F204" s="3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</row>
    <row r="205" spans="3:18" ht="15.75">
      <c r="C205" s="2"/>
      <c r="D205" s="2"/>
      <c r="E205" s="2"/>
      <c r="F205" s="3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</row>
    <row r="206" spans="3:18" ht="15.75">
      <c r="C206" s="2"/>
      <c r="D206" s="2"/>
      <c r="E206" s="2"/>
      <c r="F206" s="3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</row>
    <row r="207" spans="3:18" ht="15.75">
      <c r="C207" s="2"/>
      <c r="D207" s="2"/>
      <c r="E207" s="2"/>
      <c r="F207" s="3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</row>
    <row r="208" spans="3:18" ht="15.75">
      <c r="C208" s="2"/>
      <c r="D208" s="2"/>
      <c r="E208" s="2"/>
      <c r="F208" s="3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</row>
    <row r="209" spans="3:18" ht="15.75">
      <c r="C209" s="2"/>
      <c r="D209" s="2"/>
      <c r="E209" s="2"/>
      <c r="F209" s="3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</row>
    <row r="210" spans="3:18" ht="15.75">
      <c r="C210" s="2"/>
      <c r="D210" s="2"/>
      <c r="E210" s="2"/>
      <c r="F210" s="3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</row>
    <row r="211" spans="3:18" ht="15.75">
      <c r="C211" s="2"/>
      <c r="D211" s="2"/>
      <c r="E211" s="2"/>
      <c r="F211" s="3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</row>
    <row r="212" spans="3:18" ht="15.75">
      <c r="C212" s="2"/>
      <c r="D212" s="2"/>
      <c r="E212" s="2"/>
      <c r="F212" s="3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</row>
    <row r="213" spans="3:18" ht="15.75">
      <c r="C213" s="2"/>
      <c r="D213" s="2"/>
      <c r="E213" s="2"/>
      <c r="F213" s="3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</row>
    <row r="214" spans="3:18" ht="15.75">
      <c r="C214" s="2"/>
      <c r="D214" s="2"/>
      <c r="E214" s="2"/>
      <c r="F214" s="3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</row>
    <row r="215" spans="3:18" ht="15.75">
      <c r="C215" s="2"/>
      <c r="D215" s="2"/>
      <c r="E215" s="2"/>
      <c r="F215" s="3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</row>
    <row r="216" spans="3:18" ht="15.75">
      <c r="C216" s="2"/>
      <c r="D216" s="2"/>
      <c r="E216" s="2"/>
      <c r="F216" s="3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</row>
    <row r="217" spans="3:18" ht="15.75">
      <c r="C217" s="2"/>
      <c r="D217" s="2"/>
      <c r="E217" s="2"/>
      <c r="F217" s="3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</row>
    <row r="218" spans="3:18" ht="15.75">
      <c r="C218" s="2"/>
      <c r="D218" s="2"/>
      <c r="E218" s="2"/>
      <c r="F218" s="3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</row>
    <row r="219" spans="3:18" ht="15.75">
      <c r="C219" s="2"/>
      <c r="D219" s="2"/>
      <c r="E219" s="2"/>
      <c r="F219" s="3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</row>
    <row r="220" spans="3:18" ht="15.75">
      <c r="C220" s="2"/>
      <c r="D220" s="2"/>
      <c r="E220" s="2"/>
      <c r="F220" s="3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</row>
    <row r="221" spans="3:18" ht="15.75">
      <c r="C221" s="2"/>
      <c r="D221" s="2"/>
      <c r="E221" s="2"/>
      <c r="F221" s="3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</row>
    <row r="222" spans="3:18" ht="15.75">
      <c r="C222" s="2"/>
      <c r="D222" s="2"/>
      <c r="E222" s="2"/>
      <c r="F222" s="3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</row>
    <row r="223" spans="3:18" ht="15.75">
      <c r="C223" s="2"/>
      <c r="D223" s="2"/>
      <c r="E223" s="2"/>
      <c r="F223" s="3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</row>
    <row r="224" spans="3:18" ht="15.75">
      <c r="C224" s="2"/>
      <c r="D224" s="2"/>
      <c r="E224" s="2"/>
      <c r="F224" s="3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</row>
    <row r="225" spans="3:18" ht="15.75">
      <c r="C225" s="2"/>
      <c r="D225" s="2"/>
      <c r="E225" s="2"/>
      <c r="F225" s="3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</row>
    <row r="226" spans="3:18" ht="15.75">
      <c r="C226" s="2"/>
      <c r="D226" s="2"/>
      <c r="E226" s="2"/>
      <c r="F226" s="3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</row>
    <row r="227" spans="3:18" ht="15.75">
      <c r="C227" s="2"/>
      <c r="D227" s="2"/>
      <c r="E227" s="2"/>
      <c r="F227" s="3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</row>
    <row r="228" spans="3:18" ht="15.75">
      <c r="C228" s="2"/>
      <c r="D228" s="2"/>
      <c r="E228" s="2"/>
      <c r="F228" s="3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</row>
    <row r="229" spans="3:18" ht="15.75">
      <c r="C229" s="2"/>
      <c r="D229" s="2"/>
      <c r="E229" s="2"/>
      <c r="F229" s="3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</row>
    <row r="230" spans="3:18" ht="15.75">
      <c r="C230" s="2"/>
      <c r="D230" s="2"/>
      <c r="E230" s="2"/>
      <c r="F230" s="3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</row>
    <row r="231" spans="3:18" ht="15.75">
      <c r="C231" s="2"/>
      <c r="D231" s="2"/>
      <c r="E231" s="2"/>
      <c r="F231" s="3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</row>
    <row r="232" spans="3:18" ht="15.75">
      <c r="C232" s="2"/>
      <c r="D232" s="2"/>
      <c r="E232" s="2"/>
      <c r="F232" s="3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</row>
    <row r="233" spans="3:18" ht="15.75">
      <c r="C233" s="2"/>
      <c r="D233" s="2"/>
      <c r="E233" s="2"/>
      <c r="F233" s="3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</row>
    <row r="234" spans="3:18" ht="15.75">
      <c r="C234" s="2"/>
      <c r="D234" s="2"/>
      <c r="E234" s="2"/>
      <c r="F234" s="3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</row>
    <row r="235" spans="3:18" ht="15.75">
      <c r="C235" s="2"/>
      <c r="D235" s="2"/>
      <c r="E235" s="2"/>
      <c r="F235" s="3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</row>
  </sheetData>
  <autoFilter ref="A1:AU102" xr:uid="{D96E5E67-86DE-F649-8006-8D64E50BF6AE}">
    <filterColumn colId="12">
      <filters>
        <filter val="0"/>
      </filters>
    </filterColumn>
  </autoFilter>
  <sortState xmlns:xlrd2="http://schemas.microsoft.com/office/spreadsheetml/2017/richdata2" ref="A2:AN235">
    <sortCondition ref="Q1:Q235"/>
  </sortState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78A38-8B90-2C42-8952-F99713941EFC}">
  <dimension ref="A1:AO72"/>
  <sheetViews>
    <sheetView workbookViewId="0">
      <pane ySplit="1" topLeftCell="A2" activePane="bottomLeft" state="frozen"/>
      <selection pane="bottomLeft" activeCell="C34" sqref="C34:C72"/>
    </sheetView>
  </sheetViews>
  <sheetFormatPr defaultColWidth="11.42578125" defaultRowHeight="15"/>
  <cols>
    <col min="3" max="4" width="10.85546875" customWidth="1"/>
    <col min="7" max="9" width="10.85546875" customWidth="1"/>
    <col min="11" max="30" width="10.85546875" customWidth="1"/>
  </cols>
  <sheetData>
    <row r="1" spans="1:41" ht="15.75">
      <c r="A1" t="s">
        <v>890</v>
      </c>
      <c r="B1" t="s">
        <v>889</v>
      </c>
      <c r="C1" t="s">
        <v>892</v>
      </c>
      <c r="D1" t="s">
        <v>875</v>
      </c>
      <c r="E1" t="s">
        <v>876</v>
      </c>
      <c r="F1" t="s">
        <v>877</v>
      </c>
      <c r="G1" t="s">
        <v>878</v>
      </c>
      <c r="H1" t="s">
        <v>891</v>
      </c>
      <c r="I1" t="s">
        <v>880</v>
      </c>
      <c r="J1" t="s">
        <v>881</v>
      </c>
      <c r="K1" t="s">
        <v>882</v>
      </c>
      <c r="L1" t="s">
        <v>883</v>
      </c>
      <c r="M1" t="s">
        <v>884</v>
      </c>
      <c r="N1" s="17" t="s">
        <v>1053</v>
      </c>
      <c r="O1" s="17" t="s">
        <v>1054</v>
      </c>
      <c r="P1" s="17" t="s">
        <v>1055</v>
      </c>
      <c r="Q1" s="17" t="s">
        <v>1056</v>
      </c>
      <c r="R1" s="6" t="s">
        <v>8</v>
      </c>
      <c r="S1" s="6" t="s">
        <v>1051</v>
      </c>
      <c r="T1" s="8" t="s">
        <v>15</v>
      </c>
      <c r="U1" s="8" t="s">
        <v>27</v>
      </c>
      <c r="V1" s="8" t="s">
        <v>29</v>
      </c>
      <c r="W1" s="8" t="s">
        <v>32</v>
      </c>
      <c r="X1" s="8" t="s">
        <v>33</v>
      </c>
      <c r="Y1" s="8" t="s">
        <v>41</v>
      </c>
      <c r="Z1" s="8" t="s">
        <v>44</v>
      </c>
      <c r="AA1" s="8" t="s">
        <v>45</v>
      </c>
      <c r="AB1" s="8" t="s">
        <v>50</v>
      </c>
      <c r="AC1" s="8" t="s">
        <v>51</v>
      </c>
      <c r="AD1" s="8" t="s">
        <v>52</v>
      </c>
      <c r="AE1" s="8" t="s">
        <v>54</v>
      </c>
      <c r="AF1" s="8" t="s">
        <v>57</v>
      </c>
      <c r="AG1" s="8" t="s">
        <v>60</v>
      </c>
      <c r="AH1" s="8" t="s">
        <v>61</v>
      </c>
      <c r="AI1" s="8" t="s">
        <v>65</v>
      </c>
      <c r="AJ1" s="8" t="s">
        <v>66</v>
      </c>
      <c r="AK1" s="8" t="s">
        <v>73</v>
      </c>
      <c r="AL1" s="8" t="s">
        <v>74</v>
      </c>
      <c r="AM1" s="8" t="s">
        <v>76</v>
      </c>
      <c r="AN1" s="8" t="s">
        <v>79</v>
      </c>
      <c r="AO1" s="8" t="s">
        <v>80</v>
      </c>
    </row>
    <row r="2" spans="1:41">
      <c r="A2" t="s">
        <v>136</v>
      </c>
      <c r="B2" s="8" t="s">
        <v>894</v>
      </c>
      <c r="C2" s="8" t="s">
        <v>1123</v>
      </c>
      <c r="D2" t="s">
        <v>858</v>
      </c>
      <c r="E2" t="s">
        <v>859</v>
      </c>
      <c r="F2" t="s">
        <v>860</v>
      </c>
      <c r="G2" s="7">
        <v>21294</v>
      </c>
      <c r="H2" s="7">
        <v>43210</v>
      </c>
      <c r="I2">
        <f t="shared" ref="I2:I10" si="0">DATEDIF(G2,H2,"Y")</f>
        <v>60</v>
      </c>
      <c r="J2">
        <v>1</v>
      </c>
      <c r="K2" t="s">
        <v>861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">
        <v>136</v>
      </c>
      <c r="S2" t="str">
        <f>IF(A2=R2, "TRUE", "FALSE")</f>
        <v>TRUE</v>
      </c>
      <c r="T2">
        <v>13.96</v>
      </c>
      <c r="U2">
        <v>2.94</v>
      </c>
      <c r="V2">
        <v>172.78</v>
      </c>
      <c r="W2">
        <v>0.99</v>
      </c>
      <c r="X2">
        <v>836.11</v>
      </c>
      <c r="Y2">
        <v>44.05</v>
      </c>
      <c r="Z2">
        <v>85.35</v>
      </c>
      <c r="AA2">
        <v>5.14</v>
      </c>
      <c r="AB2" s="14">
        <v>2500.0100000000002</v>
      </c>
      <c r="AC2">
        <v>3.21</v>
      </c>
      <c r="AD2">
        <v>159.05000000000001</v>
      </c>
      <c r="AE2" s="14">
        <v>1000.01</v>
      </c>
      <c r="AF2">
        <v>25.28</v>
      </c>
      <c r="AG2">
        <v>281.48</v>
      </c>
      <c r="AH2" s="14">
        <v>2.4900000000000002</v>
      </c>
      <c r="AI2">
        <v>115.65</v>
      </c>
      <c r="AJ2" s="14">
        <v>9.99</v>
      </c>
      <c r="AK2">
        <v>434.96</v>
      </c>
      <c r="AL2">
        <v>27.07</v>
      </c>
      <c r="AM2">
        <v>12.86</v>
      </c>
      <c r="AN2">
        <v>92.38</v>
      </c>
      <c r="AO2" s="14">
        <v>4.99</v>
      </c>
    </row>
    <row r="3" spans="1:41">
      <c r="A3" t="s">
        <v>448</v>
      </c>
      <c r="B3" s="8" t="s">
        <v>895</v>
      </c>
      <c r="C3" s="8" t="s">
        <v>1124</v>
      </c>
      <c r="D3" t="s">
        <v>858</v>
      </c>
      <c r="E3" t="s">
        <v>859</v>
      </c>
      <c r="F3" t="s">
        <v>860</v>
      </c>
      <c r="G3" s="7">
        <v>21589</v>
      </c>
      <c r="H3" s="7">
        <v>43291</v>
      </c>
      <c r="I3">
        <f t="shared" si="0"/>
        <v>59</v>
      </c>
      <c r="J3">
        <v>1</v>
      </c>
      <c r="K3" t="s">
        <v>857</v>
      </c>
      <c r="L3">
        <v>3000</v>
      </c>
      <c r="M3">
        <v>9</v>
      </c>
      <c r="N3">
        <v>1</v>
      </c>
      <c r="O3">
        <v>2</v>
      </c>
      <c r="P3" s="18">
        <v>1</v>
      </c>
      <c r="Q3" s="18">
        <v>0</v>
      </c>
      <c r="R3" t="s">
        <v>448</v>
      </c>
      <c r="S3" t="str">
        <f t="shared" ref="S3:S34" si="1">+IF(A3=R3, "TRUE", "FALSE")</f>
        <v>TRUE</v>
      </c>
      <c r="T3">
        <v>7.57</v>
      </c>
      <c r="U3">
        <v>1.71</v>
      </c>
      <c r="V3">
        <v>6.18</v>
      </c>
      <c r="W3">
        <v>35.57</v>
      </c>
      <c r="X3">
        <v>67.069999999999993</v>
      </c>
      <c r="Y3">
        <v>4.76</v>
      </c>
      <c r="Z3">
        <v>56.98</v>
      </c>
      <c r="AA3" s="13">
        <v>0.99</v>
      </c>
      <c r="AB3">
        <v>1107.47</v>
      </c>
      <c r="AC3">
        <v>44.63</v>
      </c>
      <c r="AD3">
        <v>9.3000000000000007</v>
      </c>
      <c r="AE3">
        <v>812.37</v>
      </c>
      <c r="AF3">
        <v>6.69</v>
      </c>
      <c r="AG3">
        <v>74.37</v>
      </c>
      <c r="AH3">
        <v>3.69</v>
      </c>
      <c r="AI3">
        <v>106.85</v>
      </c>
      <c r="AJ3" s="14">
        <v>9.99</v>
      </c>
      <c r="AK3">
        <v>109.93</v>
      </c>
      <c r="AL3">
        <v>10.67</v>
      </c>
      <c r="AM3">
        <v>34.85</v>
      </c>
      <c r="AN3">
        <v>7.76</v>
      </c>
      <c r="AO3">
        <v>11.32</v>
      </c>
    </row>
    <row r="4" spans="1:41">
      <c r="A4" t="s">
        <v>178</v>
      </c>
      <c r="B4" s="8" t="s">
        <v>905</v>
      </c>
      <c r="C4" s="8" t="s">
        <v>1125</v>
      </c>
      <c r="D4" t="s">
        <v>858</v>
      </c>
      <c r="E4" t="s">
        <v>863</v>
      </c>
      <c r="F4" t="s">
        <v>864</v>
      </c>
      <c r="G4" s="7">
        <v>30401</v>
      </c>
      <c r="H4" s="7">
        <v>43300</v>
      </c>
      <c r="I4">
        <f t="shared" si="0"/>
        <v>35</v>
      </c>
      <c r="J4">
        <v>1</v>
      </c>
      <c r="K4" t="s">
        <v>857</v>
      </c>
      <c r="L4">
        <v>250</v>
      </c>
      <c r="M4">
        <v>4</v>
      </c>
      <c r="N4">
        <v>0</v>
      </c>
      <c r="O4">
        <v>2</v>
      </c>
      <c r="P4" s="18">
        <v>1</v>
      </c>
      <c r="Q4" s="18">
        <v>0</v>
      </c>
      <c r="R4" t="s">
        <v>178</v>
      </c>
      <c r="S4" t="str">
        <f t="shared" si="1"/>
        <v>TRUE</v>
      </c>
      <c r="T4">
        <v>11.47</v>
      </c>
      <c r="U4">
        <v>13.51</v>
      </c>
      <c r="V4">
        <v>25.47</v>
      </c>
      <c r="W4">
        <v>210.41</v>
      </c>
      <c r="X4">
        <v>299.60000000000002</v>
      </c>
      <c r="Y4">
        <v>37.32</v>
      </c>
      <c r="Z4">
        <v>644.79</v>
      </c>
      <c r="AA4">
        <v>15.34</v>
      </c>
      <c r="AB4">
        <v>1242.1400000000001</v>
      </c>
      <c r="AC4">
        <v>274.97000000000003</v>
      </c>
      <c r="AD4">
        <v>46.68</v>
      </c>
      <c r="AE4">
        <v>577.04</v>
      </c>
      <c r="AF4">
        <v>21.34</v>
      </c>
      <c r="AG4">
        <v>119.96</v>
      </c>
      <c r="AH4">
        <v>31.02</v>
      </c>
      <c r="AI4">
        <v>53.52</v>
      </c>
      <c r="AJ4">
        <v>83.37</v>
      </c>
      <c r="AK4">
        <v>98.73</v>
      </c>
      <c r="AL4">
        <v>23.32</v>
      </c>
      <c r="AM4">
        <v>485.56</v>
      </c>
      <c r="AN4">
        <v>9.4</v>
      </c>
      <c r="AO4">
        <v>60.14</v>
      </c>
    </row>
    <row r="5" spans="1:41">
      <c r="A5" t="s">
        <v>718</v>
      </c>
      <c r="B5" s="8" t="s">
        <v>907</v>
      </c>
      <c r="C5" s="8" t="s">
        <v>1126</v>
      </c>
      <c r="D5" t="s">
        <v>858</v>
      </c>
      <c r="E5" t="s">
        <v>863</v>
      </c>
      <c r="F5" t="s">
        <v>864</v>
      </c>
      <c r="G5" s="7">
        <v>32618</v>
      </c>
      <c r="H5" s="7">
        <v>43308</v>
      </c>
      <c r="I5">
        <f t="shared" si="0"/>
        <v>29</v>
      </c>
      <c r="J5">
        <v>1</v>
      </c>
      <c r="K5" t="s">
        <v>857</v>
      </c>
      <c r="L5">
        <v>2826</v>
      </c>
      <c r="M5">
        <v>5</v>
      </c>
      <c r="N5">
        <v>0</v>
      </c>
      <c r="O5">
        <v>1</v>
      </c>
      <c r="P5" s="18">
        <v>1</v>
      </c>
      <c r="Q5" s="18">
        <v>0</v>
      </c>
      <c r="R5" t="s">
        <v>718</v>
      </c>
      <c r="S5" t="str">
        <f t="shared" si="1"/>
        <v>TRUE</v>
      </c>
      <c r="T5">
        <v>20.6</v>
      </c>
      <c r="U5">
        <v>2.37</v>
      </c>
      <c r="V5">
        <v>36.450000000000003</v>
      </c>
      <c r="W5">
        <v>227.29</v>
      </c>
      <c r="X5">
        <v>56.71</v>
      </c>
      <c r="Y5">
        <v>21.07</v>
      </c>
      <c r="Z5">
        <v>57.7</v>
      </c>
      <c r="AA5">
        <v>16.41</v>
      </c>
      <c r="AB5">
        <v>1903.06</v>
      </c>
      <c r="AC5">
        <v>502.28</v>
      </c>
      <c r="AD5">
        <v>74.400000000000006</v>
      </c>
      <c r="AE5">
        <v>733.64</v>
      </c>
      <c r="AF5">
        <v>34.81</v>
      </c>
      <c r="AG5">
        <v>499.57</v>
      </c>
      <c r="AH5">
        <v>184.75</v>
      </c>
      <c r="AI5">
        <v>226.66</v>
      </c>
      <c r="AJ5">
        <v>248.39</v>
      </c>
      <c r="AK5">
        <v>161.51</v>
      </c>
      <c r="AL5">
        <v>47.48</v>
      </c>
      <c r="AM5">
        <v>495.22</v>
      </c>
      <c r="AN5">
        <v>17.52</v>
      </c>
      <c r="AO5">
        <v>163.71</v>
      </c>
    </row>
    <row r="6" spans="1:41">
      <c r="A6" t="s">
        <v>706</v>
      </c>
      <c r="B6" s="8" t="s">
        <v>908</v>
      </c>
      <c r="C6" s="8" t="s">
        <v>1127</v>
      </c>
      <c r="D6" t="s">
        <v>858</v>
      </c>
      <c r="E6" t="s">
        <v>859</v>
      </c>
      <c r="F6" t="s">
        <v>864</v>
      </c>
      <c r="G6" s="7">
        <v>29445</v>
      </c>
      <c r="H6" s="7">
        <v>43329</v>
      </c>
      <c r="I6">
        <f t="shared" si="0"/>
        <v>38</v>
      </c>
      <c r="J6">
        <v>1</v>
      </c>
      <c r="K6" t="s">
        <v>857</v>
      </c>
      <c r="L6">
        <v>2043</v>
      </c>
      <c r="M6">
        <v>8</v>
      </c>
      <c r="N6">
        <v>1</v>
      </c>
      <c r="O6">
        <v>2</v>
      </c>
      <c r="P6" s="18">
        <v>0</v>
      </c>
      <c r="Q6" s="18">
        <v>0</v>
      </c>
      <c r="R6" t="s">
        <v>706</v>
      </c>
      <c r="S6" t="str">
        <f t="shared" si="1"/>
        <v>TRUE</v>
      </c>
      <c r="T6">
        <v>12.7</v>
      </c>
      <c r="U6">
        <v>7.38</v>
      </c>
      <c r="V6">
        <v>27.12</v>
      </c>
      <c r="W6">
        <v>117.13</v>
      </c>
      <c r="X6">
        <v>259.51</v>
      </c>
      <c r="Y6">
        <v>49.75</v>
      </c>
      <c r="Z6">
        <v>248.56</v>
      </c>
      <c r="AA6">
        <v>12.19</v>
      </c>
      <c r="AB6">
        <v>2497.25</v>
      </c>
      <c r="AC6">
        <v>405.52</v>
      </c>
      <c r="AD6">
        <v>270.97000000000003</v>
      </c>
      <c r="AE6" s="14">
        <v>1000.01</v>
      </c>
      <c r="AF6">
        <v>51.59</v>
      </c>
      <c r="AG6">
        <v>378.3</v>
      </c>
      <c r="AH6">
        <v>102.73</v>
      </c>
      <c r="AI6">
        <v>186.06</v>
      </c>
      <c r="AJ6">
        <v>177.56</v>
      </c>
      <c r="AK6">
        <v>154.82</v>
      </c>
      <c r="AL6">
        <v>37.79</v>
      </c>
      <c r="AM6">
        <v>232.66</v>
      </c>
      <c r="AN6">
        <v>42.15</v>
      </c>
      <c r="AO6">
        <v>104.72</v>
      </c>
    </row>
    <row r="7" spans="1:41">
      <c r="A7" t="s">
        <v>166</v>
      </c>
      <c r="B7" s="8" t="s">
        <v>909</v>
      </c>
      <c r="C7" s="8" t="s">
        <v>1128</v>
      </c>
      <c r="D7" t="s">
        <v>858</v>
      </c>
      <c r="E7" t="s">
        <v>868</v>
      </c>
      <c r="F7" t="s">
        <v>864</v>
      </c>
      <c r="G7" s="7">
        <v>31343</v>
      </c>
      <c r="H7" s="7">
        <v>43371</v>
      </c>
      <c r="I7">
        <f t="shared" si="0"/>
        <v>32</v>
      </c>
      <c r="J7">
        <v>1</v>
      </c>
      <c r="K7" t="s">
        <v>857</v>
      </c>
      <c r="L7">
        <v>543</v>
      </c>
      <c r="M7">
        <v>5</v>
      </c>
      <c r="N7">
        <v>0</v>
      </c>
      <c r="O7">
        <v>2</v>
      </c>
      <c r="P7" s="18">
        <v>1</v>
      </c>
      <c r="Q7" s="18">
        <v>0</v>
      </c>
      <c r="R7" t="s">
        <v>166</v>
      </c>
      <c r="S7" t="str">
        <f t="shared" si="1"/>
        <v>TRUE</v>
      </c>
      <c r="T7">
        <v>12.54</v>
      </c>
      <c r="U7">
        <v>0.99</v>
      </c>
      <c r="V7">
        <v>34.909999999999997</v>
      </c>
      <c r="W7" s="16">
        <v>178.23</v>
      </c>
      <c r="X7">
        <v>21.42</v>
      </c>
      <c r="Y7">
        <v>15.1</v>
      </c>
      <c r="Z7">
        <v>19.79</v>
      </c>
      <c r="AA7">
        <v>4.67</v>
      </c>
      <c r="AB7">
        <v>1213.26</v>
      </c>
      <c r="AC7">
        <v>342.87</v>
      </c>
      <c r="AD7">
        <v>109.54</v>
      </c>
      <c r="AE7">
        <v>307.82</v>
      </c>
      <c r="AF7">
        <v>24</v>
      </c>
      <c r="AG7">
        <v>218.68</v>
      </c>
      <c r="AH7">
        <v>103.34</v>
      </c>
      <c r="AI7">
        <v>65.400000000000006</v>
      </c>
      <c r="AJ7">
        <v>285.18</v>
      </c>
      <c r="AK7">
        <v>153.69</v>
      </c>
      <c r="AL7">
        <v>64.08</v>
      </c>
      <c r="AM7">
        <v>526.66999999999996</v>
      </c>
      <c r="AN7">
        <v>40.07</v>
      </c>
      <c r="AO7">
        <v>141.53</v>
      </c>
    </row>
    <row r="8" spans="1:41">
      <c r="A8" t="s">
        <v>451</v>
      </c>
      <c r="B8" s="8" t="s">
        <v>928</v>
      </c>
      <c r="C8" s="8" t="s">
        <v>1124</v>
      </c>
      <c r="D8" t="s">
        <v>858</v>
      </c>
      <c r="E8" t="s">
        <v>859</v>
      </c>
      <c r="F8" t="s">
        <v>860</v>
      </c>
      <c r="G8" s="7">
        <v>21589</v>
      </c>
      <c r="H8" s="7">
        <v>43375</v>
      </c>
      <c r="I8">
        <f t="shared" si="0"/>
        <v>59</v>
      </c>
      <c r="J8">
        <v>2</v>
      </c>
      <c r="K8" t="s">
        <v>857</v>
      </c>
      <c r="L8">
        <v>1200</v>
      </c>
      <c r="M8">
        <v>4</v>
      </c>
      <c r="N8">
        <v>1</v>
      </c>
      <c r="O8">
        <v>2</v>
      </c>
      <c r="P8" s="18">
        <v>1</v>
      </c>
      <c r="Q8" s="18">
        <v>0</v>
      </c>
      <c r="R8" t="s">
        <v>451</v>
      </c>
      <c r="S8" t="str">
        <f t="shared" si="1"/>
        <v>TRUE</v>
      </c>
      <c r="T8">
        <v>9.17</v>
      </c>
      <c r="U8">
        <v>2.35</v>
      </c>
      <c r="V8">
        <v>67.94</v>
      </c>
      <c r="W8">
        <v>152.81</v>
      </c>
      <c r="X8">
        <v>88.1</v>
      </c>
      <c r="Y8">
        <v>18.649999999999999</v>
      </c>
      <c r="Z8">
        <v>18.010000000000002</v>
      </c>
      <c r="AA8">
        <v>1.31</v>
      </c>
      <c r="AB8">
        <v>612.41</v>
      </c>
      <c r="AC8">
        <v>57.36</v>
      </c>
      <c r="AD8">
        <v>14.07</v>
      </c>
      <c r="AE8">
        <v>185.27</v>
      </c>
      <c r="AF8">
        <v>9.92</v>
      </c>
      <c r="AG8">
        <v>115.39</v>
      </c>
      <c r="AH8">
        <v>13.25</v>
      </c>
      <c r="AI8">
        <v>40.57</v>
      </c>
      <c r="AJ8">
        <v>77.930000000000007</v>
      </c>
      <c r="AK8">
        <v>151.85</v>
      </c>
      <c r="AL8">
        <v>47.77</v>
      </c>
      <c r="AM8">
        <v>256.69</v>
      </c>
      <c r="AN8">
        <v>7.77</v>
      </c>
      <c r="AO8">
        <v>32.89</v>
      </c>
    </row>
    <row r="9" spans="1:41" ht="15.75">
      <c r="A9" t="s">
        <v>187</v>
      </c>
      <c r="B9" s="8" t="s">
        <v>913</v>
      </c>
      <c r="C9" s="8" t="s">
        <v>1129</v>
      </c>
      <c r="D9" t="s">
        <v>858</v>
      </c>
      <c r="E9" t="s">
        <v>859</v>
      </c>
      <c r="F9" t="s">
        <v>864</v>
      </c>
      <c r="G9" s="7">
        <v>35211</v>
      </c>
      <c r="H9" s="7">
        <v>43377</v>
      </c>
      <c r="I9">
        <f t="shared" si="0"/>
        <v>22</v>
      </c>
      <c r="J9">
        <v>1</v>
      </c>
      <c r="K9" t="s">
        <v>857</v>
      </c>
      <c r="L9">
        <v>690</v>
      </c>
      <c r="M9">
        <v>4</v>
      </c>
      <c r="N9" s="2">
        <v>0</v>
      </c>
      <c r="O9" s="2">
        <v>2</v>
      </c>
      <c r="P9" s="2">
        <v>1</v>
      </c>
      <c r="Q9" s="2">
        <v>0</v>
      </c>
      <c r="R9" t="s">
        <v>187</v>
      </c>
      <c r="S9" t="str">
        <f t="shared" si="1"/>
        <v>TRUE</v>
      </c>
      <c r="T9">
        <v>22.39</v>
      </c>
      <c r="U9">
        <v>3.07</v>
      </c>
      <c r="V9">
        <v>95.17</v>
      </c>
      <c r="W9">
        <v>201.6</v>
      </c>
      <c r="X9">
        <v>209.22</v>
      </c>
      <c r="Y9">
        <v>25.73</v>
      </c>
      <c r="Z9">
        <v>204.96</v>
      </c>
      <c r="AA9">
        <v>4.05</v>
      </c>
      <c r="AB9">
        <v>2271.79</v>
      </c>
      <c r="AC9">
        <v>555.29</v>
      </c>
      <c r="AD9">
        <v>165.61</v>
      </c>
      <c r="AE9">
        <v>447.88</v>
      </c>
      <c r="AF9">
        <v>11.79</v>
      </c>
      <c r="AG9">
        <v>182.49</v>
      </c>
      <c r="AH9">
        <v>53.41</v>
      </c>
      <c r="AI9">
        <v>47.34</v>
      </c>
      <c r="AJ9">
        <v>38.46</v>
      </c>
      <c r="AK9">
        <v>102.58</v>
      </c>
      <c r="AL9">
        <v>16.329999999999998</v>
      </c>
      <c r="AM9">
        <v>189.35</v>
      </c>
      <c r="AN9">
        <v>43.64</v>
      </c>
      <c r="AO9">
        <v>144.31</v>
      </c>
    </row>
    <row r="10" spans="1:41">
      <c r="A10" t="s">
        <v>499</v>
      </c>
      <c r="B10" s="8" t="s">
        <v>916</v>
      </c>
      <c r="C10" s="8" t="s">
        <v>1130</v>
      </c>
      <c r="D10" t="s">
        <v>858</v>
      </c>
      <c r="E10" t="s">
        <v>863</v>
      </c>
      <c r="F10" t="s">
        <v>864</v>
      </c>
      <c r="G10" s="7">
        <v>23573</v>
      </c>
      <c r="H10" s="7">
        <v>43392</v>
      </c>
      <c r="I10">
        <f t="shared" si="0"/>
        <v>54</v>
      </c>
      <c r="J10">
        <v>1</v>
      </c>
      <c r="K10" t="s">
        <v>857</v>
      </c>
      <c r="L10">
        <v>6000</v>
      </c>
      <c r="M10">
        <v>7</v>
      </c>
      <c r="N10">
        <v>0</v>
      </c>
      <c r="O10">
        <v>2</v>
      </c>
      <c r="P10" s="18">
        <v>1</v>
      </c>
      <c r="Q10" s="18">
        <v>0</v>
      </c>
      <c r="R10" t="s">
        <v>499</v>
      </c>
      <c r="S10" t="str">
        <f t="shared" si="1"/>
        <v>TRUE</v>
      </c>
      <c r="T10">
        <v>13.82</v>
      </c>
      <c r="U10">
        <v>0.99</v>
      </c>
      <c r="V10">
        <v>3.64</v>
      </c>
      <c r="W10">
        <v>254.71</v>
      </c>
      <c r="X10" s="12">
        <v>1000.01</v>
      </c>
      <c r="Y10">
        <v>21.12</v>
      </c>
      <c r="Z10">
        <v>579.42999999999995</v>
      </c>
      <c r="AA10">
        <v>3.12</v>
      </c>
      <c r="AB10">
        <v>941.06</v>
      </c>
      <c r="AC10">
        <v>112.36</v>
      </c>
      <c r="AD10">
        <v>23.97</v>
      </c>
      <c r="AE10">
        <v>282.83999999999997</v>
      </c>
      <c r="AF10">
        <v>21.39</v>
      </c>
      <c r="AG10">
        <v>79.69</v>
      </c>
      <c r="AH10">
        <v>16.72</v>
      </c>
      <c r="AI10">
        <v>36.549999999999997</v>
      </c>
      <c r="AJ10">
        <v>228.29</v>
      </c>
      <c r="AK10">
        <v>414.59</v>
      </c>
      <c r="AL10">
        <v>65.63</v>
      </c>
      <c r="AM10">
        <v>927.22</v>
      </c>
      <c r="AN10">
        <v>40.909999999999997</v>
      </c>
      <c r="AO10">
        <v>184.24</v>
      </c>
    </row>
    <row r="11" spans="1:41">
      <c r="A11" t="s">
        <v>93</v>
      </c>
      <c r="B11" s="8" t="s">
        <v>917</v>
      </c>
      <c r="C11" s="8" t="s">
        <v>1131</v>
      </c>
      <c r="D11" t="s">
        <v>858</v>
      </c>
      <c r="E11" t="s">
        <v>868</v>
      </c>
      <c r="F11" t="s">
        <v>864</v>
      </c>
      <c r="G11" s="7">
        <v>30482</v>
      </c>
      <c r="H11" s="7">
        <v>43410</v>
      </c>
      <c r="I11">
        <v>35</v>
      </c>
      <c r="J11">
        <v>1</v>
      </c>
      <c r="K11" t="s">
        <v>857</v>
      </c>
      <c r="L11">
        <v>700</v>
      </c>
      <c r="M11">
        <v>7</v>
      </c>
      <c r="N11">
        <v>0</v>
      </c>
      <c r="O11">
        <v>2</v>
      </c>
      <c r="P11" s="18">
        <v>1</v>
      </c>
      <c r="Q11" s="18">
        <v>0</v>
      </c>
      <c r="R11" t="s">
        <v>93</v>
      </c>
      <c r="S11" t="str">
        <f t="shared" si="1"/>
        <v>TRUE</v>
      </c>
      <c r="T11">
        <v>13.64</v>
      </c>
      <c r="U11">
        <v>0.99</v>
      </c>
      <c r="V11">
        <v>11.88</v>
      </c>
      <c r="W11">
        <v>27.43</v>
      </c>
      <c r="X11">
        <v>32.840000000000003</v>
      </c>
      <c r="Y11">
        <v>4.03</v>
      </c>
      <c r="Z11">
        <v>38.82</v>
      </c>
      <c r="AA11">
        <v>2.19</v>
      </c>
      <c r="AB11">
        <v>84.36</v>
      </c>
      <c r="AC11">
        <v>24.96</v>
      </c>
      <c r="AD11">
        <v>8.01</v>
      </c>
      <c r="AE11">
        <v>14.68</v>
      </c>
      <c r="AF11" s="14">
        <v>2.4900000000000002</v>
      </c>
      <c r="AG11">
        <v>11.8</v>
      </c>
      <c r="AH11">
        <v>3.11</v>
      </c>
      <c r="AI11">
        <v>2.73</v>
      </c>
      <c r="AJ11">
        <v>29.76</v>
      </c>
      <c r="AK11">
        <v>46.71</v>
      </c>
      <c r="AL11">
        <v>6.72</v>
      </c>
      <c r="AM11">
        <v>104.92</v>
      </c>
      <c r="AN11">
        <v>28.98</v>
      </c>
      <c r="AO11">
        <v>42.67</v>
      </c>
    </row>
    <row r="12" spans="1:41">
      <c r="A12" t="s">
        <v>661</v>
      </c>
      <c r="B12" s="8" t="s">
        <v>918</v>
      </c>
      <c r="C12" s="8" t="s">
        <v>1132</v>
      </c>
      <c r="D12" t="s">
        <v>858</v>
      </c>
      <c r="E12" t="s">
        <v>863</v>
      </c>
      <c r="F12" t="s">
        <v>864</v>
      </c>
      <c r="G12" s="7">
        <v>24908</v>
      </c>
      <c r="H12" s="7">
        <v>43411</v>
      </c>
      <c r="I12">
        <f>DATEDIF(G12,H12,"Y")</f>
        <v>50</v>
      </c>
      <c r="J12">
        <v>1</v>
      </c>
      <c r="K12" t="s">
        <v>857</v>
      </c>
      <c r="L12">
        <v>322</v>
      </c>
      <c r="M12">
        <v>4</v>
      </c>
      <c r="N12">
        <v>1</v>
      </c>
      <c r="O12">
        <v>2</v>
      </c>
      <c r="P12" s="18">
        <v>0</v>
      </c>
      <c r="Q12" s="18">
        <v>0</v>
      </c>
      <c r="R12" t="s">
        <v>661</v>
      </c>
      <c r="S12" t="str">
        <f t="shared" si="1"/>
        <v>TRUE</v>
      </c>
      <c r="T12">
        <v>18.48</v>
      </c>
      <c r="U12">
        <v>4.3899999999999997</v>
      </c>
      <c r="V12">
        <v>32.049999999999997</v>
      </c>
      <c r="W12">
        <v>519.45000000000005</v>
      </c>
      <c r="X12">
        <v>83.51</v>
      </c>
      <c r="Y12">
        <v>43.81</v>
      </c>
      <c r="Z12">
        <v>146.16</v>
      </c>
      <c r="AA12">
        <v>12.72</v>
      </c>
      <c r="AB12">
        <v>1278.8699999999999</v>
      </c>
      <c r="AC12">
        <v>873.39</v>
      </c>
      <c r="AD12">
        <v>46.52</v>
      </c>
      <c r="AE12">
        <v>621.29999999999995</v>
      </c>
      <c r="AF12">
        <v>30.4</v>
      </c>
      <c r="AG12">
        <v>60.2</v>
      </c>
      <c r="AH12">
        <v>57.38</v>
      </c>
      <c r="AI12">
        <v>34.93</v>
      </c>
      <c r="AJ12">
        <v>199.47</v>
      </c>
      <c r="AK12">
        <v>215.29</v>
      </c>
      <c r="AL12">
        <v>20.93</v>
      </c>
      <c r="AM12">
        <v>1199.54</v>
      </c>
      <c r="AN12">
        <v>26.93</v>
      </c>
      <c r="AO12">
        <v>534.14</v>
      </c>
    </row>
    <row r="13" spans="1:41">
      <c r="A13" t="s">
        <v>337</v>
      </c>
      <c r="B13" s="8" t="s">
        <v>919</v>
      </c>
      <c r="C13" s="8" t="s">
        <v>1133</v>
      </c>
      <c r="D13" t="s">
        <v>858</v>
      </c>
      <c r="E13" t="s">
        <v>863</v>
      </c>
      <c r="F13" t="s">
        <v>864</v>
      </c>
      <c r="G13" s="7">
        <v>29437</v>
      </c>
      <c r="H13" s="7">
        <v>43417</v>
      </c>
      <c r="I13">
        <f>DATEDIF(G13,H13,"Y")</f>
        <v>38</v>
      </c>
      <c r="J13">
        <v>1</v>
      </c>
      <c r="K13" t="s">
        <v>857</v>
      </c>
      <c r="L13">
        <v>1073</v>
      </c>
      <c r="M13">
        <v>10</v>
      </c>
      <c r="N13">
        <v>1</v>
      </c>
      <c r="O13">
        <v>3</v>
      </c>
      <c r="P13" s="18">
        <v>1</v>
      </c>
      <c r="Q13" s="18">
        <v>0</v>
      </c>
      <c r="R13" t="s">
        <v>337</v>
      </c>
      <c r="S13" t="str">
        <f t="shared" si="1"/>
        <v>TRUE</v>
      </c>
      <c r="T13">
        <v>21.11</v>
      </c>
      <c r="U13">
        <v>9.75</v>
      </c>
      <c r="V13">
        <v>117.46</v>
      </c>
      <c r="W13">
        <v>627.55999999999995</v>
      </c>
      <c r="X13">
        <v>517.07000000000005</v>
      </c>
      <c r="Y13">
        <v>47.21</v>
      </c>
      <c r="Z13">
        <v>678.01</v>
      </c>
      <c r="AA13">
        <v>17.489999999999998</v>
      </c>
      <c r="AB13">
        <v>1802.91</v>
      </c>
      <c r="AC13">
        <v>1211.8599999999999</v>
      </c>
      <c r="AD13">
        <v>109.86</v>
      </c>
      <c r="AE13">
        <v>462.77</v>
      </c>
      <c r="AF13">
        <v>10.61</v>
      </c>
      <c r="AG13">
        <v>155.85</v>
      </c>
      <c r="AH13">
        <v>134.5</v>
      </c>
      <c r="AI13">
        <v>42.66</v>
      </c>
      <c r="AJ13">
        <v>161.16</v>
      </c>
      <c r="AK13">
        <v>67.849999999999994</v>
      </c>
      <c r="AL13">
        <v>13.76</v>
      </c>
      <c r="AM13">
        <v>378.7</v>
      </c>
      <c r="AN13">
        <v>26.28</v>
      </c>
      <c r="AO13">
        <v>78.42</v>
      </c>
    </row>
    <row r="14" spans="1:41">
      <c r="A14" t="s">
        <v>163</v>
      </c>
      <c r="B14" s="8" t="s">
        <v>954</v>
      </c>
      <c r="C14" s="8" t="s">
        <v>1128</v>
      </c>
      <c r="D14" t="s">
        <v>858</v>
      </c>
      <c r="E14" t="s">
        <v>868</v>
      </c>
      <c r="F14" t="s">
        <v>864</v>
      </c>
      <c r="G14" s="7">
        <v>31343</v>
      </c>
      <c r="H14" s="7">
        <v>43418</v>
      </c>
      <c r="I14">
        <f>DATEDIF(G14,H14,"Y")</f>
        <v>33</v>
      </c>
      <c r="J14">
        <v>2</v>
      </c>
      <c r="K14" t="s">
        <v>857</v>
      </c>
      <c r="L14">
        <v>20</v>
      </c>
      <c r="M14">
        <v>0</v>
      </c>
      <c r="N14">
        <v>0</v>
      </c>
      <c r="O14">
        <v>2</v>
      </c>
      <c r="P14" s="18">
        <v>1</v>
      </c>
      <c r="Q14" s="18">
        <v>0</v>
      </c>
      <c r="R14" t="s">
        <v>163</v>
      </c>
      <c r="S14" t="str">
        <f t="shared" si="1"/>
        <v>TRUE</v>
      </c>
      <c r="T14">
        <v>25.97</v>
      </c>
      <c r="U14">
        <v>1.37</v>
      </c>
      <c r="V14">
        <v>92.49</v>
      </c>
      <c r="W14">
        <v>78.28</v>
      </c>
      <c r="X14">
        <v>26.49</v>
      </c>
      <c r="Y14">
        <v>18.989999999999998</v>
      </c>
      <c r="Z14">
        <v>21.77</v>
      </c>
      <c r="AA14">
        <v>6.5</v>
      </c>
      <c r="AB14">
        <v>33.770000000000003</v>
      </c>
      <c r="AC14">
        <v>10.25</v>
      </c>
      <c r="AD14">
        <v>5.73</v>
      </c>
      <c r="AE14">
        <v>10.8</v>
      </c>
      <c r="AF14" s="14">
        <v>2.4900000000000002</v>
      </c>
      <c r="AG14">
        <v>19.38</v>
      </c>
      <c r="AH14">
        <v>5.05</v>
      </c>
      <c r="AI14">
        <v>6.55</v>
      </c>
      <c r="AJ14">
        <v>54.03</v>
      </c>
      <c r="AK14">
        <v>14.85</v>
      </c>
      <c r="AL14">
        <v>9.0500000000000007</v>
      </c>
      <c r="AM14">
        <v>89.68</v>
      </c>
      <c r="AN14">
        <v>7.67</v>
      </c>
      <c r="AO14">
        <v>14.45</v>
      </c>
    </row>
    <row r="15" spans="1:41">
      <c r="A15" t="s">
        <v>805</v>
      </c>
      <c r="B15" s="8" t="s">
        <v>921</v>
      </c>
      <c r="C15" s="8" t="s">
        <v>1134</v>
      </c>
      <c r="D15" t="s">
        <v>858</v>
      </c>
      <c r="E15" t="s">
        <v>868</v>
      </c>
      <c r="F15" t="s">
        <v>864</v>
      </c>
      <c r="G15" s="7">
        <v>25575</v>
      </c>
      <c r="H15" s="7">
        <v>43426</v>
      </c>
      <c r="I15">
        <f>DATEDIF(G15,H15,"Y")</f>
        <v>48</v>
      </c>
      <c r="J15">
        <v>1</v>
      </c>
      <c r="K15" t="s">
        <v>857</v>
      </c>
      <c r="L15">
        <v>490</v>
      </c>
      <c r="M15">
        <v>4</v>
      </c>
      <c r="N15">
        <v>0</v>
      </c>
      <c r="O15">
        <v>3</v>
      </c>
      <c r="P15" s="18">
        <v>1</v>
      </c>
      <c r="Q15" s="18">
        <v>0</v>
      </c>
      <c r="R15" t="s">
        <v>805</v>
      </c>
      <c r="S15" t="str">
        <f t="shared" si="1"/>
        <v>TRUE</v>
      </c>
      <c r="T15">
        <v>11.43</v>
      </c>
      <c r="U15">
        <v>1.38</v>
      </c>
      <c r="V15">
        <v>54.24</v>
      </c>
      <c r="W15">
        <v>567.02</v>
      </c>
      <c r="X15">
        <v>90.92</v>
      </c>
      <c r="Y15">
        <v>30.51</v>
      </c>
      <c r="Z15">
        <v>23.46</v>
      </c>
      <c r="AA15">
        <v>4.22</v>
      </c>
      <c r="AB15">
        <v>967.45</v>
      </c>
      <c r="AC15">
        <v>665.04</v>
      </c>
      <c r="AD15">
        <v>71.86</v>
      </c>
      <c r="AE15">
        <v>296.20999999999998</v>
      </c>
      <c r="AF15">
        <v>14.7</v>
      </c>
      <c r="AG15">
        <v>76.62</v>
      </c>
      <c r="AH15">
        <v>47.81</v>
      </c>
      <c r="AI15">
        <v>37.47</v>
      </c>
      <c r="AJ15">
        <v>72.09</v>
      </c>
      <c r="AK15">
        <v>80.7</v>
      </c>
      <c r="AL15">
        <v>12.36</v>
      </c>
      <c r="AM15">
        <v>990.07</v>
      </c>
      <c r="AN15">
        <v>11.64</v>
      </c>
      <c r="AO15">
        <v>131.88</v>
      </c>
    </row>
    <row r="16" spans="1:41">
      <c r="A16" t="s">
        <v>319</v>
      </c>
      <c r="B16" s="8" t="s">
        <v>932</v>
      </c>
      <c r="C16" s="8" t="s">
        <v>1135</v>
      </c>
      <c r="D16" t="s">
        <v>858</v>
      </c>
      <c r="E16" t="s">
        <v>859</v>
      </c>
      <c r="F16" t="s">
        <v>864</v>
      </c>
      <c r="G16" s="7">
        <v>17139</v>
      </c>
      <c r="H16" s="7">
        <v>43427</v>
      </c>
      <c r="I16">
        <f>DATEDIF(G16,H16,"Y")</f>
        <v>71</v>
      </c>
      <c r="J16">
        <v>1</v>
      </c>
      <c r="K16" t="s">
        <v>857</v>
      </c>
      <c r="L16">
        <v>164</v>
      </c>
      <c r="M16">
        <v>4</v>
      </c>
      <c r="N16">
        <v>0</v>
      </c>
      <c r="O16">
        <v>1</v>
      </c>
      <c r="P16" s="18">
        <v>1</v>
      </c>
      <c r="Q16" s="18">
        <v>0</v>
      </c>
      <c r="R16" t="s">
        <v>319</v>
      </c>
      <c r="S16" t="str">
        <f t="shared" si="1"/>
        <v>TRUE</v>
      </c>
      <c r="T16">
        <v>16.29</v>
      </c>
      <c r="U16">
        <v>3.35</v>
      </c>
      <c r="V16">
        <v>98.7</v>
      </c>
      <c r="W16">
        <v>466.72</v>
      </c>
      <c r="X16">
        <v>31.1</v>
      </c>
      <c r="Y16">
        <v>39.119999999999997</v>
      </c>
      <c r="Z16">
        <v>8.3000000000000007</v>
      </c>
      <c r="AA16" s="13">
        <v>0.99</v>
      </c>
      <c r="AB16">
        <v>397.47</v>
      </c>
      <c r="AC16">
        <v>380.98</v>
      </c>
      <c r="AD16">
        <v>44.29</v>
      </c>
      <c r="AE16">
        <v>68.92</v>
      </c>
      <c r="AF16">
        <v>4.32</v>
      </c>
      <c r="AG16">
        <v>33.25</v>
      </c>
      <c r="AH16">
        <v>42.42</v>
      </c>
      <c r="AI16">
        <v>7</v>
      </c>
      <c r="AJ16">
        <v>62.93</v>
      </c>
      <c r="AK16">
        <v>28.8</v>
      </c>
      <c r="AL16">
        <v>4.99</v>
      </c>
      <c r="AM16">
        <v>356.87</v>
      </c>
      <c r="AN16">
        <v>9.7899999999999991</v>
      </c>
      <c r="AO16">
        <v>78.319999999999993</v>
      </c>
    </row>
    <row r="17" spans="1:41">
      <c r="A17" t="s">
        <v>559</v>
      </c>
      <c r="B17" s="8" t="s">
        <v>934</v>
      </c>
      <c r="C17" s="8" t="s">
        <v>1136</v>
      </c>
      <c r="D17" t="s">
        <v>858</v>
      </c>
      <c r="E17" t="s">
        <v>859</v>
      </c>
      <c r="F17" t="s">
        <v>864</v>
      </c>
      <c r="G17" s="7">
        <v>36196</v>
      </c>
      <c r="H17" s="7">
        <v>43419</v>
      </c>
      <c r="I17">
        <v>19</v>
      </c>
      <c r="J17">
        <v>1</v>
      </c>
      <c r="K17" t="s">
        <v>857</v>
      </c>
      <c r="L17">
        <v>900</v>
      </c>
      <c r="M17">
        <v>9</v>
      </c>
      <c r="N17" s="22">
        <v>1</v>
      </c>
      <c r="O17" s="22">
        <v>1</v>
      </c>
      <c r="P17" s="23">
        <v>1</v>
      </c>
      <c r="Q17" s="23">
        <v>0</v>
      </c>
      <c r="R17" t="s">
        <v>559</v>
      </c>
      <c r="S17" t="str">
        <f t="shared" si="1"/>
        <v>TRUE</v>
      </c>
      <c r="T17">
        <v>16.97</v>
      </c>
      <c r="U17">
        <v>2.2599999999999998</v>
      </c>
      <c r="V17">
        <v>63.06</v>
      </c>
      <c r="W17">
        <v>106.17</v>
      </c>
      <c r="X17">
        <v>673.04</v>
      </c>
      <c r="Y17">
        <v>54.69</v>
      </c>
      <c r="Z17">
        <v>107.24</v>
      </c>
      <c r="AA17">
        <v>16.95</v>
      </c>
      <c r="AB17">
        <v>1998.61</v>
      </c>
      <c r="AC17">
        <v>122.68</v>
      </c>
      <c r="AD17">
        <v>199.39</v>
      </c>
      <c r="AE17">
        <v>668.39</v>
      </c>
      <c r="AF17">
        <v>46.76</v>
      </c>
      <c r="AG17">
        <v>164.03</v>
      </c>
      <c r="AH17">
        <v>11.13</v>
      </c>
      <c r="AI17">
        <v>46.7</v>
      </c>
      <c r="AJ17">
        <v>11.49</v>
      </c>
      <c r="AK17">
        <v>215.59</v>
      </c>
      <c r="AL17">
        <v>30.73</v>
      </c>
      <c r="AM17">
        <v>89.92</v>
      </c>
      <c r="AN17">
        <v>55.66</v>
      </c>
      <c r="AO17">
        <v>49.61</v>
      </c>
    </row>
    <row r="18" spans="1:41">
      <c r="A18" t="s">
        <v>175</v>
      </c>
      <c r="B18" s="8" t="s">
        <v>911</v>
      </c>
      <c r="C18" s="8" t="s">
        <v>1125</v>
      </c>
      <c r="D18" t="s">
        <v>858</v>
      </c>
      <c r="E18" t="s">
        <v>863</v>
      </c>
      <c r="F18" t="s">
        <v>864</v>
      </c>
      <c r="G18" s="7">
        <v>30401</v>
      </c>
      <c r="H18" s="7">
        <v>43469</v>
      </c>
      <c r="I18">
        <f>DATEDIF(G18,H18,"Y")</f>
        <v>35</v>
      </c>
      <c r="J18">
        <v>2</v>
      </c>
      <c r="K18" t="s">
        <v>857</v>
      </c>
      <c r="L18">
        <v>35</v>
      </c>
      <c r="M18">
        <v>3</v>
      </c>
      <c r="N18" s="22">
        <v>0</v>
      </c>
      <c r="O18" s="22">
        <v>2</v>
      </c>
      <c r="P18" s="18">
        <v>1</v>
      </c>
      <c r="Q18" s="18">
        <v>0</v>
      </c>
      <c r="R18" t="s">
        <v>175</v>
      </c>
      <c r="S18" t="str">
        <f t="shared" si="1"/>
        <v>TRUE</v>
      </c>
      <c r="T18">
        <v>9.8000000000000007</v>
      </c>
      <c r="U18">
        <v>9.34</v>
      </c>
      <c r="V18">
        <v>71.58</v>
      </c>
      <c r="W18">
        <v>461.98</v>
      </c>
      <c r="X18">
        <v>752.98</v>
      </c>
      <c r="Y18">
        <v>53.03</v>
      </c>
      <c r="Z18">
        <v>798.14</v>
      </c>
      <c r="AA18">
        <v>7.99</v>
      </c>
      <c r="AB18">
        <v>1011.07</v>
      </c>
      <c r="AC18">
        <v>387.73</v>
      </c>
      <c r="AD18">
        <v>95.79</v>
      </c>
      <c r="AE18">
        <v>323.20999999999998</v>
      </c>
      <c r="AF18">
        <v>12.92</v>
      </c>
      <c r="AG18">
        <v>89.5</v>
      </c>
      <c r="AH18">
        <v>40.21</v>
      </c>
      <c r="AI18">
        <v>38.450000000000003</v>
      </c>
      <c r="AJ18">
        <v>18.39</v>
      </c>
      <c r="AK18">
        <v>59.43</v>
      </c>
      <c r="AL18">
        <v>17.420000000000002</v>
      </c>
      <c r="AM18">
        <v>154.05000000000001</v>
      </c>
      <c r="AN18">
        <v>12.23</v>
      </c>
      <c r="AO18">
        <v>74.41</v>
      </c>
    </row>
    <row r="19" spans="1:41">
      <c r="A19" t="s">
        <v>715</v>
      </c>
      <c r="B19" s="8" t="s">
        <v>912</v>
      </c>
      <c r="C19" s="8" t="s">
        <v>1126</v>
      </c>
      <c r="D19" t="s">
        <v>858</v>
      </c>
      <c r="E19" t="s">
        <v>863</v>
      </c>
      <c r="F19" t="s">
        <v>864</v>
      </c>
      <c r="G19" s="7">
        <v>32618</v>
      </c>
      <c r="H19" s="7">
        <v>43476</v>
      </c>
      <c r="I19">
        <f>DATEDIF(G19,H19,"Y")</f>
        <v>29</v>
      </c>
      <c r="J19">
        <v>2</v>
      </c>
      <c r="K19" t="s">
        <v>857</v>
      </c>
      <c r="L19">
        <v>103</v>
      </c>
      <c r="M19">
        <v>2</v>
      </c>
      <c r="N19">
        <v>0</v>
      </c>
      <c r="O19">
        <v>2</v>
      </c>
      <c r="P19" s="18">
        <v>1</v>
      </c>
      <c r="Q19" s="18">
        <v>0</v>
      </c>
      <c r="R19" t="s">
        <v>715</v>
      </c>
      <c r="S19" t="str">
        <f t="shared" si="1"/>
        <v>TRUE</v>
      </c>
      <c r="T19">
        <v>25.7</v>
      </c>
      <c r="U19">
        <v>19.809999999999999</v>
      </c>
      <c r="V19">
        <v>51.37</v>
      </c>
      <c r="W19">
        <v>646.54</v>
      </c>
      <c r="X19" s="12">
        <v>1000.01</v>
      </c>
      <c r="Y19">
        <v>99.51</v>
      </c>
      <c r="Z19">
        <v>1000.01</v>
      </c>
      <c r="AA19">
        <v>28.2</v>
      </c>
      <c r="AB19" s="14">
        <v>2500.0100000000002</v>
      </c>
      <c r="AC19">
        <v>777.45</v>
      </c>
      <c r="AD19">
        <v>239.17</v>
      </c>
      <c r="AE19">
        <v>749.72</v>
      </c>
      <c r="AF19">
        <v>24.45</v>
      </c>
      <c r="AG19">
        <v>234.94</v>
      </c>
      <c r="AH19">
        <v>70.62</v>
      </c>
      <c r="AI19">
        <v>63.93</v>
      </c>
      <c r="AJ19">
        <v>115.4</v>
      </c>
      <c r="AK19">
        <v>213.6</v>
      </c>
      <c r="AL19">
        <v>27.06</v>
      </c>
      <c r="AM19">
        <v>670.05</v>
      </c>
      <c r="AN19">
        <v>57.85</v>
      </c>
      <c r="AO19">
        <v>224.09</v>
      </c>
    </row>
    <row r="20" spans="1:41">
      <c r="A20" t="s">
        <v>502</v>
      </c>
      <c r="B20" s="8" t="s">
        <v>914</v>
      </c>
      <c r="C20" s="8" t="s">
        <v>1130</v>
      </c>
      <c r="D20" t="s">
        <v>858</v>
      </c>
      <c r="E20" t="s">
        <v>863</v>
      </c>
      <c r="F20" t="s">
        <v>864</v>
      </c>
      <c r="G20" s="7">
        <v>23573</v>
      </c>
      <c r="H20" s="7">
        <v>43483</v>
      </c>
      <c r="I20">
        <f>DATEDIF(G20,H20,"Y")</f>
        <v>54</v>
      </c>
      <c r="J20">
        <v>2</v>
      </c>
      <c r="K20" t="s">
        <v>857</v>
      </c>
      <c r="L20">
        <v>15</v>
      </c>
      <c r="M20">
        <v>0</v>
      </c>
      <c r="N20" s="22">
        <v>0</v>
      </c>
      <c r="O20" s="22">
        <v>2</v>
      </c>
      <c r="P20" s="23">
        <v>1</v>
      </c>
      <c r="Q20" s="23">
        <v>0</v>
      </c>
      <c r="R20" t="s">
        <v>502</v>
      </c>
      <c r="S20" t="str">
        <f t="shared" si="1"/>
        <v>TRUE</v>
      </c>
      <c r="T20">
        <v>15.24</v>
      </c>
      <c r="U20">
        <v>3.12</v>
      </c>
      <c r="V20">
        <v>91.44</v>
      </c>
      <c r="W20">
        <v>35.24</v>
      </c>
      <c r="X20">
        <v>128.93</v>
      </c>
      <c r="Y20">
        <v>20.05</v>
      </c>
      <c r="Z20">
        <v>54.04</v>
      </c>
      <c r="AA20">
        <v>2.65</v>
      </c>
      <c r="AB20" s="14">
        <v>2500.0100000000002</v>
      </c>
      <c r="AC20">
        <v>339.08</v>
      </c>
      <c r="AD20">
        <v>239.29</v>
      </c>
      <c r="AE20" s="14">
        <v>1000.01</v>
      </c>
      <c r="AF20">
        <v>41.06</v>
      </c>
      <c r="AG20">
        <v>514.44000000000005</v>
      </c>
      <c r="AH20">
        <v>60.77</v>
      </c>
      <c r="AI20">
        <v>178.26</v>
      </c>
      <c r="AJ20">
        <v>189.3</v>
      </c>
      <c r="AK20">
        <v>475.97</v>
      </c>
      <c r="AL20">
        <v>101.64</v>
      </c>
      <c r="AM20">
        <v>607.29999999999995</v>
      </c>
      <c r="AN20">
        <v>95.4</v>
      </c>
      <c r="AO20">
        <v>120.67</v>
      </c>
    </row>
    <row r="21" spans="1:41">
      <c r="A21" t="s">
        <v>763</v>
      </c>
      <c r="B21" s="8" t="s">
        <v>936</v>
      </c>
      <c r="C21" s="8" t="s">
        <v>1137</v>
      </c>
      <c r="D21" t="s">
        <v>858</v>
      </c>
      <c r="E21" t="s">
        <v>863</v>
      </c>
      <c r="F21" t="s">
        <v>864</v>
      </c>
      <c r="G21" s="7">
        <v>35129</v>
      </c>
      <c r="H21" s="7">
        <v>43489</v>
      </c>
      <c r="I21">
        <v>23</v>
      </c>
      <c r="J21">
        <v>1</v>
      </c>
      <c r="K21" t="s">
        <v>857</v>
      </c>
      <c r="L21">
        <v>6000</v>
      </c>
      <c r="M21">
        <v>7</v>
      </c>
      <c r="N21">
        <v>0</v>
      </c>
      <c r="O21">
        <v>2</v>
      </c>
      <c r="P21" s="18">
        <v>1</v>
      </c>
      <c r="Q21" s="18">
        <v>0</v>
      </c>
      <c r="R21" t="s">
        <v>763</v>
      </c>
      <c r="S21" t="str">
        <f t="shared" si="1"/>
        <v>TRUE</v>
      </c>
      <c r="T21">
        <v>8.59</v>
      </c>
      <c r="U21">
        <v>0.99</v>
      </c>
      <c r="V21">
        <v>2.06</v>
      </c>
      <c r="W21">
        <v>3.12</v>
      </c>
      <c r="X21">
        <v>2.3199999999999998</v>
      </c>
      <c r="Y21">
        <v>1.87</v>
      </c>
      <c r="Z21">
        <v>5.32</v>
      </c>
      <c r="AA21">
        <v>2.0299999999999998</v>
      </c>
      <c r="AB21">
        <v>28.82</v>
      </c>
      <c r="AC21">
        <v>2.56</v>
      </c>
      <c r="AD21">
        <v>2.4900000000000002</v>
      </c>
      <c r="AE21">
        <v>15.73</v>
      </c>
      <c r="AF21">
        <v>5.05</v>
      </c>
      <c r="AG21">
        <v>17.100000000000001</v>
      </c>
      <c r="AH21" s="14">
        <v>2.4900000000000002</v>
      </c>
      <c r="AI21">
        <v>6.07</v>
      </c>
      <c r="AJ21">
        <v>50.42</v>
      </c>
      <c r="AK21">
        <v>13.6</v>
      </c>
      <c r="AL21">
        <v>11.53</v>
      </c>
      <c r="AM21">
        <v>49.15</v>
      </c>
      <c r="AN21" s="14">
        <v>4.99</v>
      </c>
      <c r="AO21" s="14">
        <v>4.99</v>
      </c>
    </row>
    <row r="22" spans="1:41">
      <c r="A22" t="s">
        <v>454</v>
      </c>
      <c r="B22" s="8" t="s">
        <v>959</v>
      </c>
      <c r="C22" s="8" t="s">
        <v>1131</v>
      </c>
      <c r="D22" t="s">
        <v>858</v>
      </c>
      <c r="E22" t="s">
        <v>868</v>
      </c>
      <c r="F22" t="s">
        <v>864</v>
      </c>
      <c r="G22" s="7">
        <v>30482</v>
      </c>
      <c r="H22" s="7">
        <v>43518</v>
      </c>
      <c r="I22">
        <v>35</v>
      </c>
      <c r="J22">
        <v>2</v>
      </c>
      <c r="K22" t="s">
        <v>857</v>
      </c>
      <c r="L22">
        <v>42</v>
      </c>
      <c r="M22">
        <v>3</v>
      </c>
      <c r="N22" s="22">
        <v>0</v>
      </c>
      <c r="O22" s="22">
        <v>2</v>
      </c>
      <c r="P22" s="18">
        <v>1</v>
      </c>
      <c r="Q22" s="18">
        <v>0</v>
      </c>
      <c r="R22" t="s">
        <v>454</v>
      </c>
      <c r="S22" t="str">
        <f t="shared" si="1"/>
        <v>TRUE</v>
      </c>
      <c r="T22">
        <v>15.23</v>
      </c>
      <c r="U22">
        <v>0.99</v>
      </c>
      <c r="V22">
        <v>47.74</v>
      </c>
      <c r="W22">
        <v>200.69</v>
      </c>
      <c r="X22">
        <v>25.15</v>
      </c>
      <c r="Y22">
        <v>6.75</v>
      </c>
      <c r="Z22">
        <v>17.3</v>
      </c>
      <c r="AA22">
        <v>2.14</v>
      </c>
      <c r="AB22">
        <v>856.75</v>
      </c>
      <c r="AC22">
        <v>523.41</v>
      </c>
      <c r="AD22">
        <v>57.42</v>
      </c>
      <c r="AE22">
        <v>176.29</v>
      </c>
      <c r="AF22">
        <v>6.55</v>
      </c>
      <c r="AG22">
        <v>80.69</v>
      </c>
      <c r="AH22">
        <v>52.02</v>
      </c>
      <c r="AI22">
        <v>20.55</v>
      </c>
      <c r="AJ22">
        <v>76.77</v>
      </c>
      <c r="AK22">
        <v>73.13</v>
      </c>
      <c r="AL22">
        <v>11.76</v>
      </c>
      <c r="AM22">
        <v>656.51</v>
      </c>
      <c r="AN22">
        <v>34.39</v>
      </c>
      <c r="AO22">
        <v>139.34</v>
      </c>
    </row>
    <row r="23" spans="1:41">
      <c r="A23" t="s">
        <v>664</v>
      </c>
      <c r="B23" s="8" t="s">
        <v>915</v>
      </c>
      <c r="C23" s="8" t="s">
        <v>1132</v>
      </c>
      <c r="D23" t="s">
        <v>858</v>
      </c>
      <c r="E23" t="s">
        <v>863</v>
      </c>
      <c r="F23" t="s">
        <v>864</v>
      </c>
      <c r="G23" s="7">
        <v>24908</v>
      </c>
      <c r="H23" s="7">
        <v>43509</v>
      </c>
      <c r="I23">
        <f t="shared" ref="I23:I30" si="2">DATEDIF(G23,H23,"Y")</f>
        <v>50</v>
      </c>
      <c r="J23">
        <v>2</v>
      </c>
      <c r="K23" t="s">
        <v>857</v>
      </c>
      <c r="L23">
        <v>15</v>
      </c>
      <c r="M23">
        <v>2</v>
      </c>
      <c r="N23" s="22">
        <v>1</v>
      </c>
      <c r="O23" s="22">
        <v>2</v>
      </c>
      <c r="P23" s="23">
        <v>0</v>
      </c>
      <c r="Q23" s="23">
        <v>0</v>
      </c>
      <c r="R23" t="s">
        <v>664</v>
      </c>
      <c r="S23" t="str">
        <f t="shared" si="1"/>
        <v>TRUE</v>
      </c>
      <c r="T23">
        <v>21.02</v>
      </c>
      <c r="U23">
        <v>4.7699999999999996</v>
      </c>
      <c r="V23">
        <v>170.89</v>
      </c>
      <c r="W23">
        <v>625.89</v>
      </c>
      <c r="X23">
        <v>143.69</v>
      </c>
      <c r="Y23">
        <v>43.22</v>
      </c>
      <c r="Z23">
        <v>130.29</v>
      </c>
      <c r="AA23">
        <v>12.15</v>
      </c>
      <c r="AB23">
        <v>973.31</v>
      </c>
      <c r="AC23">
        <v>705.21</v>
      </c>
      <c r="AD23">
        <v>49.5</v>
      </c>
      <c r="AE23">
        <v>382.74</v>
      </c>
      <c r="AF23">
        <v>21.67</v>
      </c>
      <c r="AG23">
        <v>39.49</v>
      </c>
      <c r="AH23">
        <v>38.46</v>
      </c>
      <c r="AI23">
        <v>34.96</v>
      </c>
      <c r="AJ23">
        <v>133.35</v>
      </c>
      <c r="AK23">
        <v>144.86000000000001</v>
      </c>
      <c r="AL23">
        <v>9.0500000000000007</v>
      </c>
      <c r="AM23">
        <v>1210.9000000000001</v>
      </c>
      <c r="AN23">
        <v>24.56</v>
      </c>
      <c r="AO23">
        <v>428.91</v>
      </c>
    </row>
    <row r="24" spans="1:41">
      <c r="A24" t="s">
        <v>616</v>
      </c>
      <c r="B24" s="8" t="s">
        <v>939</v>
      </c>
      <c r="C24" s="8" t="s">
        <v>1138</v>
      </c>
      <c r="D24" t="s">
        <v>858</v>
      </c>
      <c r="E24" t="s">
        <v>859</v>
      </c>
      <c r="F24" t="s">
        <v>864</v>
      </c>
      <c r="G24" s="7">
        <v>25311</v>
      </c>
      <c r="H24" s="7">
        <v>43511</v>
      </c>
      <c r="I24">
        <f t="shared" si="2"/>
        <v>49</v>
      </c>
      <c r="J24">
        <v>1</v>
      </c>
      <c r="K24" t="s">
        <v>857</v>
      </c>
      <c r="L24">
        <v>2216</v>
      </c>
      <c r="M24">
        <v>7</v>
      </c>
      <c r="N24">
        <v>1</v>
      </c>
      <c r="O24">
        <v>3</v>
      </c>
      <c r="P24" s="18">
        <v>1</v>
      </c>
      <c r="Q24" s="18">
        <v>0</v>
      </c>
      <c r="R24" t="s">
        <v>616</v>
      </c>
      <c r="S24" t="str">
        <f t="shared" si="1"/>
        <v>TRUE</v>
      </c>
      <c r="T24">
        <v>6.6</v>
      </c>
      <c r="U24">
        <v>0.99</v>
      </c>
      <c r="V24">
        <v>27</v>
      </c>
      <c r="W24">
        <v>30.39</v>
      </c>
      <c r="X24">
        <v>4.84</v>
      </c>
      <c r="Y24">
        <v>2.74</v>
      </c>
      <c r="Z24">
        <v>6.52</v>
      </c>
      <c r="AA24" s="13">
        <v>0.99</v>
      </c>
      <c r="AB24">
        <v>382.65</v>
      </c>
      <c r="AC24">
        <v>51.9</v>
      </c>
      <c r="AD24">
        <v>34.6</v>
      </c>
      <c r="AE24">
        <v>312.16000000000003</v>
      </c>
      <c r="AF24">
        <v>3.72</v>
      </c>
      <c r="AG24">
        <v>24.09</v>
      </c>
      <c r="AH24" s="14">
        <v>2.4900000000000002</v>
      </c>
      <c r="AI24">
        <v>28.38</v>
      </c>
      <c r="AJ24" s="14">
        <v>9.99</v>
      </c>
      <c r="AK24">
        <v>102.01</v>
      </c>
      <c r="AL24">
        <v>9.65</v>
      </c>
      <c r="AM24">
        <v>69.19</v>
      </c>
      <c r="AN24">
        <v>40.65</v>
      </c>
      <c r="AO24">
        <v>43.1</v>
      </c>
    </row>
    <row r="25" spans="1:41">
      <c r="A25" t="s">
        <v>595</v>
      </c>
      <c r="B25" s="8" t="s">
        <v>896</v>
      </c>
      <c r="C25" s="8" t="s">
        <v>1139</v>
      </c>
      <c r="D25" t="s">
        <v>858</v>
      </c>
      <c r="E25" t="s">
        <v>859</v>
      </c>
      <c r="F25" t="s">
        <v>860</v>
      </c>
      <c r="G25" s="7">
        <v>36595</v>
      </c>
      <c r="H25" s="7">
        <v>43490</v>
      </c>
      <c r="I25">
        <f t="shared" si="2"/>
        <v>18</v>
      </c>
      <c r="J25">
        <v>1</v>
      </c>
      <c r="K25" t="s">
        <v>861</v>
      </c>
      <c r="L25">
        <v>1276</v>
      </c>
      <c r="M25">
        <v>11</v>
      </c>
      <c r="N25">
        <v>1</v>
      </c>
      <c r="O25">
        <v>2</v>
      </c>
      <c r="P25" s="18">
        <v>1</v>
      </c>
      <c r="Q25" s="18">
        <v>0</v>
      </c>
      <c r="R25" t="s">
        <v>595</v>
      </c>
      <c r="S25" t="str">
        <f t="shared" si="1"/>
        <v>TRUE</v>
      </c>
      <c r="T25">
        <v>22.25</v>
      </c>
      <c r="U25">
        <v>2.93</v>
      </c>
      <c r="V25">
        <v>114.43</v>
      </c>
      <c r="W25">
        <v>66.150000000000006</v>
      </c>
      <c r="X25">
        <v>313.52999999999997</v>
      </c>
      <c r="Y25">
        <v>24.36</v>
      </c>
      <c r="Z25">
        <v>121.18</v>
      </c>
      <c r="AA25">
        <v>11.49</v>
      </c>
      <c r="AB25" s="14">
        <v>2500.0100000000002</v>
      </c>
      <c r="AC25">
        <v>449.24</v>
      </c>
      <c r="AD25">
        <v>235.58</v>
      </c>
      <c r="AE25" s="14">
        <v>1000.01</v>
      </c>
      <c r="AF25">
        <v>95.13</v>
      </c>
      <c r="AG25">
        <v>566.62</v>
      </c>
      <c r="AH25">
        <v>48.35</v>
      </c>
      <c r="AI25">
        <v>183.48</v>
      </c>
      <c r="AJ25">
        <v>26.41</v>
      </c>
      <c r="AK25">
        <v>457.35</v>
      </c>
      <c r="AL25">
        <v>81.78</v>
      </c>
      <c r="AM25">
        <v>124.59</v>
      </c>
      <c r="AN25">
        <v>49.48</v>
      </c>
      <c r="AO25">
        <v>98.8</v>
      </c>
    </row>
    <row r="26" spans="1:41">
      <c r="A26" t="s">
        <v>241</v>
      </c>
      <c r="B26" s="8" t="s">
        <v>897</v>
      </c>
      <c r="C26" s="8" t="s">
        <v>965</v>
      </c>
      <c r="D26" t="s">
        <v>858</v>
      </c>
      <c r="E26" t="s">
        <v>859</v>
      </c>
      <c r="F26" t="s">
        <v>860</v>
      </c>
      <c r="G26" s="7">
        <v>34403</v>
      </c>
      <c r="H26" s="7">
        <v>43529</v>
      </c>
      <c r="I26">
        <f t="shared" si="2"/>
        <v>24</v>
      </c>
      <c r="J26">
        <v>1</v>
      </c>
      <c r="K26" t="s">
        <v>861</v>
      </c>
      <c r="L26">
        <v>2021</v>
      </c>
      <c r="M26">
        <v>5</v>
      </c>
      <c r="N26" s="22">
        <v>0</v>
      </c>
      <c r="O26" s="22">
        <v>1</v>
      </c>
      <c r="P26" s="23">
        <v>0</v>
      </c>
      <c r="Q26" s="23">
        <v>1</v>
      </c>
      <c r="R26" t="s">
        <v>241</v>
      </c>
      <c r="S26" t="str">
        <f t="shared" si="1"/>
        <v>TRUE</v>
      </c>
      <c r="T26">
        <v>19.61</v>
      </c>
      <c r="U26">
        <v>7.01</v>
      </c>
      <c r="V26">
        <v>30.62</v>
      </c>
      <c r="W26">
        <v>190</v>
      </c>
      <c r="X26">
        <v>270.08999999999997</v>
      </c>
      <c r="Y26">
        <v>16.2</v>
      </c>
      <c r="Z26">
        <v>75.040000000000006</v>
      </c>
      <c r="AA26">
        <v>3.97</v>
      </c>
      <c r="AB26" s="14">
        <v>2500.0100000000002</v>
      </c>
      <c r="AC26">
        <v>958.99</v>
      </c>
      <c r="AD26">
        <v>134.27000000000001</v>
      </c>
      <c r="AE26" s="14">
        <v>1000.01</v>
      </c>
      <c r="AF26">
        <v>89.15</v>
      </c>
      <c r="AG26">
        <v>136.9</v>
      </c>
      <c r="AH26">
        <v>46.74</v>
      </c>
      <c r="AI26">
        <v>93.19</v>
      </c>
      <c r="AJ26">
        <v>23.86</v>
      </c>
      <c r="AK26">
        <v>205.26</v>
      </c>
      <c r="AL26">
        <v>5.59</v>
      </c>
      <c r="AM26">
        <v>313.52999999999997</v>
      </c>
      <c r="AN26">
        <v>28.14</v>
      </c>
      <c r="AO26">
        <v>219.92</v>
      </c>
    </row>
    <row r="27" spans="1:41">
      <c r="A27" t="s">
        <v>349</v>
      </c>
      <c r="B27" s="8" t="s">
        <v>898</v>
      </c>
      <c r="C27" s="8" t="s">
        <v>973</v>
      </c>
      <c r="D27" t="s">
        <v>858</v>
      </c>
      <c r="E27" t="s">
        <v>863</v>
      </c>
      <c r="F27" t="s">
        <v>860</v>
      </c>
      <c r="G27" s="7">
        <v>29943</v>
      </c>
      <c r="H27" s="7">
        <v>43525</v>
      </c>
      <c r="I27">
        <f t="shared" si="2"/>
        <v>37</v>
      </c>
      <c r="J27">
        <v>1</v>
      </c>
      <c r="K27" t="s">
        <v>857</v>
      </c>
      <c r="L27">
        <v>922</v>
      </c>
      <c r="M27">
        <v>8</v>
      </c>
      <c r="N27">
        <v>0</v>
      </c>
      <c r="O27">
        <v>3</v>
      </c>
      <c r="P27" s="18">
        <v>1</v>
      </c>
      <c r="Q27" s="18">
        <v>0</v>
      </c>
      <c r="R27" t="s">
        <v>349</v>
      </c>
      <c r="S27" t="str">
        <f t="shared" si="1"/>
        <v>TRUE</v>
      </c>
      <c r="T27">
        <v>21.37</v>
      </c>
      <c r="U27">
        <v>3.82</v>
      </c>
      <c r="V27">
        <v>80.3</v>
      </c>
      <c r="W27">
        <v>104.3</v>
      </c>
      <c r="X27">
        <v>234.88</v>
      </c>
      <c r="Y27">
        <v>59.5</v>
      </c>
      <c r="Z27">
        <v>92.3</v>
      </c>
      <c r="AA27">
        <v>14.28</v>
      </c>
      <c r="AB27">
        <v>1328.7</v>
      </c>
      <c r="AC27">
        <v>196.36</v>
      </c>
      <c r="AD27">
        <v>168.85</v>
      </c>
      <c r="AE27">
        <v>319.77</v>
      </c>
      <c r="AF27">
        <v>29.64</v>
      </c>
      <c r="AG27">
        <v>127.12</v>
      </c>
      <c r="AH27">
        <v>25.84</v>
      </c>
      <c r="AI27">
        <v>36.33</v>
      </c>
      <c r="AJ27">
        <v>84.8</v>
      </c>
      <c r="AK27">
        <v>142.54</v>
      </c>
      <c r="AL27">
        <v>25.78</v>
      </c>
      <c r="AM27">
        <v>283.81</v>
      </c>
      <c r="AN27">
        <v>33.200000000000003</v>
      </c>
      <c r="AO27">
        <v>64.010000000000005</v>
      </c>
    </row>
    <row r="28" spans="1:41">
      <c r="A28" t="s">
        <v>760</v>
      </c>
      <c r="B28" s="8" t="s">
        <v>920</v>
      </c>
      <c r="C28" s="8" t="s">
        <v>1137</v>
      </c>
      <c r="D28" t="s">
        <v>858</v>
      </c>
      <c r="E28" t="s">
        <v>863</v>
      </c>
      <c r="F28" t="s">
        <v>864</v>
      </c>
      <c r="G28" s="7">
        <v>35129</v>
      </c>
      <c r="H28" s="7">
        <v>43532</v>
      </c>
      <c r="I28">
        <f t="shared" si="2"/>
        <v>23</v>
      </c>
      <c r="J28">
        <v>2</v>
      </c>
      <c r="K28" t="s">
        <v>857</v>
      </c>
      <c r="L28">
        <v>80</v>
      </c>
      <c r="M28">
        <v>2</v>
      </c>
      <c r="N28">
        <v>0</v>
      </c>
      <c r="O28">
        <v>2</v>
      </c>
      <c r="P28" s="18">
        <v>1</v>
      </c>
      <c r="Q28" s="18">
        <v>0</v>
      </c>
      <c r="R28" t="s">
        <v>760</v>
      </c>
      <c r="S28" t="str">
        <f t="shared" si="1"/>
        <v>TRUE</v>
      </c>
      <c r="T28">
        <v>12.76</v>
      </c>
      <c r="U28">
        <v>1.53</v>
      </c>
      <c r="V28">
        <v>60.12</v>
      </c>
      <c r="W28">
        <v>118.63</v>
      </c>
      <c r="X28">
        <v>53.67</v>
      </c>
      <c r="Y28">
        <v>9.43</v>
      </c>
      <c r="Z28">
        <v>14.79</v>
      </c>
      <c r="AA28">
        <v>2.4700000000000002</v>
      </c>
      <c r="AB28">
        <v>2126.12</v>
      </c>
      <c r="AC28">
        <v>1057.4100000000001</v>
      </c>
      <c r="AD28">
        <v>123.88</v>
      </c>
      <c r="AE28">
        <v>462.58</v>
      </c>
      <c r="AF28">
        <v>70.900000000000006</v>
      </c>
      <c r="AG28">
        <v>635.29</v>
      </c>
      <c r="AH28">
        <v>406.48</v>
      </c>
      <c r="AI28">
        <v>188.49</v>
      </c>
      <c r="AJ28">
        <v>545.91</v>
      </c>
      <c r="AK28">
        <v>245.88</v>
      </c>
      <c r="AL28">
        <v>88.02</v>
      </c>
      <c r="AM28">
        <v>1003.52</v>
      </c>
      <c r="AN28">
        <v>48.85</v>
      </c>
      <c r="AO28">
        <v>304.36</v>
      </c>
    </row>
    <row r="29" spans="1:41">
      <c r="A29" t="s">
        <v>117</v>
      </c>
      <c r="B29" s="8" t="s">
        <v>940</v>
      </c>
      <c r="C29" s="8" t="s">
        <v>1140</v>
      </c>
      <c r="D29" t="s">
        <v>858</v>
      </c>
      <c r="E29" t="s">
        <v>859</v>
      </c>
      <c r="F29" t="s">
        <v>864</v>
      </c>
      <c r="G29" s="7">
        <v>31823</v>
      </c>
      <c r="H29" s="7">
        <v>43546</v>
      </c>
      <c r="I29">
        <f t="shared" si="2"/>
        <v>32</v>
      </c>
      <c r="J29">
        <v>1</v>
      </c>
      <c r="K29" t="s">
        <v>861</v>
      </c>
      <c r="L29">
        <v>306</v>
      </c>
      <c r="M29">
        <v>4</v>
      </c>
      <c r="N29">
        <v>0</v>
      </c>
      <c r="O29">
        <v>2</v>
      </c>
      <c r="P29" s="18">
        <v>0</v>
      </c>
      <c r="Q29" s="18">
        <v>0</v>
      </c>
      <c r="R29" t="s">
        <v>117</v>
      </c>
      <c r="S29" t="str">
        <f t="shared" si="1"/>
        <v>TRUE</v>
      </c>
      <c r="T29">
        <v>10.69</v>
      </c>
      <c r="U29">
        <v>3.82</v>
      </c>
      <c r="V29">
        <v>93.12</v>
      </c>
      <c r="W29">
        <v>65.69</v>
      </c>
      <c r="X29">
        <v>136.81</v>
      </c>
      <c r="Y29">
        <v>33.869999999999997</v>
      </c>
      <c r="Z29">
        <v>37.53</v>
      </c>
      <c r="AA29">
        <v>6.55</v>
      </c>
      <c r="AB29">
        <v>475.41</v>
      </c>
      <c r="AC29">
        <v>40.01</v>
      </c>
      <c r="AD29">
        <v>35.020000000000003</v>
      </c>
      <c r="AE29">
        <v>201.93</v>
      </c>
      <c r="AF29">
        <v>13.81</v>
      </c>
      <c r="AG29">
        <v>106.77</v>
      </c>
      <c r="AH29">
        <v>14.88</v>
      </c>
      <c r="AI29">
        <v>44.62</v>
      </c>
      <c r="AJ29">
        <v>29.25</v>
      </c>
      <c r="AK29">
        <v>163.04</v>
      </c>
      <c r="AL29">
        <v>52.42</v>
      </c>
      <c r="AM29">
        <v>77.459999999999994</v>
      </c>
      <c r="AN29">
        <v>42.43</v>
      </c>
      <c r="AO29">
        <v>38.659999999999997</v>
      </c>
    </row>
    <row r="30" spans="1:41">
      <c r="A30" t="s">
        <v>253</v>
      </c>
      <c r="B30" s="8" t="s">
        <v>929</v>
      </c>
      <c r="C30" s="8" t="s">
        <v>965</v>
      </c>
      <c r="D30" t="s">
        <v>858</v>
      </c>
      <c r="E30" t="s">
        <v>859</v>
      </c>
      <c r="F30" t="s">
        <v>860</v>
      </c>
      <c r="G30" s="7">
        <v>34403</v>
      </c>
      <c r="H30" s="7">
        <v>43607</v>
      </c>
      <c r="I30">
        <f t="shared" si="2"/>
        <v>25</v>
      </c>
      <c r="J30">
        <v>2</v>
      </c>
      <c r="K30" t="s">
        <v>861</v>
      </c>
      <c r="L30">
        <v>2155</v>
      </c>
      <c r="M30">
        <v>15</v>
      </c>
      <c r="N30" s="22">
        <v>0</v>
      </c>
      <c r="O30" s="22">
        <v>1</v>
      </c>
      <c r="P30" s="23">
        <v>0</v>
      </c>
      <c r="Q30" s="23">
        <v>1</v>
      </c>
      <c r="R30" t="s">
        <v>253</v>
      </c>
      <c r="S30" t="str">
        <f t="shared" si="1"/>
        <v>TRUE</v>
      </c>
      <c r="T30">
        <v>14.93</v>
      </c>
      <c r="U30">
        <v>1.39</v>
      </c>
      <c r="V30">
        <v>6.41</v>
      </c>
      <c r="W30">
        <v>78.28</v>
      </c>
      <c r="X30">
        <v>25.71</v>
      </c>
      <c r="Y30">
        <v>2.31</v>
      </c>
      <c r="Z30">
        <v>77.03</v>
      </c>
      <c r="AA30">
        <v>3.36</v>
      </c>
      <c r="AB30">
        <v>2246.52</v>
      </c>
      <c r="AC30">
        <v>284.49</v>
      </c>
      <c r="AD30">
        <v>32.18</v>
      </c>
      <c r="AE30" s="14">
        <v>1000.01</v>
      </c>
      <c r="AF30">
        <v>74.22</v>
      </c>
      <c r="AG30">
        <v>40.619999999999997</v>
      </c>
      <c r="AH30">
        <v>5.62</v>
      </c>
      <c r="AI30">
        <v>46.64</v>
      </c>
      <c r="AJ30" s="14">
        <v>9.99</v>
      </c>
      <c r="AK30">
        <v>220.68</v>
      </c>
      <c r="AL30" s="14">
        <v>4.99</v>
      </c>
      <c r="AM30">
        <v>140.76</v>
      </c>
      <c r="AN30">
        <v>11.21</v>
      </c>
      <c r="AO30">
        <v>111.52</v>
      </c>
    </row>
    <row r="31" spans="1:41">
      <c r="A31" t="s">
        <v>592</v>
      </c>
      <c r="B31" s="8" t="s">
        <v>930</v>
      </c>
      <c r="C31" s="8" t="s">
        <v>1139</v>
      </c>
      <c r="D31" t="s">
        <v>858</v>
      </c>
      <c r="E31" t="s">
        <v>859</v>
      </c>
      <c r="F31" t="s">
        <v>860</v>
      </c>
      <c r="G31" s="7">
        <v>36595</v>
      </c>
      <c r="H31" s="7">
        <v>43567</v>
      </c>
      <c r="I31">
        <v>19</v>
      </c>
      <c r="J31">
        <v>2</v>
      </c>
      <c r="K31" t="s">
        <v>861</v>
      </c>
      <c r="L31">
        <v>1000</v>
      </c>
      <c r="M31">
        <v>7</v>
      </c>
      <c r="N31">
        <v>1</v>
      </c>
      <c r="O31">
        <v>2</v>
      </c>
      <c r="P31" s="18">
        <v>1</v>
      </c>
      <c r="Q31" s="18">
        <v>0</v>
      </c>
      <c r="R31" t="s">
        <v>592</v>
      </c>
      <c r="S31" t="str">
        <f t="shared" si="1"/>
        <v>TRUE</v>
      </c>
      <c r="T31">
        <v>17.98</v>
      </c>
      <c r="U31">
        <v>3.72</v>
      </c>
      <c r="V31">
        <v>46.35</v>
      </c>
      <c r="W31">
        <v>85.96</v>
      </c>
      <c r="X31">
        <v>176.19</v>
      </c>
      <c r="Y31">
        <v>52.73</v>
      </c>
      <c r="Z31">
        <v>159.97</v>
      </c>
      <c r="AA31">
        <v>13.78</v>
      </c>
      <c r="AB31" s="14">
        <v>2500.0100000000002</v>
      </c>
      <c r="AC31">
        <v>152.26</v>
      </c>
      <c r="AD31">
        <v>189.42</v>
      </c>
      <c r="AE31" s="14">
        <v>1000.01</v>
      </c>
      <c r="AF31">
        <v>39.96</v>
      </c>
      <c r="AG31">
        <v>157.15</v>
      </c>
      <c r="AH31">
        <v>8.85</v>
      </c>
      <c r="AI31">
        <v>46.53</v>
      </c>
      <c r="AJ31" s="14">
        <v>9.99</v>
      </c>
      <c r="AK31">
        <v>336.54</v>
      </c>
      <c r="AL31">
        <v>35.71</v>
      </c>
      <c r="AM31">
        <v>60.79</v>
      </c>
      <c r="AN31">
        <v>34.92</v>
      </c>
      <c r="AO31">
        <v>43.24</v>
      </c>
    </row>
    <row r="32" spans="1:41">
      <c r="A32" t="s">
        <v>313</v>
      </c>
      <c r="B32" s="8" t="s">
        <v>937</v>
      </c>
      <c r="C32" s="8" t="s">
        <v>1135</v>
      </c>
      <c r="D32" t="s">
        <v>858</v>
      </c>
      <c r="E32" t="s">
        <v>859</v>
      </c>
      <c r="F32" t="s">
        <v>864</v>
      </c>
      <c r="G32" s="7">
        <v>17139</v>
      </c>
      <c r="H32" s="7">
        <v>43518</v>
      </c>
      <c r="I32">
        <f t="shared" ref="I32:I72" si="3">DATEDIF(G32,H32,"Y")</f>
        <v>72</v>
      </c>
      <c r="J32">
        <v>2</v>
      </c>
      <c r="K32" t="s">
        <v>857</v>
      </c>
      <c r="L32">
        <v>15</v>
      </c>
      <c r="M32">
        <v>2</v>
      </c>
      <c r="N32">
        <v>0</v>
      </c>
      <c r="O32">
        <v>1</v>
      </c>
      <c r="P32" s="23">
        <v>1</v>
      </c>
      <c r="Q32" s="23">
        <v>0</v>
      </c>
      <c r="R32" t="s">
        <v>313</v>
      </c>
      <c r="S32" t="str">
        <f t="shared" si="1"/>
        <v>TRUE</v>
      </c>
      <c r="T32">
        <v>20.329999999999998</v>
      </c>
      <c r="U32">
        <v>2.33</v>
      </c>
      <c r="V32">
        <v>147.13999999999999</v>
      </c>
      <c r="W32">
        <v>281.39999999999998</v>
      </c>
      <c r="X32">
        <v>53.27</v>
      </c>
      <c r="Y32">
        <v>44.12</v>
      </c>
      <c r="Z32">
        <v>10.65</v>
      </c>
      <c r="AA32">
        <v>1.0900000000000001</v>
      </c>
      <c r="AB32">
        <v>1002.69</v>
      </c>
      <c r="AC32">
        <v>506.96</v>
      </c>
      <c r="AD32">
        <v>147.69999999999999</v>
      </c>
      <c r="AE32">
        <v>158.91</v>
      </c>
      <c r="AF32">
        <v>7.91</v>
      </c>
      <c r="AG32">
        <v>124.24</v>
      </c>
      <c r="AH32">
        <v>88.75</v>
      </c>
      <c r="AI32">
        <v>27.62</v>
      </c>
      <c r="AJ32">
        <v>185.52</v>
      </c>
      <c r="AK32">
        <v>47.36</v>
      </c>
      <c r="AL32">
        <v>9.65</v>
      </c>
      <c r="AM32">
        <v>697.44</v>
      </c>
      <c r="AN32">
        <v>18.05</v>
      </c>
      <c r="AO32">
        <v>55.27</v>
      </c>
    </row>
    <row r="33" spans="1:41">
      <c r="A33" t="s">
        <v>622</v>
      </c>
      <c r="B33" s="8" t="s">
        <v>938</v>
      </c>
      <c r="C33" s="8" t="s">
        <v>1138</v>
      </c>
      <c r="D33" t="s">
        <v>858</v>
      </c>
      <c r="E33" t="s">
        <v>859</v>
      </c>
      <c r="F33" t="s">
        <v>864</v>
      </c>
      <c r="G33" s="7">
        <v>25311</v>
      </c>
      <c r="H33" s="7">
        <v>43581</v>
      </c>
      <c r="I33">
        <f t="shared" si="3"/>
        <v>50</v>
      </c>
      <c r="J33">
        <v>2</v>
      </c>
      <c r="K33" t="s">
        <v>857</v>
      </c>
      <c r="L33">
        <v>67</v>
      </c>
      <c r="M33">
        <v>2</v>
      </c>
      <c r="N33">
        <v>1</v>
      </c>
      <c r="O33">
        <v>3</v>
      </c>
      <c r="P33" s="18">
        <v>1</v>
      </c>
      <c r="Q33" s="18">
        <v>0</v>
      </c>
      <c r="R33" t="s">
        <v>622</v>
      </c>
      <c r="S33" t="str">
        <f t="shared" si="1"/>
        <v>TRUE</v>
      </c>
      <c r="T33">
        <v>7.83</v>
      </c>
      <c r="U33">
        <v>0.99</v>
      </c>
      <c r="V33">
        <v>34.380000000000003</v>
      </c>
      <c r="W33">
        <v>32.04</v>
      </c>
      <c r="X33">
        <v>16.84</v>
      </c>
      <c r="Y33">
        <v>6.94</v>
      </c>
      <c r="Z33">
        <v>35.04</v>
      </c>
      <c r="AA33" s="13">
        <v>0.99</v>
      </c>
      <c r="AB33">
        <v>1887.52</v>
      </c>
      <c r="AC33">
        <v>284.08999999999997</v>
      </c>
      <c r="AD33">
        <v>93.55</v>
      </c>
      <c r="AE33" s="14">
        <v>1000.01</v>
      </c>
      <c r="AF33">
        <v>20.23</v>
      </c>
      <c r="AG33">
        <v>208.38</v>
      </c>
      <c r="AH33">
        <v>52.5</v>
      </c>
      <c r="AI33">
        <v>236.37</v>
      </c>
      <c r="AJ33">
        <v>38.35</v>
      </c>
      <c r="AK33">
        <v>146.25</v>
      </c>
      <c r="AL33">
        <v>25.25</v>
      </c>
      <c r="AM33">
        <v>175.88</v>
      </c>
      <c r="AN33">
        <v>25.78</v>
      </c>
      <c r="AO33">
        <v>80.010000000000005</v>
      </c>
    </row>
    <row r="34" spans="1:41">
      <c r="A34" t="s">
        <v>703</v>
      </c>
      <c r="B34" s="8" t="s">
        <v>941</v>
      </c>
      <c r="C34" s="8" t="s">
        <v>1127</v>
      </c>
      <c r="D34" t="s">
        <v>858</v>
      </c>
      <c r="E34" t="s">
        <v>859</v>
      </c>
      <c r="F34" t="s">
        <v>864</v>
      </c>
      <c r="G34" s="7">
        <v>29445</v>
      </c>
      <c r="H34" s="7">
        <v>43467</v>
      </c>
      <c r="I34">
        <f t="shared" si="3"/>
        <v>38</v>
      </c>
      <c r="J34">
        <v>2</v>
      </c>
      <c r="K34" t="s">
        <v>857</v>
      </c>
      <c r="L34">
        <v>103</v>
      </c>
      <c r="M34">
        <v>1</v>
      </c>
      <c r="N34" s="22">
        <v>1</v>
      </c>
      <c r="O34" s="22">
        <v>2</v>
      </c>
      <c r="P34" s="23">
        <v>0</v>
      </c>
      <c r="Q34" s="23">
        <v>0</v>
      </c>
      <c r="R34" t="s">
        <v>703</v>
      </c>
      <c r="S34" t="str">
        <f t="shared" si="1"/>
        <v>TRUE</v>
      </c>
      <c r="T34">
        <v>13.92</v>
      </c>
      <c r="U34">
        <v>2.09</v>
      </c>
      <c r="V34">
        <v>300.47000000000003</v>
      </c>
      <c r="W34">
        <v>171.76</v>
      </c>
      <c r="X34">
        <v>31.13</v>
      </c>
      <c r="Y34">
        <v>50.93</v>
      </c>
      <c r="Z34">
        <v>8.48</v>
      </c>
      <c r="AA34">
        <v>3.25</v>
      </c>
      <c r="AB34">
        <v>559.58000000000004</v>
      </c>
      <c r="AC34">
        <v>141.46</v>
      </c>
      <c r="AD34">
        <v>206.2</v>
      </c>
      <c r="AE34">
        <v>130.44999999999999</v>
      </c>
      <c r="AF34">
        <v>20.190000000000001</v>
      </c>
      <c r="AG34">
        <v>32.42</v>
      </c>
      <c r="AH34">
        <v>11.93</v>
      </c>
      <c r="AI34">
        <v>9.15</v>
      </c>
      <c r="AJ34">
        <v>45.39</v>
      </c>
      <c r="AK34">
        <v>118.63</v>
      </c>
      <c r="AL34">
        <v>10.57</v>
      </c>
      <c r="AM34">
        <v>372.86</v>
      </c>
      <c r="AN34">
        <v>96.9</v>
      </c>
      <c r="AO34">
        <v>101.65</v>
      </c>
    </row>
    <row r="35" spans="1:41">
      <c r="A35" t="s">
        <v>808</v>
      </c>
      <c r="B35" s="8" t="s">
        <v>960</v>
      </c>
      <c r="C35" s="8" t="s">
        <v>1134</v>
      </c>
      <c r="D35" t="s">
        <v>858</v>
      </c>
      <c r="E35" t="s">
        <v>868</v>
      </c>
      <c r="F35" t="s">
        <v>864</v>
      </c>
      <c r="G35" s="7">
        <v>25575</v>
      </c>
      <c r="H35" s="7">
        <v>43700</v>
      </c>
      <c r="I35">
        <f t="shared" si="3"/>
        <v>49</v>
      </c>
      <c r="J35">
        <v>2</v>
      </c>
      <c r="K35" t="s">
        <v>857</v>
      </c>
      <c r="L35">
        <v>15</v>
      </c>
      <c r="M35">
        <v>2</v>
      </c>
      <c r="N35" s="22">
        <v>0</v>
      </c>
      <c r="O35" s="22">
        <v>3</v>
      </c>
      <c r="P35" s="23">
        <v>1</v>
      </c>
      <c r="Q35" s="23">
        <v>0</v>
      </c>
      <c r="R35" t="s">
        <v>808</v>
      </c>
      <c r="S35" t="str">
        <f t="shared" ref="S35:S66" si="4">+IF(A35=R35, "TRUE", "FALSE")</f>
        <v>TRUE</v>
      </c>
      <c r="T35">
        <v>14.14</v>
      </c>
      <c r="U35">
        <v>1.37</v>
      </c>
      <c r="V35">
        <v>74.83</v>
      </c>
      <c r="W35">
        <v>151.56</v>
      </c>
      <c r="X35">
        <v>120.21</v>
      </c>
      <c r="Y35">
        <v>15.99</v>
      </c>
      <c r="Z35">
        <v>60.77</v>
      </c>
      <c r="AA35">
        <v>4.3499999999999996</v>
      </c>
      <c r="AB35">
        <v>558.91999999999996</v>
      </c>
      <c r="AC35">
        <v>174.59</v>
      </c>
      <c r="AD35">
        <v>56.71</v>
      </c>
      <c r="AE35">
        <v>237.29</v>
      </c>
      <c r="AF35">
        <v>8.01</v>
      </c>
      <c r="AG35">
        <v>53.28</v>
      </c>
      <c r="AH35">
        <v>19.11</v>
      </c>
      <c r="AI35">
        <v>37.479999999999997</v>
      </c>
      <c r="AJ35">
        <v>24.93</v>
      </c>
      <c r="AK35">
        <v>64.39</v>
      </c>
      <c r="AL35">
        <v>8.2200000000000006</v>
      </c>
      <c r="AM35">
        <v>132.32</v>
      </c>
      <c r="AN35">
        <v>18.73</v>
      </c>
      <c r="AO35">
        <v>42.36</v>
      </c>
    </row>
    <row r="36" spans="1:41">
      <c r="A36" t="s">
        <v>114</v>
      </c>
      <c r="B36" s="8" t="s">
        <v>944</v>
      </c>
      <c r="C36" s="8" t="s">
        <v>1140</v>
      </c>
      <c r="D36" t="s">
        <v>858</v>
      </c>
      <c r="E36" t="s">
        <v>859</v>
      </c>
      <c r="F36" t="s">
        <v>864</v>
      </c>
      <c r="G36" s="7">
        <v>31823</v>
      </c>
      <c r="H36" s="7">
        <v>43603</v>
      </c>
      <c r="I36">
        <f t="shared" si="3"/>
        <v>32</v>
      </c>
      <c r="J36">
        <v>2</v>
      </c>
      <c r="K36" t="s">
        <v>861</v>
      </c>
      <c r="L36">
        <v>15</v>
      </c>
      <c r="M36">
        <v>0</v>
      </c>
      <c r="N36" s="22">
        <v>0</v>
      </c>
      <c r="O36" s="22">
        <v>1</v>
      </c>
      <c r="P36" s="23">
        <v>1</v>
      </c>
      <c r="Q36" s="23">
        <v>0</v>
      </c>
      <c r="R36" t="s">
        <v>114</v>
      </c>
      <c r="S36" t="str">
        <f t="shared" si="4"/>
        <v>TRUE</v>
      </c>
      <c r="T36">
        <v>11.36</v>
      </c>
      <c r="U36">
        <v>3.23</v>
      </c>
      <c r="V36">
        <v>42.15</v>
      </c>
      <c r="W36">
        <v>173.5</v>
      </c>
      <c r="X36">
        <v>159.94</v>
      </c>
      <c r="Y36">
        <v>17.93</v>
      </c>
      <c r="Z36">
        <v>54.18</v>
      </c>
      <c r="AA36">
        <v>4.8</v>
      </c>
      <c r="AB36">
        <v>926.37</v>
      </c>
      <c r="AC36">
        <v>205.3</v>
      </c>
      <c r="AD36">
        <v>48.69</v>
      </c>
      <c r="AE36">
        <v>462.62</v>
      </c>
      <c r="AF36">
        <v>16.13</v>
      </c>
      <c r="AG36">
        <v>563.54999999999995</v>
      </c>
      <c r="AH36">
        <v>142.30000000000001</v>
      </c>
      <c r="AI36">
        <v>232.79</v>
      </c>
      <c r="AJ36">
        <v>200.99</v>
      </c>
      <c r="AK36">
        <v>194.12</v>
      </c>
      <c r="AL36">
        <v>100.41</v>
      </c>
      <c r="AM36">
        <v>343.39</v>
      </c>
      <c r="AN36">
        <v>31.55</v>
      </c>
      <c r="AO36">
        <v>106.56</v>
      </c>
    </row>
    <row r="37" spans="1:41">
      <c r="A37" t="s">
        <v>184</v>
      </c>
      <c r="B37" s="8" t="s">
        <v>946</v>
      </c>
      <c r="C37" s="8" t="s">
        <v>1129</v>
      </c>
      <c r="D37" t="s">
        <v>858</v>
      </c>
      <c r="E37" t="s">
        <v>859</v>
      </c>
      <c r="F37" t="s">
        <v>864</v>
      </c>
      <c r="G37" s="7">
        <v>35211</v>
      </c>
      <c r="H37" s="7">
        <v>43516</v>
      </c>
      <c r="I37">
        <f t="shared" si="3"/>
        <v>22</v>
      </c>
      <c r="J37">
        <v>2</v>
      </c>
      <c r="K37" t="s">
        <v>857</v>
      </c>
      <c r="L37">
        <v>64</v>
      </c>
      <c r="M37">
        <v>2</v>
      </c>
      <c r="N37">
        <v>0</v>
      </c>
      <c r="O37">
        <v>2</v>
      </c>
      <c r="P37" s="18">
        <v>0</v>
      </c>
      <c r="Q37" s="18">
        <v>0</v>
      </c>
      <c r="R37" t="s">
        <v>184</v>
      </c>
      <c r="S37" t="str">
        <f t="shared" si="4"/>
        <v>TRUE</v>
      </c>
      <c r="T37">
        <v>17.309999999999999</v>
      </c>
      <c r="U37">
        <v>23.03</v>
      </c>
      <c r="V37">
        <v>12.87</v>
      </c>
      <c r="W37">
        <v>452.94</v>
      </c>
      <c r="X37">
        <v>508.28</v>
      </c>
      <c r="Y37">
        <v>27.01</v>
      </c>
      <c r="Z37">
        <v>535.67999999999995</v>
      </c>
      <c r="AA37">
        <v>13.76</v>
      </c>
      <c r="AB37">
        <v>1891.74</v>
      </c>
      <c r="AC37">
        <v>553.82000000000005</v>
      </c>
      <c r="AD37">
        <v>75.73</v>
      </c>
      <c r="AE37">
        <v>214.66</v>
      </c>
      <c r="AF37">
        <v>7.08</v>
      </c>
      <c r="AG37">
        <v>134.25</v>
      </c>
      <c r="AH37">
        <v>38.32</v>
      </c>
      <c r="AI37">
        <v>23.99</v>
      </c>
      <c r="AJ37">
        <v>76.56</v>
      </c>
      <c r="AK37">
        <v>74.150000000000006</v>
      </c>
      <c r="AL37">
        <v>10.130000000000001</v>
      </c>
      <c r="AM37">
        <v>482.5</v>
      </c>
      <c r="AN37">
        <v>23.76</v>
      </c>
      <c r="AO37">
        <v>127.8</v>
      </c>
    </row>
    <row r="38" spans="1:41">
      <c r="A38" t="s">
        <v>565</v>
      </c>
      <c r="B38" s="8" t="s">
        <v>952</v>
      </c>
      <c r="C38" s="8" t="s">
        <v>1136</v>
      </c>
      <c r="D38" t="s">
        <v>858</v>
      </c>
      <c r="E38" t="s">
        <v>859</v>
      </c>
      <c r="F38" t="s">
        <v>864</v>
      </c>
      <c r="G38" s="7">
        <v>36196</v>
      </c>
      <c r="H38" s="7">
        <v>43506</v>
      </c>
      <c r="I38">
        <f t="shared" si="3"/>
        <v>20</v>
      </c>
      <c r="J38">
        <v>2</v>
      </c>
      <c r="K38" t="s">
        <v>857</v>
      </c>
      <c r="L38">
        <v>60</v>
      </c>
      <c r="M38">
        <v>1</v>
      </c>
      <c r="N38" s="22">
        <v>1</v>
      </c>
      <c r="O38" s="22">
        <v>1</v>
      </c>
      <c r="P38" s="23">
        <v>1</v>
      </c>
      <c r="Q38" s="23">
        <v>0</v>
      </c>
      <c r="R38" t="s">
        <v>565</v>
      </c>
      <c r="S38" t="str">
        <f t="shared" si="4"/>
        <v>TRUE</v>
      </c>
      <c r="T38">
        <v>28.1</v>
      </c>
      <c r="U38">
        <v>1.06</v>
      </c>
      <c r="V38">
        <v>20.91</v>
      </c>
      <c r="W38">
        <v>67.37</v>
      </c>
      <c r="X38">
        <v>219.59</v>
      </c>
      <c r="Y38">
        <v>14.82</v>
      </c>
      <c r="Z38">
        <v>33.22</v>
      </c>
      <c r="AA38">
        <v>9.8000000000000007</v>
      </c>
      <c r="AB38">
        <v>1828.76</v>
      </c>
      <c r="AC38">
        <v>142</v>
      </c>
      <c r="AD38">
        <v>92.01</v>
      </c>
      <c r="AE38">
        <v>325.74</v>
      </c>
      <c r="AF38">
        <v>48.96</v>
      </c>
      <c r="AG38">
        <v>162.13999999999999</v>
      </c>
      <c r="AH38">
        <v>20.309999999999999</v>
      </c>
      <c r="AI38">
        <v>34.01</v>
      </c>
      <c r="AJ38">
        <v>34.020000000000003</v>
      </c>
      <c r="AK38">
        <v>134.4</v>
      </c>
      <c r="AL38">
        <v>20.36</v>
      </c>
      <c r="AM38">
        <v>167.45</v>
      </c>
      <c r="AN38">
        <v>14.71</v>
      </c>
      <c r="AO38">
        <v>39.85</v>
      </c>
    </row>
    <row r="39" spans="1:41">
      <c r="A39" t="s">
        <v>334</v>
      </c>
      <c r="B39" s="8" t="s">
        <v>922</v>
      </c>
      <c r="C39" s="8" t="s">
        <v>1133</v>
      </c>
      <c r="D39" t="s">
        <v>858</v>
      </c>
      <c r="E39" t="s">
        <v>863</v>
      </c>
      <c r="F39" t="s">
        <v>864</v>
      </c>
      <c r="G39" s="7">
        <v>29437</v>
      </c>
      <c r="H39" s="7">
        <v>43523</v>
      </c>
      <c r="I39">
        <f t="shared" si="3"/>
        <v>38</v>
      </c>
      <c r="J39">
        <v>2</v>
      </c>
      <c r="K39" t="s">
        <v>857</v>
      </c>
      <c r="L39">
        <v>98</v>
      </c>
      <c r="M39">
        <v>0</v>
      </c>
      <c r="N39" s="22">
        <v>1</v>
      </c>
      <c r="O39" s="22">
        <v>3</v>
      </c>
      <c r="P39" s="23">
        <v>0</v>
      </c>
      <c r="Q39" s="23">
        <v>0</v>
      </c>
      <c r="R39" t="s">
        <v>334</v>
      </c>
      <c r="S39" t="str">
        <f t="shared" si="4"/>
        <v>TRUE</v>
      </c>
      <c r="T39">
        <v>21.6</v>
      </c>
      <c r="U39">
        <v>2.09</v>
      </c>
      <c r="V39">
        <v>60.62</v>
      </c>
      <c r="W39">
        <v>200.22</v>
      </c>
      <c r="X39">
        <v>130.55000000000001</v>
      </c>
      <c r="Y39">
        <v>31.58</v>
      </c>
      <c r="Z39">
        <v>98.58</v>
      </c>
      <c r="AA39">
        <v>11.53</v>
      </c>
      <c r="AB39">
        <v>2500.0100000000002</v>
      </c>
      <c r="AC39">
        <v>1405.42</v>
      </c>
      <c r="AD39">
        <v>232.91</v>
      </c>
      <c r="AE39" s="14">
        <v>1000.01</v>
      </c>
      <c r="AF39">
        <v>40.43</v>
      </c>
      <c r="AG39">
        <v>589.41999999999996</v>
      </c>
      <c r="AH39">
        <v>324.29000000000002</v>
      </c>
      <c r="AI39">
        <v>251.25</v>
      </c>
      <c r="AJ39">
        <v>429.79</v>
      </c>
      <c r="AK39">
        <v>348.69</v>
      </c>
      <c r="AL39">
        <v>52.31</v>
      </c>
      <c r="AM39">
        <v>1172.31</v>
      </c>
      <c r="AN39">
        <v>81.28</v>
      </c>
      <c r="AO39">
        <v>211.37</v>
      </c>
    </row>
    <row r="40" spans="1:41">
      <c r="A40" t="s">
        <v>508</v>
      </c>
      <c r="B40" s="8" t="s">
        <v>942</v>
      </c>
      <c r="C40" s="8" t="s">
        <v>1141</v>
      </c>
      <c r="D40" t="s">
        <v>858</v>
      </c>
      <c r="E40" t="s">
        <v>868</v>
      </c>
      <c r="F40" t="s">
        <v>864</v>
      </c>
      <c r="G40" s="7">
        <v>34720</v>
      </c>
      <c r="H40" s="7">
        <v>43812</v>
      </c>
      <c r="I40">
        <f t="shared" si="3"/>
        <v>24</v>
      </c>
      <c r="J40">
        <v>1</v>
      </c>
      <c r="K40" t="s">
        <v>857</v>
      </c>
      <c r="L40">
        <v>375</v>
      </c>
      <c r="M40">
        <v>9</v>
      </c>
      <c r="N40">
        <v>0</v>
      </c>
      <c r="O40">
        <v>1</v>
      </c>
      <c r="P40" s="23">
        <v>0</v>
      </c>
      <c r="Q40" s="23">
        <v>1</v>
      </c>
      <c r="R40" t="s">
        <v>508</v>
      </c>
      <c r="S40" t="str">
        <f t="shared" si="4"/>
        <v>TRUE</v>
      </c>
      <c r="T40">
        <v>18.38</v>
      </c>
      <c r="U40">
        <v>3.57</v>
      </c>
      <c r="V40">
        <v>92.63</v>
      </c>
      <c r="W40">
        <v>409.96</v>
      </c>
      <c r="X40">
        <v>104.58</v>
      </c>
      <c r="Y40">
        <v>29.8</v>
      </c>
      <c r="Z40">
        <v>74.349999999999994</v>
      </c>
      <c r="AA40">
        <v>1.06</v>
      </c>
      <c r="AB40">
        <v>1505.83</v>
      </c>
      <c r="AC40">
        <v>1299.6300000000001</v>
      </c>
      <c r="AD40">
        <v>72.989999999999995</v>
      </c>
      <c r="AE40" s="14">
        <v>1000.01</v>
      </c>
      <c r="AF40">
        <v>38.64</v>
      </c>
      <c r="AG40">
        <v>57.84</v>
      </c>
      <c r="AH40">
        <v>87.94</v>
      </c>
      <c r="AI40">
        <v>59.69</v>
      </c>
      <c r="AJ40">
        <v>97.14</v>
      </c>
      <c r="AK40">
        <v>325.49</v>
      </c>
      <c r="AL40">
        <v>14.78</v>
      </c>
      <c r="AM40">
        <v>1360.04</v>
      </c>
      <c r="AN40">
        <v>29.25</v>
      </c>
      <c r="AO40">
        <v>1178.56</v>
      </c>
    </row>
    <row r="41" spans="1:41">
      <c r="A41" t="s">
        <v>361</v>
      </c>
      <c r="B41" s="8" t="s">
        <v>900</v>
      </c>
      <c r="C41" s="8" t="s">
        <v>973</v>
      </c>
      <c r="D41" t="s">
        <v>858</v>
      </c>
      <c r="E41" t="s">
        <v>863</v>
      </c>
      <c r="F41" t="s">
        <v>860</v>
      </c>
      <c r="G41" s="7">
        <v>29943</v>
      </c>
      <c r="H41" s="7">
        <v>43641</v>
      </c>
      <c r="I41">
        <f t="shared" si="3"/>
        <v>37</v>
      </c>
      <c r="J41">
        <v>2</v>
      </c>
      <c r="K41" t="s">
        <v>857</v>
      </c>
      <c r="L41">
        <v>11409</v>
      </c>
      <c r="M41">
        <v>10</v>
      </c>
      <c r="N41" s="22">
        <v>0</v>
      </c>
      <c r="O41" s="22">
        <v>3</v>
      </c>
      <c r="P41" s="23">
        <v>1</v>
      </c>
      <c r="Q41" s="23">
        <v>0</v>
      </c>
      <c r="R41" t="s">
        <v>361</v>
      </c>
      <c r="S41" t="str">
        <f t="shared" si="4"/>
        <v>TRUE</v>
      </c>
      <c r="T41">
        <v>8.7799999999999994</v>
      </c>
      <c r="U41">
        <v>1.07</v>
      </c>
      <c r="V41">
        <v>11.98</v>
      </c>
      <c r="W41">
        <v>68.569999999999993</v>
      </c>
      <c r="X41">
        <v>34.369999999999997</v>
      </c>
      <c r="Y41">
        <v>11.36</v>
      </c>
      <c r="Z41">
        <v>12.18</v>
      </c>
      <c r="AA41">
        <v>4.6900000000000004</v>
      </c>
      <c r="AB41">
        <v>844.42</v>
      </c>
      <c r="AC41">
        <v>269</v>
      </c>
      <c r="AD41">
        <v>82.87</v>
      </c>
      <c r="AE41">
        <v>325.45999999999998</v>
      </c>
      <c r="AF41">
        <v>27.43</v>
      </c>
      <c r="AG41">
        <v>310.77999999999997</v>
      </c>
      <c r="AH41">
        <v>113.48</v>
      </c>
      <c r="AI41">
        <v>145.46</v>
      </c>
      <c r="AJ41">
        <v>94.45</v>
      </c>
      <c r="AK41">
        <v>76.97</v>
      </c>
      <c r="AL41">
        <v>44.39</v>
      </c>
      <c r="AM41">
        <v>136.38</v>
      </c>
      <c r="AN41">
        <v>28.81</v>
      </c>
      <c r="AO41">
        <v>87.68</v>
      </c>
    </row>
    <row r="42" spans="1:41">
      <c r="A42" t="s">
        <v>640</v>
      </c>
      <c r="B42" s="8" t="s">
        <v>943</v>
      </c>
      <c r="C42" s="8" t="s">
        <v>1142</v>
      </c>
      <c r="D42" t="s">
        <v>858</v>
      </c>
      <c r="E42" t="s">
        <v>863</v>
      </c>
      <c r="F42" t="s">
        <v>864</v>
      </c>
      <c r="G42" s="7">
        <v>33760</v>
      </c>
      <c r="H42" s="7">
        <v>43815</v>
      </c>
      <c r="I42">
        <f t="shared" si="3"/>
        <v>27</v>
      </c>
      <c r="J42">
        <v>1</v>
      </c>
      <c r="K42" t="s">
        <v>857</v>
      </c>
      <c r="L42">
        <v>704</v>
      </c>
      <c r="M42">
        <v>10</v>
      </c>
      <c r="N42">
        <v>1</v>
      </c>
      <c r="O42">
        <v>2</v>
      </c>
      <c r="P42" s="18">
        <v>1</v>
      </c>
      <c r="Q42" s="18">
        <v>0</v>
      </c>
      <c r="R42" t="s">
        <v>640</v>
      </c>
      <c r="S42" t="str">
        <f t="shared" si="4"/>
        <v>TRUE</v>
      </c>
      <c r="T42">
        <v>13.26</v>
      </c>
      <c r="U42">
        <v>2.94</v>
      </c>
      <c r="V42">
        <v>252.02</v>
      </c>
      <c r="W42">
        <v>331.16</v>
      </c>
      <c r="X42">
        <v>36.56</v>
      </c>
      <c r="Y42">
        <v>57.95</v>
      </c>
      <c r="Z42">
        <v>31.99</v>
      </c>
      <c r="AA42">
        <v>3.62</v>
      </c>
      <c r="AB42">
        <v>503.11</v>
      </c>
      <c r="AC42">
        <v>314.06</v>
      </c>
      <c r="AD42">
        <v>56.47</v>
      </c>
      <c r="AE42">
        <v>349.51</v>
      </c>
      <c r="AF42">
        <v>22.81</v>
      </c>
      <c r="AG42">
        <v>53.7</v>
      </c>
      <c r="AH42">
        <v>34.9</v>
      </c>
      <c r="AI42">
        <v>31.49</v>
      </c>
      <c r="AJ42">
        <v>69.72</v>
      </c>
      <c r="AK42">
        <v>60.5</v>
      </c>
      <c r="AL42">
        <v>9.5299999999999994</v>
      </c>
      <c r="AM42">
        <v>476.69</v>
      </c>
      <c r="AN42">
        <v>11.28</v>
      </c>
      <c r="AO42">
        <v>77.209999999999994</v>
      </c>
    </row>
    <row r="43" spans="1:41">
      <c r="A43" t="s">
        <v>637</v>
      </c>
      <c r="B43" s="8" t="s">
        <v>923</v>
      </c>
      <c r="C43" s="8" t="s">
        <v>1142</v>
      </c>
      <c r="D43" t="s">
        <v>858</v>
      </c>
      <c r="E43" t="s">
        <v>863</v>
      </c>
      <c r="F43" t="s">
        <v>864</v>
      </c>
      <c r="G43" s="7">
        <v>33760</v>
      </c>
      <c r="H43" s="7">
        <v>43830</v>
      </c>
      <c r="I43">
        <f t="shared" si="3"/>
        <v>27</v>
      </c>
      <c r="J43">
        <v>2</v>
      </c>
      <c r="K43" t="s">
        <v>857</v>
      </c>
      <c r="L43">
        <v>29</v>
      </c>
      <c r="M43">
        <v>0</v>
      </c>
      <c r="N43" s="22">
        <v>1</v>
      </c>
      <c r="O43" s="22">
        <v>2</v>
      </c>
      <c r="P43" s="23">
        <v>1</v>
      </c>
      <c r="Q43" s="23">
        <v>0</v>
      </c>
      <c r="R43" t="s">
        <v>637</v>
      </c>
      <c r="S43" t="str">
        <f t="shared" si="4"/>
        <v>TRUE</v>
      </c>
      <c r="T43">
        <v>26.93</v>
      </c>
      <c r="U43">
        <v>6.41</v>
      </c>
      <c r="V43">
        <v>116.19</v>
      </c>
      <c r="W43" s="12">
        <v>1000.01</v>
      </c>
      <c r="X43">
        <v>345.56</v>
      </c>
      <c r="Y43">
        <v>66</v>
      </c>
      <c r="Z43">
        <v>30.61</v>
      </c>
      <c r="AA43">
        <v>5.1100000000000003</v>
      </c>
      <c r="AB43">
        <v>1415.73</v>
      </c>
      <c r="AC43">
        <v>1281.5999999999999</v>
      </c>
      <c r="AD43">
        <v>116.14</v>
      </c>
      <c r="AE43">
        <v>340.97</v>
      </c>
      <c r="AF43">
        <v>13.42</v>
      </c>
      <c r="AG43">
        <v>202.4</v>
      </c>
      <c r="AH43">
        <v>225.55</v>
      </c>
      <c r="AI43">
        <v>59.45</v>
      </c>
      <c r="AJ43">
        <v>305.17</v>
      </c>
      <c r="AK43">
        <v>86.48</v>
      </c>
      <c r="AL43">
        <v>15.42</v>
      </c>
      <c r="AM43">
        <v>1203.4100000000001</v>
      </c>
      <c r="AN43">
        <v>23.9</v>
      </c>
      <c r="AO43">
        <v>304.77</v>
      </c>
    </row>
    <row r="44" spans="1:41">
      <c r="A44" t="s">
        <v>370</v>
      </c>
      <c r="B44" s="8" t="s">
        <v>899</v>
      </c>
      <c r="C44" s="8" t="s">
        <v>1143</v>
      </c>
      <c r="D44" t="s">
        <v>858</v>
      </c>
      <c r="E44" t="s">
        <v>859</v>
      </c>
      <c r="F44" t="s">
        <v>860</v>
      </c>
      <c r="G44" s="7">
        <v>23236</v>
      </c>
      <c r="H44" s="7">
        <v>43866</v>
      </c>
      <c r="I44">
        <f t="shared" si="3"/>
        <v>56</v>
      </c>
      <c r="J44">
        <v>1</v>
      </c>
      <c r="K44" t="s">
        <v>857</v>
      </c>
      <c r="L44">
        <v>1854</v>
      </c>
      <c r="M44">
        <v>14</v>
      </c>
      <c r="N44">
        <v>0</v>
      </c>
      <c r="O44">
        <v>3</v>
      </c>
      <c r="P44" s="18">
        <v>0</v>
      </c>
      <c r="Q44" s="18">
        <v>0</v>
      </c>
      <c r="R44" t="s">
        <v>370</v>
      </c>
      <c r="S44" t="str">
        <f t="shared" si="4"/>
        <v>TRUE</v>
      </c>
      <c r="T44">
        <v>9.6300000000000008</v>
      </c>
      <c r="U44">
        <v>2.5299999999999998</v>
      </c>
      <c r="V44">
        <v>90.82</v>
      </c>
      <c r="W44">
        <v>182.52</v>
      </c>
      <c r="X44">
        <v>68.599999999999994</v>
      </c>
      <c r="Y44">
        <v>10.44</v>
      </c>
      <c r="Z44">
        <v>24.57</v>
      </c>
      <c r="AA44" s="13">
        <v>0.99</v>
      </c>
      <c r="AB44">
        <v>877.53</v>
      </c>
      <c r="AC44">
        <v>954.48</v>
      </c>
      <c r="AD44">
        <v>35.340000000000003</v>
      </c>
      <c r="AE44" s="14">
        <v>1000.01</v>
      </c>
      <c r="AF44">
        <v>10.53</v>
      </c>
      <c r="AG44">
        <v>73.42</v>
      </c>
      <c r="AH44">
        <v>99.07</v>
      </c>
      <c r="AI44">
        <v>237.2</v>
      </c>
      <c r="AJ44">
        <v>46.08</v>
      </c>
      <c r="AK44">
        <v>111.13</v>
      </c>
      <c r="AL44">
        <v>8.77</v>
      </c>
      <c r="AM44">
        <v>425.04</v>
      </c>
      <c r="AN44">
        <v>12.91</v>
      </c>
      <c r="AO44">
        <v>650.41999999999996</v>
      </c>
    </row>
    <row r="45" spans="1:41">
      <c r="A45" t="s">
        <v>373</v>
      </c>
      <c r="B45" s="8" t="s">
        <v>931</v>
      </c>
      <c r="C45" s="8" t="s">
        <v>1143</v>
      </c>
      <c r="D45" t="s">
        <v>858</v>
      </c>
      <c r="E45" t="s">
        <v>859</v>
      </c>
      <c r="F45" t="s">
        <v>860</v>
      </c>
      <c r="G45" s="7">
        <v>23236</v>
      </c>
      <c r="H45" s="7">
        <v>43905</v>
      </c>
      <c r="I45">
        <f t="shared" si="3"/>
        <v>56</v>
      </c>
      <c r="J45">
        <v>2</v>
      </c>
      <c r="K45" t="s">
        <v>857</v>
      </c>
      <c r="L45">
        <v>373</v>
      </c>
      <c r="M45">
        <v>7</v>
      </c>
      <c r="N45" s="22">
        <v>0</v>
      </c>
      <c r="O45" s="22">
        <v>3</v>
      </c>
      <c r="P45" s="23">
        <v>1</v>
      </c>
      <c r="Q45" s="23">
        <v>0</v>
      </c>
      <c r="R45" t="s">
        <v>373</v>
      </c>
      <c r="S45" t="str">
        <f t="shared" si="4"/>
        <v>TRUE</v>
      </c>
      <c r="T45">
        <v>9.36</v>
      </c>
      <c r="U45">
        <v>0.99</v>
      </c>
      <c r="V45">
        <v>7.24</v>
      </c>
      <c r="W45">
        <v>252.45</v>
      </c>
      <c r="X45">
        <v>9.19</v>
      </c>
      <c r="Y45">
        <v>2.5499999999999998</v>
      </c>
      <c r="Z45">
        <v>31.69</v>
      </c>
      <c r="AA45">
        <v>1.05</v>
      </c>
      <c r="AB45">
        <v>2500.0100000000002</v>
      </c>
      <c r="AC45" s="14">
        <v>2500.0100000000002</v>
      </c>
      <c r="AD45">
        <v>62.33</v>
      </c>
      <c r="AE45" s="14">
        <v>1000.01</v>
      </c>
      <c r="AF45">
        <v>31.97</v>
      </c>
      <c r="AG45">
        <v>400.67</v>
      </c>
      <c r="AH45">
        <v>732.61</v>
      </c>
      <c r="AI45">
        <v>1000.01</v>
      </c>
      <c r="AJ45">
        <v>50.05</v>
      </c>
      <c r="AK45">
        <v>98.33</v>
      </c>
      <c r="AL45">
        <v>6.76</v>
      </c>
      <c r="AM45">
        <v>526.05999999999995</v>
      </c>
      <c r="AN45" s="14">
        <v>4.99</v>
      </c>
      <c r="AO45">
        <v>632.80999999999995</v>
      </c>
    </row>
    <row r="46" spans="1:41">
      <c r="A46" t="s">
        <v>505</v>
      </c>
      <c r="B46" s="8" t="s">
        <v>961</v>
      </c>
      <c r="C46" s="8" t="s">
        <v>1141</v>
      </c>
      <c r="D46" t="s">
        <v>858</v>
      </c>
      <c r="E46" t="s">
        <v>868</v>
      </c>
      <c r="F46" t="s">
        <v>864</v>
      </c>
      <c r="G46" s="7">
        <v>34720</v>
      </c>
      <c r="H46" s="7">
        <v>43903</v>
      </c>
      <c r="I46">
        <f t="shared" si="3"/>
        <v>25</v>
      </c>
      <c r="J46">
        <v>2</v>
      </c>
      <c r="K46" t="s">
        <v>857</v>
      </c>
      <c r="L46">
        <v>72</v>
      </c>
      <c r="M46">
        <v>0</v>
      </c>
      <c r="N46" s="22">
        <v>0</v>
      </c>
      <c r="O46" s="22">
        <v>1</v>
      </c>
      <c r="P46" s="23">
        <v>0</v>
      </c>
      <c r="Q46" s="23">
        <v>1</v>
      </c>
      <c r="R46" t="s">
        <v>505</v>
      </c>
      <c r="S46" t="str">
        <f t="shared" si="4"/>
        <v>TRUE</v>
      </c>
      <c r="T46">
        <v>23.58</v>
      </c>
      <c r="U46">
        <v>2.63</v>
      </c>
      <c r="V46">
        <v>23.76</v>
      </c>
      <c r="W46">
        <v>384.8</v>
      </c>
      <c r="X46">
        <v>29.78</v>
      </c>
      <c r="Y46">
        <v>35.24</v>
      </c>
      <c r="Z46">
        <v>29.82</v>
      </c>
      <c r="AA46">
        <v>1.92</v>
      </c>
      <c r="AB46">
        <v>898.58</v>
      </c>
      <c r="AC46">
        <v>629.57000000000005</v>
      </c>
      <c r="AD46">
        <v>33.85</v>
      </c>
      <c r="AE46">
        <v>611.92999999999995</v>
      </c>
      <c r="AF46">
        <v>51.1</v>
      </c>
      <c r="AG46">
        <v>29.15</v>
      </c>
      <c r="AH46">
        <v>32.979999999999997</v>
      </c>
      <c r="AI46">
        <v>23.53</v>
      </c>
      <c r="AJ46">
        <v>181.6</v>
      </c>
      <c r="AK46">
        <v>347.59</v>
      </c>
      <c r="AL46">
        <v>17.23</v>
      </c>
      <c r="AM46">
        <v>2500.0100000000002</v>
      </c>
      <c r="AN46">
        <v>12.58</v>
      </c>
      <c r="AO46">
        <v>1055.08</v>
      </c>
    </row>
    <row r="47" spans="1:41">
      <c r="A47" t="s">
        <v>364</v>
      </c>
      <c r="B47" s="8" t="s">
        <v>901</v>
      </c>
      <c r="C47" s="8" t="s">
        <v>1144</v>
      </c>
      <c r="D47" t="s">
        <v>858</v>
      </c>
      <c r="E47" t="s">
        <v>859</v>
      </c>
      <c r="F47" t="s">
        <v>860</v>
      </c>
      <c r="G47" s="7">
        <v>30355</v>
      </c>
      <c r="H47" s="7">
        <v>43854</v>
      </c>
      <c r="I47">
        <f t="shared" si="3"/>
        <v>36</v>
      </c>
      <c r="J47">
        <v>1</v>
      </c>
      <c r="K47" t="s">
        <v>861</v>
      </c>
      <c r="L47">
        <v>2375</v>
      </c>
      <c r="M47">
        <v>14</v>
      </c>
      <c r="N47">
        <v>1</v>
      </c>
      <c r="O47">
        <v>3</v>
      </c>
      <c r="P47" s="18">
        <v>1</v>
      </c>
      <c r="Q47" s="18">
        <v>0</v>
      </c>
      <c r="R47" t="s">
        <v>364</v>
      </c>
      <c r="S47" t="str">
        <f t="shared" si="4"/>
        <v>TRUE</v>
      </c>
      <c r="T47">
        <v>6.05</v>
      </c>
      <c r="U47">
        <v>0.99</v>
      </c>
      <c r="V47">
        <v>1.9</v>
      </c>
      <c r="W47">
        <v>20.61</v>
      </c>
      <c r="X47">
        <v>7.7</v>
      </c>
      <c r="Y47">
        <v>1.89</v>
      </c>
      <c r="Z47">
        <v>14.22</v>
      </c>
      <c r="AA47" s="13">
        <v>0.99</v>
      </c>
      <c r="AB47">
        <v>886.15</v>
      </c>
      <c r="AC47">
        <v>61.54</v>
      </c>
      <c r="AD47">
        <v>44.32</v>
      </c>
      <c r="AE47">
        <v>376.42</v>
      </c>
      <c r="AF47">
        <v>9.42</v>
      </c>
      <c r="AG47">
        <v>111.4</v>
      </c>
      <c r="AH47">
        <v>9.48</v>
      </c>
      <c r="AI47">
        <v>49.08</v>
      </c>
      <c r="AJ47">
        <v>34.31</v>
      </c>
      <c r="AK47">
        <v>104.72</v>
      </c>
      <c r="AL47">
        <v>22.27</v>
      </c>
      <c r="AM47">
        <v>107.93</v>
      </c>
      <c r="AN47">
        <v>16.91</v>
      </c>
      <c r="AO47">
        <v>19.7</v>
      </c>
    </row>
    <row r="48" spans="1:41">
      <c r="A48" t="s">
        <v>271</v>
      </c>
      <c r="B48" s="8" t="s">
        <v>945</v>
      </c>
      <c r="C48" s="8" t="s">
        <v>1145</v>
      </c>
      <c r="D48" t="s">
        <v>858</v>
      </c>
      <c r="E48" t="s">
        <v>863</v>
      </c>
      <c r="F48" t="s">
        <v>864</v>
      </c>
      <c r="G48" s="7">
        <v>25518</v>
      </c>
      <c r="H48" s="7">
        <v>43864</v>
      </c>
      <c r="I48">
        <f t="shared" si="3"/>
        <v>50</v>
      </c>
      <c r="J48">
        <v>1</v>
      </c>
      <c r="K48" t="s">
        <v>861</v>
      </c>
      <c r="L48">
        <v>1982</v>
      </c>
      <c r="M48">
        <v>10</v>
      </c>
      <c r="N48">
        <v>0</v>
      </c>
      <c r="O48">
        <v>3</v>
      </c>
      <c r="P48" s="18">
        <v>1</v>
      </c>
      <c r="Q48" s="18">
        <v>0</v>
      </c>
      <c r="R48" t="s">
        <v>271</v>
      </c>
      <c r="S48" t="str">
        <f t="shared" si="4"/>
        <v>TRUE</v>
      </c>
      <c r="T48">
        <v>11.44</v>
      </c>
      <c r="U48">
        <v>1.96</v>
      </c>
      <c r="V48">
        <v>34.4</v>
      </c>
      <c r="W48">
        <v>201.95</v>
      </c>
      <c r="X48">
        <v>98.57</v>
      </c>
      <c r="Y48">
        <v>40.86</v>
      </c>
      <c r="Z48">
        <v>96.77</v>
      </c>
      <c r="AA48">
        <v>8.0500000000000007</v>
      </c>
      <c r="AB48">
        <v>1726.15</v>
      </c>
      <c r="AC48">
        <v>352.14</v>
      </c>
      <c r="AD48">
        <v>104.17</v>
      </c>
      <c r="AE48">
        <v>423.21</v>
      </c>
      <c r="AF48">
        <v>10.25</v>
      </c>
      <c r="AG48">
        <v>368.48</v>
      </c>
      <c r="AH48">
        <v>78.87</v>
      </c>
      <c r="AI48">
        <v>112.32</v>
      </c>
      <c r="AJ48">
        <v>29.72</v>
      </c>
      <c r="AK48">
        <v>109.87</v>
      </c>
      <c r="AL48">
        <v>54.54</v>
      </c>
      <c r="AM48">
        <v>110.91</v>
      </c>
      <c r="AN48">
        <v>31.34</v>
      </c>
      <c r="AO48">
        <v>68.709999999999994</v>
      </c>
    </row>
    <row r="49" spans="1:41">
      <c r="A49" t="s">
        <v>268</v>
      </c>
      <c r="B49" s="8" t="s">
        <v>924</v>
      </c>
      <c r="C49" s="8" t="s">
        <v>1145</v>
      </c>
      <c r="D49" t="s">
        <v>858</v>
      </c>
      <c r="E49" t="s">
        <v>863</v>
      </c>
      <c r="F49" t="s">
        <v>864</v>
      </c>
      <c r="G49" s="7">
        <v>25518</v>
      </c>
      <c r="H49" s="7">
        <v>43916</v>
      </c>
      <c r="I49">
        <f t="shared" si="3"/>
        <v>50</v>
      </c>
      <c r="J49">
        <v>2</v>
      </c>
      <c r="K49" t="s">
        <v>861</v>
      </c>
      <c r="L49">
        <v>128</v>
      </c>
      <c r="M49">
        <v>0</v>
      </c>
      <c r="N49" s="22">
        <v>0</v>
      </c>
      <c r="O49" s="22">
        <v>3</v>
      </c>
      <c r="P49" s="23">
        <v>0</v>
      </c>
      <c r="Q49" s="23">
        <v>0</v>
      </c>
      <c r="R49" t="s">
        <v>268</v>
      </c>
      <c r="S49" t="str">
        <f t="shared" si="4"/>
        <v>TRUE</v>
      </c>
      <c r="T49">
        <v>9.7899999999999991</v>
      </c>
      <c r="U49">
        <v>0.99</v>
      </c>
      <c r="V49">
        <v>21.59</v>
      </c>
      <c r="W49">
        <v>123.16</v>
      </c>
      <c r="X49">
        <v>51</v>
      </c>
      <c r="Y49">
        <v>12.52</v>
      </c>
      <c r="Z49">
        <v>61.33</v>
      </c>
      <c r="AA49">
        <v>1.82</v>
      </c>
      <c r="AB49">
        <v>2500.0100000000002</v>
      </c>
      <c r="AC49">
        <v>1567.22</v>
      </c>
      <c r="AD49">
        <v>250.72</v>
      </c>
      <c r="AE49" s="14">
        <v>1000.01</v>
      </c>
      <c r="AF49">
        <v>11.18</v>
      </c>
      <c r="AG49">
        <v>1726.98</v>
      </c>
      <c r="AH49">
        <v>485.43</v>
      </c>
      <c r="AI49">
        <v>754.42</v>
      </c>
      <c r="AJ49">
        <v>118.72</v>
      </c>
      <c r="AK49">
        <v>95.63</v>
      </c>
      <c r="AL49">
        <v>41.79</v>
      </c>
      <c r="AM49">
        <v>511.77</v>
      </c>
      <c r="AN49">
        <v>29.6</v>
      </c>
      <c r="AO49">
        <v>114.39</v>
      </c>
    </row>
    <row r="50" spans="1:41">
      <c r="A50" t="s">
        <v>439</v>
      </c>
      <c r="B50" s="8" t="s">
        <v>947</v>
      </c>
      <c r="C50" s="8" t="s">
        <v>1146</v>
      </c>
      <c r="D50" t="s">
        <v>858</v>
      </c>
      <c r="E50" t="s">
        <v>868</v>
      </c>
      <c r="F50" t="s">
        <v>864</v>
      </c>
      <c r="G50" s="7">
        <v>21477</v>
      </c>
      <c r="H50" s="7">
        <v>44042</v>
      </c>
      <c r="I50">
        <f t="shared" si="3"/>
        <v>61</v>
      </c>
      <c r="J50">
        <v>1</v>
      </c>
      <c r="K50" t="s">
        <v>857</v>
      </c>
      <c r="L50">
        <v>394</v>
      </c>
      <c r="M50">
        <v>6</v>
      </c>
      <c r="N50">
        <v>0</v>
      </c>
      <c r="O50">
        <v>2</v>
      </c>
      <c r="P50" s="18">
        <v>0</v>
      </c>
      <c r="Q50" s="18">
        <v>1</v>
      </c>
      <c r="R50" t="s">
        <v>439</v>
      </c>
      <c r="S50" t="str">
        <f t="shared" si="4"/>
        <v>TRUE</v>
      </c>
      <c r="T50">
        <v>10.31</v>
      </c>
      <c r="U50">
        <v>12.21</v>
      </c>
      <c r="V50">
        <v>68.680000000000007</v>
      </c>
      <c r="W50">
        <v>356.83</v>
      </c>
      <c r="X50">
        <v>170.96</v>
      </c>
      <c r="Y50">
        <v>63.5</v>
      </c>
      <c r="Z50">
        <v>56.79</v>
      </c>
      <c r="AA50">
        <v>6.34</v>
      </c>
      <c r="AB50">
        <v>1280.28</v>
      </c>
      <c r="AC50">
        <v>628.24</v>
      </c>
      <c r="AD50">
        <v>134.03</v>
      </c>
      <c r="AE50">
        <v>180.87</v>
      </c>
      <c r="AF50">
        <v>6.4</v>
      </c>
      <c r="AG50">
        <v>58.04</v>
      </c>
      <c r="AH50">
        <v>33.950000000000003</v>
      </c>
      <c r="AI50">
        <v>11.66</v>
      </c>
      <c r="AJ50">
        <v>45.64</v>
      </c>
      <c r="AK50">
        <v>40.89</v>
      </c>
      <c r="AL50" s="14">
        <v>4.99</v>
      </c>
      <c r="AM50">
        <v>359.18</v>
      </c>
      <c r="AN50">
        <v>16.670000000000002</v>
      </c>
      <c r="AO50">
        <v>52.11</v>
      </c>
    </row>
    <row r="51" spans="1:41">
      <c r="A51" t="s">
        <v>733</v>
      </c>
      <c r="B51" s="8" t="s">
        <v>948</v>
      </c>
      <c r="C51" s="8" t="s">
        <v>1147</v>
      </c>
      <c r="D51" t="s">
        <v>858</v>
      </c>
      <c r="E51" t="s">
        <v>863</v>
      </c>
      <c r="F51" t="s">
        <v>864</v>
      </c>
      <c r="G51" s="7">
        <v>36030</v>
      </c>
      <c r="H51" s="7">
        <v>44054</v>
      </c>
      <c r="I51">
        <f t="shared" si="3"/>
        <v>21</v>
      </c>
      <c r="J51">
        <v>1</v>
      </c>
      <c r="K51" t="s">
        <v>857</v>
      </c>
      <c r="L51">
        <v>2208</v>
      </c>
      <c r="M51">
        <v>5</v>
      </c>
      <c r="N51">
        <v>1</v>
      </c>
      <c r="O51">
        <v>2</v>
      </c>
      <c r="P51" s="18">
        <v>1</v>
      </c>
      <c r="Q51" s="18">
        <v>0</v>
      </c>
      <c r="R51" t="s">
        <v>733</v>
      </c>
      <c r="S51" t="str">
        <f t="shared" si="4"/>
        <v>TRUE</v>
      </c>
      <c r="T51">
        <v>11.54</v>
      </c>
      <c r="U51">
        <v>0.99</v>
      </c>
      <c r="V51">
        <v>22.31</v>
      </c>
      <c r="W51">
        <v>131.24</v>
      </c>
      <c r="X51">
        <v>20.18</v>
      </c>
      <c r="Y51">
        <v>15.87</v>
      </c>
      <c r="Z51">
        <v>41.1</v>
      </c>
      <c r="AA51" s="13">
        <v>0.99</v>
      </c>
      <c r="AB51">
        <v>2476.71</v>
      </c>
      <c r="AC51">
        <v>814.65</v>
      </c>
      <c r="AD51">
        <v>100.8</v>
      </c>
      <c r="AE51" s="14">
        <v>1000.01</v>
      </c>
      <c r="AF51">
        <v>35.54</v>
      </c>
      <c r="AG51">
        <v>510.65</v>
      </c>
      <c r="AH51">
        <v>225.62</v>
      </c>
      <c r="AI51">
        <v>350.47</v>
      </c>
      <c r="AJ51">
        <v>169.55</v>
      </c>
      <c r="AK51">
        <v>172.36</v>
      </c>
      <c r="AL51">
        <v>43.82</v>
      </c>
      <c r="AM51">
        <v>425.92</v>
      </c>
      <c r="AN51">
        <v>19.54</v>
      </c>
      <c r="AO51">
        <v>216.3</v>
      </c>
    </row>
    <row r="52" spans="1:41">
      <c r="A52" t="s">
        <v>367</v>
      </c>
      <c r="B52" s="8" t="s">
        <v>933</v>
      </c>
      <c r="C52" s="8" t="s">
        <v>1144</v>
      </c>
      <c r="D52" t="s">
        <v>858</v>
      </c>
      <c r="E52" t="s">
        <v>859</v>
      </c>
      <c r="F52" t="s">
        <v>860</v>
      </c>
      <c r="G52" s="7">
        <v>30355</v>
      </c>
      <c r="H52" s="7">
        <v>43978</v>
      </c>
      <c r="I52">
        <f t="shared" si="3"/>
        <v>37</v>
      </c>
      <c r="J52">
        <v>2</v>
      </c>
      <c r="K52" t="s">
        <v>861</v>
      </c>
      <c r="L52">
        <v>3372</v>
      </c>
      <c r="M52">
        <v>13</v>
      </c>
      <c r="N52" s="22">
        <v>1</v>
      </c>
      <c r="O52" s="22">
        <v>3</v>
      </c>
      <c r="P52" s="23">
        <v>1</v>
      </c>
      <c r="Q52" s="23">
        <v>0</v>
      </c>
      <c r="R52" t="s">
        <v>367</v>
      </c>
      <c r="S52" t="str">
        <f t="shared" si="4"/>
        <v>TRUE</v>
      </c>
      <c r="T52">
        <v>12.86</v>
      </c>
      <c r="U52">
        <v>1.8</v>
      </c>
      <c r="V52">
        <v>30.95</v>
      </c>
      <c r="W52">
        <v>27.24</v>
      </c>
      <c r="X52">
        <v>62.66</v>
      </c>
      <c r="Y52">
        <v>18.510000000000002</v>
      </c>
      <c r="Z52">
        <v>27.92</v>
      </c>
      <c r="AA52">
        <v>2.8</v>
      </c>
      <c r="AB52">
        <v>401.56</v>
      </c>
      <c r="AC52">
        <v>13.13</v>
      </c>
      <c r="AD52">
        <v>23.73</v>
      </c>
      <c r="AE52">
        <v>96.29</v>
      </c>
      <c r="AF52" s="14">
        <v>2.4900000000000002</v>
      </c>
      <c r="AG52">
        <v>16.27</v>
      </c>
      <c r="AH52" s="14">
        <v>2.4900000000000002</v>
      </c>
      <c r="AI52">
        <v>4.6900000000000004</v>
      </c>
      <c r="AJ52" s="14">
        <v>9.99</v>
      </c>
      <c r="AK52">
        <v>27</v>
      </c>
      <c r="AL52" s="14">
        <v>4.99</v>
      </c>
      <c r="AM52">
        <v>9.4600000000000009</v>
      </c>
      <c r="AN52">
        <v>23.85</v>
      </c>
      <c r="AO52" s="14">
        <v>4.99</v>
      </c>
    </row>
    <row r="53" spans="1:41">
      <c r="A53" t="s">
        <v>775</v>
      </c>
      <c r="B53" s="8" t="s">
        <v>949</v>
      </c>
      <c r="C53" s="8" t="s">
        <v>1148</v>
      </c>
      <c r="D53" t="s">
        <v>858</v>
      </c>
      <c r="E53" t="s">
        <v>868</v>
      </c>
      <c r="F53" t="s">
        <v>864</v>
      </c>
      <c r="G53" s="7">
        <v>33194</v>
      </c>
      <c r="H53" s="7">
        <v>44084</v>
      </c>
      <c r="I53">
        <f t="shared" si="3"/>
        <v>29</v>
      </c>
      <c r="J53">
        <v>1</v>
      </c>
      <c r="K53" t="s">
        <v>861</v>
      </c>
      <c r="L53">
        <v>6689</v>
      </c>
      <c r="M53">
        <v>4</v>
      </c>
      <c r="N53">
        <v>1</v>
      </c>
      <c r="O53">
        <v>2</v>
      </c>
      <c r="P53" s="23">
        <v>1</v>
      </c>
      <c r="Q53" s="23">
        <v>0</v>
      </c>
      <c r="R53" t="s">
        <v>775</v>
      </c>
      <c r="S53" t="str">
        <f t="shared" si="4"/>
        <v>TRUE</v>
      </c>
      <c r="T53">
        <v>15.18</v>
      </c>
      <c r="U53">
        <v>25.82</v>
      </c>
      <c r="V53">
        <v>8.92</v>
      </c>
      <c r="W53">
        <v>120.31</v>
      </c>
      <c r="X53">
        <v>841.39</v>
      </c>
      <c r="Y53">
        <v>44.45</v>
      </c>
      <c r="Z53">
        <v>1000.01</v>
      </c>
      <c r="AA53">
        <v>96.67</v>
      </c>
      <c r="AB53">
        <v>513.37</v>
      </c>
      <c r="AC53">
        <v>50</v>
      </c>
      <c r="AD53">
        <v>36.69</v>
      </c>
      <c r="AE53">
        <v>284.5</v>
      </c>
      <c r="AF53">
        <v>41.17</v>
      </c>
      <c r="AG53">
        <v>77.349999999999994</v>
      </c>
      <c r="AH53">
        <v>9.2899999999999991</v>
      </c>
      <c r="AI53">
        <v>28.67</v>
      </c>
      <c r="AJ53">
        <v>136.53</v>
      </c>
      <c r="AK53">
        <v>218.73</v>
      </c>
      <c r="AL53">
        <v>71</v>
      </c>
      <c r="AM53">
        <v>230.97</v>
      </c>
      <c r="AN53">
        <v>28.89</v>
      </c>
      <c r="AO53">
        <v>53.34</v>
      </c>
    </row>
    <row r="54" spans="1:41">
      <c r="A54" t="s">
        <v>436</v>
      </c>
      <c r="B54" s="8" t="s">
        <v>962</v>
      </c>
      <c r="C54" s="8" t="s">
        <v>1146</v>
      </c>
      <c r="D54" t="s">
        <v>858</v>
      </c>
      <c r="E54" t="s">
        <v>868</v>
      </c>
      <c r="F54" t="s">
        <v>864</v>
      </c>
      <c r="G54" s="7">
        <v>21477</v>
      </c>
      <c r="H54" s="7">
        <v>44098</v>
      </c>
      <c r="I54">
        <f t="shared" si="3"/>
        <v>61</v>
      </c>
      <c r="J54">
        <v>2</v>
      </c>
      <c r="K54" t="s">
        <v>857</v>
      </c>
      <c r="L54">
        <v>66</v>
      </c>
      <c r="M54">
        <v>1</v>
      </c>
      <c r="N54" s="22">
        <v>0</v>
      </c>
      <c r="O54" s="22">
        <v>2</v>
      </c>
      <c r="P54" s="23">
        <v>0</v>
      </c>
      <c r="Q54" s="23">
        <v>0</v>
      </c>
      <c r="R54" t="s">
        <v>436</v>
      </c>
      <c r="S54" t="str">
        <f t="shared" si="4"/>
        <v>TRUE</v>
      </c>
      <c r="T54">
        <v>23.45</v>
      </c>
      <c r="U54">
        <v>19.149999999999999</v>
      </c>
      <c r="V54">
        <v>84.81</v>
      </c>
      <c r="W54" s="12">
        <v>1000.01</v>
      </c>
      <c r="X54" s="12">
        <v>1000.01</v>
      </c>
      <c r="Y54">
        <v>341.02</v>
      </c>
      <c r="Z54">
        <v>320.8</v>
      </c>
      <c r="AA54">
        <v>15.85</v>
      </c>
      <c r="AB54">
        <v>476.43</v>
      </c>
      <c r="AC54">
        <v>314.16000000000003</v>
      </c>
      <c r="AD54">
        <v>183.47</v>
      </c>
      <c r="AE54">
        <v>34.72</v>
      </c>
      <c r="AF54">
        <v>2.73</v>
      </c>
      <c r="AG54">
        <v>39.729999999999997</v>
      </c>
      <c r="AH54">
        <v>25.39</v>
      </c>
      <c r="AI54">
        <v>4.79</v>
      </c>
      <c r="AJ54">
        <v>59.17</v>
      </c>
      <c r="AK54">
        <v>14.6</v>
      </c>
      <c r="AL54" s="14">
        <v>4.99</v>
      </c>
      <c r="AM54">
        <v>336.11</v>
      </c>
      <c r="AN54">
        <v>34.799999999999997</v>
      </c>
      <c r="AO54">
        <v>24.44</v>
      </c>
    </row>
    <row r="55" spans="1:41">
      <c r="A55" t="s">
        <v>655</v>
      </c>
      <c r="B55" s="8" t="s">
        <v>950</v>
      </c>
      <c r="C55" s="8" t="s">
        <v>1149</v>
      </c>
      <c r="D55" t="s">
        <v>858</v>
      </c>
      <c r="E55" t="s">
        <v>868</v>
      </c>
      <c r="F55" t="s">
        <v>864</v>
      </c>
      <c r="G55" s="7">
        <v>29096</v>
      </c>
      <c r="H55" s="7">
        <v>44099</v>
      </c>
      <c r="I55">
        <f t="shared" si="3"/>
        <v>41</v>
      </c>
      <c r="J55">
        <v>1</v>
      </c>
      <c r="K55" t="s">
        <v>857</v>
      </c>
      <c r="L55">
        <v>1897</v>
      </c>
      <c r="M55">
        <v>13</v>
      </c>
      <c r="N55">
        <v>0</v>
      </c>
      <c r="O55">
        <v>1</v>
      </c>
      <c r="P55" s="23">
        <v>1</v>
      </c>
      <c r="Q55" s="23">
        <v>0</v>
      </c>
      <c r="R55" t="s">
        <v>655</v>
      </c>
      <c r="S55" t="str">
        <f t="shared" si="4"/>
        <v>TRUE</v>
      </c>
      <c r="T55">
        <v>26.37</v>
      </c>
      <c r="U55">
        <v>4.5999999999999996</v>
      </c>
      <c r="V55">
        <v>50.79</v>
      </c>
      <c r="W55">
        <v>683.84</v>
      </c>
      <c r="X55">
        <v>70.319999999999993</v>
      </c>
      <c r="Y55">
        <v>71.38</v>
      </c>
      <c r="Z55">
        <v>21.66</v>
      </c>
      <c r="AA55">
        <v>2.91</v>
      </c>
      <c r="AB55">
        <v>434.91</v>
      </c>
      <c r="AC55">
        <v>545.20000000000005</v>
      </c>
      <c r="AD55">
        <v>55.16</v>
      </c>
      <c r="AE55">
        <v>35.35</v>
      </c>
      <c r="AF55" s="14">
        <v>2.4900000000000002</v>
      </c>
      <c r="AG55">
        <v>18.22</v>
      </c>
      <c r="AH55">
        <v>22.86</v>
      </c>
      <c r="AI55">
        <v>2.5099999999999998</v>
      </c>
      <c r="AJ55">
        <v>22.05</v>
      </c>
      <c r="AK55">
        <v>10.039999999999999</v>
      </c>
      <c r="AL55" s="14">
        <v>4.99</v>
      </c>
      <c r="AM55">
        <v>311.79000000000002</v>
      </c>
      <c r="AN55">
        <v>5.76</v>
      </c>
      <c r="AO55">
        <v>52.3</v>
      </c>
    </row>
    <row r="56" spans="1:41">
      <c r="A56" t="s">
        <v>649</v>
      </c>
      <c r="B56" s="8" t="s">
        <v>902</v>
      </c>
      <c r="C56" s="8" t="s">
        <v>1150</v>
      </c>
      <c r="D56" t="s">
        <v>858</v>
      </c>
      <c r="E56" t="s">
        <v>863</v>
      </c>
      <c r="F56" t="s">
        <v>860</v>
      </c>
      <c r="G56" s="7">
        <v>24431</v>
      </c>
      <c r="H56" s="7">
        <v>44099</v>
      </c>
      <c r="I56">
        <f t="shared" si="3"/>
        <v>53</v>
      </c>
      <c r="J56">
        <v>1</v>
      </c>
      <c r="K56" t="s">
        <v>861</v>
      </c>
      <c r="L56">
        <v>1126</v>
      </c>
      <c r="M56">
        <v>15</v>
      </c>
      <c r="N56">
        <v>1</v>
      </c>
      <c r="O56">
        <v>3</v>
      </c>
      <c r="P56" s="23">
        <v>0</v>
      </c>
      <c r="Q56" s="23">
        <v>0</v>
      </c>
      <c r="R56" t="s">
        <v>649</v>
      </c>
      <c r="S56" t="str">
        <f t="shared" si="4"/>
        <v>TRUE</v>
      </c>
      <c r="T56">
        <v>19.62</v>
      </c>
      <c r="U56">
        <v>1.22</v>
      </c>
      <c r="V56">
        <v>24.76</v>
      </c>
      <c r="W56">
        <v>792.09</v>
      </c>
      <c r="X56">
        <v>139.36000000000001</v>
      </c>
      <c r="Y56">
        <v>47.6</v>
      </c>
      <c r="Z56">
        <v>29.48</v>
      </c>
      <c r="AA56">
        <v>1.73</v>
      </c>
      <c r="AB56">
        <v>2147.42</v>
      </c>
      <c r="AC56">
        <v>1635.78</v>
      </c>
      <c r="AD56">
        <v>42.45</v>
      </c>
      <c r="AE56">
        <v>541.92999999999995</v>
      </c>
      <c r="AF56">
        <v>15.04</v>
      </c>
      <c r="AG56">
        <v>113.68</v>
      </c>
      <c r="AH56">
        <v>99.85</v>
      </c>
      <c r="AI56">
        <v>39.74</v>
      </c>
      <c r="AJ56">
        <v>107.56</v>
      </c>
      <c r="AK56">
        <v>83.65</v>
      </c>
      <c r="AL56">
        <v>5.59</v>
      </c>
      <c r="AM56">
        <v>1575.59</v>
      </c>
      <c r="AN56">
        <v>9.8699999999999992</v>
      </c>
      <c r="AO56">
        <v>204.77</v>
      </c>
    </row>
    <row r="57" spans="1:41">
      <c r="A57" t="s">
        <v>532</v>
      </c>
      <c r="B57" s="8" t="s">
        <v>951</v>
      </c>
      <c r="C57" s="8" t="s">
        <v>1151</v>
      </c>
      <c r="D57" t="s">
        <v>858</v>
      </c>
      <c r="E57" t="s">
        <v>863</v>
      </c>
      <c r="F57" t="s">
        <v>864</v>
      </c>
      <c r="G57" s="7">
        <v>23988</v>
      </c>
      <c r="H57" s="7">
        <v>44104</v>
      </c>
      <c r="I57">
        <f t="shared" si="3"/>
        <v>55</v>
      </c>
      <c r="J57">
        <v>1</v>
      </c>
      <c r="K57" t="s">
        <v>861</v>
      </c>
      <c r="L57">
        <v>4713</v>
      </c>
      <c r="M57">
        <v>6</v>
      </c>
      <c r="N57">
        <v>1</v>
      </c>
      <c r="O57">
        <v>2</v>
      </c>
      <c r="P57" s="18">
        <v>0</v>
      </c>
      <c r="Q57" s="18">
        <v>0</v>
      </c>
      <c r="R57" t="s">
        <v>532</v>
      </c>
      <c r="S57" t="str">
        <f t="shared" si="4"/>
        <v>TRUE</v>
      </c>
      <c r="T57">
        <v>25.95</v>
      </c>
      <c r="U57">
        <v>12.98</v>
      </c>
      <c r="V57">
        <v>245.82</v>
      </c>
      <c r="W57">
        <v>704.49</v>
      </c>
      <c r="X57">
        <v>176.21</v>
      </c>
      <c r="Y57">
        <v>119.5</v>
      </c>
      <c r="Z57">
        <v>61.9</v>
      </c>
      <c r="AA57">
        <v>4.74</v>
      </c>
      <c r="AB57">
        <v>2500.0100000000002</v>
      </c>
      <c r="AC57" s="14">
        <v>2500.0100000000002</v>
      </c>
      <c r="AD57">
        <v>841.5</v>
      </c>
      <c r="AE57" s="14">
        <v>1000.01</v>
      </c>
      <c r="AF57">
        <v>17.850000000000001</v>
      </c>
      <c r="AG57">
        <v>714.03</v>
      </c>
      <c r="AH57">
        <v>462.89</v>
      </c>
      <c r="AI57">
        <v>676.54</v>
      </c>
      <c r="AJ57">
        <v>31.08</v>
      </c>
      <c r="AK57">
        <v>112.69</v>
      </c>
      <c r="AL57">
        <v>5.65</v>
      </c>
      <c r="AM57">
        <v>437.23</v>
      </c>
      <c r="AN57">
        <v>54.14</v>
      </c>
      <c r="AO57">
        <v>196.88</v>
      </c>
    </row>
    <row r="58" spans="1:41">
      <c r="A58" t="s">
        <v>262</v>
      </c>
      <c r="B58" s="8" t="s">
        <v>955</v>
      </c>
      <c r="C58" s="8" t="s">
        <v>1152</v>
      </c>
      <c r="D58" t="s">
        <v>858</v>
      </c>
      <c r="E58" t="s">
        <v>859</v>
      </c>
      <c r="F58" t="s">
        <v>864</v>
      </c>
      <c r="G58" s="7">
        <v>16624</v>
      </c>
      <c r="H58" s="7">
        <v>44106</v>
      </c>
      <c r="I58">
        <f t="shared" si="3"/>
        <v>75</v>
      </c>
      <c r="J58">
        <v>1</v>
      </c>
      <c r="K58" t="s">
        <v>861</v>
      </c>
      <c r="L58">
        <v>4146</v>
      </c>
      <c r="M58">
        <v>6</v>
      </c>
      <c r="N58">
        <v>1</v>
      </c>
      <c r="O58">
        <v>2</v>
      </c>
      <c r="P58" s="18">
        <v>1</v>
      </c>
      <c r="Q58" s="18">
        <v>0</v>
      </c>
      <c r="R58" t="s">
        <v>262</v>
      </c>
      <c r="S58" t="str">
        <f t="shared" si="4"/>
        <v>TRUE</v>
      </c>
      <c r="T58">
        <v>4.8</v>
      </c>
      <c r="U58">
        <v>1.86</v>
      </c>
      <c r="V58">
        <v>34.74</v>
      </c>
      <c r="W58">
        <v>245.24</v>
      </c>
      <c r="X58">
        <v>135.12</v>
      </c>
      <c r="Y58">
        <v>29.82</v>
      </c>
      <c r="Z58">
        <v>26.34</v>
      </c>
      <c r="AA58">
        <v>1.21</v>
      </c>
      <c r="AB58">
        <v>1165.78</v>
      </c>
      <c r="AC58">
        <v>201.57</v>
      </c>
      <c r="AD58">
        <v>13.52</v>
      </c>
      <c r="AE58">
        <v>221.28</v>
      </c>
      <c r="AF58" s="14">
        <v>2.4900000000000002</v>
      </c>
      <c r="AG58">
        <v>21.55</v>
      </c>
      <c r="AH58">
        <v>5.4</v>
      </c>
      <c r="AI58">
        <v>6.26</v>
      </c>
      <c r="AJ58">
        <v>14.37</v>
      </c>
      <c r="AK58">
        <v>236.33</v>
      </c>
      <c r="AL58" s="14">
        <v>4.99</v>
      </c>
      <c r="AM58">
        <v>677.69</v>
      </c>
      <c r="AN58">
        <v>22.03</v>
      </c>
      <c r="AO58">
        <v>93.68</v>
      </c>
    </row>
    <row r="59" spans="1:41">
      <c r="A59" t="s">
        <v>796</v>
      </c>
      <c r="B59" s="8" t="s">
        <v>903</v>
      </c>
      <c r="C59" s="8" t="s">
        <v>1153</v>
      </c>
      <c r="D59" t="s">
        <v>858</v>
      </c>
      <c r="E59" t="s">
        <v>859</v>
      </c>
      <c r="F59" t="s">
        <v>860</v>
      </c>
      <c r="G59" s="7">
        <v>33801</v>
      </c>
      <c r="H59" s="7">
        <v>44110</v>
      </c>
      <c r="I59">
        <f t="shared" si="3"/>
        <v>28</v>
      </c>
      <c r="J59">
        <v>1</v>
      </c>
      <c r="K59" t="s">
        <v>857</v>
      </c>
      <c r="L59">
        <v>2363</v>
      </c>
      <c r="M59">
        <v>9</v>
      </c>
      <c r="N59">
        <v>0</v>
      </c>
      <c r="O59">
        <v>2</v>
      </c>
      <c r="P59" s="18">
        <v>1</v>
      </c>
      <c r="Q59" s="18">
        <v>0</v>
      </c>
      <c r="R59" t="s">
        <v>796</v>
      </c>
      <c r="S59" t="str">
        <f t="shared" si="4"/>
        <v>TRUE</v>
      </c>
      <c r="T59">
        <v>22.38</v>
      </c>
      <c r="U59">
        <v>1.73</v>
      </c>
      <c r="V59">
        <v>63.47</v>
      </c>
      <c r="W59">
        <v>99.87</v>
      </c>
      <c r="X59">
        <v>38.229999999999997</v>
      </c>
      <c r="Y59">
        <v>12.43</v>
      </c>
      <c r="Z59">
        <v>39.979999999999997</v>
      </c>
      <c r="AA59">
        <v>4.74</v>
      </c>
      <c r="AB59">
        <v>701.15</v>
      </c>
      <c r="AC59">
        <v>135.55000000000001</v>
      </c>
      <c r="AD59">
        <v>42.7</v>
      </c>
      <c r="AE59">
        <v>118.31</v>
      </c>
      <c r="AF59">
        <v>8.06</v>
      </c>
      <c r="AG59">
        <v>13.49</v>
      </c>
      <c r="AH59">
        <v>3.13</v>
      </c>
      <c r="AI59">
        <v>2.68</v>
      </c>
      <c r="AJ59" s="14">
        <v>9.99</v>
      </c>
      <c r="AK59">
        <v>26.51</v>
      </c>
      <c r="AL59" s="14">
        <v>4.99</v>
      </c>
      <c r="AM59">
        <v>110.22</v>
      </c>
      <c r="AN59" s="14">
        <v>4.99</v>
      </c>
      <c r="AO59">
        <v>13.03</v>
      </c>
    </row>
    <row r="60" spans="1:41">
      <c r="A60" t="s">
        <v>736</v>
      </c>
      <c r="B60" s="8" t="s">
        <v>925</v>
      </c>
      <c r="C60" s="8" t="s">
        <v>1147</v>
      </c>
      <c r="D60" t="s">
        <v>858</v>
      </c>
      <c r="E60" t="s">
        <v>863</v>
      </c>
      <c r="F60" t="s">
        <v>864</v>
      </c>
      <c r="G60" s="7">
        <v>36030</v>
      </c>
      <c r="H60" s="7">
        <v>44134</v>
      </c>
      <c r="I60">
        <f t="shared" si="3"/>
        <v>22</v>
      </c>
      <c r="J60">
        <v>2</v>
      </c>
      <c r="K60" t="s">
        <v>857</v>
      </c>
      <c r="L60">
        <v>73</v>
      </c>
      <c r="M60">
        <v>0</v>
      </c>
      <c r="N60" s="22">
        <v>1</v>
      </c>
      <c r="O60" s="22">
        <v>2</v>
      </c>
      <c r="P60" s="23">
        <v>1</v>
      </c>
      <c r="Q60" s="23">
        <v>0</v>
      </c>
      <c r="R60" t="s">
        <v>736</v>
      </c>
      <c r="S60" t="str">
        <f t="shared" si="4"/>
        <v>TRUE</v>
      </c>
      <c r="T60">
        <v>12.42</v>
      </c>
      <c r="U60">
        <v>0.99</v>
      </c>
      <c r="V60">
        <v>28.9</v>
      </c>
      <c r="W60">
        <v>174.61</v>
      </c>
      <c r="X60">
        <v>13.17</v>
      </c>
      <c r="Y60">
        <v>7.37</v>
      </c>
      <c r="Z60">
        <v>8.2100000000000009</v>
      </c>
      <c r="AA60">
        <v>1.72</v>
      </c>
      <c r="AB60">
        <v>911.47</v>
      </c>
      <c r="AC60">
        <v>359.79</v>
      </c>
      <c r="AD60">
        <v>74.13</v>
      </c>
      <c r="AE60">
        <v>157.29</v>
      </c>
      <c r="AF60">
        <v>13.75</v>
      </c>
      <c r="AG60">
        <v>156.34</v>
      </c>
      <c r="AH60">
        <v>80.28</v>
      </c>
      <c r="AI60">
        <v>28.59</v>
      </c>
      <c r="AJ60">
        <v>147.68</v>
      </c>
      <c r="AK60">
        <v>124.89</v>
      </c>
      <c r="AL60">
        <v>32.15</v>
      </c>
      <c r="AM60">
        <v>440.2</v>
      </c>
      <c r="AN60">
        <v>15.52</v>
      </c>
      <c r="AO60">
        <v>186.41</v>
      </c>
    </row>
    <row r="61" spans="1:41">
      <c r="A61" t="s">
        <v>658</v>
      </c>
      <c r="B61" s="8" t="s">
        <v>963</v>
      </c>
      <c r="C61" s="8" t="s">
        <v>1149</v>
      </c>
      <c r="D61" t="s">
        <v>858</v>
      </c>
      <c r="E61" t="s">
        <v>868</v>
      </c>
      <c r="F61" t="s">
        <v>864</v>
      </c>
      <c r="G61" s="7">
        <v>29096</v>
      </c>
      <c r="H61" s="7">
        <v>44148</v>
      </c>
      <c r="I61">
        <f t="shared" si="3"/>
        <v>41</v>
      </c>
      <c r="J61">
        <v>2</v>
      </c>
      <c r="K61" t="s">
        <v>857</v>
      </c>
      <c r="L61">
        <v>55</v>
      </c>
      <c r="M61">
        <v>1</v>
      </c>
      <c r="N61" s="22">
        <v>0</v>
      </c>
      <c r="O61" s="22">
        <v>2</v>
      </c>
      <c r="P61" s="23">
        <v>0</v>
      </c>
      <c r="Q61" s="23">
        <v>0</v>
      </c>
      <c r="R61" t="s">
        <v>658</v>
      </c>
      <c r="S61" t="str">
        <f t="shared" si="4"/>
        <v>TRUE</v>
      </c>
      <c r="T61">
        <v>26.72</v>
      </c>
      <c r="U61">
        <v>5</v>
      </c>
      <c r="V61">
        <v>46.88</v>
      </c>
      <c r="W61">
        <v>689.63</v>
      </c>
      <c r="X61">
        <v>117.13</v>
      </c>
      <c r="Y61">
        <v>57.64</v>
      </c>
      <c r="Z61">
        <v>55.82</v>
      </c>
      <c r="AA61">
        <v>3.68</v>
      </c>
      <c r="AB61">
        <v>592.03</v>
      </c>
      <c r="AC61">
        <v>732.05</v>
      </c>
      <c r="AD61">
        <v>70.739999999999995</v>
      </c>
      <c r="AE61">
        <v>69.16</v>
      </c>
      <c r="AF61">
        <v>5.91</v>
      </c>
      <c r="AG61">
        <v>25.56</v>
      </c>
      <c r="AH61">
        <v>33.43</v>
      </c>
      <c r="AI61">
        <v>5.27</v>
      </c>
      <c r="AJ61">
        <v>56.92</v>
      </c>
      <c r="AK61">
        <v>10.029999999999999</v>
      </c>
      <c r="AL61" s="14">
        <v>4.99</v>
      </c>
      <c r="AM61">
        <v>301.89</v>
      </c>
      <c r="AN61" s="14">
        <v>4.99</v>
      </c>
      <c r="AO61">
        <v>62.72</v>
      </c>
    </row>
    <row r="62" spans="1:41">
      <c r="A62" t="s">
        <v>652</v>
      </c>
      <c r="B62" s="8" t="s">
        <v>906</v>
      </c>
      <c r="C62" s="8" t="s">
        <v>1150</v>
      </c>
      <c r="D62" t="s">
        <v>858</v>
      </c>
      <c r="E62" t="s">
        <v>863</v>
      </c>
      <c r="F62" t="s">
        <v>860</v>
      </c>
      <c r="G62" s="7">
        <v>24431</v>
      </c>
      <c r="H62" s="7">
        <v>44148</v>
      </c>
      <c r="I62">
        <f t="shared" si="3"/>
        <v>53</v>
      </c>
      <c r="J62">
        <v>2</v>
      </c>
      <c r="K62" t="s">
        <v>861</v>
      </c>
      <c r="L62">
        <v>1780</v>
      </c>
      <c r="M62">
        <v>5</v>
      </c>
      <c r="N62" s="22">
        <v>1</v>
      </c>
      <c r="O62" s="22">
        <v>3</v>
      </c>
      <c r="P62" s="23">
        <v>1</v>
      </c>
      <c r="Q62" s="23">
        <v>0</v>
      </c>
      <c r="R62" t="s">
        <v>652</v>
      </c>
      <c r="S62" t="str">
        <f t="shared" si="4"/>
        <v>TRUE</v>
      </c>
      <c r="T62">
        <v>16.489999999999998</v>
      </c>
      <c r="U62">
        <v>1.21</v>
      </c>
      <c r="V62">
        <v>6.61</v>
      </c>
      <c r="W62">
        <v>397.36</v>
      </c>
      <c r="X62">
        <v>136.52000000000001</v>
      </c>
      <c r="Y62">
        <v>16.78</v>
      </c>
      <c r="Z62">
        <v>31.09</v>
      </c>
      <c r="AA62">
        <v>3.09</v>
      </c>
      <c r="AB62">
        <v>1534.58</v>
      </c>
      <c r="AC62">
        <v>645.29</v>
      </c>
      <c r="AD62">
        <v>25.42</v>
      </c>
      <c r="AE62">
        <v>358.49</v>
      </c>
      <c r="AF62">
        <v>14.99</v>
      </c>
      <c r="AG62">
        <v>74.39</v>
      </c>
      <c r="AH62">
        <v>38.08</v>
      </c>
      <c r="AI62">
        <v>26.95</v>
      </c>
      <c r="AJ62">
        <v>61.54</v>
      </c>
      <c r="AK62">
        <v>113.77</v>
      </c>
      <c r="AL62">
        <v>6.99</v>
      </c>
      <c r="AM62">
        <v>626.78</v>
      </c>
      <c r="AN62">
        <v>7.5</v>
      </c>
      <c r="AO62">
        <v>164.31</v>
      </c>
    </row>
    <row r="63" spans="1:41" ht="15.75">
      <c r="A63" t="s">
        <v>193</v>
      </c>
      <c r="B63" s="8" t="s">
        <v>904</v>
      </c>
      <c r="C63" s="8" t="s">
        <v>1154</v>
      </c>
      <c r="D63" t="s">
        <v>858</v>
      </c>
      <c r="E63" t="s">
        <v>863</v>
      </c>
      <c r="F63" t="s">
        <v>860</v>
      </c>
      <c r="G63" s="7">
        <v>34311</v>
      </c>
      <c r="H63" s="7">
        <v>44148</v>
      </c>
      <c r="I63">
        <f t="shared" si="3"/>
        <v>26</v>
      </c>
      <c r="J63">
        <v>1</v>
      </c>
      <c r="K63" t="s">
        <v>857</v>
      </c>
      <c r="L63">
        <v>1823</v>
      </c>
      <c r="M63">
        <v>9</v>
      </c>
      <c r="N63" s="2">
        <v>0</v>
      </c>
      <c r="O63" s="2">
        <v>2</v>
      </c>
      <c r="P63" s="19">
        <v>1</v>
      </c>
      <c r="Q63" s="19">
        <v>0</v>
      </c>
      <c r="R63" t="s">
        <v>193</v>
      </c>
      <c r="S63" t="str">
        <f t="shared" si="4"/>
        <v>TRUE</v>
      </c>
      <c r="T63">
        <v>17.100000000000001</v>
      </c>
      <c r="U63">
        <v>3.51</v>
      </c>
      <c r="V63">
        <v>16.16</v>
      </c>
      <c r="W63">
        <v>264.5</v>
      </c>
      <c r="X63">
        <v>204.83</v>
      </c>
      <c r="Y63">
        <v>20.75</v>
      </c>
      <c r="Z63">
        <v>318.43</v>
      </c>
      <c r="AA63">
        <v>3.23</v>
      </c>
      <c r="AB63">
        <v>552.89</v>
      </c>
      <c r="AC63">
        <v>305.87</v>
      </c>
      <c r="AD63">
        <v>29.3</v>
      </c>
      <c r="AE63">
        <v>173.43</v>
      </c>
      <c r="AF63">
        <v>21.44</v>
      </c>
      <c r="AG63">
        <v>172.13</v>
      </c>
      <c r="AH63">
        <v>179.59</v>
      </c>
      <c r="AI63">
        <v>69.91</v>
      </c>
      <c r="AJ63">
        <v>267.56</v>
      </c>
      <c r="AK63">
        <v>51.54</v>
      </c>
      <c r="AL63">
        <v>39.590000000000003</v>
      </c>
      <c r="AM63">
        <v>214.79</v>
      </c>
      <c r="AN63">
        <v>7.17</v>
      </c>
      <c r="AO63">
        <v>103.68</v>
      </c>
    </row>
    <row r="64" spans="1:41" ht="15.75">
      <c r="A64" t="s">
        <v>379</v>
      </c>
      <c r="B64" s="8" t="s">
        <v>956</v>
      </c>
      <c r="C64" s="8" t="s">
        <v>1155</v>
      </c>
      <c r="D64" t="s">
        <v>858</v>
      </c>
      <c r="E64" t="s">
        <v>863</v>
      </c>
      <c r="F64" t="s">
        <v>864</v>
      </c>
      <c r="G64" s="7">
        <v>33826</v>
      </c>
      <c r="H64" s="7">
        <v>44152</v>
      </c>
      <c r="I64">
        <f t="shared" si="3"/>
        <v>28</v>
      </c>
      <c r="J64">
        <v>1</v>
      </c>
      <c r="K64" t="s">
        <v>857</v>
      </c>
      <c r="L64">
        <v>2210</v>
      </c>
      <c r="M64">
        <v>10</v>
      </c>
      <c r="N64" s="2">
        <v>0</v>
      </c>
      <c r="O64" s="2">
        <v>2</v>
      </c>
      <c r="P64" s="19">
        <v>1</v>
      </c>
      <c r="Q64" s="19">
        <v>0</v>
      </c>
      <c r="R64" t="s">
        <v>379</v>
      </c>
      <c r="S64" t="str">
        <f t="shared" si="4"/>
        <v>TRUE</v>
      </c>
      <c r="T64">
        <v>12.37</v>
      </c>
      <c r="U64">
        <v>0.99</v>
      </c>
      <c r="V64">
        <v>9.09</v>
      </c>
      <c r="W64">
        <v>345.77</v>
      </c>
      <c r="X64">
        <v>9.65</v>
      </c>
      <c r="Y64">
        <v>55.11</v>
      </c>
      <c r="Z64">
        <v>9.39</v>
      </c>
      <c r="AA64" s="13">
        <v>0.99</v>
      </c>
      <c r="AB64">
        <v>575.85</v>
      </c>
      <c r="AC64">
        <v>724.71</v>
      </c>
      <c r="AD64">
        <v>13.63</v>
      </c>
      <c r="AE64">
        <v>130.16999999999999</v>
      </c>
      <c r="AF64">
        <v>2.77</v>
      </c>
      <c r="AG64">
        <v>84.83</v>
      </c>
      <c r="AH64">
        <v>143.38</v>
      </c>
      <c r="AI64">
        <v>21.58</v>
      </c>
      <c r="AJ64">
        <v>111.71</v>
      </c>
      <c r="AK64">
        <v>22.44</v>
      </c>
      <c r="AL64">
        <v>7.36</v>
      </c>
      <c r="AM64">
        <v>398.55</v>
      </c>
      <c r="AN64" s="14">
        <v>4.99</v>
      </c>
      <c r="AO64">
        <v>66.739999999999995</v>
      </c>
    </row>
    <row r="65" spans="1:41" ht="15.75">
      <c r="A65" t="s">
        <v>430</v>
      </c>
      <c r="B65" s="8" t="s">
        <v>957</v>
      </c>
      <c r="C65" s="8" t="s">
        <v>1156</v>
      </c>
      <c r="D65" t="s">
        <v>858</v>
      </c>
      <c r="E65" t="s">
        <v>863</v>
      </c>
      <c r="F65" t="s">
        <v>864</v>
      </c>
      <c r="G65" s="7">
        <v>35769</v>
      </c>
      <c r="H65" s="7">
        <v>44162</v>
      </c>
      <c r="I65">
        <f t="shared" si="3"/>
        <v>22</v>
      </c>
      <c r="J65">
        <v>1</v>
      </c>
      <c r="K65" t="s">
        <v>861</v>
      </c>
      <c r="L65">
        <v>7900</v>
      </c>
      <c r="M65">
        <v>13</v>
      </c>
      <c r="N65" s="2">
        <v>1</v>
      </c>
      <c r="O65" s="2">
        <v>2</v>
      </c>
      <c r="P65" s="19">
        <v>1</v>
      </c>
      <c r="Q65" s="19">
        <v>0</v>
      </c>
      <c r="R65" t="s">
        <v>430</v>
      </c>
      <c r="S65" t="str">
        <f t="shared" si="4"/>
        <v>TRUE</v>
      </c>
      <c r="T65">
        <v>17.04</v>
      </c>
      <c r="U65">
        <v>6.31</v>
      </c>
      <c r="V65">
        <v>224.98</v>
      </c>
      <c r="W65">
        <v>244.97</v>
      </c>
      <c r="X65">
        <v>122.4</v>
      </c>
      <c r="Y65">
        <v>79.06</v>
      </c>
      <c r="Z65">
        <v>51.01</v>
      </c>
      <c r="AA65">
        <v>7.06</v>
      </c>
      <c r="AB65">
        <v>2020.47</v>
      </c>
      <c r="AC65">
        <v>425.91</v>
      </c>
      <c r="AD65">
        <v>340.75</v>
      </c>
      <c r="AE65">
        <v>676.84</v>
      </c>
      <c r="AF65">
        <v>44.14</v>
      </c>
      <c r="AG65">
        <v>285.7</v>
      </c>
      <c r="AH65">
        <v>83.09</v>
      </c>
      <c r="AI65">
        <v>92.62</v>
      </c>
      <c r="AJ65">
        <v>105.01</v>
      </c>
      <c r="AK65">
        <v>120.54</v>
      </c>
      <c r="AL65">
        <v>30.19</v>
      </c>
      <c r="AM65">
        <v>290.32</v>
      </c>
      <c r="AN65">
        <v>63.15</v>
      </c>
      <c r="AO65">
        <v>47.58</v>
      </c>
    </row>
    <row r="66" spans="1:41" ht="15.75">
      <c r="A66" t="s">
        <v>571</v>
      </c>
      <c r="B66" s="8" t="s">
        <v>958</v>
      </c>
      <c r="C66" s="8" t="s">
        <v>1157</v>
      </c>
      <c r="D66" t="s">
        <v>858</v>
      </c>
      <c r="E66" t="s">
        <v>863</v>
      </c>
      <c r="F66" t="s">
        <v>864</v>
      </c>
      <c r="G66" s="7">
        <v>28094</v>
      </c>
      <c r="H66" s="7">
        <v>44169</v>
      </c>
      <c r="I66">
        <f t="shared" si="3"/>
        <v>44</v>
      </c>
      <c r="J66">
        <v>1</v>
      </c>
      <c r="K66" t="s">
        <v>857</v>
      </c>
      <c r="L66">
        <v>659</v>
      </c>
      <c r="M66">
        <v>6</v>
      </c>
      <c r="N66" s="2">
        <v>1</v>
      </c>
      <c r="O66" s="2">
        <v>2</v>
      </c>
      <c r="P66" s="19">
        <v>1</v>
      </c>
      <c r="Q66" s="19">
        <v>0</v>
      </c>
      <c r="R66" t="s">
        <v>571</v>
      </c>
      <c r="S66" t="str">
        <f t="shared" si="4"/>
        <v>TRUE</v>
      </c>
      <c r="T66">
        <v>29.18</v>
      </c>
      <c r="U66">
        <v>2.15</v>
      </c>
      <c r="V66">
        <v>67.61</v>
      </c>
      <c r="W66">
        <v>254.9</v>
      </c>
      <c r="X66">
        <v>75.66</v>
      </c>
      <c r="Y66">
        <v>46.22</v>
      </c>
      <c r="Z66">
        <v>72.349999999999994</v>
      </c>
      <c r="AA66">
        <v>5.83</v>
      </c>
      <c r="AB66">
        <v>1940</v>
      </c>
      <c r="AC66">
        <v>661.35</v>
      </c>
      <c r="AD66">
        <v>191.94</v>
      </c>
      <c r="AE66">
        <v>445.55</v>
      </c>
      <c r="AF66">
        <v>7.68</v>
      </c>
      <c r="AG66">
        <v>114.34</v>
      </c>
      <c r="AH66">
        <v>39.54</v>
      </c>
      <c r="AI66">
        <v>28.22</v>
      </c>
      <c r="AJ66">
        <v>25.23</v>
      </c>
      <c r="AK66">
        <v>41.29</v>
      </c>
      <c r="AL66" s="14">
        <v>4.99</v>
      </c>
      <c r="AM66">
        <v>354.88</v>
      </c>
      <c r="AN66">
        <v>20.98</v>
      </c>
      <c r="AO66">
        <v>40.28</v>
      </c>
    </row>
    <row r="67" spans="1:41">
      <c r="A67" t="s">
        <v>799</v>
      </c>
      <c r="B67" s="8" t="s">
        <v>935</v>
      </c>
      <c r="C67" s="8" t="s">
        <v>1153</v>
      </c>
      <c r="D67" t="s">
        <v>858</v>
      </c>
      <c r="E67" t="s">
        <v>859</v>
      </c>
      <c r="F67" t="s">
        <v>860</v>
      </c>
      <c r="G67" s="7">
        <v>33801</v>
      </c>
      <c r="H67" s="7">
        <v>44173</v>
      </c>
      <c r="I67">
        <f t="shared" si="3"/>
        <v>28</v>
      </c>
      <c r="J67">
        <v>2</v>
      </c>
      <c r="K67" t="s">
        <v>857</v>
      </c>
      <c r="L67">
        <v>470</v>
      </c>
      <c r="M67">
        <v>0</v>
      </c>
      <c r="N67" s="22">
        <v>0</v>
      </c>
      <c r="O67" s="22">
        <v>2</v>
      </c>
      <c r="P67" s="18">
        <v>1</v>
      </c>
      <c r="Q67" s="18">
        <v>0</v>
      </c>
      <c r="R67" t="s">
        <v>799</v>
      </c>
      <c r="S67" t="str">
        <f t="shared" ref="S67:S98" si="5">+IF(A67=R67, "TRUE", "FALSE")</f>
        <v>TRUE</v>
      </c>
      <c r="T67">
        <v>23.02</v>
      </c>
      <c r="U67">
        <v>3.59</v>
      </c>
      <c r="V67">
        <v>52.16</v>
      </c>
      <c r="W67">
        <v>220</v>
      </c>
      <c r="X67">
        <v>47.29</v>
      </c>
      <c r="Y67">
        <v>21</v>
      </c>
      <c r="Z67">
        <v>78.680000000000007</v>
      </c>
      <c r="AA67">
        <v>10.33</v>
      </c>
      <c r="AB67">
        <v>2362.12</v>
      </c>
      <c r="AC67">
        <v>948.75</v>
      </c>
      <c r="AD67">
        <v>281.94</v>
      </c>
      <c r="AE67" s="14">
        <v>1000.01</v>
      </c>
      <c r="AF67">
        <v>71.599999999999994</v>
      </c>
      <c r="AG67">
        <v>179.9</v>
      </c>
      <c r="AH67">
        <v>69.5</v>
      </c>
      <c r="AI67">
        <v>71.180000000000007</v>
      </c>
      <c r="AJ67">
        <v>35.950000000000003</v>
      </c>
      <c r="AK67">
        <v>133.82</v>
      </c>
      <c r="AL67">
        <v>20.29</v>
      </c>
      <c r="AM67">
        <v>402.06</v>
      </c>
      <c r="AN67">
        <v>20.239999999999998</v>
      </c>
      <c r="AO67">
        <v>142.81</v>
      </c>
    </row>
    <row r="68" spans="1:41">
      <c r="A68" t="s">
        <v>433</v>
      </c>
      <c r="B68" s="8" t="s">
        <v>926</v>
      </c>
      <c r="C68" s="8" t="s">
        <v>1156</v>
      </c>
      <c r="D68" t="s">
        <v>858</v>
      </c>
      <c r="E68" t="s">
        <v>863</v>
      </c>
      <c r="F68" t="s">
        <v>864</v>
      </c>
      <c r="G68" s="7">
        <v>35769</v>
      </c>
      <c r="H68" s="7">
        <v>44182</v>
      </c>
      <c r="I68">
        <f t="shared" si="3"/>
        <v>23</v>
      </c>
      <c r="J68">
        <v>2</v>
      </c>
      <c r="K68" t="s">
        <v>861</v>
      </c>
      <c r="L68">
        <v>200</v>
      </c>
      <c r="M68">
        <v>1</v>
      </c>
      <c r="N68" s="22">
        <v>1</v>
      </c>
      <c r="O68" s="22">
        <v>2</v>
      </c>
      <c r="P68" s="23">
        <v>1</v>
      </c>
      <c r="Q68" s="23">
        <v>0</v>
      </c>
      <c r="R68" t="s">
        <v>433</v>
      </c>
      <c r="S68" t="str">
        <f t="shared" si="5"/>
        <v>TRUE</v>
      </c>
      <c r="T68">
        <v>22.02</v>
      </c>
      <c r="U68">
        <v>8.42</v>
      </c>
      <c r="V68">
        <v>35.119999999999997</v>
      </c>
      <c r="W68">
        <v>74.73</v>
      </c>
      <c r="X68">
        <v>146.88999999999999</v>
      </c>
      <c r="Y68">
        <v>14.15</v>
      </c>
      <c r="Z68">
        <v>49.38</v>
      </c>
      <c r="AA68">
        <v>11.5</v>
      </c>
      <c r="AB68">
        <v>414.36</v>
      </c>
      <c r="AC68">
        <v>44.52</v>
      </c>
      <c r="AD68">
        <v>27.16</v>
      </c>
      <c r="AE68">
        <v>110.47</v>
      </c>
      <c r="AF68">
        <v>11.72</v>
      </c>
      <c r="AG68">
        <v>32.619999999999997</v>
      </c>
      <c r="AH68">
        <v>5.35</v>
      </c>
      <c r="AI68">
        <v>6.97</v>
      </c>
      <c r="AJ68">
        <v>12.94</v>
      </c>
      <c r="AK68">
        <v>43.77</v>
      </c>
      <c r="AL68">
        <v>6.88</v>
      </c>
      <c r="AM68">
        <v>66.510000000000005</v>
      </c>
      <c r="AN68">
        <v>12.21</v>
      </c>
      <c r="AO68">
        <v>9.3800000000000008</v>
      </c>
    </row>
    <row r="69" spans="1:41">
      <c r="A69" t="s">
        <v>265</v>
      </c>
      <c r="B69" s="8" t="s">
        <v>953</v>
      </c>
      <c r="C69" s="8" t="s">
        <v>1152</v>
      </c>
      <c r="D69" t="s">
        <v>858</v>
      </c>
      <c r="E69" t="s">
        <v>859</v>
      </c>
      <c r="F69" t="s">
        <v>864</v>
      </c>
      <c r="G69" s="7">
        <v>16624</v>
      </c>
      <c r="H69" s="7">
        <v>44172</v>
      </c>
      <c r="I69">
        <f t="shared" si="3"/>
        <v>75</v>
      </c>
      <c r="J69">
        <v>2</v>
      </c>
      <c r="K69" t="s">
        <v>861</v>
      </c>
      <c r="L69">
        <v>124</v>
      </c>
      <c r="M69">
        <v>0</v>
      </c>
      <c r="N69" s="22">
        <v>1</v>
      </c>
      <c r="O69" s="22">
        <v>2</v>
      </c>
      <c r="P69" s="23">
        <v>1</v>
      </c>
      <c r="Q69" s="23">
        <v>0</v>
      </c>
      <c r="R69" t="s">
        <v>265</v>
      </c>
      <c r="S69" t="str">
        <f t="shared" si="5"/>
        <v>TRUE</v>
      </c>
      <c r="T69">
        <v>4.8600000000000003</v>
      </c>
      <c r="U69">
        <v>2.89</v>
      </c>
      <c r="V69">
        <v>71.95</v>
      </c>
      <c r="W69">
        <v>309.3</v>
      </c>
      <c r="X69">
        <v>130.94</v>
      </c>
      <c r="Y69">
        <v>42.17</v>
      </c>
      <c r="Z69">
        <v>21.76</v>
      </c>
      <c r="AA69">
        <v>1.06</v>
      </c>
      <c r="AB69">
        <v>809.7</v>
      </c>
      <c r="AC69">
        <v>338.44</v>
      </c>
      <c r="AD69">
        <v>29.65</v>
      </c>
      <c r="AE69">
        <v>268.08</v>
      </c>
      <c r="AF69">
        <v>2.85</v>
      </c>
      <c r="AG69">
        <v>40.229999999999997</v>
      </c>
      <c r="AH69">
        <v>23.16</v>
      </c>
      <c r="AI69">
        <v>23.02</v>
      </c>
      <c r="AJ69">
        <v>29.22</v>
      </c>
      <c r="AK69">
        <v>81.97</v>
      </c>
      <c r="AL69" s="14">
        <v>4.99</v>
      </c>
      <c r="AM69">
        <v>426.26</v>
      </c>
      <c r="AN69">
        <v>23.08</v>
      </c>
      <c r="AO69">
        <v>78.67</v>
      </c>
    </row>
    <row r="70" spans="1:41">
      <c r="A70" t="s">
        <v>574</v>
      </c>
      <c r="B70" s="8" t="s">
        <v>927</v>
      </c>
      <c r="C70" s="8" t="s">
        <v>1157</v>
      </c>
      <c r="D70" t="s">
        <v>858</v>
      </c>
      <c r="E70" t="s">
        <v>863</v>
      </c>
      <c r="F70" t="s">
        <v>864</v>
      </c>
      <c r="G70" s="7">
        <v>28094</v>
      </c>
      <c r="H70" s="7">
        <v>44251</v>
      </c>
      <c r="I70">
        <f t="shared" si="3"/>
        <v>44</v>
      </c>
      <c r="J70">
        <v>2</v>
      </c>
      <c r="K70" t="s">
        <v>857</v>
      </c>
      <c r="L70">
        <v>20</v>
      </c>
      <c r="M70">
        <v>0</v>
      </c>
      <c r="N70" s="22">
        <v>1</v>
      </c>
      <c r="O70" s="22">
        <v>2</v>
      </c>
      <c r="P70" s="23">
        <v>3</v>
      </c>
      <c r="Q70" s="23">
        <v>1</v>
      </c>
      <c r="R70" t="s">
        <v>574</v>
      </c>
      <c r="S70" t="str">
        <f t="shared" si="5"/>
        <v>TRUE</v>
      </c>
      <c r="T70">
        <v>32.369999999999997</v>
      </c>
      <c r="U70">
        <v>8.2899999999999991</v>
      </c>
      <c r="V70">
        <v>228.73</v>
      </c>
      <c r="W70">
        <v>556.62</v>
      </c>
      <c r="X70">
        <v>497.59</v>
      </c>
      <c r="Y70">
        <v>148.38999999999999</v>
      </c>
      <c r="Z70">
        <v>399.53</v>
      </c>
      <c r="AA70">
        <v>11.44</v>
      </c>
      <c r="AB70">
        <v>1006.54</v>
      </c>
      <c r="AC70">
        <v>402.73</v>
      </c>
      <c r="AD70">
        <v>223.38</v>
      </c>
      <c r="AE70">
        <v>494.95</v>
      </c>
      <c r="AF70">
        <v>12.86</v>
      </c>
      <c r="AG70">
        <v>82.17</v>
      </c>
      <c r="AH70">
        <v>26.81</v>
      </c>
      <c r="AI70">
        <v>36.56</v>
      </c>
      <c r="AJ70">
        <v>54.46</v>
      </c>
      <c r="AK70">
        <v>99.28</v>
      </c>
      <c r="AL70">
        <v>15.25</v>
      </c>
      <c r="AM70">
        <v>360.94</v>
      </c>
      <c r="AN70">
        <v>69.06</v>
      </c>
      <c r="AO70">
        <v>109.81</v>
      </c>
    </row>
    <row r="71" spans="1:41">
      <c r="A71" t="s">
        <v>190</v>
      </c>
      <c r="B71" s="8" t="s">
        <v>910</v>
      </c>
      <c r="C71" s="8" t="s">
        <v>1154</v>
      </c>
      <c r="D71" t="s">
        <v>858</v>
      </c>
      <c r="E71" t="s">
        <v>863</v>
      </c>
      <c r="F71" t="s">
        <v>860</v>
      </c>
      <c r="G71" s="7">
        <v>34311</v>
      </c>
      <c r="H71" s="7">
        <v>44259</v>
      </c>
      <c r="I71">
        <f t="shared" si="3"/>
        <v>27</v>
      </c>
      <c r="J71">
        <v>2</v>
      </c>
      <c r="K71" t="s">
        <v>857</v>
      </c>
      <c r="L71">
        <v>1826</v>
      </c>
      <c r="M71">
        <v>6</v>
      </c>
      <c r="N71" s="22">
        <v>0</v>
      </c>
      <c r="O71" s="22">
        <v>2</v>
      </c>
      <c r="P71" s="23">
        <v>1</v>
      </c>
      <c r="Q71" s="23">
        <v>0</v>
      </c>
      <c r="R71" t="s">
        <v>190</v>
      </c>
      <c r="S71" t="str">
        <f t="shared" si="5"/>
        <v>TRUE</v>
      </c>
      <c r="T71">
        <v>14.52</v>
      </c>
      <c r="U71">
        <v>1.53</v>
      </c>
      <c r="V71">
        <v>14.07</v>
      </c>
      <c r="W71">
        <v>49.01</v>
      </c>
      <c r="X71">
        <v>55.61</v>
      </c>
      <c r="Y71">
        <v>7.59</v>
      </c>
      <c r="Z71">
        <v>21.44</v>
      </c>
      <c r="AA71">
        <v>0.99</v>
      </c>
      <c r="AB71">
        <v>1329.03</v>
      </c>
      <c r="AC71">
        <v>303.51</v>
      </c>
      <c r="AD71">
        <v>72.349999999999994</v>
      </c>
      <c r="AE71">
        <v>422.2</v>
      </c>
      <c r="AF71">
        <v>21.36</v>
      </c>
      <c r="AG71">
        <v>497.03</v>
      </c>
      <c r="AH71">
        <v>184.5</v>
      </c>
      <c r="AI71">
        <v>198.37</v>
      </c>
      <c r="AJ71">
        <v>166.17</v>
      </c>
      <c r="AK71">
        <v>73.8</v>
      </c>
      <c r="AL71">
        <v>43.06</v>
      </c>
      <c r="AM71">
        <v>127.1</v>
      </c>
      <c r="AN71">
        <v>8.2100000000000009</v>
      </c>
      <c r="AO71">
        <v>56.69</v>
      </c>
    </row>
    <row r="72" spans="1:41">
      <c r="A72" t="s">
        <v>529</v>
      </c>
      <c r="B72" s="8" t="s">
        <v>1122</v>
      </c>
      <c r="C72" s="8" t="s">
        <v>1151</v>
      </c>
      <c r="D72" t="s">
        <v>858</v>
      </c>
      <c r="E72" t="s">
        <v>863</v>
      </c>
      <c r="F72" t="s">
        <v>864</v>
      </c>
      <c r="G72" s="7">
        <v>23988</v>
      </c>
      <c r="H72" s="7">
        <v>44264</v>
      </c>
      <c r="I72">
        <f t="shared" si="3"/>
        <v>55</v>
      </c>
      <c r="J72">
        <v>2</v>
      </c>
      <c r="K72" t="s">
        <v>861</v>
      </c>
      <c r="L72">
        <v>57</v>
      </c>
      <c r="M72">
        <v>1</v>
      </c>
      <c r="N72" s="22">
        <v>1</v>
      </c>
      <c r="O72" s="22">
        <v>2</v>
      </c>
      <c r="P72" s="23">
        <v>0</v>
      </c>
      <c r="Q72" s="23">
        <v>0</v>
      </c>
      <c r="R72" t="s">
        <v>529</v>
      </c>
      <c r="S72" t="str">
        <f t="shared" si="5"/>
        <v>TRUE</v>
      </c>
      <c r="T72">
        <v>27.1</v>
      </c>
      <c r="U72">
        <v>9.56</v>
      </c>
      <c r="V72">
        <v>240.11</v>
      </c>
      <c r="W72">
        <v>395.03</v>
      </c>
      <c r="X72">
        <v>104.02</v>
      </c>
      <c r="Y72">
        <v>52.07</v>
      </c>
      <c r="Z72">
        <v>58.92</v>
      </c>
      <c r="AA72">
        <v>2.71</v>
      </c>
      <c r="AB72">
        <v>2500.0100000000002</v>
      </c>
      <c r="AC72" s="14">
        <v>2500.0100000000002</v>
      </c>
      <c r="AD72">
        <v>245.38</v>
      </c>
      <c r="AE72" s="14">
        <v>1000.01</v>
      </c>
      <c r="AF72">
        <v>25.07</v>
      </c>
      <c r="AG72">
        <v>703.33</v>
      </c>
      <c r="AH72">
        <v>407.33</v>
      </c>
      <c r="AI72">
        <v>934.19</v>
      </c>
      <c r="AJ72">
        <v>48.23</v>
      </c>
      <c r="AK72">
        <v>118.12</v>
      </c>
      <c r="AL72">
        <v>5.96</v>
      </c>
      <c r="AM72">
        <v>608.11</v>
      </c>
      <c r="AN72">
        <v>25.1</v>
      </c>
      <c r="AO72">
        <v>157.11000000000001</v>
      </c>
    </row>
  </sheetData>
  <autoFilter ref="J1:J71" xr:uid="{DE278A38-8B90-2C42-8952-F99713941EFC}"/>
  <sortState xmlns:xlrd2="http://schemas.microsoft.com/office/spreadsheetml/2017/richdata2" ref="A2:AO73">
    <sortCondition ref="R1:R73"/>
  </sortState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C967-FE30-434F-827D-DBEBD05601E6}">
  <dimension ref="A1:AQ76"/>
  <sheetViews>
    <sheetView topLeftCell="K1" workbookViewId="0">
      <pane ySplit="1" topLeftCell="A2" activePane="bottomLeft" state="frozen"/>
      <selection pane="bottomLeft" activeCell="S81" sqref="S81"/>
    </sheetView>
  </sheetViews>
  <sheetFormatPr defaultColWidth="11.42578125" defaultRowHeight="15"/>
  <sheetData>
    <row r="1" spans="1:43" ht="15.75">
      <c r="A1" s="8" t="s">
        <v>890</v>
      </c>
      <c r="B1" s="8" t="s">
        <v>889</v>
      </c>
      <c r="C1" s="8" t="s">
        <v>892</v>
      </c>
      <c r="D1" s="8" t="s">
        <v>890</v>
      </c>
      <c r="E1" s="8" t="s">
        <v>875</v>
      </c>
      <c r="F1" s="8" t="s">
        <v>876</v>
      </c>
      <c r="G1" s="8" t="s">
        <v>877</v>
      </c>
      <c r="H1" s="8" t="s">
        <v>893</v>
      </c>
      <c r="I1" s="8" t="s">
        <v>878</v>
      </c>
      <c r="J1" s="8" t="s">
        <v>879</v>
      </c>
      <c r="K1" s="8" t="s">
        <v>880</v>
      </c>
      <c r="L1" s="8" t="s">
        <v>881</v>
      </c>
      <c r="M1" s="8" t="s">
        <v>882</v>
      </c>
      <c r="N1" s="8" t="s">
        <v>883</v>
      </c>
      <c r="O1" s="8" t="s">
        <v>884</v>
      </c>
      <c r="P1" s="17" t="s">
        <v>1053</v>
      </c>
      <c r="Q1" s="17" t="s">
        <v>1054</v>
      </c>
      <c r="R1" s="17" t="s">
        <v>1055</v>
      </c>
      <c r="S1" s="17" t="s">
        <v>1056</v>
      </c>
      <c r="T1" s="6" t="s">
        <v>8</v>
      </c>
      <c r="U1" s="6" t="s">
        <v>1051</v>
      </c>
      <c r="V1" s="8" t="s">
        <v>15</v>
      </c>
      <c r="W1" s="8" t="s">
        <v>27</v>
      </c>
      <c r="X1" s="8" t="s">
        <v>29</v>
      </c>
      <c r="Y1" s="8" t="s">
        <v>32</v>
      </c>
      <c r="Z1" s="8" t="s">
        <v>33</v>
      </c>
      <c r="AA1" s="8" t="s">
        <v>41</v>
      </c>
      <c r="AB1" s="8" t="s">
        <v>44</v>
      </c>
      <c r="AC1" s="8" t="s">
        <v>45</v>
      </c>
      <c r="AD1" s="8" t="s">
        <v>50</v>
      </c>
      <c r="AE1" s="8" t="s">
        <v>51</v>
      </c>
      <c r="AF1" s="8" t="s">
        <v>52</v>
      </c>
      <c r="AG1" s="8" t="s">
        <v>54</v>
      </c>
      <c r="AH1" s="8" t="s">
        <v>57</v>
      </c>
      <c r="AI1" s="8" t="s">
        <v>60</v>
      </c>
      <c r="AJ1" s="8" t="s">
        <v>61</v>
      </c>
      <c r="AK1" s="8" t="s">
        <v>65</v>
      </c>
      <c r="AL1" s="8" t="s">
        <v>66</v>
      </c>
      <c r="AM1" s="8" t="s">
        <v>73</v>
      </c>
      <c r="AN1" s="8" t="s">
        <v>74</v>
      </c>
      <c r="AO1" s="8" t="s">
        <v>76</v>
      </c>
      <c r="AP1" s="8" t="s">
        <v>79</v>
      </c>
      <c r="AQ1" s="8" t="s">
        <v>80</v>
      </c>
    </row>
    <row r="2" spans="1:43">
      <c r="A2" t="s">
        <v>247</v>
      </c>
      <c r="B2" s="8" t="s">
        <v>964</v>
      </c>
      <c r="C2" s="8" t="s">
        <v>965</v>
      </c>
      <c r="D2" t="s">
        <v>247</v>
      </c>
      <c r="E2" t="s">
        <v>858</v>
      </c>
      <c r="F2" t="s">
        <v>859</v>
      </c>
      <c r="G2" t="s">
        <v>860</v>
      </c>
      <c r="H2" t="s">
        <v>860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861</v>
      </c>
      <c r="N2">
        <v>667</v>
      </c>
      <c r="O2">
        <v>6</v>
      </c>
      <c r="P2">
        <v>0</v>
      </c>
      <c r="Q2" s="22">
        <v>1</v>
      </c>
      <c r="R2">
        <v>0</v>
      </c>
      <c r="S2">
        <v>1</v>
      </c>
      <c r="T2" t="s">
        <v>247</v>
      </c>
      <c r="U2" t="str">
        <f t="shared" ref="U2:U33" si="0">IF(A2=T2, "TRUE", "FALSE")</f>
        <v>TRUE</v>
      </c>
      <c r="V2">
        <v>5.41</v>
      </c>
      <c r="W2">
        <v>0.99</v>
      </c>
      <c r="X2">
        <v>0.99</v>
      </c>
      <c r="Y2">
        <v>0.99</v>
      </c>
      <c r="Z2">
        <v>29.76</v>
      </c>
      <c r="AA2">
        <v>1.31</v>
      </c>
      <c r="AB2">
        <v>56.2</v>
      </c>
      <c r="AC2" s="13">
        <v>0.99</v>
      </c>
      <c r="AD2">
        <v>1267.3499999999999</v>
      </c>
      <c r="AE2">
        <v>2.4900000000000002</v>
      </c>
      <c r="AF2">
        <v>8.73</v>
      </c>
      <c r="AG2" s="14">
        <v>1000.01</v>
      </c>
      <c r="AH2">
        <v>14.62</v>
      </c>
      <c r="AI2">
        <v>9.5399999999999991</v>
      </c>
      <c r="AJ2" s="14">
        <v>2.4900000000000002</v>
      </c>
      <c r="AK2">
        <v>23.32</v>
      </c>
      <c r="AL2" s="14">
        <v>9.99</v>
      </c>
      <c r="AM2">
        <v>332.48</v>
      </c>
      <c r="AN2" s="14">
        <v>4.99</v>
      </c>
      <c r="AO2" s="14">
        <v>4.99</v>
      </c>
      <c r="AP2">
        <v>36.71</v>
      </c>
      <c r="AQ2" s="14">
        <v>4.99</v>
      </c>
    </row>
    <row r="3" spans="1:43">
      <c r="A3" t="s">
        <v>235</v>
      </c>
      <c r="B3" s="8" t="s">
        <v>966</v>
      </c>
      <c r="C3" s="8" t="s">
        <v>965</v>
      </c>
      <c r="D3" t="s">
        <v>235</v>
      </c>
      <c r="E3" t="s">
        <v>858</v>
      </c>
      <c r="F3" t="s">
        <v>859</v>
      </c>
      <c r="G3" t="s">
        <v>860</v>
      </c>
      <c r="H3" t="s">
        <v>967</v>
      </c>
      <c r="I3" s="7">
        <v>34403</v>
      </c>
      <c r="J3" s="7">
        <v>43637</v>
      </c>
      <c r="K3">
        <v>25</v>
      </c>
      <c r="L3">
        <v>2</v>
      </c>
      <c r="M3" t="s">
        <v>861</v>
      </c>
      <c r="N3" t="s">
        <v>856</v>
      </c>
      <c r="O3">
        <v>5</v>
      </c>
      <c r="P3">
        <v>0</v>
      </c>
      <c r="Q3" s="22">
        <v>1</v>
      </c>
      <c r="R3">
        <v>0</v>
      </c>
      <c r="S3">
        <v>1</v>
      </c>
      <c r="T3" t="s">
        <v>235</v>
      </c>
      <c r="U3" t="str">
        <f t="shared" si="0"/>
        <v>TRUE</v>
      </c>
      <c r="V3">
        <v>6.59</v>
      </c>
      <c r="W3">
        <v>0.99</v>
      </c>
      <c r="X3">
        <v>0.99</v>
      </c>
      <c r="Y3">
        <v>0.99</v>
      </c>
      <c r="Z3">
        <v>117.25</v>
      </c>
      <c r="AA3">
        <v>2.1800000000000002</v>
      </c>
      <c r="AB3">
        <v>76.89</v>
      </c>
      <c r="AC3">
        <v>1.41</v>
      </c>
      <c r="AD3">
        <v>1126.0999999999999</v>
      </c>
      <c r="AE3">
        <v>2.4900000000000002</v>
      </c>
      <c r="AF3">
        <v>2.4900000000000002</v>
      </c>
      <c r="AG3" s="14">
        <v>1000.01</v>
      </c>
      <c r="AH3">
        <v>4.38</v>
      </c>
      <c r="AI3">
        <v>5.68</v>
      </c>
      <c r="AJ3" s="14">
        <v>2.4900000000000002</v>
      </c>
      <c r="AK3">
        <v>10.11</v>
      </c>
      <c r="AL3" s="14">
        <v>9.99</v>
      </c>
      <c r="AM3">
        <v>64.900000000000006</v>
      </c>
      <c r="AN3" s="14">
        <v>4.99</v>
      </c>
      <c r="AO3" s="14">
        <v>4.99</v>
      </c>
      <c r="AP3" s="14">
        <v>4.99</v>
      </c>
      <c r="AQ3" s="14">
        <v>4.99</v>
      </c>
    </row>
    <row r="4" spans="1:43">
      <c r="A4" t="s">
        <v>250</v>
      </c>
      <c r="B4" s="8" t="s">
        <v>968</v>
      </c>
      <c r="C4" s="8" t="s">
        <v>965</v>
      </c>
      <c r="D4" t="s">
        <v>250</v>
      </c>
      <c r="E4" t="s">
        <v>858</v>
      </c>
      <c r="F4" t="s">
        <v>859</v>
      </c>
      <c r="G4" t="s">
        <v>860</v>
      </c>
      <c r="H4" t="s">
        <v>967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861</v>
      </c>
      <c r="N4" t="s">
        <v>856</v>
      </c>
      <c r="O4">
        <v>5</v>
      </c>
      <c r="P4">
        <v>0</v>
      </c>
      <c r="Q4" s="22">
        <v>1</v>
      </c>
      <c r="R4">
        <v>0</v>
      </c>
      <c r="S4">
        <v>1</v>
      </c>
      <c r="T4" t="s">
        <v>250</v>
      </c>
      <c r="U4" t="str">
        <f t="shared" si="0"/>
        <v>TRUE</v>
      </c>
      <c r="V4">
        <v>7.3</v>
      </c>
      <c r="W4">
        <v>1.58</v>
      </c>
      <c r="X4">
        <v>0.99</v>
      </c>
      <c r="Y4">
        <v>0.99</v>
      </c>
      <c r="Z4">
        <v>67.59</v>
      </c>
      <c r="AA4">
        <v>1.1200000000000001</v>
      </c>
      <c r="AB4">
        <v>59.46</v>
      </c>
      <c r="AC4" s="13">
        <v>0.99</v>
      </c>
      <c r="AD4">
        <v>2311.4299999999998</v>
      </c>
      <c r="AE4">
        <v>2.4900000000000002</v>
      </c>
      <c r="AF4">
        <v>7.95</v>
      </c>
      <c r="AG4" s="14">
        <v>1000.01</v>
      </c>
      <c r="AH4">
        <v>32.11</v>
      </c>
      <c r="AI4">
        <v>17.989999999999998</v>
      </c>
      <c r="AJ4" s="14">
        <v>2.4900000000000002</v>
      </c>
      <c r="AK4">
        <v>35.78</v>
      </c>
      <c r="AL4" s="14">
        <v>9.99</v>
      </c>
      <c r="AM4">
        <v>114.95</v>
      </c>
      <c r="AN4" s="14">
        <v>4.99</v>
      </c>
      <c r="AO4" s="14">
        <v>4.99</v>
      </c>
      <c r="AP4" s="14">
        <v>4.99</v>
      </c>
      <c r="AQ4" s="14">
        <v>4.99</v>
      </c>
    </row>
    <row r="5" spans="1:43">
      <c r="A5" t="s">
        <v>259</v>
      </c>
      <c r="B5" s="8" t="s">
        <v>969</v>
      </c>
      <c r="C5" s="8" t="s">
        <v>965</v>
      </c>
      <c r="D5" t="s">
        <v>259</v>
      </c>
      <c r="E5" t="s">
        <v>858</v>
      </c>
      <c r="F5" t="s">
        <v>859</v>
      </c>
      <c r="G5" t="s">
        <v>860</v>
      </c>
      <c r="H5" t="s">
        <v>967</v>
      </c>
      <c r="I5" s="7">
        <v>34403</v>
      </c>
      <c r="J5" s="7">
        <v>43655</v>
      </c>
      <c r="K5">
        <v>25</v>
      </c>
      <c r="L5">
        <v>4</v>
      </c>
      <c r="M5" t="s">
        <v>861</v>
      </c>
      <c r="N5" t="s">
        <v>856</v>
      </c>
      <c r="O5">
        <v>5</v>
      </c>
      <c r="P5">
        <v>0</v>
      </c>
      <c r="Q5" s="22">
        <v>1</v>
      </c>
      <c r="R5">
        <v>0</v>
      </c>
      <c r="S5">
        <v>1</v>
      </c>
      <c r="T5" t="s">
        <v>259</v>
      </c>
      <c r="U5" t="str">
        <f t="shared" si="0"/>
        <v>TRUE</v>
      </c>
      <c r="V5">
        <v>7.22</v>
      </c>
      <c r="W5">
        <v>2.95</v>
      </c>
      <c r="X5">
        <v>2.54</v>
      </c>
      <c r="Y5">
        <v>0.99</v>
      </c>
      <c r="Z5">
        <v>84.93</v>
      </c>
      <c r="AA5">
        <v>0.99</v>
      </c>
      <c r="AB5">
        <v>92.91</v>
      </c>
      <c r="AC5">
        <v>3.78</v>
      </c>
      <c r="AD5">
        <v>2500.0100000000002</v>
      </c>
      <c r="AE5">
        <v>2.4900000000000002</v>
      </c>
      <c r="AF5">
        <v>6.36</v>
      </c>
      <c r="AG5" s="14">
        <v>1000.01</v>
      </c>
      <c r="AH5">
        <v>42.33</v>
      </c>
      <c r="AI5">
        <v>27.48</v>
      </c>
      <c r="AJ5" s="14">
        <v>2.4900000000000002</v>
      </c>
      <c r="AK5">
        <v>45.7</v>
      </c>
      <c r="AL5" s="14">
        <v>9.99</v>
      </c>
      <c r="AM5">
        <v>125.88</v>
      </c>
      <c r="AN5" s="14">
        <v>4.99</v>
      </c>
      <c r="AO5">
        <v>5.7</v>
      </c>
      <c r="AP5" s="14">
        <v>4.99</v>
      </c>
      <c r="AQ5" s="14">
        <v>4.99</v>
      </c>
    </row>
    <row r="6" spans="1:43">
      <c r="A6" t="s">
        <v>397</v>
      </c>
      <c r="B6" s="8" t="s">
        <v>985</v>
      </c>
      <c r="C6" s="8" t="s">
        <v>986</v>
      </c>
      <c r="D6" t="s">
        <v>397</v>
      </c>
      <c r="E6" t="s">
        <v>858</v>
      </c>
      <c r="F6" t="s">
        <v>859</v>
      </c>
      <c r="G6" t="s">
        <v>864</v>
      </c>
      <c r="H6" t="s">
        <v>860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857</v>
      </c>
      <c r="N6">
        <v>4750</v>
      </c>
      <c r="O6">
        <v>10</v>
      </c>
      <c r="P6">
        <v>0</v>
      </c>
      <c r="Q6" s="22">
        <v>2</v>
      </c>
      <c r="R6">
        <v>1</v>
      </c>
      <c r="S6">
        <v>0</v>
      </c>
      <c r="T6" t="s">
        <v>397</v>
      </c>
      <c r="U6" t="str">
        <f t="shared" si="0"/>
        <v>TRUE</v>
      </c>
      <c r="V6">
        <v>13.38</v>
      </c>
      <c r="W6">
        <v>24.96</v>
      </c>
      <c r="X6">
        <v>19.8</v>
      </c>
      <c r="Y6">
        <v>419.89</v>
      </c>
      <c r="Z6" s="12">
        <v>1000.01</v>
      </c>
      <c r="AA6">
        <v>268.08</v>
      </c>
      <c r="AB6">
        <v>1000.01</v>
      </c>
      <c r="AC6">
        <v>73.38</v>
      </c>
      <c r="AD6">
        <v>2500.0100000000002</v>
      </c>
      <c r="AE6">
        <v>279.10000000000002</v>
      </c>
      <c r="AF6">
        <v>381.59</v>
      </c>
      <c r="AG6">
        <v>599.12</v>
      </c>
      <c r="AH6">
        <v>41.06</v>
      </c>
      <c r="AI6">
        <v>58.19</v>
      </c>
      <c r="AJ6">
        <v>5.57</v>
      </c>
      <c r="AK6">
        <v>14.45</v>
      </c>
      <c r="AL6">
        <v>13.48</v>
      </c>
      <c r="AM6">
        <v>109.43</v>
      </c>
      <c r="AN6">
        <v>6.45</v>
      </c>
      <c r="AO6">
        <v>173.06</v>
      </c>
      <c r="AP6">
        <v>59.79</v>
      </c>
      <c r="AQ6">
        <v>35.93</v>
      </c>
    </row>
    <row r="7" spans="1:43">
      <c r="A7" t="s">
        <v>256</v>
      </c>
      <c r="B7" s="8" t="s">
        <v>970</v>
      </c>
      <c r="C7" s="8" t="s">
        <v>965</v>
      </c>
      <c r="D7" t="s">
        <v>256</v>
      </c>
      <c r="E7" t="s">
        <v>858</v>
      </c>
      <c r="F7" t="s">
        <v>859</v>
      </c>
      <c r="G7" t="s">
        <v>860</v>
      </c>
      <c r="H7" t="s">
        <v>967</v>
      </c>
      <c r="I7" s="7">
        <v>34403</v>
      </c>
      <c r="J7" s="7">
        <v>43664</v>
      </c>
      <c r="K7">
        <v>25</v>
      </c>
      <c r="L7">
        <v>5</v>
      </c>
      <c r="M7" t="s">
        <v>861</v>
      </c>
      <c r="N7">
        <v>312</v>
      </c>
      <c r="O7">
        <v>3</v>
      </c>
      <c r="P7">
        <v>0</v>
      </c>
      <c r="Q7" s="22">
        <v>1</v>
      </c>
      <c r="R7">
        <v>0</v>
      </c>
      <c r="S7">
        <v>1</v>
      </c>
      <c r="T7" t="s">
        <v>256</v>
      </c>
      <c r="U7" t="str">
        <f t="shared" si="0"/>
        <v>TRUE</v>
      </c>
      <c r="V7">
        <v>10.87</v>
      </c>
      <c r="W7">
        <v>8.67</v>
      </c>
      <c r="X7">
        <v>19.010000000000002</v>
      </c>
      <c r="Y7" s="12">
        <v>0.99</v>
      </c>
      <c r="Z7">
        <v>166.79</v>
      </c>
      <c r="AA7">
        <v>1.79</v>
      </c>
      <c r="AB7">
        <v>280.73</v>
      </c>
      <c r="AC7">
        <v>13.48</v>
      </c>
      <c r="AD7">
        <v>2500.0100000000002</v>
      </c>
      <c r="AE7">
        <v>2.4900000000000002</v>
      </c>
      <c r="AF7">
        <v>16.62</v>
      </c>
      <c r="AG7" s="14">
        <v>1000.01</v>
      </c>
      <c r="AH7">
        <v>66.7</v>
      </c>
      <c r="AI7">
        <v>37.299999999999997</v>
      </c>
      <c r="AJ7" s="14">
        <v>2.4900000000000002</v>
      </c>
      <c r="AK7">
        <v>62.05</v>
      </c>
      <c r="AL7" s="14">
        <v>9.99</v>
      </c>
      <c r="AM7">
        <v>180.56</v>
      </c>
      <c r="AN7" s="14">
        <v>4.99</v>
      </c>
      <c r="AO7">
        <v>5.36</v>
      </c>
      <c r="AP7">
        <v>7.95</v>
      </c>
      <c r="AQ7" s="14">
        <v>4.99</v>
      </c>
    </row>
    <row r="8" spans="1:43">
      <c r="A8" t="s">
        <v>829</v>
      </c>
      <c r="B8" s="8" t="s">
        <v>979</v>
      </c>
      <c r="C8" s="8" t="s">
        <v>980</v>
      </c>
      <c r="D8" t="s">
        <v>829</v>
      </c>
      <c r="E8" t="s">
        <v>865</v>
      </c>
      <c r="F8" t="s">
        <v>866</v>
      </c>
      <c r="G8" t="s">
        <v>864</v>
      </c>
      <c r="H8" t="s">
        <v>860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861</v>
      </c>
      <c r="N8">
        <v>1013</v>
      </c>
      <c r="O8">
        <v>8</v>
      </c>
      <c r="P8">
        <v>1</v>
      </c>
      <c r="Q8">
        <v>2</v>
      </c>
      <c r="R8" s="12">
        <v>1</v>
      </c>
      <c r="S8" s="12">
        <v>0</v>
      </c>
      <c r="T8" t="s">
        <v>829</v>
      </c>
      <c r="U8" t="str">
        <f t="shared" si="0"/>
        <v>TRUE</v>
      </c>
      <c r="V8">
        <v>9.91</v>
      </c>
      <c r="W8">
        <v>0.99</v>
      </c>
      <c r="X8">
        <v>31.08</v>
      </c>
      <c r="Y8">
        <v>49.34</v>
      </c>
      <c r="Z8">
        <v>14.52</v>
      </c>
      <c r="AA8">
        <v>3.56</v>
      </c>
      <c r="AB8">
        <v>18.13</v>
      </c>
      <c r="AC8">
        <v>1.88</v>
      </c>
      <c r="AD8">
        <v>156.9</v>
      </c>
      <c r="AE8">
        <v>68.77</v>
      </c>
      <c r="AF8">
        <v>7.98</v>
      </c>
      <c r="AG8">
        <v>46.83</v>
      </c>
      <c r="AH8">
        <v>3.27</v>
      </c>
      <c r="AI8">
        <v>15.54</v>
      </c>
      <c r="AJ8">
        <v>7.33</v>
      </c>
      <c r="AK8">
        <v>11.75</v>
      </c>
      <c r="AL8">
        <v>58.86</v>
      </c>
      <c r="AM8">
        <v>35.47</v>
      </c>
      <c r="AN8">
        <v>5.32</v>
      </c>
      <c r="AO8">
        <v>262.2</v>
      </c>
      <c r="AP8">
        <v>14.9</v>
      </c>
      <c r="AQ8">
        <v>73.31</v>
      </c>
    </row>
    <row r="9" spans="1:43">
      <c r="A9" t="s">
        <v>361</v>
      </c>
      <c r="B9" s="8" t="s">
        <v>900</v>
      </c>
      <c r="C9" s="8" t="s">
        <v>973</v>
      </c>
      <c r="D9" t="s">
        <v>361</v>
      </c>
      <c r="E9" t="s">
        <v>858</v>
      </c>
      <c r="F9" t="s">
        <v>863</v>
      </c>
      <c r="G9" t="s">
        <v>864</v>
      </c>
      <c r="H9" t="s">
        <v>860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857</v>
      </c>
      <c r="N9">
        <v>11409</v>
      </c>
      <c r="O9">
        <v>10</v>
      </c>
      <c r="P9">
        <v>0</v>
      </c>
      <c r="Q9" s="22">
        <v>3</v>
      </c>
      <c r="R9">
        <v>1</v>
      </c>
      <c r="S9">
        <v>0</v>
      </c>
      <c r="T9" t="s">
        <v>361</v>
      </c>
      <c r="U9" t="str">
        <f t="shared" si="0"/>
        <v>TRUE</v>
      </c>
      <c r="V9">
        <v>8.7799999999999994</v>
      </c>
      <c r="W9">
        <v>1.07</v>
      </c>
      <c r="X9">
        <v>11.98</v>
      </c>
      <c r="Y9">
        <v>68.569999999999993</v>
      </c>
      <c r="Z9">
        <v>34.369999999999997</v>
      </c>
      <c r="AA9">
        <v>11.36</v>
      </c>
      <c r="AB9">
        <v>12.18</v>
      </c>
      <c r="AC9">
        <v>4.6900000000000004</v>
      </c>
      <c r="AD9">
        <v>844.42</v>
      </c>
      <c r="AE9">
        <v>269</v>
      </c>
      <c r="AF9">
        <v>82.87</v>
      </c>
      <c r="AG9">
        <v>325.45999999999998</v>
      </c>
      <c r="AH9">
        <v>27.43</v>
      </c>
      <c r="AI9">
        <v>310.77999999999997</v>
      </c>
      <c r="AJ9">
        <v>113.48</v>
      </c>
      <c r="AK9">
        <v>145.46</v>
      </c>
      <c r="AL9">
        <v>94.45</v>
      </c>
      <c r="AM9">
        <v>76.97</v>
      </c>
      <c r="AN9">
        <v>44.39</v>
      </c>
      <c r="AO9">
        <v>136.38</v>
      </c>
      <c r="AP9">
        <v>28.81</v>
      </c>
      <c r="AQ9">
        <v>87.68</v>
      </c>
    </row>
    <row r="10" spans="1:43">
      <c r="A10" t="s">
        <v>283</v>
      </c>
      <c r="B10" s="8" t="s">
        <v>1022</v>
      </c>
      <c r="C10" s="8" t="s">
        <v>1023</v>
      </c>
      <c r="D10" t="s">
        <v>283</v>
      </c>
      <c r="E10" t="s">
        <v>865</v>
      </c>
      <c r="F10" t="s">
        <v>874</v>
      </c>
      <c r="G10" t="s">
        <v>860</v>
      </c>
      <c r="H10" t="s">
        <v>860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861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">
        <v>283</v>
      </c>
      <c r="U10" t="str">
        <f t="shared" si="0"/>
        <v>TRUE</v>
      </c>
      <c r="V10">
        <v>9.1999999999999993</v>
      </c>
      <c r="W10">
        <v>22.07</v>
      </c>
      <c r="X10">
        <v>1000.01</v>
      </c>
      <c r="Y10">
        <v>0.99</v>
      </c>
      <c r="Z10">
        <v>555.4</v>
      </c>
      <c r="AA10">
        <v>309.16000000000003</v>
      </c>
      <c r="AB10">
        <v>44.23</v>
      </c>
      <c r="AC10">
        <v>1.18</v>
      </c>
      <c r="AD10">
        <v>2171.29</v>
      </c>
      <c r="AE10">
        <v>2.4900000000000002</v>
      </c>
      <c r="AF10">
        <v>380.93</v>
      </c>
      <c r="AG10">
        <v>453.63</v>
      </c>
      <c r="AH10">
        <v>5.4</v>
      </c>
      <c r="AI10">
        <v>5.74</v>
      </c>
      <c r="AJ10" s="14">
        <v>2.4900000000000002</v>
      </c>
      <c r="AK10" s="14">
        <v>2.4900000000000002</v>
      </c>
      <c r="AL10" s="14">
        <v>9.99</v>
      </c>
      <c r="AM10">
        <v>81.96</v>
      </c>
      <c r="AN10" s="14">
        <v>4.99</v>
      </c>
      <c r="AO10">
        <v>5.39</v>
      </c>
      <c r="AP10">
        <v>113.52</v>
      </c>
      <c r="AQ10" s="14">
        <v>4.99</v>
      </c>
    </row>
    <row r="11" spans="1:43">
      <c r="A11" t="s">
        <v>214</v>
      </c>
      <c r="B11" s="8" t="s">
        <v>993</v>
      </c>
      <c r="C11" s="8" t="s">
        <v>994</v>
      </c>
      <c r="D11" t="s">
        <v>214</v>
      </c>
      <c r="E11" t="s">
        <v>865</v>
      </c>
      <c r="F11" t="s">
        <v>873</v>
      </c>
      <c r="G11" t="s">
        <v>864</v>
      </c>
      <c r="H11" t="s">
        <v>864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861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">
        <v>214</v>
      </c>
      <c r="U11" t="str">
        <f t="shared" si="0"/>
        <v>TRUE</v>
      </c>
      <c r="V11">
        <v>15.33</v>
      </c>
      <c r="W11">
        <v>11.03</v>
      </c>
      <c r="X11">
        <v>50.22</v>
      </c>
      <c r="Y11" s="12">
        <v>1000.01</v>
      </c>
      <c r="Z11">
        <v>173.17</v>
      </c>
      <c r="AA11">
        <v>32.979999999999997</v>
      </c>
      <c r="AB11">
        <v>13.92</v>
      </c>
      <c r="AC11" s="13">
        <v>0.99</v>
      </c>
      <c r="AD11">
        <v>705.49</v>
      </c>
      <c r="AE11">
        <v>706.87</v>
      </c>
      <c r="AF11">
        <v>30.88</v>
      </c>
      <c r="AG11">
        <v>63.57</v>
      </c>
      <c r="AH11" s="14">
        <v>2.4900000000000002</v>
      </c>
      <c r="AI11">
        <v>23.96</v>
      </c>
      <c r="AJ11">
        <v>32.39</v>
      </c>
      <c r="AK11">
        <v>4.67</v>
      </c>
      <c r="AL11">
        <v>32.14</v>
      </c>
      <c r="AM11">
        <v>16.260000000000002</v>
      </c>
      <c r="AN11" s="14">
        <v>4.99</v>
      </c>
      <c r="AO11">
        <v>453.22</v>
      </c>
      <c r="AP11">
        <v>10.93</v>
      </c>
      <c r="AQ11">
        <v>64.78</v>
      </c>
    </row>
    <row r="12" spans="1:43">
      <c r="A12" t="s">
        <v>385</v>
      </c>
      <c r="B12" s="8" t="s">
        <v>987</v>
      </c>
      <c r="C12" s="8" t="s">
        <v>986</v>
      </c>
      <c r="D12" t="s">
        <v>385</v>
      </c>
      <c r="E12" t="s">
        <v>858</v>
      </c>
      <c r="F12" t="s">
        <v>859</v>
      </c>
      <c r="G12" t="s">
        <v>864</v>
      </c>
      <c r="H12" t="s">
        <v>967</v>
      </c>
      <c r="I12" s="7">
        <v>23568</v>
      </c>
      <c r="J12" s="7">
        <v>43679</v>
      </c>
      <c r="K12">
        <v>55</v>
      </c>
      <c r="L12">
        <v>2</v>
      </c>
      <c r="M12" t="s">
        <v>857</v>
      </c>
      <c r="N12" t="s">
        <v>856</v>
      </c>
      <c r="O12">
        <v>6</v>
      </c>
      <c r="P12">
        <v>0</v>
      </c>
      <c r="Q12" s="22">
        <v>2</v>
      </c>
      <c r="R12">
        <v>1</v>
      </c>
      <c r="S12">
        <v>0</v>
      </c>
      <c r="T12" t="s">
        <v>385</v>
      </c>
      <c r="U12" t="str">
        <f t="shared" si="0"/>
        <v>TRUE</v>
      </c>
      <c r="V12">
        <v>15.23</v>
      </c>
      <c r="W12">
        <v>1.1200000000000001</v>
      </c>
      <c r="X12">
        <v>52.94</v>
      </c>
      <c r="Y12">
        <v>38.96</v>
      </c>
      <c r="Z12">
        <v>46.64</v>
      </c>
      <c r="AA12">
        <v>10.37</v>
      </c>
      <c r="AB12">
        <v>75.92</v>
      </c>
      <c r="AC12">
        <v>8.08</v>
      </c>
      <c r="AD12">
        <v>874.36</v>
      </c>
      <c r="AE12">
        <v>146.66999999999999</v>
      </c>
      <c r="AF12">
        <v>257.52999999999997</v>
      </c>
      <c r="AG12">
        <v>366.63</v>
      </c>
      <c r="AH12">
        <v>35.67</v>
      </c>
      <c r="AI12">
        <v>41.42</v>
      </c>
      <c r="AJ12">
        <v>7.66</v>
      </c>
      <c r="AK12">
        <v>16.989999999999998</v>
      </c>
      <c r="AL12">
        <v>28.25</v>
      </c>
      <c r="AM12">
        <v>159.12</v>
      </c>
      <c r="AN12">
        <v>19.66</v>
      </c>
      <c r="AO12">
        <v>325.73</v>
      </c>
      <c r="AP12">
        <v>78.42</v>
      </c>
      <c r="AQ12">
        <v>80.709999999999994</v>
      </c>
    </row>
    <row r="13" spans="1:43">
      <c r="A13" t="s">
        <v>211</v>
      </c>
      <c r="B13" s="8" t="s">
        <v>995</v>
      </c>
      <c r="C13" s="8" t="s">
        <v>994</v>
      </c>
      <c r="D13" t="s">
        <v>211</v>
      </c>
      <c r="E13" t="s">
        <v>865</v>
      </c>
      <c r="F13" t="s">
        <v>873</v>
      </c>
      <c r="G13" t="s">
        <v>864</v>
      </c>
      <c r="H13" t="s">
        <v>967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861</v>
      </c>
      <c r="N13" t="s">
        <v>856</v>
      </c>
      <c r="O13">
        <v>1</v>
      </c>
      <c r="P13">
        <v>1</v>
      </c>
      <c r="Q13">
        <v>3</v>
      </c>
      <c r="R13">
        <v>1</v>
      </c>
      <c r="S13">
        <v>0</v>
      </c>
      <c r="T13" t="s">
        <v>211</v>
      </c>
      <c r="U13" t="str">
        <f t="shared" si="0"/>
        <v>TRUE</v>
      </c>
      <c r="V13">
        <v>9.5399999999999991</v>
      </c>
      <c r="W13">
        <v>2.46</v>
      </c>
      <c r="X13">
        <v>28.95</v>
      </c>
      <c r="Y13">
        <v>911.09</v>
      </c>
      <c r="Z13">
        <v>65.8</v>
      </c>
      <c r="AA13">
        <v>38.770000000000003</v>
      </c>
      <c r="AB13">
        <v>79.599999999999994</v>
      </c>
      <c r="AC13">
        <v>1.37</v>
      </c>
      <c r="AD13">
        <v>1207.3599999999999</v>
      </c>
      <c r="AE13">
        <v>1051.4100000000001</v>
      </c>
      <c r="AF13">
        <v>44.78</v>
      </c>
      <c r="AG13">
        <v>230.52</v>
      </c>
      <c r="AH13" s="14">
        <v>2.4900000000000002</v>
      </c>
      <c r="AI13">
        <v>47.37</v>
      </c>
      <c r="AJ13">
        <v>49.58</v>
      </c>
      <c r="AK13">
        <v>12.06</v>
      </c>
      <c r="AL13">
        <v>72.53</v>
      </c>
      <c r="AM13">
        <v>77.13</v>
      </c>
      <c r="AN13" s="14">
        <v>4.99</v>
      </c>
      <c r="AO13">
        <v>1553.49</v>
      </c>
      <c r="AP13">
        <v>31.75</v>
      </c>
      <c r="AQ13">
        <v>256.69</v>
      </c>
    </row>
    <row r="14" spans="1:43">
      <c r="A14" t="s">
        <v>301</v>
      </c>
      <c r="B14" s="8" t="s">
        <v>1001</v>
      </c>
      <c r="C14" s="8" t="s">
        <v>1002</v>
      </c>
      <c r="D14" t="s">
        <v>301</v>
      </c>
      <c r="E14" t="s">
        <v>858</v>
      </c>
      <c r="F14" t="s">
        <v>859</v>
      </c>
      <c r="G14" t="s">
        <v>864</v>
      </c>
      <c r="H14" t="s">
        <v>864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861</v>
      </c>
      <c r="N14">
        <v>7699</v>
      </c>
      <c r="O14">
        <v>6</v>
      </c>
      <c r="P14">
        <v>0</v>
      </c>
      <c r="Q14" s="22">
        <v>2</v>
      </c>
      <c r="R14">
        <v>1</v>
      </c>
      <c r="S14">
        <v>0</v>
      </c>
      <c r="T14" t="s">
        <v>301</v>
      </c>
      <c r="U14" t="str">
        <f t="shared" si="0"/>
        <v>TRUE</v>
      </c>
      <c r="V14">
        <v>13.36</v>
      </c>
      <c r="W14">
        <v>4.72</v>
      </c>
      <c r="X14">
        <v>97.08</v>
      </c>
      <c r="Y14">
        <v>427.12</v>
      </c>
      <c r="Z14">
        <v>288.26</v>
      </c>
      <c r="AA14">
        <v>49.19</v>
      </c>
      <c r="AB14">
        <v>109.02</v>
      </c>
      <c r="AC14">
        <v>4.84</v>
      </c>
      <c r="AD14">
        <v>2489.0700000000002</v>
      </c>
      <c r="AE14">
        <v>1117.07</v>
      </c>
      <c r="AF14">
        <v>192.73</v>
      </c>
      <c r="AG14" s="14">
        <v>1000.01</v>
      </c>
      <c r="AH14">
        <v>34.19</v>
      </c>
      <c r="AI14">
        <v>264.39</v>
      </c>
      <c r="AJ14">
        <v>140.76</v>
      </c>
      <c r="AK14">
        <v>209.42</v>
      </c>
      <c r="AL14">
        <v>29.98</v>
      </c>
      <c r="AM14">
        <v>76.31</v>
      </c>
      <c r="AN14">
        <v>8.9</v>
      </c>
      <c r="AO14">
        <v>220.15</v>
      </c>
      <c r="AP14">
        <v>27.98</v>
      </c>
      <c r="AQ14">
        <v>125.96</v>
      </c>
    </row>
    <row r="15" spans="1:43">
      <c r="A15" t="s">
        <v>244</v>
      </c>
      <c r="B15" s="8" t="s">
        <v>971</v>
      </c>
      <c r="C15" s="8" t="s">
        <v>965</v>
      </c>
      <c r="D15" t="s">
        <v>244</v>
      </c>
      <c r="E15" t="s">
        <v>858</v>
      </c>
      <c r="F15" t="s">
        <v>859</v>
      </c>
      <c r="G15" t="s">
        <v>860</v>
      </c>
      <c r="H15" t="s">
        <v>967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861</v>
      </c>
      <c r="N15">
        <v>3772</v>
      </c>
      <c r="O15">
        <v>7</v>
      </c>
      <c r="P15">
        <v>0</v>
      </c>
      <c r="Q15" s="22">
        <v>1</v>
      </c>
      <c r="R15">
        <v>0</v>
      </c>
      <c r="S15">
        <v>1</v>
      </c>
      <c r="T15" t="s">
        <v>244</v>
      </c>
      <c r="U15" t="str">
        <f t="shared" si="0"/>
        <v>TRUE</v>
      </c>
      <c r="V15">
        <v>17.37</v>
      </c>
      <c r="W15">
        <v>6.57</v>
      </c>
      <c r="X15">
        <v>5.22</v>
      </c>
      <c r="Y15">
        <v>0.99</v>
      </c>
      <c r="Z15">
        <v>258.64</v>
      </c>
      <c r="AA15">
        <v>3.7</v>
      </c>
      <c r="AB15">
        <v>396.43</v>
      </c>
      <c r="AC15">
        <v>17.559999999999999</v>
      </c>
      <c r="AD15">
        <v>2500.0100000000002</v>
      </c>
      <c r="AE15">
        <v>4.38</v>
      </c>
      <c r="AF15">
        <v>52.82</v>
      </c>
      <c r="AG15" s="14">
        <v>1000.01</v>
      </c>
      <c r="AH15">
        <v>58.26</v>
      </c>
      <c r="AI15">
        <v>93.5</v>
      </c>
      <c r="AJ15" s="14">
        <v>2.4900000000000002</v>
      </c>
      <c r="AK15">
        <v>133.33000000000001</v>
      </c>
      <c r="AL15" s="14">
        <v>9.99</v>
      </c>
      <c r="AM15">
        <v>161.44999999999999</v>
      </c>
      <c r="AN15" s="14">
        <v>4.99</v>
      </c>
      <c r="AO15">
        <v>8.5399999999999991</v>
      </c>
      <c r="AP15">
        <v>10.55</v>
      </c>
      <c r="AQ15" s="14">
        <v>4.99</v>
      </c>
    </row>
    <row r="16" spans="1:43">
      <c r="A16" t="s">
        <v>199</v>
      </c>
      <c r="B16" s="8" t="s">
        <v>996</v>
      </c>
      <c r="C16" s="8" t="s">
        <v>994</v>
      </c>
      <c r="D16" t="s">
        <v>199</v>
      </c>
      <c r="E16" t="s">
        <v>865</v>
      </c>
      <c r="F16" t="s">
        <v>873</v>
      </c>
      <c r="G16" t="s">
        <v>864</v>
      </c>
      <c r="H16" t="s">
        <v>967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861</v>
      </c>
      <c r="N16" t="s">
        <v>856</v>
      </c>
      <c r="O16">
        <v>2</v>
      </c>
      <c r="P16">
        <v>1</v>
      </c>
      <c r="Q16">
        <v>3</v>
      </c>
      <c r="R16">
        <v>1</v>
      </c>
      <c r="S16">
        <v>0</v>
      </c>
      <c r="T16" t="s">
        <v>199</v>
      </c>
      <c r="U16" t="str">
        <f t="shared" si="0"/>
        <v>TRUE</v>
      </c>
      <c r="V16">
        <v>14.6</v>
      </c>
      <c r="W16">
        <v>2.7</v>
      </c>
      <c r="X16">
        <v>48.92</v>
      </c>
      <c r="Y16">
        <v>406.69</v>
      </c>
      <c r="Z16">
        <v>39.25</v>
      </c>
      <c r="AA16">
        <v>22.82</v>
      </c>
      <c r="AB16">
        <v>12.69</v>
      </c>
      <c r="AC16" s="13">
        <v>0.99</v>
      </c>
      <c r="AD16">
        <v>1195.44</v>
      </c>
      <c r="AE16">
        <v>509.86</v>
      </c>
      <c r="AF16">
        <v>41.24</v>
      </c>
      <c r="AG16">
        <v>232.47</v>
      </c>
      <c r="AH16">
        <v>3.51</v>
      </c>
      <c r="AI16">
        <v>58.33</v>
      </c>
      <c r="AJ16">
        <v>31.73</v>
      </c>
      <c r="AK16">
        <v>11.98</v>
      </c>
      <c r="AL16">
        <v>30.54</v>
      </c>
      <c r="AM16">
        <v>96.93</v>
      </c>
      <c r="AN16" s="14">
        <v>4.99</v>
      </c>
      <c r="AO16">
        <v>912.62</v>
      </c>
      <c r="AP16">
        <v>52.27</v>
      </c>
      <c r="AQ16">
        <v>125.82</v>
      </c>
    </row>
    <row r="17" spans="1:43">
      <c r="A17" t="s">
        <v>388</v>
      </c>
      <c r="B17" s="8" t="s">
        <v>988</v>
      </c>
      <c r="C17" s="8" t="s">
        <v>986</v>
      </c>
      <c r="D17" t="s">
        <v>388</v>
      </c>
      <c r="E17" t="s">
        <v>858</v>
      </c>
      <c r="F17" t="s">
        <v>859</v>
      </c>
      <c r="G17" t="s">
        <v>864</v>
      </c>
      <c r="H17" t="s">
        <v>967</v>
      </c>
      <c r="I17" s="7">
        <v>23568</v>
      </c>
      <c r="J17" s="7">
        <v>43686</v>
      </c>
      <c r="K17">
        <v>55</v>
      </c>
      <c r="L17">
        <v>3</v>
      </c>
      <c r="M17" t="s">
        <v>857</v>
      </c>
      <c r="N17" t="s">
        <v>856</v>
      </c>
      <c r="O17">
        <v>5</v>
      </c>
      <c r="P17">
        <v>0</v>
      </c>
      <c r="Q17" s="22">
        <v>2</v>
      </c>
      <c r="R17">
        <v>1</v>
      </c>
      <c r="S17">
        <v>0</v>
      </c>
      <c r="T17" t="s">
        <v>388</v>
      </c>
      <c r="U17" t="str">
        <f t="shared" si="0"/>
        <v>TRUE</v>
      </c>
      <c r="V17">
        <v>27.06</v>
      </c>
      <c r="W17">
        <v>38.15</v>
      </c>
      <c r="X17">
        <v>56.57</v>
      </c>
      <c r="Y17">
        <v>559.23</v>
      </c>
      <c r="Z17" s="12">
        <v>1000.01</v>
      </c>
      <c r="AA17">
        <v>284.29000000000002</v>
      </c>
      <c r="AB17">
        <v>1000.01</v>
      </c>
      <c r="AC17">
        <v>88.94</v>
      </c>
      <c r="AD17">
        <v>607.69000000000005</v>
      </c>
      <c r="AE17">
        <v>108.06</v>
      </c>
      <c r="AF17">
        <v>140.44999999999999</v>
      </c>
      <c r="AG17">
        <v>131.28</v>
      </c>
      <c r="AH17">
        <v>9.59</v>
      </c>
      <c r="AI17">
        <v>22.54</v>
      </c>
      <c r="AJ17">
        <v>3.11</v>
      </c>
      <c r="AK17">
        <v>7.6</v>
      </c>
      <c r="AL17">
        <v>13.97</v>
      </c>
      <c r="AM17">
        <v>52.36</v>
      </c>
      <c r="AN17">
        <v>11.85</v>
      </c>
      <c r="AO17">
        <v>189.45</v>
      </c>
      <c r="AP17">
        <v>53.24</v>
      </c>
      <c r="AQ17">
        <v>28.57</v>
      </c>
    </row>
    <row r="18" spans="1:43">
      <c r="A18" t="s">
        <v>208</v>
      </c>
      <c r="B18" s="8" t="s">
        <v>997</v>
      </c>
      <c r="C18" s="8" t="s">
        <v>994</v>
      </c>
      <c r="D18" t="s">
        <v>208</v>
      </c>
      <c r="E18" t="s">
        <v>865</v>
      </c>
      <c r="F18" t="s">
        <v>873</v>
      </c>
      <c r="G18" t="s">
        <v>864</v>
      </c>
      <c r="H18" t="s">
        <v>967</v>
      </c>
      <c r="I18" s="7">
        <v>19925</v>
      </c>
      <c r="J18" s="7">
        <v>43698</v>
      </c>
      <c r="K18">
        <f t="shared" ref="K18:K25" si="1">DATEDIF(I18,J18,"Y")</f>
        <v>65</v>
      </c>
      <c r="L18">
        <v>4</v>
      </c>
      <c r="M18" t="s">
        <v>861</v>
      </c>
      <c r="N18" t="s">
        <v>856</v>
      </c>
      <c r="O18">
        <v>1</v>
      </c>
      <c r="P18">
        <v>1</v>
      </c>
      <c r="Q18">
        <v>3</v>
      </c>
      <c r="R18">
        <v>1</v>
      </c>
      <c r="S18">
        <v>0</v>
      </c>
      <c r="T18" t="s">
        <v>208</v>
      </c>
      <c r="U18" t="str">
        <f t="shared" si="0"/>
        <v>TRUE</v>
      </c>
      <c r="V18">
        <v>12.17</v>
      </c>
      <c r="W18">
        <v>2.68</v>
      </c>
      <c r="X18">
        <v>29.03</v>
      </c>
      <c r="Y18">
        <v>669.73</v>
      </c>
      <c r="Z18">
        <v>39.340000000000003</v>
      </c>
      <c r="AA18">
        <v>38.28</v>
      </c>
      <c r="AB18">
        <v>15.73</v>
      </c>
      <c r="AC18" s="13">
        <v>0.99</v>
      </c>
      <c r="AD18">
        <v>1080.3399999999999</v>
      </c>
      <c r="AE18">
        <v>576.95000000000005</v>
      </c>
      <c r="AF18">
        <v>35.700000000000003</v>
      </c>
      <c r="AG18">
        <v>214.07</v>
      </c>
      <c r="AH18">
        <v>2.65</v>
      </c>
      <c r="AI18">
        <v>48.34</v>
      </c>
      <c r="AJ18">
        <v>31.25</v>
      </c>
      <c r="AK18">
        <v>14.37</v>
      </c>
      <c r="AL18">
        <v>68.64</v>
      </c>
      <c r="AM18">
        <v>64.06</v>
      </c>
      <c r="AN18" s="14">
        <v>4.99</v>
      </c>
      <c r="AO18">
        <v>1369.83</v>
      </c>
      <c r="AP18">
        <v>36.97</v>
      </c>
      <c r="AQ18">
        <v>101.1</v>
      </c>
    </row>
    <row r="19" spans="1:43">
      <c r="A19" t="s">
        <v>394</v>
      </c>
      <c r="B19" s="8" t="s">
        <v>989</v>
      </c>
      <c r="C19" s="8" t="s">
        <v>986</v>
      </c>
      <c r="D19" t="s">
        <v>394</v>
      </c>
      <c r="E19" t="s">
        <v>858</v>
      </c>
      <c r="F19" t="s">
        <v>859</v>
      </c>
      <c r="G19" t="s">
        <v>864</v>
      </c>
      <c r="H19" t="s">
        <v>967</v>
      </c>
      <c r="I19" s="7">
        <v>23568</v>
      </c>
      <c r="J19" s="7">
        <v>43692</v>
      </c>
      <c r="K19">
        <f t="shared" si="1"/>
        <v>55</v>
      </c>
      <c r="L19">
        <v>4</v>
      </c>
      <c r="M19" t="s">
        <v>857</v>
      </c>
      <c r="N19" t="s">
        <v>856</v>
      </c>
      <c r="O19">
        <v>6</v>
      </c>
      <c r="P19">
        <v>0</v>
      </c>
      <c r="Q19" s="22">
        <v>2</v>
      </c>
      <c r="R19">
        <v>1</v>
      </c>
      <c r="S19">
        <v>0</v>
      </c>
      <c r="T19" t="s">
        <v>394</v>
      </c>
      <c r="U19" t="str">
        <f t="shared" si="0"/>
        <v>TRUE</v>
      </c>
      <c r="V19">
        <v>15.55</v>
      </c>
      <c r="W19">
        <v>0.99</v>
      </c>
      <c r="X19">
        <v>23.7</v>
      </c>
      <c r="Y19">
        <v>29.81</v>
      </c>
      <c r="Z19">
        <v>85.64</v>
      </c>
      <c r="AA19">
        <v>10.93</v>
      </c>
      <c r="AB19">
        <v>95.99</v>
      </c>
      <c r="AC19">
        <v>8.51</v>
      </c>
      <c r="AD19">
        <v>1504.21</v>
      </c>
      <c r="AE19">
        <v>257.02</v>
      </c>
      <c r="AF19">
        <v>269.25</v>
      </c>
      <c r="AG19">
        <v>520.77</v>
      </c>
      <c r="AH19">
        <v>22.39</v>
      </c>
      <c r="AI19">
        <v>72.03</v>
      </c>
      <c r="AJ19">
        <v>14.65</v>
      </c>
      <c r="AK19">
        <v>19.41</v>
      </c>
      <c r="AL19">
        <v>27.34</v>
      </c>
      <c r="AM19">
        <v>97.16</v>
      </c>
      <c r="AN19">
        <v>8</v>
      </c>
      <c r="AO19">
        <v>166.58</v>
      </c>
      <c r="AP19">
        <v>72.06</v>
      </c>
      <c r="AQ19">
        <v>88.9</v>
      </c>
    </row>
    <row r="20" spans="1:43">
      <c r="A20" t="s">
        <v>310</v>
      </c>
      <c r="B20" s="8" t="s">
        <v>1003</v>
      </c>
      <c r="C20" s="8" t="s">
        <v>1002</v>
      </c>
      <c r="D20" t="s">
        <v>310</v>
      </c>
      <c r="E20" t="s">
        <v>858</v>
      </c>
      <c r="F20" t="s">
        <v>859</v>
      </c>
      <c r="G20" t="s">
        <v>864</v>
      </c>
      <c r="H20" t="s">
        <v>967</v>
      </c>
      <c r="I20" s="7">
        <v>34948</v>
      </c>
      <c r="J20" s="7">
        <v>43698</v>
      </c>
      <c r="K20">
        <f t="shared" si="1"/>
        <v>23</v>
      </c>
      <c r="L20">
        <v>2</v>
      </c>
      <c r="M20" t="s">
        <v>861</v>
      </c>
      <c r="N20" t="s">
        <v>856</v>
      </c>
      <c r="O20">
        <v>4</v>
      </c>
      <c r="P20">
        <v>0</v>
      </c>
      <c r="Q20" s="22">
        <v>2</v>
      </c>
      <c r="R20">
        <v>1</v>
      </c>
      <c r="S20">
        <v>0</v>
      </c>
      <c r="T20" t="s">
        <v>310</v>
      </c>
      <c r="U20" t="str">
        <f t="shared" si="0"/>
        <v>TRUE</v>
      </c>
      <c r="V20">
        <v>17.29</v>
      </c>
      <c r="W20">
        <v>11.39</v>
      </c>
      <c r="X20">
        <v>150.77000000000001</v>
      </c>
      <c r="Y20">
        <v>702.61</v>
      </c>
      <c r="Z20">
        <v>168.02</v>
      </c>
      <c r="AA20">
        <v>58.1</v>
      </c>
      <c r="AB20">
        <v>67.33</v>
      </c>
      <c r="AC20">
        <v>5.35</v>
      </c>
      <c r="AD20">
        <v>2500.0100000000002</v>
      </c>
      <c r="AE20">
        <v>2042.35</v>
      </c>
      <c r="AF20">
        <v>227.5</v>
      </c>
      <c r="AG20" s="14">
        <v>1000.01</v>
      </c>
      <c r="AH20">
        <v>20.82</v>
      </c>
      <c r="AI20">
        <v>316.44</v>
      </c>
      <c r="AJ20">
        <v>272.18</v>
      </c>
      <c r="AK20">
        <v>220.75</v>
      </c>
      <c r="AL20">
        <v>74.599999999999994</v>
      </c>
      <c r="AM20">
        <v>75.02</v>
      </c>
      <c r="AN20">
        <v>8.82</v>
      </c>
      <c r="AO20">
        <v>550.76</v>
      </c>
      <c r="AP20">
        <v>41.9</v>
      </c>
      <c r="AQ20">
        <v>192.02</v>
      </c>
    </row>
    <row r="21" spans="1:43">
      <c r="A21" t="s">
        <v>400</v>
      </c>
      <c r="B21" s="8" t="s">
        <v>990</v>
      </c>
      <c r="C21" s="8" t="s">
        <v>986</v>
      </c>
      <c r="D21" t="s">
        <v>400</v>
      </c>
      <c r="E21" t="s">
        <v>858</v>
      </c>
      <c r="F21" t="s">
        <v>859</v>
      </c>
      <c r="G21" t="s">
        <v>864</v>
      </c>
      <c r="H21" t="s">
        <v>967</v>
      </c>
      <c r="I21" s="7">
        <v>23568</v>
      </c>
      <c r="J21" s="7">
        <v>43699</v>
      </c>
      <c r="K21">
        <f t="shared" si="1"/>
        <v>55</v>
      </c>
      <c r="L21">
        <v>5</v>
      </c>
      <c r="M21" t="s">
        <v>857</v>
      </c>
      <c r="N21">
        <v>57</v>
      </c>
      <c r="O21">
        <v>4</v>
      </c>
      <c r="P21">
        <v>0</v>
      </c>
      <c r="Q21" s="22">
        <v>2</v>
      </c>
      <c r="R21">
        <v>1</v>
      </c>
      <c r="S21">
        <v>0</v>
      </c>
      <c r="T21" t="s">
        <v>400</v>
      </c>
      <c r="U21" t="str">
        <f t="shared" si="0"/>
        <v>TRUE</v>
      </c>
      <c r="V21">
        <v>26.67</v>
      </c>
      <c r="W21">
        <v>75.55</v>
      </c>
      <c r="X21">
        <v>41.76</v>
      </c>
      <c r="Y21">
        <v>631.72</v>
      </c>
      <c r="Z21" s="12">
        <v>1000.01</v>
      </c>
      <c r="AA21">
        <v>261.69</v>
      </c>
      <c r="AB21">
        <v>1000.01</v>
      </c>
      <c r="AC21">
        <v>95.3</v>
      </c>
      <c r="AD21">
        <v>1287.8599999999999</v>
      </c>
      <c r="AE21">
        <v>243.55</v>
      </c>
      <c r="AF21">
        <v>222.51</v>
      </c>
      <c r="AG21">
        <v>577.45000000000005</v>
      </c>
      <c r="AH21">
        <v>23.27</v>
      </c>
      <c r="AI21">
        <v>105.25</v>
      </c>
      <c r="AJ21">
        <v>21.15</v>
      </c>
      <c r="AK21">
        <v>39.97</v>
      </c>
      <c r="AL21">
        <v>47.82</v>
      </c>
      <c r="AM21">
        <v>69.33</v>
      </c>
      <c r="AN21">
        <v>17.66</v>
      </c>
      <c r="AO21">
        <v>125.19</v>
      </c>
      <c r="AP21">
        <v>41.85</v>
      </c>
      <c r="AQ21">
        <v>34.32</v>
      </c>
    </row>
    <row r="22" spans="1:43">
      <c r="A22" t="s">
        <v>295</v>
      </c>
      <c r="B22" s="8" t="s">
        <v>1004</v>
      </c>
      <c r="C22" s="8" t="s">
        <v>1002</v>
      </c>
      <c r="D22" t="s">
        <v>295</v>
      </c>
      <c r="E22" t="s">
        <v>858</v>
      </c>
      <c r="F22" t="s">
        <v>859</v>
      </c>
      <c r="G22" t="s">
        <v>864</v>
      </c>
      <c r="H22" t="s">
        <v>967</v>
      </c>
      <c r="I22" s="7">
        <v>34948</v>
      </c>
      <c r="J22" s="7">
        <v>43705</v>
      </c>
      <c r="K22">
        <f t="shared" si="1"/>
        <v>23</v>
      </c>
      <c r="L22">
        <v>3</v>
      </c>
      <c r="M22" t="s">
        <v>861</v>
      </c>
      <c r="N22" t="s">
        <v>856</v>
      </c>
      <c r="O22">
        <v>4</v>
      </c>
      <c r="P22">
        <v>0</v>
      </c>
      <c r="Q22" s="22">
        <v>2</v>
      </c>
      <c r="R22">
        <v>1</v>
      </c>
      <c r="S22">
        <v>0</v>
      </c>
      <c r="T22" t="s">
        <v>295</v>
      </c>
      <c r="U22" t="str">
        <f t="shared" si="0"/>
        <v>TRUE</v>
      </c>
      <c r="V22">
        <v>10.55</v>
      </c>
      <c r="W22">
        <v>3.86</v>
      </c>
      <c r="X22">
        <v>137.41999999999999</v>
      </c>
      <c r="Y22">
        <v>483.83</v>
      </c>
      <c r="Z22">
        <v>117.28</v>
      </c>
      <c r="AA22">
        <v>43.86</v>
      </c>
      <c r="AB22">
        <v>32.869999999999997</v>
      </c>
      <c r="AC22">
        <v>1.89</v>
      </c>
      <c r="AD22">
        <v>1715.95</v>
      </c>
      <c r="AE22">
        <v>1079.2</v>
      </c>
      <c r="AF22">
        <v>174.44</v>
      </c>
      <c r="AG22">
        <v>950.67</v>
      </c>
      <c r="AH22">
        <v>16.03</v>
      </c>
      <c r="AI22">
        <v>171.56</v>
      </c>
      <c r="AJ22">
        <v>143.38</v>
      </c>
      <c r="AK22">
        <v>105.81</v>
      </c>
      <c r="AL22">
        <v>93.86</v>
      </c>
      <c r="AM22">
        <v>80.75</v>
      </c>
      <c r="AN22">
        <v>8.77</v>
      </c>
      <c r="AO22">
        <v>535.82000000000005</v>
      </c>
      <c r="AP22">
        <v>31.65</v>
      </c>
      <c r="AQ22">
        <v>142.51</v>
      </c>
    </row>
    <row r="23" spans="1:43">
      <c r="A23" t="s">
        <v>232</v>
      </c>
      <c r="B23" s="8" t="s">
        <v>972</v>
      </c>
      <c r="C23" s="8" t="s">
        <v>965</v>
      </c>
      <c r="D23" t="s">
        <v>232</v>
      </c>
      <c r="E23" t="s">
        <v>858</v>
      </c>
      <c r="F23" t="s">
        <v>859</v>
      </c>
      <c r="G23" t="s">
        <v>860</v>
      </c>
      <c r="H23" t="s">
        <v>967</v>
      </c>
      <c r="I23" s="7">
        <v>34403</v>
      </c>
      <c r="J23" s="7">
        <v>43718</v>
      </c>
      <c r="K23">
        <f t="shared" si="1"/>
        <v>25</v>
      </c>
      <c r="L23">
        <v>7</v>
      </c>
      <c r="M23" t="s">
        <v>861</v>
      </c>
      <c r="N23">
        <v>904</v>
      </c>
      <c r="O23">
        <v>5</v>
      </c>
      <c r="P23">
        <v>0</v>
      </c>
      <c r="Q23" s="22">
        <v>1</v>
      </c>
      <c r="R23">
        <v>0</v>
      </c>
      <c r="S23">
        <v>1</v>
      </c>
      <c r="T23" t="s">
        <v>232</v>
      </c>
      <c r="U23" t="str">
        <f t="shared" si="0"/>
        <v>TRUE</v>
      </c>
      <c r="V23">
        <v>10.57</v>
      </c>
      <c r="W23">
        <v>0.99</v>
      </c>
      <c r="X23">
        <v>3.75</v>
      </c>
      <c r="Y23">
        <v>0.99</v>
      </c>
      <c r="Z23">
        <v>63.07</v>
      </c>
      <c r="AA23">
        <v>1.32</v>
      </c>
      <c r="AB23">
        <v>62.53</v>
      </c>
      <c r="AC23" s="13">
        <v>0.99</v>
      </c>
      <c r="AD23">
        <v>2500.0100000000002</v>
      </c>
      <c r="AE23">
        <v>2.4900000000000002</v>
      </c>
      <c r="AF23">
        <v>23.33</v>
      </c>
      <c r="AG23" s="14">
        <v>1000.01</v>
      </c>
      <c r="AH23">
        <v>23.11</v>
      </c>
      <c r="AI23">
        <v>37.26</v>
      </c>
      <c r="AJ23" s="14">
        <v>2.4900000000000002</v>
      </c>
      <c r="AK23">
        <v>41.63</v>
      </c>
      <c r="AL23" s="14">
        <v>9.99</v>
      </c>
      <c r="AM23">
        <v>97.54</v>
      </c>
      <c r="AN23" s="14">
        <v>4.99</v>
      </c>
      <c r="AO23" s="14">
        <v>4.99</v>
      </c>
      <c r="AP23">
        <v>6.27</v>
      </c>
      <c r="AQ23" s="14">
        <v>4.99</v>
      </c>
    </row>
    <row r="24" spans="1:43">
      <c r="A24" t="s">
        <v>484</v>
      </c>
      <c r="B24" s="8" t="s">
        <v>1016</v>
      </c>
      <c r="C24" s="8" t="s">
        <v>1017</v>
      </c>
      <c r="D24" t="s">
        <v>484</v>
      </c>
      <c r="E24" t="s">
        <v>865</v>
      </c>
      <c r="F24" t="s">
        <v>872</v>
      </c>
      <c r="G24" t="s">
        <v>860</v>
      </c>
      <c r="H24" t="s">
        <v>864</v>
      </c>
      <c r="I24" s="7">
        <v>18937</v>
      </c>
      <c r="J24" s="7">
        <v>43711</v>
      </c>
      <c r="K24">
        <f t="shared" si="1"/>
        <v>67</v>
      </c>
      <c r="L24">
        <v>1</v>
      </c>
      <c r="M24" t="s">
        <v>857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">
        <v>484</v>
      </c>
      <c r="U24" t="str">
        <f t="shared" si="0"/>
        <v>TRUE</v>
      </c>
      <c r="V24">
        <v>8.8000000000000007</v>
      </c>
      <c r="W24">
        <v>15.61</v>
      </c>
      <c r="X24">
        <v>38.159999999999997</v>
      </c>
      <c r="Y24">
        <v>618.66999999999996</v>
      </c>
      <c r="Z24">
        <v>279.35000000000002</v>
      </c>
      <c r="AA24">
        <v>31.48</v>
      </c>
      <c r="AB24">
        <v>261.49</v>
      </c>
      <c r="AC24">
        <v>11.68</v>
      </c>
      <c r="AD24">
        <v>1462.81</v>
      </c>
      <c r="AE24">
        <v>1007.1</v>
      </c>
      <c r="AF24">
        <v>52.62</v>
      </c>
      <c r="AG24">
        <v>864.47</v>
      </c>
      <c r="AH24">
        <v>4.88</v>
      </c>
      <c r="AI24">
        <v>151.31</v>
      </c>
      <c r="AJ24">
        <v>66.08</v>
      </c>
      <c r="AK24">
        <v>111.51</v>
      </c>
      <c r="AL24">
        <v>23.83</v>
      </c>
      <c r="AM24">
        <v>68.72</v>
      </c>
      <c r="AN24">
        <v>8.7100000000000009</v>
      </c>
      <c r="AO24">
        <v>479.68</v>
      </c>
      <c r="AP24">
        <v>25.2</v>
      </c>
      <c r="AQ24">
        <v>86.5</v>
      </c>
    </row>
    <row r="25" spans="1:43">
      <c r="A25" t="s">
        <v>304</v>
      </c>
      <c r="B25" s="8" t="s">
        <v>1005</v>
      </c>
      <c r="C25" s="8" t="s">
        <v>1002</v>
      </c>
      <c r="D25" t="s">
        <v>304</v>
      </c>
      <c r="E25" t="s">
        <v>858</v>
      </c>
      <c r="F25" t="s">
        <v>859</v>
      </c>
      <c r="G25" t="s">
        <v>864</v>
      </c>
      <c r="H25" t="s">
        <v>967</v>
      </c>
      <c r="I25" s="7">
        <v>34948</v>
      </c>
      <c r="J25" s="7">
        <v>43713</v>
      </c>
      <c r="K25">
        <f t="shared" si="1"/>
        <v>23</v>
      </c>
      <c r="L25">
        <v>4</v>
      </c>
      <c r="M25" t="s">
        <v>861</v>
      </c>
      <c r="N25" t="s">
        <v>856</v>
      </c>
      <c r="O25">
        <v>3</v>
      </c>
      <c r="P25">
        <v>0</v>
      </c>
      <c r="Q25" s="22">
        <v>2</v>
      </c>
      <c r="R25">
        <v>1</v>
      </c>
      <c r="S25">
        <v>0</v>
      </c>
      <c r="T25" t="s">
        <v>304</v>
      </c>
      <c r="U25" t="str">
        <f t="shared" si="0"/>
        <v>TRUE</v>
      </c>
      <c r="V25">
        <v>9.76</v>
      </c>
      <c r="W25">
        <v>5.12</v>
      </c>
      <c r="X25">
        <v>88.14</v>
      </c>
      <c r="Y25">
        <v>378.28</v>
      </c>
      <c r="Z25">
        <v>237.4</v>
      </c>
      <c r="AA25">
        <v>41.77</v>
      </c>
      <c r="AB25">
        <v>270.33</v>
      </c>
      <c r="AC25">
        <v>6.43</v>
      </c>
      <c r="AD25">
        <v>1579.18</v>
      </c>
      <c r="AE25">
        <v>639.16</v>
      </c>
      <c r="AF25">
        <v>165.88</v>
      </c>
      <c r="AG25">
        <v>931.63</v>
      </c>
      <c r="AH25">
        <v>27.93</v>
      </c>
      <c r="AI25">
        <v>136.66999999999999</v>
      </c>
      <c r="AJ25">
        <v>80.010000000000005</v>
      </c>
      <c r="AK25">
        <v>100.58</v>
      </c>
      <c r="AL25">
        <v>59.1</v>
      </c>
      <c r="AM25">
        <v>196.04</v>
      </c>
      <c r="AN25">
        <v>21.95</v>
      </c>
      <c r="AO25">
        <v>399.59</v>
      </c>
      <c r="AP25">
        <v>70.650000000000006</v>
      </c>
      <c r="AQ25">
        <v>226.31</v>
      </c>
    </row>
    <row r="26" spans="1:43">
      <c r="A26" t="s">
        <v>478</v>
      </c>
      <c r="B26" s="8" t="s">
        <v>1018</v>
      </c>
      <c r="C26" s="8" t="s">
        <v>1017</v>
      </c>
      <c r="D26" t="s">
        <v>478</v>
      </c>
      <c r="E26" t="s">
        <v>865</v>
      </c>
      <c r="F26" t="s">
        <v>872</v>
      </c>
      <c r="G26" t="s">
        <v>860</v>
      </c>
      <c r="H26" t="s">
        <v>967</v>
      </c>
      <c r="I26" s="7">
        <v>18937</v>
      </c>
      <c r="J26" s="7">
        <v>43721</v>
      </c>
      <c r="K26">
        <v>67</v>
      </c>
      <c r="L26">
        <v>2</v>
      </c>
      <c r="M26" t="s">
        <v>857</v>
      </c>
      <c r="N26" t="s">
        <v>856</v>
      </c>
      <c r="O26">
        <v>0</v>
      </c>
      <c r="P26">
        <v>1</v>
      </c>
      <c r="Q26">
        <v>3</v>
      </c>
      <c r="R26">
        <v>1</v>
      </c>
      <c r="S26">
        <v>0</v>
      </c>
      <c r="T26" t="s">
        <v>478</v>
      </c>
      <c r="U26" t="str">
        <f t="shared" si="0"/>
        <v>TRUE</v>
      </c>
      <c r="V26">
        <v>9.83</v>
      </c>
      <c r="W26">
        <v>7.67</v>
      </c>
      <c r="X26">
        <v>62.49</v>
      </c>
      <c r="Y26">
        <v>294.94</v>
      </c>
      <c r="Z26">
        <v>187.05</v>
      </c>
      <c r="AA26">
        <v>19.54</v>
      </c>
      <c r="AB26">
        <v>191.57</v>
      </c>
      <c r="AC26">
        <v>6.9</v>
      </c>
      <c r="AD26">
        <v>1199.98</v>
      </c>
      <c r="AE26">
        <v>933.85</v>
      </c>
      <c r="AF26">
        <v>69.319999999999993</v>
      </c>
      <c r="AG26" s="14">
        <v>1000.01</v>
      </c>
      <c r="AH26">
        <v>6.9</v>
      </c>
      <c r="AI26">
        <v>256.92</v>
      </c>
      <c r="AJ26">
        <v>148.22</v>
      </c>
      <c r="AK26">
        <v>210.19</v>
      </c>
      <c r="AL26">
        <v>113.27</v>
      </c>
      <c r="AM26">
        <v>162.52000000000001</v>
      </c>
      <c r="AN26">
        <v>21.43</v>
      </c>
      <c r="AO26">
        <v>525.91999999999996</v>
      </c>
      <c r="AP26">
        <v>35.520000000000003</v>
      </c>
      <c r="AQ26">
        <v>171.49</v>
      </c>
    </row>
    <row r="27" spans="1:43">
      <c r="A27" t="s">
        <v>298</v>
      </c>
      <c r="B27" s="8" t="s">
        <v>1006</v>
      </c>
      <c r="C27" s="8" t="s">
        <v>1002</v>
      </c>
      <c r="D27" t="s">
        <v>298</v>
      </c>
      <c r="E27" t="s">
        <v>858</v>
      </c>
      <c r="F27" t="s">
        <v>859</v>
      </c>
      <c r="G27" t="s">
        <v>864</v>
      </c>
      <c r="H27" t="s">
        <v>967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861</v>
      </c>
      <c r="N27">
        <v>251</v>
      </c>
      <c r="O27">
        <v>4</v>
      </c>
      <c r="P27">
        <v>0</v>
      </c>
      <c r="Q27" s="22">
        <v>2</v>
      </c>
      <c r="R27">
        <v>1</v>
      </c>
      <c r="S27">
        <v>0</v>
      </c>
      <c r="T27" t="s">
        <v>298</v>
      </c>
      <c r="U27" t="str">
        <f t="shared" si="0"/>
        <v>TRUE</v>
      </c>
      <c r="V27">
        <v>14.85</v>
      </c>
      <c r="W27">
        <v>8.11</v>
      </c>
      <c r="X27">
        <v>61.53</v>
      </c>
      <c r="Y27">
        <v>724.56</v>
      </c>
      <c r="Z27">
        <v>380.8</v>
      </c>
      <c r="AA27">
        <v>62.33</v>
      </c>
      <c r="AB27">
        <v>60.76</v>
      </c>
      <c r="AC27">
        <v>9.59</v>
      </c>
      <c r="AD27">
        <v>506.78</v>
      </c>
      <c r="AE27">
        <v>246.59</v>
      </c>
      <c r="AF27">
        <v>34.74</v>
      </c>
      <c r="AG27">
        <v>184.48</v>
      </c>
      <c r="AH27">
        <v>6.43</v>
      </c>
      <c r="AI27">
        <v>90.07</v>
      </c>
      <c r="AJ27">
        <v>56.31</v>
      </c>
      <c r="AK27">
        <v>32.68</v>
      </c>
      <c r="AL27">
        <v>45.26</v>
      </c>
      <c r="AM27">
        <v>26.6</v>
      </c>
      <c r="AN27">
        <v>5.98</v>
      </c>
      <c r="AO27">
        <v>203.38</v>
      </c>
      <c r="AP27">
        <v>17.25</v>
      </c>
      <c r="AQ27">
        <v>50.74</v>
      </c>
    </row>
    <row r="28" spans="1:43">
      <c r="A28" t="s">
        <v>403</v>
      </c>
      <c r="B28" s="8" t="s">
        <v>991</v>
      </c>
      <c r="C28" s="8" t="s">
        <v>986</v>
      </c>
      <c r="D28" t="s">
        <v>403</v>
      </c>
      <c r="E28" t="s">
        <v>858</v>
      </c>
      <c r="F28" t="s">
        <v>859</v>
      </c>
      <c r="G28" t="s">
        <v>864</v>
      </c>
      <c r="H28" t="s">
        <v>967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857</v>
      </c>
      <c r="N28">
        <v>15</v>
      </c>
      <c r="O28">
        <v>3</v>
      </c>
      <c r="P28">
        <v>0</v>
      </c>
      <c r="Q28" s="22">
        <v>2</v>
      </c>
      <c r="R28">
        <v>1</v>
      </c>
      <c r="S28">
        <v>0</v>
      </c>
      <c r="T28" t="s">
        <v>403</v>
      </c>
      <c r="U28" t="str">
        <f t="shared" si="0"/>
        <v>TRUE</v>
      </c>
      <c r="V28">
        <v>19.95</v>
      </c>
      <c r="W28">
        <v>1.66</v>
      </c>
      <c r="X28">
        <v>22.23</v>
      </c>
      <c r="Y28">
        <v>10.41</v>
      </c>
      <c r="Z28">
        <v>40.520000000000003</v>
      </c>
      <c r="AA28">
        <v>5.17</v>
      </c>
      <c r="AB28">
        <v>54.32</v>
      </c>
      <c r="AC28">
        <v>3.22</v>
      </c>
      <c r="AD28">
        <v>2500.0100000000002</v>
      </c>
      <c r="AE28">
        <v>373.83</v>
      </c>
      <c r="AF28">
        <v>231.85</v>
      </c>
      <c r="AG28" s="14">
        <v>1000.01</v>
      </c>
      <c r="AH28">
        <v>51.68</v>
      </c>
      <c r="AI28">
        <v>682.16</v>
      </c>
      <c r="AJ28">
        <v>93.07</v>
      </c>
      <c r="AK28">
        <v>289.52</v>
      </c>
      <c r="AL28">
        <v>93.67</v>
      </c>
      <c r="AM28">
        <v>244.49</v>
      </c>
      <c r="AN28">
        <v>58.42</v>
      </c>
      <c r="AO28">
        <v>190.1</v>
      </c>
      <c r="AP28">
        <v>64.849999999999994</v>
      </c>
      <c r="AQ28">
        <v>76.59</v>
      </c>
    </row>
    <row r="29" spans="1:43">
      <c r="A29" t="s">
        <v>481</v>
      </c>
      <c r="B29" s="8" t="s">
        <v>1019</v>
      </c>
      <c r="C29" s="8" t="s">
        <v>1017</v>
      </c>
      <c r="D29" t="s">
        <v>481</v>
      </c>
      <c r="E29" t="s">
        <v>865</v>
      </c>
      <c r="F29" t="s">
        <v>872</v>
      </c>
      <c r="G29" t="s">
        <v>860</v>
      </c>
      <c r="H29" t="s">
        <v>967</v>
      </c>
      <c r="I29" s="7">
        <v>18937</v>
      </c>
      <c r="J29" s="7">
        <v>43728</v>
      </c>
      <c r="K29">
        <v>67</v>
      </c>
      <c r="L29">
        <v>3</v>
      </c>
      <c r="M29" t="s">
        <v>857</v>
      </c>
      <c r="N29" t="s">
        <v>856</v>
      </c>
      <c r="O29">
        <v>0</v>
      </c>
      <c r="P29">
        <v>1</v>
      </c>
      <c r="Q29">
        <v>3</v>
      </c>
      <c r="R29">
        <v>1</v>
      </c>
      <c r="S29">
        <v>0</v>
      </c>
      <c r="T29" t="s">
        <v>481</v>
      </c>
      <c r="U29" t="str">
        <f t="shared" si="0"/>
        <v>TRUE</v>
      </c>
      <c r="V29">
        <v>10.89</v>
      </c>
      <c r="W29">
        <v>19.37</v>
      </c>
      <c r="X29">
        <v>75.900000000000006</v>
      </c>
      <c r="Y29">
        <v>455.05</v>
      </c>
      <c r="Z29">
        <v>330.67</v>
      </c>
      <c r="AA29">
        <v>34.83</v>
      </c>
      <c r="AB29">
        <v>189.31</v>
      </c>
      <c r="AC29">
        <v>8.82</v>
      </c>
      <c r="AD29">
        <v>1200.21</v>
      </c>
      <c r="AE29">
        <v>838.73</v>
      </c>
      <c r="AF29">
        <v>107.91</v>
      </c>
      <c r="AG29" s="14">
        <v>1000.01</v>
      </c>
      <c r="AH29">
        <v>13.48</v>
      </c>
      <c r="AI29">
        <v>158.87</v>
      </c>
      <c r="AJ29">
        <v>99.19</v>
      </c>
      <c r="AK29">
        <v>141.82</v>
      </c>
      <c r="AL29">
        <v>100.33</v>
      </c>
      <c r="AM29">
        <v>165.94</v>
      </c>
      <c r="AN29">
        <v>17.399999999999999</v>
      </c>
      <c r="AO29">
        <v>610.95000000000005</v>
      </c>
      <c r="AP29">
        <v>54.49</v>
      </c>
      <c r="AQ29">
        <v>160.21</v>
      </c>
    </row>
    <row r="30" spans="1:43">
      <c r="A30" t="s">
        <v>820</v>
      </c>
      <c r="B30" s="8" t="s">
        <v>981</v>
      </c>
      <c r="C30" s="8" t="s">
        <v>980</v>
      </c>
      <c r="D30" t="s">
        <v>820</v>
      </c>
      <c r="E30" t="s">
        <v>865</v>
      </c>
      <c r="F30" t="s">
        <v>866</v>
      </c>
      <c r="G30" t="s">
        <v>864</v>
      </c>
      <c r="H30" t="s">
        <v>967</v>
      </c>
      <c r="I30" s="7">
        <v>22293</v>
      </c>
      <c r="J30" s="7">
        <v>43733</v>
      </c>
      <c r="K30">
        <f>DATEDIF(I30,J30,"Y")</f>
        <v>58</v>
      </c>
      <c r="L30">
        <v>2</v>
      </c>
      <c r="M30" t="s">
        <v>861</v>
      </c>
      <c r="N30" t="s">
        <v>856</v>
      </c>
      <c r="O30">
        <v>4</v>
      </c>
      <c r="P30">
        <v>1</v>
      </c>
      <c r="Q30">
        <v>3</v>
      </c>
      <c r="R30">
        <v>1</v>
      </c>
      <c r="S30">
        <v>0</v>
      </c>
      <c r="T30" t="s">
        <v>820</v>
      </c>
      <c r="U30" t="str">
        <f t="shared" si="0"/>
        <v>TRUE</v>
      </c>
      <c r="V30">
        <v>17.71</v>
      </c>
      <c r="W30">
        <v>1.03</v>
      </c>
      <c r="X30">
        <v>92.65</v>
      </c>
      <c r="Y30">
        <v>652.84</v>
      </c>
      <c r="Z30">
        <v>151.63999999999999</v>
      </c>
      <c r="AA30">
        <v>65.95</v>
      </c>
      <c r="AB30">
        <v>27.8</v>
      </c>
      <c r="AC30">
        <v>1.81</v>
      </c>
      <c r="AD30">
        <v>774.9</v>
      </c>
      <c r="AE30">
        <v>436.84</v>
      </c>
      <c r="AF30">
        <v>45.09</v>
      </c>
      <c r="AG30">
        <v>159.59</v>
      </c>
      <c r="AH30">
        <v>7.05</v>
      </c>
      <c r="AI30">
        <v>118.93</v>
      </c>
      <c r="AJ30">
        <v>83.52</v>
      </c>
      <c r="AK30">
        <v>34.479999999999997</v>
      </c>
      <c r="AL30">
        <v>211.98</v>
      </c>
      <c r="AM30">
        <v>100.08</v>
      </c>
      <c r="AN30">
        <v>17.05</v>
      </c>
      <c r="AO30">
        <v>1294.31</v>
      </c>
      <c r="AP30">
        <v>40.869999999999997</v>
      </c>
      <c r="AQ30">
        <v>183.54</v>
      </c>
    </row>
    <row r="31" spans="1:43">
      <c r="A31" t="s">
        <v>196</v>
      </c>
      <c r="B31" s="8" t="s">
        <v>999</v>
      </c>
      <c r="C31" s="8" t="s">
        <v>994</v>
      </c>
      <c r="D31" t="s">
        <v>196</v>
      </c>
      <c r="E31" t="s">
        <v>865</v>
      </c>
      <c r="F31" t="s">
        <v>873</v>
      </c>
      <c r="G31" t="s">
        <v>864</v>
      </c>
      <c r="H31" t="s">
        <v>967</v>
      </c>
      <c r="I31" s="7">
        <v>19925</v>
      </c>
      <c r="J31" s="7">
        <v>43733</v>
      </c>
      <c r="K31">
        <f>DATEDIF(I31,J31,"Y")</f>
        <v>65</v>
      </c>
      <c r="L31">
        <v>6</v>
      </c>
      <c r="M31" t="s">
        <v>861</v>
      </c>
      <c r="N31">
        <v>220</v>
      </c>
      <c r="O31">
        <v>2</v>
      </c>
      <c r="P31">
        <v>1</v>
      </c>
      <c r="Q31">
        <v>3</v>
      </c>
      <c r="R31">
        <v>1</v>
      </c>
      <c r="S31">
        <v>0</v>
      </c>
      <c r="T31" t="s">
        <v>196</v>
      </c>
      <c r="U31" t="str">
        <f t="shared" si="0"/>
        <v>TRUE</v>
      </c>
      <c r="V31">
        <v>10.58</v>
      </c>
      <c r="W31">
        <v>4.07</v>
      </c>
      <c r="X31">
        <v>82.55</v>
      </c>
      <c r="Y31">
        <v>867.28</v>
      </c>
      <c r="Z31">
        <v>28.82</v>
      </c>
      <c r="AA31">
        <v>52.25</v>
      </c>
      <c r="AB31">
        <v>4.6100000000000003</v>
      </c>
      <c r="AC31" s="13">
        <v>0.99</v>
      </c>
      <c r="AD31">
        <v>634.20000000000005</v>
      </c>
      <c r="AE31">
        <v>516.24</v>
      </c>
      <c r="AF31">
        <v>31.56</v>
      </c>
      <c r="AG31">
        <v>65.45</v>
      </c>
      <c r="AH31" s="14">
        <v>2.4900000000000002</v>
      </c>
      <c r="AI31">
        <v>36.31</v>
      </c>
      <c r="AJ31">
        <v>33.32</v>
      </c>
      <c r="AK31">
        <v>5.4</v>
      </c>
      <c r="AL31">
        <v>57.9</v>
      </c>
      <c r="AM31">
        <v>28.22</v>
      </c>
      <c r="AN31" s="14">
        <v>4.99</v>
      </c>
      <c r="AO31">
        <v>1088.19</v>
      </c>
      <c r="AP31">
        <v>26.35</v>
      </c>
      <c r="AQ31">
        <v>83.76</v>
      </c>
    </row>
    <row r="32" spans="1:43">
      <c r="A32" t="s">
        <v>487</v>
      </c>
      <c r="B32" s="8" t="s">
        <v>1020</v>
      </c>
      <c r="C32" s="8" t="s">
        <v>1017</v>
      </c>
      <c r="D32" t="s">
        <v>487</v>
      </c>
      <c r="E32" t="s">
        <v>865</v>
      </c>
      <c r="F32" t="s">
        <v>872</v>
      </c>
      <c r="G32" t="s">
        <v>860</v>
      </c>
      <c r="H32" t="s">
        <v>967</v>
      </c>
      <c r="I32" s="7">
        <v>18937</v>
      </c>
      <c r="J32" s="7">
        <v>43735</v>
      </c>
      <c r="K32">
        <v>67</v>
      </c>
      <c r="L32">
        <v>4</v>
      </c>
      <c r="M32" t="s">
        <v>857</v>
      </c>
      <c r="N32" t="s">
        <v>856</v>
      </c>
      <c r="O32">
        <v>9</v>
      </c>
      <c r="P32">
        <v>1</v>
      </c>
      <c r="Q32">
        <v>2</v>
      </c>
      <c r="R32" s="12">
        <v>1</v>
      </c>
      <c r="S32" s="12">
        <v>0</v>
      </c>
      <c r="T32" t="s">
        <v>487</v>
      </c>
      <c r="U32" t="str">
        <f t="shared" si="0"/>
        <v>TRUE</v>
      </c>
      <c r="V32">
        <v>7.03</v>
      </c>
      <c r="W32">
        <v>1.21</v>
      </c>
      <c r="X32">
        <v>9.06</v>
      </c>
      <c r="Y32">
        <v>145.93</v>
      </c>
      <c r="Z32">
        <v>8.76</v>
      </c>
      <c r="AA32">
        <v>6.74</v>
      </c>
      <c r="AB32">
        <v>6.07</v>
      </c>
      <c r="AC32" s="13">
        <v>0.99</v>
      </c>
      <c r="AD32">
        <v>731.24</v>
      </c>
      <c r="AE32">
        <v>624.77</v>
      </c>
      <c r="AF32">
        <v>26.1</v>
      </c>
      <c r="AG32">
        <v>573.99</v>
      </c>
      <c r="AH32">
        <v>5.92</v>
      </c>
      <c r="AI32">
        <v>374.63</v>
      </c>
      <c r="AJ32">
        <v>405.72</v>
      </c>
      <c r="AK32">
        <v>310.39</v>
      </c>
      <c r="AL32">
        <v>522.82000000000005</v>
      </c>
      <c r="AM32">
        <v>240.13</v>
      </c>
      <c r="AN32">
        <v>71.62</v>
      </c>
      <c r="AO32">
        <v>1131.3399999999999</v>
      </c>
      <c r="AP32">
        <v>49.34</v>
      </c>
      <c r="AQ32">
        <v>432.28</v>
      </c>
    </row>
    <row r="33" spans="1:43">
      <c r="A33" t="s">
        <v>823</v>
      </c>
      <c r="B33" s="8" t="s">
        <v>982</v>
      </c>
      <c r="C33" s="8" t="s">
        <v>980</v>
      </c>
      <c r="D33" t="s">
        <v>823</v>
      </c>
      <c r="E33" t="s">
        <v>865</v>
      </c>
      <c r="F33" t="s">
        <v>866</v>
      </c>
      <c r="G33" t="s">
        <v>864</v>
      </c>
      <c r="H33" t="s">
        <v>967</v>
      </c>
      <c r="I33" s="7">
        <v>22293</v>
      </c>
      <c r="J33" s="7">
        <v>43741</v>
      </c>
      <c r="K33">
        <f t="shared" ref="K33:K40" si="2">DATEDIF(I33,J33,"Y")</f>
        <v>58</v>
      </c>
      <c r="L33">
        <v>3</v>
      </c>
      <c r="M33" t="s">
        <v>861</v>
      </c>
      <c r="N33" t="s">
        <v>856</v>
      </c>
      <c r="O33">
        <v>1</v>
      </c>
      <c r="P33">
        <v>1</v>
      </c>
      <c r="Q33">
        <v>2</v>
      </c>
      <c r="R33" s="12">
        <v>1</v>
      </c>
      <c r="S33" s="12">
        <v>0</v>
      </c>
      <c r="T33" t="s">
        <v>823</v>
      </c>
      <c r="U33" t="str">
        <f t="shared" si="0"/>
        <v>TRUE</v>
      </c>
      <c r="V33">
        <v>22.45</v>
      </c>
      <c r="W33">
        <v>4.7</v>
      </c>
      <c r="X33">
        <v>228.07</v>
      </c>
      <c r="Y33">
        <v>644.25</v>
      </c>
      <c r="Z33">
        <v>305.22000000000003</v>
      </c>
      <c r="AA33">
        <v>83.45</v>
      </c>
      <c r="AB33">
        <v>26.66</v>
      </c>
      <c r="AC33">
        <v>3.73</v>
      </c>
      <c r="AD33">
        <v>1403.93</v>
      </c>
      <c r="AE33">
        <v>859.75</v>
      </c>
      <c r="AF33">
        <v>71.62</v>
      </c>
      <c r="AG33">
        <v>519.6</v>
      </c>
      <c r="AH33">
        <v>13.46</v>
      </c>
      <c r="AI33">
        <v>373.44</v>
      </c>
      <c r="AJ33">
        <v>226.29</v>
      </c>
      <c r="AK33">
        <v>214.65</v>
      </c>
      <c r="AL33">
        <v>267.02999999999997</v>
      </c>
      <c r="AM33">
        <v>129.38999999999999</v>
      </c>
      <c r="AN33">
        <v>31.12</v>
      </c>
      <c r="AO33">
        <v>950.96</v>
      </c>
      <c r="AP33">
        <v>49.95</v>
      </c>
      <c r="AQ33">
        <v>338.69</v>
      </c>
    </row>
    <row r="34" spans="1:43">
      <c r="A34" t="s">
        <v>307</v>
      </c>
      <c r="B34" s="8" t="s">
        <v>1007</v>
      </c>
      <c r="C34" s="8" t="s">
        <v>1002</v>
      </c>
      <c r="D34" t="s">
        <v>307</v>
      </c>
      <c r="E34" t="s">
        <v>858</v>
      </c>
      <c r="F34" t="s">
        <v>859</v>
      </c>
      <c r="G34" t="s">
        <v>864</v>
      </c>
      <c r="H34" t="s">
        <v>967</v>
      </c>
      <c r="I34" s="7">
        <v>34948</v>
      </c>
      <c r="J34" s="7">
        <v>43755</v>
      </c>
      <c r="K34">
        <f t="shared" si="2"/>
        <v>24</v>
      </c>
      <c r="L34">
        <v>6</v>
      </c>
      <c r="M34" t="s">
        <v>861</v>
      </c>
      <c r="N34">
        <v>15</v>
      </c>
      <c r="O34">
        <v>1</v>
      </c>
      <c r="P34">
        <v>0</v>
      </c>
      <c r="Q34" s="22">
        <v>2</v>
      </c>
      <c r="R34">
        <v>1</v>
      </c>
      <c r="S34">
        <v>0</v>
      </c>
      <c r="T34" t="s">
        <v>307</v>
      </c>
      <c r="U34" t="str">
        <f t="shared" ref="U34:U65" si="3">IF(A34=T34, "TRUE", "FALSE")</f>
        <v>TRUE</v>
      </c>
      <c r="V34">
        <v>21.85</v>
      </c>
      <c r="W34">
        <v>5.12</v>
      </c>
      <c r="X34">
        <v>291.70999999999998</v>
      </c>
      <c r="Y34">
        <v>751.41</v>
      </c>
      <c r="Z34">
        <v>113.4</v>
      </c>
      <c r="AA34">
        <v>84.41</v>
      </c>
      <c r="AB34">
        <v>23.95</v>
      </c>
      <c r="AC34">
        <v>6.84</v>
      </c>
      <c r="AD34">
        <v>2500.0100000000002</v>
      </c>
      <c r="AE34">
        <v>1910.24</v>
      </c>
      <c r="AF34">
        <v>376.68</v>
      </c>
      <c r="AG34" s="14">
        <v>1000.01</v>
      </c>
      <c r="AH34">
        <v>40.42</v>
      </c>
      <c r="AI34">
        <v>548.29999999999995</v>
      </c>
      <c r="AJ34">
        <v>469.51</v>
      </c>
      <c r="AK34">
        <v>474.79</v>
      </c>
      <c r="AL34">
        <v>159.46</v>
      </c>
      <c r="AM34">
        <v>85.28</v>
      </c>
      <c r="AN34">
        <v>25.47</v>
      </c>
      <c r="AO34">
        <v>429.71</v>
      </c>
      <c r="AP34">
        <v>40.340000000000003</v>
      </c>
      <c r="AQ34">
        <v>115.5</v>
      </c>
    </row>
    <row r="35" spans="1:43">
      <c r="A35" t="s">
        <v>817</v>
      </c>
      <c r="B35" s="8" t="s">
        <v>983</v>
      </c>
      <c r="C35" s="8" t="s">
        <v>980</v>
      </c>
      <c r="D35" t="s">
        <v>817</v>
      </c>
      <c r="E35" t="s">
        <v>865</v>
      </c>
      <c r="F35" t="s">
        <v>866</v>
      </c>
      <c r="G35" t="s">
        <v>864</v>
      </c>
      <c r="H35" t="s">
        <v>967</v>
      </c>
      <c r="I35" s="7">
        <v>22293</v>
      </c>
      <c r="J35" s="7">
        <v>43754</v>
      </c>
      <c r="K35">
        <f t="shared" si="2"/>
        <v>58</v>
      </c>
      <c r="L35">
        <v>5</v>
      </c>
      <c r="M35" t="s">
        <v>861</v>
      </c>
      <c r="N35">
        <v>254</v>
      </c>
      <c r="O35">
        <v>2</v>
      </c>
      <c r="P35">
        <v>1</v>
      </c>
      <c r="Q35">
        <v>2</v>
      </c>
      <c r="R35" s="12">
        <v>1</v>
      </c>
      <c r="S35" s="12">
        <v>0</v>
      </c>
      <c r="T35" t="s">
        <v>817</v>
      </c>
      <c r="U35" t="str">
        <f t="shared" si="3"/>
        <v>TRUE</v>
      </c>
      <c r="V35">
        <v>17.059999999999999</v>
      </c>
      <c r="W35">
        <v>1.47</v>
      </c>
      <c r="X35">
        <v>73.010000000000005</v>
      </c>
      <c r="Y35">
        <v>188.27</v>
      </c>
      <c r="Z35">
        <v>117.66</v>
      </c>
      <c r="AA35">
        <v>24.4</v>
      </c>
      <c r="AB35">
        <v>34.85</v>
      </c>
      <c r="AC35">
        <v>2.09</v>
      </c>
      <c r="AD35">
        <v>2500.0100000000002</v>
      </c>
      <c r="AE35">
        <v>982.63</v>
      </c>
      <c r="AF35">
        <v>79.599999999999994</v>
      </c>
      <c r="AG35" s="14">
        <v>1000.01</v>
      </c>
      <c r="AH35">
        <v>16.93</v>
      </c>
      <c r="AI35">
        <v>674.78</v>
      </c>
      <c r="AJ35">
        <v>232.16</v>
      </c>
      <c r="AK35">
        <v>371.78</v>
      </c>
      <c r="AL35">
        <v>259.02999999999997</v>
      </c>
      <c r="AM35">
        <v>131.87</v>
      </c>
      <c r="AN35">
        <v>27.39</v>
      </c>
      <c r="AO35">
        <v>857.24</v>
      </c>
      <c r="AP35">
        <v>22.44</v>
      </c>
      <c r="AQ35">
        <v>149.94999999999999</v>
      </c>
    </row>
    <row r="36" spans="1:43">
      <c r="A36" t="s">
        <v>205</v>
      </c>
      <c r="B36" s="8" t="s">
        <v>998</v>
      </c>
      <c r="C36" s="8" t="s">
        <v>994</v>
      </c>
      <c r="D36" t="s">
        <v>205</v>
      </c>
      <c r="E36" t="s">
        <v>865</v>
      </c>
      <c r="F36" t="s">
        <v>873</v>
      </c>
      <c r="G36" t="s">
        <v>864</v>
      </c>
      <c r="H36" t="s">
        <v>967</v>
      </c>
      <c r="I36" s="7">
        <v>19925</v>
      </c>
      <c r="J36" s="7">
        <v>43705</v>
      </c>
      <c r="K36">
        <f t="shared" si="2"/>
        <v>65</v>
      </c>
      <c r="L36">
        <v>5</v>
      </c>
      <c r="M36" t="s">
        <v>861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">
        <v>205</v>
      </c>
      <c r="U36" t="str">
        <f t="shared" si="3"/>
        <v>TRUE</v>
      </c>
      <c r="V36">
        <v>13.38</v>
      </c>
      <c r="W36">
        <v>2.15</v>
      </c>
      <c r="X36">
        <v>34.11</v>
      </c>
      <c r="Y36">
        <v>809.03</v>
      </c>
      <c r="Z36">
        <v>22.13</v>
      </c>
      <c r="AA36">
        <v>35.65</v>
      </c>
      <c r="AB36">
        <v>3.75</v>
      </c>
      <c r="AC36" s="13">
        <v>0.99</v>
      </c>
      <c r="AD36">
        <v>626.05999999999995</v>
      </c>
      <c r="AE36">
        <v>567</v>
      </c>
      <c r="AF36">
        <v>15.7</v>
      </c>
      <c r="AG36">
        <v>74.11</v>
      </c>
      <c r="AH36" s="14">
        <v>2.4900000000000002</v>
      </c>
      <c r="AI36">
        <v>34.92</v>
      </c>
      <c r="AJ36">
        <v>36.380000000000003</v>
      </c>
      <c r="AK36">
        <v>5.23</v>
      </c>
      <c r="AL36">
        <v>45.08</v>
      </c>
      <c r="AM36">
        <v>32.64</v>
      </c>
      <c r="AN36" s="14">
        <v>4.99</v>
      </c>
      <c r="AO36">
        <v>982.25</v>
      </c>
      <c r="AP36">
        <v>14.67</v>
      </c>
      <c r="AQ36">
        <v>102.44</v>
      </c>
    </row>
    <row r="37" spans="1:43">
      <c r="A37" t="s">
        <v>685</v>
      </c>
      <c r="B37" s="8" t="s">
        <v>1009</v>
      </c>
      <c r="C37" s="8" t="s">
        <v>1010</v>
      </c>
      <c r="D37" t="s">
        <v>685</v>
      </c>
      <c r="E37" t="s">
        <v>865</v>
      </c>
      <c r="F37" t="s">
        <v>869</v>
      </c>
      <c r="G37" t="s">
        <v>860</v>
      </c>
      <c r="H37" t="s">
        <v>860</v>
      </c>
      <c r="I37" s="7">
        <v>31009</v>
      </c>
      <c r="J37" s="7">
        <v>43699</v>
      </c>
      <c r="K37">
        <f t="shared" si="2"/>
        <v>34</v>
      </c>
      <c r="L37">
        <v>1</v>
      </c>
      <c r="M37" t="s">
        <v>857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">
        <v>685</v>
      </c>
      <c r="U37" t="str">
        <f t="shared" si="3"/>
        <v>TRUE</v>
      </c>
      <c r="V37">
        <v>25.78</v>
      </c>
      <c r="W37">
        <v>4.3499999999999996</v>
      </c>
      <c r="X37">
        <v>25.1</v>
      </c>
      <c r="Y37">
        <v>68.400000000000006</v>
      </c>
      <c r="Z37">
        <v>48.67</v>
      </c>
      <c r="AA37">
        <v>19.690000000000001</v>
      </c>
      <c r="AB37">
        <v>8.4499999999999993</v>
      </c>
      <c r="AC37">
        <v>1.82</v>
      </c>
      <c r="AD37">
        <v>524.76</v>
      </c>
      <c r="AE37">
        <v>67.099999999999994</v>
      </c>
      <c r="AF37">
        <v>17.04</v>
      </c>
      <c r="AG37">
        <v>75.569999999999993</v>
      </c>
      <c r="AH37">
        <v>8.92</v>
      </c>
      <c r="AI37">
        <v>80.81</v>
      </c>
      <c r="AJ37">
        <v>18.38</v>
      </c>
      <c r="AK37">
        <v>23.23</v>
      </c>
      <c r="AL37">
        <v>45.01</v>
      </c>
      <c r="AM37">
        <v>78.930000000000007</v>
      </c>
      <c r="AN37">
        <v>16.89</v>
      </c>
      <c r="AO37">
        <v>123.13</v>
      </c>
      <c r="AP37">
        <v>16.75</v>
      </c>
      <c r="AQ37">
        <v>40.89</v>
      </c>
    </row>
    <row r="38" spans="1:43">
      <c r="A38" t="s">
        <v>826</v>
      </c>
      <c r="B38" s="8" t="s">
        <v>984</v>
      </c>
      <c r="C38" s="8" t="s">
        <v>980</v>
      </c>
      <c r="D38" t="s">
        <v>826</v>
      </c>
      <c r="E38" t="s">
        <v>865</v>
      </c>
      <c r="F38" t="s">
        <v>866</v>
      </c>
      <c r="G38" t="s">
        <v>864</v>
      </c>
      <c r="H38" t="s">
        <v>967</v>
      </c>
      <c r="I38" s="7">
        <v>22293</v>
      </c>
      <c r="J38" s="7">
        <v>43788</v>
      </c>
      <c r="K38">
        <f t="shared" si="2"/>
        <v>58</v>
      </c>
      <c r="L38">
        <v>6</v>
      </c>
      <c r="M38" t="s">
        <v>861</v>
      </c>
      <c r="N38">
        <v>467</v>
      </c>
      <c r="O38">
        <v>1</v>
      </c>
      <c r="P38">
        <v>1</v>
      </c>
      <c r="Q38">
        <v>2</v>
      </c>
      <c r="R38" s="12">
        <v>1</v>
      </c>
      <c r="S38" s="12">
        <v>0</v>
      </c>
      <c r="T38" t="s">
        <v>826</v>
      </c>
      <c r="U38" t="str">
        <f t="shared" si="3"/>
        <v>TRUE</v>
      </c>
      <c r="V38">
        <v>22.39</v>
      </c>
      <c r="W38">
        <v>3.35</v>
      </c>
      <c r="X38">
        <v>220.07</v>
      </c>
      <c r="Y38">
        <v>526.70000000000005</v>
      </c>
      <c r="Z38">
        <v>211.03</v>
      </c>
      <c r="AA38">
        <v>61.17</v>
      </c>
      <c r="AB38">
        <v>54.03</v>
      </c>
      <c r="AC38">
        <v>4.8899999999999997</v>
      </c>
      <c r="AD38">
        <v>914.87</v>
      </c>
      <c r="AE38">
        <v>430.8</v>
      </c>
      <c r="AF38">
        <v>60.48</v>
      </c>
      <c r="AG38">
        <v>215.71</v>
      </c>
      <c r="AH38">
        <v>11</v>
      </c>
      <c r="AI38">
        <v>108.3</v>
      </c>
      <c r="AJ38">
        <v>57.71</v>
      </c>
      <c r="AK38">
        <v>35.51</v>
      </c>
      <c r="AL38">
        <v>174.6</v>
      </c>
      <c r="AM38">
        <v>95.91</v>
      </c>
      <c r="AN38">
        <v>14.78</v>
      </c>
      <c r="AO38">
        <v>1038.3599999999999</v>
      </c>
      <c r="AP38">
        <v>27.54</v>
      </c>
      <c r="AQ38">
        <v>147.28</v>
      </c>
    </row>
    <row r="39" spans="1:43">
      <c r="A39" t="s">
        <v>550</v>
      </c>
      <c r="B39" s="8" t="s">
        <v>1029</v>
      </c>
      <c r="C39" s="8" t="s">
        <v>1028</v>
      </c>
      <c r="D39" t="s">
        <v>550</v>
      </c>
      <c r="E39" t="s">
        <v>865</v>
      </c>
      <c r="F39" t="s">
        <v>869</v>
      </c>
      <c r="G39" t="s">
        <v>864</v>
      </c>
      <c r="H39" t="s">
        <v>967</v>
      </c>
      <c r="I39" s="7">
        <v>29371</v>
      </c>
      <c r="J39" s="7">
        <v>43791</v>
      </c>
      <c r="K39">
        <f t="shared" si="2"/>
        <v>39</v>
      </c>
      <c r="L39">
        <v>2</v>
      </c>
      <c r="M39" t="s">
        <v>861</v>
      </c>
      <c r="N39" t="s">
        <v>856</v>
      </c>
      <c r="O39">
        <v>5</v>
      </c>
      <c r="P39">
        <v>1</v>
      </c>
      <c r="Q39">
        <v>2</v>
      </c>
      <c r="R39">
        <v>1</v>
      </c>
      <c r="S39">
        <v>0</v>
      </c>
      <c r="T39" t="s">
        <v>550</v>
      </c>
      <c r="U39" t="str">
        <f t="shared" si="3"/>
        <v>TRUE</v>
      </c>
      <c r="V39">
        <v>24.49</v>
      </c>
      <c r="W39">
        <v>35.119999999999997</v>
      </c>
      <c r="X39">
        <v>143.82</v>
      </c>
      <c r="Y39">
        <v>0.99</v>
      </c>
      <c r="Z39" s="12">
        <v>1000.01</v>
      </c>
      <c r="AA39">
        <v>181.14</v>
      </c>
      <c r="AB39">
        <v>1000.01</v>
      </c>
      <c r="AC39">
        <v>29.84</v>
      </c>
      <c r="AD39">
        <v>1576.5</v>
      </c>
      <c r="AE39">
        <v>2.4900000000000002</v>
      </c>
      <c r="AF39">
        <v>269.94</v>
      </c>
      <c r="AG39">
        <v>618.21</v>
      </c>
      <c r="AH39">
        <v>25.44</v>
      </c>
      <c r="AI39">
        <v>134.56</v>
      </c>
      <c r="AJ39" s="14">
        <v>2.4900000000000002</v>
      </c>
      <c r="AK39">
        <v>49.61</v>
      </c>
      <c r="AL39" s="14">
        <v>9.99</v>
      </c>
      <c r="AM39">
        <v>219.25</v>
      </c>
      <c r="AN39">
        <v>28.44</v>
      </c>
      <c r="AO39" s="14">
        <v>4.99</v>
      </c>
      <c r="AP39">
        <v>109.88</v>
      </c>
      <c r="AQ39" s="14">
        <v>4.99</v>
      </c>
    </row>
    <row r="40" spans="1:43">
      <c r="A40" t="s">
        <v>544</v>
      </c>
      <c r="B40" s="8" t="s">
        <v>1030</v>
      </c>
      <c r="C40" s="8" t="s">
        <v>1028</v>
      </c>
      <c r="D40" t="s">
        <v>544</v>
      </c>
      <c r="E40" t="s">
        <v>865</v>
      </c>
      <c r="F40" t="s">
        <v>869</v>
      </c>
      <c r="G40" t="s">
        <v>864</v>
      </c>
      <c r="H40" t="s">
        <v>967</v>
      </c>
      <c r="I40" s="7">
        <v>29371</v>
      </c>
      <c r="J40" s="7">
        <v>43798</v>
      </c>
      <c r="K40">
        <f t="shared" si="2"/>
        <v>39</v>
      </c>
      <c r="L40">
        <v>3</v>
      </c>
      <c r="M40" t="s">
        <v>861</v>
      </c>
      <c r="N40" t="s">
        <v>856</v>
      </c>
      <c r="O40">
        <v>5</v>
      </c>
      <c r="P40">
        <v>1</v>
      </c>
      <c r="Q40">
        <v>2</v>
      </c>
      <c r="R40">
        <v>1</v>
      </c>
      <c r="S40">
        <v>0</v>
      </c>
      <c r="T40" t="s">
        <v>544</v>
      </c>
      <c r="U40" t="str">
        <f t="shared" si="3"/>
        <v>TRUE</v>
      </c>
      <c r="V40">
        <v>13.66</v>
      </c>
      <c r="W40">
        <v>20.75</v>
      </c>
      <c r="X40">
        <v>97.16</v>
      </c>
      <c r="Y40">
        <v>2.12</v>
      </c>
      <c r="Z40" s="12">
        <v>1000.01</v>
      </c>
      <c r="AA40">
        <v>298.61</v>
      </c>
      <c r="AB40">
        <v>1000.01</v>
      </c>
      <c r="AC40">
        <v>27.63</v>
      </c>
      <c r="AD40">
        <v>2500.0100000000002</v>
      </c>
      <c r="AE40">
        <v>2.94</v>
      </c>
      <c r="AF40">
        <v>303.70999999999998</v>
      </c>
      <c r="AG40">
        <v>996.11</v>
      </c>
      <c r="AH40">
        <v>13.65</v>
      </c>
      <c r="AI40">
        <v>270.95</v>
      </c>
      <c r="AJ40" s="14">
        <v>2.4900000000000002</v>
      </c>
      <c r="AK40">
        <v>101.89</v>
      </c>
      <c r="AL40" s="14">
        <v>9.99</v>
      </c>
      <c r="AM40">
        <v>81.12</v>
      </c>
      <c r="AN40">
        <v>10.09</v>
      </c>
      <c r="AO40" s="14">
        <v>4.99</v>
      </c>
      <c r="AP40">
        <v>50.08</v>
      </c>
      <c r="AQ40" s="14">
        <v>4.99</v>
      </c>
    </row>
    <row r="41" spans="1:43">
      <c r="A41" t="s">
        <v>832</v>
      </c>
      <c r="B41" s="8" t="s">
        <v>1037</v>
      </c>
      <c r="C41" s="8" t="s">
        <v>1036</v>
      </c>
      <c r="D41" t="s">
        <v>832</v>
      </c>
      <c r="E41" t="s">
        <v>865</v>
      </c>
      <c r="F41" t="s">
        <v>866</v>
      </c>
      <c r="G41" t="s">
        <v>864</v>
      </c>
      <c r="H41" t="s">
        <v>967</v>
      </c>
      <c r="I41" s="7">
        <v>33023</v>
      </c>
      <c r="J41" s="7">
        <v>43798</v>
      </c>
      <c r="K41">
        <v>29</v>
      </c>
      <c r="L41">
        <v>2</v>
      </c>
      <c r="M41" t="s">
        <v>857</v>
      </c>
      <c r="N41" t="s">
        <v>856</v>
      </c>
      <c r="O41">
        <v>3</v>
      </c>
      <c r="P41">
        <v>0</v>
      </c>
      <c r="Q41">
        <v>2</v>
      </c>
      <c r="R41">
        <v>0</v>
      </c>
      <c r="S41">
        <v>0</v>
      </c>
      <c r="T41" t="s">
        <v>832</v>
      </c>
      <c r="U41" t="str">
        <f t="shared" si="3"/>
        <v>TRUE</v>
      </c>
      <c r="V41">
        <v>11.27</v>
      </c>
      <c r="W41">
        <v>12.74</v>
      </c>
      <c r="X41">
        <v>1000.01</v>
      </c>
      <c r="Y41">
        <v>752.38</v>
      </c>
      <c r="Z41">
        <v>86.84</v>
      </c>
      <c r="AA41">
        <v>226.34</v>
      </c>
      <c r="AB41">
        <v>36.299999999999997</v>
      </c>
      <c r="AC41">
        <v>3.71</v>
      </c>
      <c r="AD41">
        <v>759.96</v>
      </c>
      <c r="AE41">
        <v>483.85</v>
      </c>
      <c r="AF41">
        <v>210.89</v>
      </c>
      <c r="AG41">
        <v>265.17</v>
      </c>
      <c r="AH41">
        <v>4.42</v>
      </c>
      <c r="AI41">
        <v>119.82</v>
      </c>
      <c r="AJ41">
        <v>129.85</v>
      </c>
      <c r="AK41">
        <v>51.57</v>
      </c>
      <c r="AL41">
        <v>101.9</v>
      </c>
      <c r="AM41">
        <v>63.55</v>
      </c>
      <c r="AN41">
        <v>17.079999999999998</v>
      </c>
      <c r="AO41">
        <v>302.45</v>
      </c>
      <c r="AP41">
        <v>104.5</v>
      </c>
      <c r="AQ41">
        <v>135.08000000000001</v>
      </c>
    </row>
    <row r="42" spans="1:43">
      <c r="A42" t="s">
        <v>475</v>
      </c>
      <c r="B42" s="8" t="s">
        <v>1021</v>
      </c>
      <c r="C42" s="8" t="s">
        <v>1017</v>
      </c>
      <c r="D42" t="s">
        <v>475</v>
      </c>
      <c r="E42" t="s">
        <v>865</v>
      </c>
      <c r="F42" t="s">
        <v>872</v>
      </c>
      <c r="G42" t="s">
        <v>860</v>
      </c>
      <c r="H42" t="s">
        <v>967</v>
      </c>
      <c r="I42" s="7">
        <v>18937</v>
      </c>
      <c r="J42" s="7">
        <v>43802</v>
      </c>
      <c r="K42">
        <v>68</v>
      </c>
      <c r="L42">
        <v>7</v>
      </c>
      <c r="M42" t="s">
        <v>857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">
        <v>475</v>
      </c>
      <c r="U42" t="str">
        <f t="shared" si="3"/>
        <v>TRUE</v>
      </c>
      <c r="V42">
        <v>8.81</v>
      </c>
      <c r="W42">
        <v>6.42</v>
      </c>
      <c r="X42">
        <v>114.69</v>
      </c>
      <c r="Y42">
        <v>402.76</v>
      </c>
      <c r="Z42">
        <v>773.9</v>
      </c>
      <c r="AA42">
        <v>95.18</v>
      </c>
      <c r="AB42">
        <v>350</v>
      </c>
      <c r="AC42">
        <v>6.95</v>
      </c>
      <c r="AD42">
        <v>1237.01</v>
      </c>
      <c r="AE42">
        <v>401.76</v>
      </c>
      <c r="AF42">
        <v>138.44999999999999</v>
      </c>
      <c r="AG42">
        <v>538.08000000000004</v>
      </c>
      <c r="AH42">
        <v>5.96</v>
      </c>
      <c r="AI42">
        <v>166.92</v>
      </c>
      <c r="AJ42">
        <v>38.28</v>
      </c>
      <c r="AK42">
        <v>108.45</v>
      </c>
      <c r="AL42">
        <v>18.63</v>
      </c>
      <c r="AM42">
        <v>89.98</v>
      </c>
      <c r="AN42">
        <v>8.74</v>
      </c>
      <c r="AO42">
        <v>218.73</v>
      </c>
      <c r="AP42">
        <v>68.75</v>
      </c>
      <c r="AQ42">
        <v>50.47</v>
      </c>
    </row>
    <row r="43" spans="1:43">
      <c r="A43" t="s">
        <v>538</v>
      </c>
      <c r="B43" s="8" t="s">
        <v>1031</v>
      </c>
      <c r="C43" s="8" t="s">
        <v>1028</v>
      </c>
      <c r="D43" t="s">
        <v>538</v>
      </c>
      <c r="E43" t="s">
        <v>865</v>
      </c>
      <c r="F43" t="s">
        <v>869</v>
      </c>
      <c r="G43" t="s">
        <v>864</v>
      </c>
      <c r="H43" t="s">
        <v>967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861</v>
      </c>
      <c r="N43" t="s">
        <v>856</v>
      </c>
      <c r="O43">
        <v>4</v>
      </c>
      <c r="P43">
        <v>1</v>
      </c>
      <c r="Q43">
        <v>2</v>
      </c>
      <c r="R43">
        <v>1</v>
      </c>
      <c r="S43">
        <v>0</v>
      </c>
      <c r="T43" t="s">
        <v>538</v>
      </c>
      <c r="U43" t="str">
        <f t="shared" si="3"/>
        <v>TRUE</v>
      </c>
      <c r="V43">
        <v>16.559999999999999</v>
      </c>
      <c r="W43">
        <v>7.27</v>
      </c>
      <c r="X43">
        <v>86.98</v>
      </c>
      <c r="Y43">
        <v>0.99</v>
      </c>
      <c r="Z43">
        <v>633.52</v>
      </c>
      <c r="AA43">
        <v>69.709999999999994</v>
      </c>
      <c r="AB43">
        <v>172.66</v>
      </c>
      <c r="AC43">
        <v>14.65</v>
      </c>
      <c r="AD43">
        <v>2500.0100000000002</v>
      </c>
      <c r="AE43">
        <v>3.91</v>
      </c>
      <c r="AF43">
        <v>281.74</v>
      </c>
      <c r="AG43" s="14">
        <v>1000.01</v>
      </c>
      <c r="AH43">
        <v>16.559999999999999</v>
      </c>
      <c r="AI43">
        <v>333.27</v>
      </c>
      <c r="AJ43" s="14">
        <v>2.4900000000000002</v>
      </c>
      <c r="AK43">
        <v>95.37</v>
      </c>
      <c r="AL43" s="14">
        <v>9.99</v>
      </c>
      <c r="AM43">
        <v>140.44999999999999</v>
      </c>
      <c r="AN43">
        <v>18.98</v>
      </c>
      <c r="AO43" s="14">
        <v>4.99</v>
      </c>
      <c r="AP43">
        <v>55.7</v>
      </c>
      <c r="AQ43" s="14">
        <v>4.99</v>
      </c>
    </row>
    <row r="44" spans="1:43">
      <c r="A44" t="s">
        <v>841</v>
      </c>
      <c r="B44" s="8" t="s">
        <v>1038</v>
      </c>
      <c r="C44" s="8" t="s">
        <v>1036</v>
      </c>
      <c r="D44" t="s">
        <v>841</v>
      </c>
      <c r="E44" t="s">
        <v>865</v>
      </c>
      <c r="F44" t="s">
        <v>866</v>
      </c>
      <c r="G44" t="s">
        <v>864</v>
      </c>
      <c r="H44" t="s">
        <v>967</v>
      </c>
      <c r="I44" s="7">
        <v>33023</v>
      </c>
      <c r="J44" s="7">
        <v>43805</v>
      </c>
      <c r="K44">
        <v>29</v>
      </c>
      <c r="L44">
        <v>3</v>
      </c>
      <c r="M44" t="s">
        <v>857</v>
      </c>
      <c r="N44" t="s">
        <v>856</v>
      </c>
      <c r="O44">
        <v>6</v>
      </c>
      <c r="P44">
        <v>0</v>
      </c>
      <c r="Q44">
        <v>2</v>
      </c>
      <c r="R44">
        <v>0</v>
      </c>
      <c r="S44">
        <v>0</v>
      </c>
      <c r="T44" t="s">
        <v>841</v>
      </c>
      <c r="U44" t="str">
        <f t="shared" si="3"/>
        <v>TRUE</v>
      </c>
      <c r="V44">
        <v>8.34</v>
      </c>
      <c r="W44">
        <v>2.62</v>
      </c>
      <c r="X44">
        <v>352.53</v>
      </c>
      <c r="Y44">
        <v>365.56</v>
      </c>
      <c r="Z44">
        <v>19.97</v>
      </c>
      <c r="AA44">
        <v>52.97</v>
      </c>
      <c r="AB44">
        <v>13.03</v>
      </c>
      <c r="AC44">
        <v>1.84</v>
      </c>
      <c r="AD44">
        <v>403.53</v>
      </c>
      <c r="AE44">
        <v>268.97000000000003</v>
      </c>
      <c r="AF44">
        <v>149.88999999999999</v>
      </c>
      <c r="AG44">
        <v>124.23</v>
      </c>
      <c r="AH44">
        <v>4.58</v>
      </c>
      <c r="AI44">
        <v>42.2</v>
      </c>
      <c r="AJ44">
        <v>36.450000000000003</v>
      </c>
      <c r="AK44">
        <v>15.27</v>
      </c>
      <c r="AL44">
        <v>53.16</v>
      </c>
      <c r="AM44">
        <v>65.349999999999994</v>
      </c>
      <c r="AN44">
        <v>11.95</v>
      </c>
      <c r="AO44">
        <v>286.83999999999997</v>
      </c>
      <c r="AP44">
        <v>81.67</v>
      </c>
      <c r="AQ44">
        <v>132.91999999999999</v>
      </c>
    </row>
    <row r="45" spans="1:43">
      <c r="A45" t="s">
        <v>838</v>
      </c>
      <c r="B45" s="8" t="s">
        <v>1039</v>
      </c>
      <c r="C45" s="8" t="s">
        <v>1036</v>
      </c>
      <c r="D45" t="s">
        <v>838</v>
      </c>
      <c r="E45" t="s">
        <v>865</v>
      </c>
      <c r="F45" t="s">
        <v>866</v>
      </c>
      <c r="G45" t="s">
        <v>864</v>
      </c>
      <c r="H45" t="s">
        <v>967</v>
      </c>
      <c r="I45" s="7">
        <v>33023</v>
      </c>
      <c r="J45" s="7">
        <v>43812</v>
      </c>
      <c r="K45">
        <v>29</v>
      </c>
      <c r="L45">
        <v>4</v>
      </c>
      <c r="M45" t="s">
        <v>857</v>
      </c>
      <c r="N45" t="s">
        <v>856</v>
      </c>
      <c r="O45">
        <v>6</v>
      </c>
      <c r="P45">
        <v>0</v>
      </c>
      <c r="Q45">
        <v>2</v>
      </c>
      <c r="R45">
        <v>0</v>
      </c>
      <c r="S45">
        <v>0</v>
      </c>
      <c r="T45" t="s">
        <v>838</v>
      </c>
      <c r="U45" t="str">
        <f t="shared" si="3"/>
        <v>TRUE</v>
      </c>
      <c r="V45">
        <v>9.86</v>
      </c>
      <c r="W45">
        <v>12.24</v>
      </c>
      <c r="X45">
        <v>609.62</v>
      </c>
      <c r="Y45">
        <v>529.19000000000005</v>
      </c>
      <c r="Z45">
        <v>64.290000000000006</v>
      </c>
      <c r="AA45">
        <v>164.48</v>
      </c>
      <c r="AB45">
        <v>10.89</v>
      </c>
      <c r="AC45">
        <v>4.62</v>
      </c>
      <c r="AD45">
        <v>124</v>
      </c>
      <c r="AE45">
        <v>149.04</v>
      </c>
      <c r="AF45">
        <v>69</v>
      </c>
      <c r="AG45">
        <v>20.91</v>
      </c>
      <c r="AH45">
        <v>3.26</v>
      </c>
      <c r="AI45">
        <v>19.91</v>
      </c>
      <c r="AJ45">
        <v>26.26</v>
      </c>
      <c r="AK45">
        <v>4.08</v>
      </c>
      <c r="AL45">
        <v>131.07</v>
      </c>
      <c r="AM45">
        <v>54.17</v>
      </c>
      <c r="AN45">
        <v>14.2</v>
      </c>
      <c r="AO45">
        <v>315.74</v>
      </c>
      <c r="AP45">
        <v>95.37</v>
      </c>
      <c r="AQ45">
        <v>123.85</v>
      </c>
    </row>
    <row r="46" spans="1:43">
      <c r="A46" t="s">
        <v>682</v>
      </c>
      <c r="B46" s="8" t="s">
        <v>1015</v>
      </c>
      <c r="C46" s="8" t="s">
        <v>1010</v>
      </c>
      <c r="D46" t="s">
        <v>682</v>
      </c>
      <c r="E46" t="s">
        <v>865</v>
      </c>
      <c r="F46" t="s">
        <v>869</v>
      </c>
      <c r="G46" t="s">
        <v>860</v>
      </c>
      <c r="H46" t="s">
        <v>967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857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">
        <v>682</v>
      </c>
      <c r="U46" t="str">
        <f t="shared" si="3"/>
        <v>TRUE</v>
      </c>
      <c r="V46">
        <v>28.22</v>
      </c>
      <c r="W46">
        <v>3.48</v>
      </c>
      <c r="X46">
        <v>38.83</v>
      </c>
      <c r="Y46">
        <v>128.66</v>
      </c>
      <c r="Z46">
        <v>60.96</v>
      </c>
      <c r="AA46">
        <v>12.58</v>
      </c>
      <c r="AB46">
        <v>19.670000000000002</v>
      </c>
      <c r="AC46">
        <v>4.17</v>
      </c>
      <c r="AD46">
        <v>1163.4100000000001</v>
      </c>
      <c r="AE46">
        <v>265.83999999999997</v>
      </c>
      <c r="AF46">
        <v>26.64</v>
      </c>
      <c r="AG46">
        <v>226.6</v>
      </c>
      <c r="AH46">
        <v>28.47</v>
      </c>
      <c r="AI46">
        <v>156.97999999999999</v>
      </c>
      <c r="AJ46">
        <v>49.23</v>
      </c>
      <c r="AK46">
        <v>47.4</v>
      </c>
      <c r="AL46">
        <v>101.06</v>
      </c>
      <c r="AM46">
        <v>103.92</v>
      </c>
      <c r="AN46">
        <v>19.7</v>
      </c>
      <c r="AO46">
        <v>511.99</v>
      </c>
      <c r="AP46">
        <v>7.88</v>
      </c>
      <c r="AQ46">
        <v>71.25</v>
      </c>
    </row>
    <row r="47" spans="1:43">
      <c r="A47" t="s">
        <v>541</v>
      </c>
      <c r="B47" s="8" t="s">
        <v>1032</v>
      </c>
      <c r="C47" s="8" t="s">
        <v>1028</v>
      </c>
      <c r="D47" t="s">
        <v>541</v>
      </c>
      <c r="E47" t="s">
        <v>865</v>
      </c>
      <c r="F47" t="s">
        <v>869</v>
      </c>
      <c r="G47" t="s">
        <v>864</v>
      </c>
      <c r="H47" t="s">
        <v>967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861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">
        <v>541</v>
      </c>
      <c r="U47" t="str">
        <f t="shared" si="3"/>
        <v>TRUE</v>
      </c>
      <c r="V47">
        <v>20.49</v>
      </c>
      <c r="W47">
        <v>2.71</v>
      </c>
      <c r="X47">
        <v>23.09</v>
      </c>
      <c r="Y47">
        <v>0.99</v>
      </c>
      <c r="Z47">
        <v>271.33</v>
      </c>
      <c r="AA47">
        <v>41.83</v>
      </c>
      <c r="AB47">
        <v>113.65</v>
      </c>
      <c r="AC47">
        <v>19.84</v>
      </c>
      <c r="AD47">
        <v>2500.0100000000002</v>
      </c>
      <c r="AE47">
        <v>2.71</v>
      </c>
      <c r="AF47">
        <v>295.70999999999998</v>
      </c>
      <c r="AG47" s="14">
        <v>1000.01</v>
      </c>
      <c r="AH47">
        <v>34.94</v>
      </c>
      <c r="AI47">
        <v>488.9</v>
      </c>
      <c r="AJ47" s="14">
        <v>2.4900000000000002</v>
      </c>
      <c r="AK47">
        <v>175.68</v>
      </c>
      <c r="AL47" s="14">
        <v>9.99</v>
      </c>
      <c r="AM47">
        <v>190.34</v>
      </c>
      <c r="AN47">
        <v>42.11</v>
      </c>
      <c r="AO47" s="14">
        <v>4.99</v>
      </c>
      <c r="AP47">
        <v>70.45</v>
      </c>
      <c r="AQ47" s="14">
        <v>4.99</v>
      </c>
    </row>
    <row r="48" spans="1:43">
      <c r="A48" t="s">
        <v>835</v>
      </c>
      <c r="B48" s="8" t="s">
        <v>1040</v>
      </c>
      <c r="C48" s="8" t="s">
        <v>1036</v>
      </c>
      <c r="D48" t="s">
        <v>835</v>
      </c>
      <c r="E48" t="s">
        <v>865</v>
      </c>
      <c r="F48" t="s">
        <v>866</v>
      </c>
      <c r="G48" t="s">
        <v>864</v>
      </c>
      <c r="H48" t="s">
        <v>967</v>
      </c>
      <c r="I48" s="7">
        <v>33023</v>
      </c>
      <c r="J48" s="7">
        <v>43817</v>
      </c>
      <c r="K48">
        <v>29</v>
      </c>
      <c r="L48">
        <v>5</v>
      </c>
      <c r="M48" t="s">
        <v>857</v>
      </c>
      <c r="N48">
        <v>368</v>
      </c>
      <c r="O48">
        <v>7</v>
      </c>
      <c r="P48">
        <v>0</v>
      </c>
      <c r="Q48">
        <v>2</v>
      </c>
      <c r="R48">
        <v>0</v>
      </c>
      <c r="S48">
        <v>0</v>
      </c>
      <c r="T48" t="s">
        <v>835</v>
      </c>
      <c r="U48" t="str">
        <f t="shared" si="3"/>
        <v>TRUE</v>
      </c>
      <c r="V48">
        <v>11.85</v>
      </c>
      <c r="W48">
        <v>1.39</v>
      </c>
      <c r="X48">
        <v>191.04</v>
      </c>
      <c r="Y48">
        <v>192.96</v>
      </c>
      <c r="Z48">
        <v>27.03</v>
      </c>
      <c r="AA48">
        <v>41.83</v>
      </c>
      <c r="AB48">
        <v>30.13</v>
      </c>
      <c r="AC48">
        <v>1.62</v>
      </c>
      <c r="AD48">
        <v>1308.0899999999999</v>
      </c>
      <c r="AE48">
        <v>613.74</v>
      </c>
      <c r="AF48">
        <v>349.25</v>
      </c>
      <c r="AG48">
        <v>475.05</v>
      </c>
      <c r="AH48">
        <v>9.64</v>
      </c>
      <c r="AI48">
        <v>202.04</v>
      </c>
      <c r="AJ48">
        <v>121.84</v>
      </c>
      <c r="AK48">
        <v>72.3</v>
      </c>
      <c r="AL48">
        <v>32.07</v>
      </c>
      <c r="AM48">
        <v>107.44</v>
      </c>
      <c r="AN48">
        <v>23.98</v>
      </c>
      <c r="AO48">
        <v>145.28</v>
      </c>
      <c r="AP48">
        <v>139.56</v>
      </c>
      <c r="AQ48">
        <v>142.02000000000001</v>
      </c>
    </row>
    <row r="49" spans="1:43">
      <c r="A49" t="s">
        <v>547</v>
      </c>
      <c r="B49" s="8" t="s">
        <v>1033</v>
      </c>
      <c r="C49" s="8" t="s">
        <v>1028</v>
      </c>
      <c r="D49" t="s">
        <v>547</v>
      </c>
      <c r="E49" t="s">
        <v>865</v>
      </c>
      <c r="F49" t="s">
        <v>869</v>
      </c>
      <c r="G49" t="s">
        <v>864</v>
      </c>
      <c r="H49" t="s">
        <v>967</v>
      </c>
      <c r="I49" s="7">
        <v>29371</v>
      </c>
      <c r="J49" s="7">
        <v>43840</v>
      </c>
      <c r="K49">
        <f>DATEDIF(I49,J49,"Y")</f>
        <v>39</v>
      </c>
      <c r="L49">
        <v>6</v>
      </c>
      <c r="M49" t="s">
        <v>861</v>
      </c>
      <c r="N49">
        <v>29</v>
      </c>
      <c r="O49">
        <v>2</v>
      </c>
      <c r="P49">
        <v>1</v>
      </c>
      <c r="Q49">
        <v>2</v>
      </c>
      <c r="R49">
        <v>1</v>
      </c>
      <c r="S49">
        <v>0</v>
      </c>
      <c r="T49" t="s">
        <v>547</v>
      </c>
      <c r="U49" t="str">
        <f t="shared" si="3"/>
        <v>TRUE</v>
      </c>
      <c r="V49">
        <v>24.91</v>
      </c>
      <c r="W49">
        <v>3.84</v>
      </c>
      <c r="X49">
        <v>108.83</v>
      </c>
      <c r="Y49">
        <v>1.33</v>
      </c>
      <c r="Z49">
        <v>316.89999999999998</v>
      </c>
      <c r="AA49">
        <v>49.2</v>
      </c>
      <c r="AB49">
        <v>77.099999999999994</v>
      </c>
      <c r="AC49">
        <v>22.68</v>
      </c>
      <c r="AD49">
        <v>2500.0100000000002</v>
      </c>
      <c r="AE49">
        <v>2.4900000000000002</v>
      </c>
      <c r="AF49">
        <v>163.75</v>
      </c>
      <c r="AG49">
        <v>430.22</v>
      </c>
      <c r="AH49">
        <v>28.19</v>
      </c>
      <c r="AI49">
        <v>290.42</v>
      </c>
      <c r="AJ49" s="14">
        <v>2.4900000000000002</v>
      </c>
      <c r="AK49">
        <v>47.58</v>
      </c>
      <c r="AL49" s="14">
        <v>9.99</v>
      </c>
      <c r="AM49">
        <v>242.52</v>
      </c>
      <c r="AN49">
        <v>57.99</v>
      </c>
      <c r="AO49">
        <v>8.2799999999999994</v>
      </c>
      <c r="AP49">
        <v>33.47</v>
      </c>
      <c r="AQ49" s="14">
        <v>4.99</v>
      </c>
    </row>
    <row r="50" spans="1:43">
      <c r="A50" t="s">
        <v>850</v>
      </c>
      <c r="B50" s="8" t="s">
        <v>1041</v>
      </c>
      <c r="C50" s="8" t="s">
        <v>1036</v>
      </c>
      <c r="D50" t="s">
        <v>850</v>
      </c>
      <c r="E50" t="s">
        <v>865</v>
      </c>
      <c r="F50" t="s">
        <v>866</v>
      </c>
      <c r="G50" t="s">
        <v>864</v>
      </c>
      <c r="H50" t="s">
        <v>967</v>
      </c>
      <c r="I50" s="7">
        <v>33023</v>
      </c>
      <c r="J50" s="7">
        <v>43847</v>
      </c>
      <c r="K50">
        <v>29</v>
      </c>
      <c r="L50">
        <v>6</v>
      </c>
      <c r="M50" t="s">
        <v>857</v>
      </c>
      <c r="N50">
        <v>426</v>
      </c>
      <c r="O50">
        <v>3</v>
      </c>
      <c r="P50">
        <v>0</v>
      </c>
      <c r="Q50">
        <v>2</v>
      </c>
      <c r="R50">
        <v>0</v>
      </c>
      <c r="S50">
        <v>0</v>
      </c>
      <c r="T50" t="s">
        <v>850</v>
      </c>
      <c r="U50" t="str">
        <f t="shared" si="3"/>
        <v>TRUE</v>
      </c>
      <c r="V50">
        <v>10.06</v>
      </c>
      <c r="W50">
        <v>3.06</v>
      </c>
      <c r="X50">
        <v>348.39</v>
      </c>
      <c r="Y50">
        <v>302.97000000000003</v>
      </c>
      <c r="Z50">
        <v>18.989999999999998</v>
      </c>
      <c r="AA50">
        <v>68.400000000000006</v>
      </c>
      <c r="AB50">
        <v>23.11</v>
      </c>
      <c r="AC50">
        <v>3.31</v>
      </c>
      <c r="AD50">
        <v>865.28</v>
      </c>
      <c r="AE50">
        <v>706.71</v>
      </c>
      <c r="AF50">
        <v>324.86</v>
      </c>
      <c r="AG50">
        <v>358.49</v>
      </c>
      <c r="AH50">
        <v>7.56</v>
      </c>
      <c r="AI50">
        <v>178.61</v>
      </c>
      <c r="AJ50">
        <v>185.82</v>
      </c>
      <c r="AK50">
        <v>82.52</v>
      </c>
      <c r="AL50">
        <v>58.79</v>
      </c>
      <c r="AM50">
        <v>29.03</v>
      </c>
      <c r="AN50">
        <v>8.5299999999999994</v>
      </c>
      <c r="AO50">
        <v>156.33000000000001</v>
      </c>
      <c r="AP50">
        <v>54.9</v>
      </c>
      <c r="AQ50">
        <v>59.29</v>
      </c>
    </row>
    <row r="51" spans="1:43">
      <c r="A51" t="s">
        <v>601</v>
      </c>
      <c r="B51" s="8" t="s">
        <v>1043</v>
      </c>
      <c r="C51" s="8" t="s">
        <v>1044</v>
      </c>
      <c r="D51" t="s">
        <v>601</v>
      </c>
      <c r="E51" t="s">
        <v>858</v>
      </c>
      <c r="F51" t="s">
        <v>863</v>
      </c>
      <c r="G51" t="s">
        <v>864</v>
      </c>
      <c r="H51" t="s">
        <v>860</v>
      </c>
      <c r="I51" s="7">
        <v>29354</v>
      </c>
      <c r="J51" s="7">
        <v>43868</v>
      </c>
      <c r="K51">
        <f>DATEDIF(I51,J51,"Y")</f>
        <v>39</v>
      </c>
      <c r="L51">
        <v>1</v>
      </c>
      <c r="M51" t="s">
        <v>857</v>
      </c>
      <c r="N51">
        <v>11611</v>
      </c>
      <c r="O51">
        <v>10</v>
      </c>
      <c r="P51">
        <v>1</v>
      </c>
      <c r="Q51" s="22">
        <v>2</v>
      </c>
      <c r="R51" s="12">
        <v>1</v>
      </c>
      <c r="S51" s="12">
        <v>0</v>
      </c>
      <c r="T51" t="s">
        <v>601</v>
      </c>
      <c r="U51" t="str">
        <f t="shared" si="3"/>
        <v>TRUE</v>
      </c>
      <c r="V51">
        <v>10.9</v>
      </c>
      <c r="W51">
        <v>27.41</v>
      </c>
      <c r="X51">
        <v>264.91000000000003</v>
      </c>
      <c r="Y51">
        <v>580.25</v>
      </c>
      <c r="Z51">
        <v>416.61</v>
      </c>
      <c r="AA51">
        <v>43.34</v>
      </c>
      <c r="AB51">
        <v>37.58</v>
      </c>
      <c r="AC51">
        <v>3.81</v>
      </c>
      <c r="AD51">
        <v>1326.33</v>
      </c>
      <c r="AE51">
        <v>714.22</v>
      </c>
      <c r="AF51">
        <v>70.84</v>
      </c>
      <c r="AG51">
        <v>784.19</v>
      </c>
      <c r="AH51">
        <v>11.17</v>
      </c>
      <c r="AI51">
        <v>536.25</v>
      </c>
      <c r="AJ51">
        <v>405.13</v>
      </c>
      <c r="AK51">
        <v>565.20000000000005</v>
      </c>
      <c r="AL51">
        <v>257.85000000000002</v>
      </c>
      <c r="AM51">
        <v>110.36</v>
      </c>
      <c r="AN51">
        <v>49.1</v>
      </c>
      <c r="AO51">
        <v>260.13</v>
      </c>
      <c r="AP51">
        <v>21.48</v>
      </c>
      <c r="AQ51">
        <v>122.95</v>
      </c>
    </row>
    <row r="52" spans="1:43">
      <c r="A52" t="s">
        <v>604</v>
      </c>
      <c r="B52" s="8" t="s">
        <v>1045</v>
      </c>
      <c r="C52" s="8" t="s">
        <v>1044</v>
      </c>
      <c r="D52" t="s">
        <v>604</v>
      </c>
      <c r="E52" t="s">
        <v>858</v>
      </c>
      <c r="F52" t="s">
        <v>863</v>
      </c>
      <c r="G52" t="s">
        <v>864</v>
      </c>
      <c r="H52" t="s">
        <v>967</v>
      </c>
      <c r="I52" s="7">
        <v>29354</v>
      </c>
      <c r="J52" s="7">
        <v>43875</v>
      </c>
      <c r="K52">
        <f>DATEDIF(I52,J52,"Y")</f>
        <v>39</v>
      </c>
      <c r="L52">
        <v>2</v>
      </c>
      <c r="M52" t="s">
        <v>857</v>
      </c>
      <c r="N52" t="s">
        <v>856</v>
      </c>
      <c r="O52">
        <v>10</v>
      </c>
      <c r="P52">
        <v>1</v>
      </c>
      <c r="Q52" s="22">
        <v>2</v>
      </c>
      <c r="R52" s="12">
        <v>1</v>
      </c>
      <c r="S52" s="12">
        <v>0</v>
      </c>
      <c r="T52" t="s">
        <v>604</v>
      </c>
      <c r="U52" t="str">
        <f t="shared" si="3"/>
        <v>TRUE</v>
      </c>
      <c r="V52">
        <v>9.4600000000000009</v>
      </c>
      <c r="W52">
        <v>3.58</v>
      </c>
      <c r="X52">
        <v>112.5</v>
      </c>
      <c r="Y52">
        <v>341.6</v>
      </c>
      <c r="Z52">
        <v>68.92</v>
      </c>
      <c r="AA52">
        <v>30.18</v>
      </c>
      <c r="AB52">
        <v>28.74</v>
      </c>
      <c r="AC52">
        <v>2.98</v>
      </c>
      <c r="AD52">
        <v>362.35</v>
      </c>
      <c r="AE52">
        <v>213.79</v>
      </c>
      <c r="AF52">
        <v>31.35</v>
      </c>
      <c r="AG52">
        <v>68.95</v>
      </c>
      <c r="AH52">
        <v>4.03</v>
      </c>
      <c r="AI52">
        <v>64.72</v>
      </c>
      <c r="AJ52">
        <v>59.34</v>
      </c>
      <c r="AK52">
        <v>29.49</v>
      </c>
      <c r="AL52">
        <v>239.76</v>
      </c>
      <c r="AM52">
        <v>62.98</v>
      </c>
      <c r="AN52">
        <v>15.15</v>
      </c>
      <c r="AO52">
        <v>284.77999999999997</v>
      </c>
      <c r="AP52">
        <v>16.899999999999999</v>
      </c>
      <c r="AQ52">
        <v>50.57</v>
      </c>
    </row>
    <row r="53" spans="1:43">
      <c r="A53" t="s">
        <v>847</v>
      </c>
      <c r="B53" s="8" t="s">
        <v>1042</v>
      </c>
      <c r="C53" s="8" t="s">
        <v>1036</v>
      </c>
      <c r="D53" t="s">
        <v>847</v>
      </c>
      <c r="E53" t="s">
        <v>865</v>
      </c>
      <c r="F53" t="s">
        <v>866</v>
      </c>
      <c r="G53" t="s">
        <v>864</v>
      </c>
      <c r="H53" t="s">
        <v>967</v>
      </c>
      <c r="I53" s="7">
        <v>33023</v>
      </c>
      <c r="J53" s="7">
        <v>43875</v>
      </c>
      <c r="K53">
        <v>29</v>
      </c>
      <c r="L53">
        <v>7</v>
      </c>
      <c r="M53" t="s">
        <v>857</v>
      </c>
      <c r="N53">
        <v>391</v>
      </c>
      <c r="O53">
        <v>2</v>
      </c>
      <c r="P53">
        <v>0</v>
      </c>
      <c r="Q53">
        <v>2</v>
      </c>
      <c r="R53">
        <v>0</v>
      </c>
      <c r="S53">
        <v>0</v>
      </c>
      <c r="T53" t="s">
        <v>847</v>
      </c>
      <c r="U53" t="str">
        <f t="shared" si="3"/>
        <v>TRUE</v>
      </c>
      <c r="V53">
        <v>12.48</v>
      </c>
      <c r="W53">
        <v>4.42</v>
      </c>
      <c r="X53">
        <v>301.16000000000003</v>
      </c>
      <c r="Y53">
        <v>338.5</v>
      </c>
      <c r="Z53">
        <v>31.74</v>
      </c>
      <c r="AA53">
        <v>86.67</v>
      </c>
      <c r="AB53">
        <v>11.68</v>
      </c>
      <c r="AC53">
        <v>5.22</v>
      </c>
      <c r="AD53">
        <v>890.67</v>
      </c>
      <c r="AE53">
        <v>513.73</v>
      </c>
      <c r="AF53">
        <v>325.99</v>
      </c>
      <c r="AG53">
        <v>189.2</v>
      </c>
      <c r="AH53">
        <v>11.52</v>
      </c>
      <c r="AI53">
        <v>150</v>
      </c>
      <c r="AJ53">
        <v>124.33</v>
      </c>
      <c r="AK53">
        <v>40.909999999999997</v>
      </c>
      <c r="AL53">
        <v>240.99</v>
      </c>
      <c r="AM53">
        <v>65.3</v>
      </c>
      <c r="AN53">
        <v>15.55</v>
      </c>
      <c r="AO53">
        <v>907.15</v>
      </c>
      <c r="AP53">
        <v>119.29</v>
      </c>
      <c r="AQ53">
        <v>133.22</v>
      </c>
    </row>
    <row r="54" spans="1:43">
      <c r="A54" t="s">
        <v>607</v>
      </c>
      <c r="B54" s="8" t="s">
        <v>1046</v>
      </c>
      <c r="C54" s="8" t="s">
        <v>1044</v>
      </c>
      <c r="D54" t="s">
        <v>607</v>
      </c>
      <c r="E54" t="s">
        <v>858</v>
      </c>
      <c r="F54" t="s">
        <v>863</v>
      </c>
      <c r="G54" t="s">
        <v>864</v>
      </c>
      <c r="H54" t="s">
        <v>967</v>
      </c>
      <c r="I54" s="7">
        <v>29354</v>
      </c>
      <c r="J54" s="7">
        <v>43882</v>
      </c>
      <c r="K54">
        <f t="shared" ref="K54:K68" si="4">DATEDIF(I54,J54,"Y")</f>
        <v>39</v>
      </c>
      <c r="L54">
        <v>3</v>
      </c>
      <c r="M54" t="s">
        <v>857</v>
      </c>
      <c r="N54" t="s">
        <v>856</v>
      </c>
      <c r="O54">
        <v>6</v>
      </c>
      <c r="P54">
        <v>1</v>
      </c>
      <c r="Q54" s="22">
        <v>2</v>
      </c>
      <c r="R54" s="12">
        <v>1</v>
      </c>
      <c r="S54" s="12">
        <v>0</v>
      </c>
      <c r="T54" t="s">
        <v>607</v>
      </c>
      <c r="U54" t="str">
        <f t="shared" si="3"/>
        <v>TRUE</v>
      </c>
      <c r="V54">
        <v>9.51</v>
      </c>
      <c r="W54">
        <v>7.53</v>
      </c>
      <c r="X54">
        <v>240.13</v>
      </c>
      <c r="Y54">
        <v>306.32</v>
      </c>
      <c r="Z54">
        <v>124.96</v>
      </c>
      <c r="AA54">
        <v>51.43</v>
      </c>
      <c r="AB54">
        <v>29.72</v>
      </c>
      <c r="AC54">
        <v>2.73</v>
      </c>
      <c r="AD54">
        <v>859.73</v>
      </c>
      <c r="AE54">
        <v>312.89</v>
      </c>
      <c r="AF54">
        <v>95.07</v>
      </c>
      <c r="AG54">
        <v>242.93</v>
      </c>
      <c r="AH54">
        <v>7.82</v>
      </c>
      <c r="AI54">
        <v>173.55</v>
      </c>
      <c r="AJ54">
        <v>97.21</v>
      </c>
      <c r="AK54">
        <v>86.47</v>
      </c>
      <c r="AL54">
        <v>48.79</v>
      </c>
      <c r="AM54">
        <v>64.290000000000006</v>
      </c>
      <c r="AN54">
        <v>21.92</v>
      </c>
      <c r="AO54">
        <v>106</v>
      </c>
      <c r="AP54">
        <v>23.32</v>
      </c>
      <c r="AQ54">
        <v>53.82</v>
      </c>
    </row>
    <row r="55" spans="1:43">
      <c r="A55" t="s">
        <v>814</v>
      </c>
      <c r="B55" s="8" t="s">
        <v>1049</v>
      </c>
      <c r="C55" s="8" t="s">
        <v>1050</v>
      </c>
      <c r="D55" t="s">
        <v>814</v>
      </c>
      <c r="E55" t="s">
        <v>865</v>
      </c>
      <c r="F55" t="s">
        <v>873</v>
      </c>
      <c r="G55" t="s">
        <v>860</v>
      </c>
      <c r="H55" t="s">
        <v>864</v>
      </c>
      <c r="I55" s="7">
        <v>26203</v>
      </c>
      <c r="J55" s="7">
        <v>43885</v>
      </c>
      <c r="K55">
        <f t="shared" si="4"/>
        <v>48</v>
      </c>
      <c r="L55">
        <v>1</v>
      </c>
      <c r="M55" t="s">
        <v>861</v>
      </c>
      <c r="N55">
        <v>247</v>
      </c>
      <c r="O55">
        <v>6</v>
      </c>
      <c r="P55">
        <v>0</v>
      </c>
      <c r="Q55">
        <v>3</v>
      </c>
      <c r="R55" s="12">
        <v>1</v>
      </c>
      <c r="S55" s="12">
        <v>0</v>
      </c>
      <c r="T55" t="s">
        <v>814</v>
      </c>
      <c r="U55" t="str">
        <f t="shared" si="3"/>
        <v>TRUE</v>
      </c>
      <c r="V55">
        <v>11.95</v>
      </c>
      <c r="W55">
        <v>9.5299999999999994</v>
      </c>
      <c r="X55">
        <v>233.6</v>
      </c>
      <c r="Y55" s="12">
        <v>1000.01</v>
      </c>
      <c r="Z55">
        <v>135.32</v>
      </c>
      <c r="AA55">
        <v>57.89</v>
      </c>
      <c r="AB55">
        <v>23.05</v>
      </c>
      <c r="AC55">
        <v>4.24</v>
      </c>
      <c r="AD55">
        <v>1590.55</v>
      </c>
      <c r="AE55">
        <v>1319.33</v>
      </c>
      <c r="AF55">
        <v>120.9</v>
      </c>
      <c r="AG55">
        <v>415.94</v>
      </c>
      <c r="AH55">
        <v>15.11</v>
      </c>
      <c r="AI55">
        <v>387.72</v>
      </c>
      <c r="AJ55">
        <v>436.27</v>
      </c>
      <c r="AK55">
        <v>145.91999999999999</v>
      </c>
      <c r="AL55">
        <v>455.9</v>
      </c>
      <c r="AM55">
        <v>63.57</v>
      </c>
      <c r="AN55">
        <v>19.72</v>
      </c>
      <c r="AO55">
        <v>1125.74</v>
      </c>
      <c r="AP55">
        <v>33.58</v>
      </c>
      <c r="AQ55">
        <v>261.58999999999997</v>
      </c>
    </row>
    <row r="56" spans="1:43" ht="15.75">
      <c r="A56" t="s">
        <v>598</v>
      </c>
      <c r="B56" s="8" t="s">
        <v>1052</v>
      </c>
      <c r="C56" s="8" t="s">
        <v>1044</v>
      </c>
      <c r="D56" t="s">
        <v>598</v>
      </c>
      <c r="E56" s="2" t="s">
        <v>858</v>
      </c>
      <c r="F56" s="2" t="s">
        <v>863</v>
      </c>
      <c r="G56" s="2" t="s">
        <v>864</v>
      </c>
      <c r="H56" s="2" t="s">
        <v>967</v>
      </c>
      <c r="I56" s="3">
        <v>29354</v>
      </c>
      <c r="J56" s="3">
        <v>43889</v>
      </c>
      <c r="K56">
        <f t="shared" si="4"/>
        <v>39</v>
      </c>
      <c r="L56">
        <v>4</v>
      </c>
      <c r="M56" t="s">
        <v>857</v>
      </c>
      <c r="N56">
        <v>3900</v>
      </c>
      <c r="O56">
        <v>7</v>
      </c>
      <c r="P56">
        <v>1</v>
      </c>
      <c r="Q56" s="22">
        <v>2</v>
      </c>
      <c r="R56" s="12">
        <v>1</v>
      </c>
      <c r="S56" s="12">
        <v>0</v>
      </c>
      <c r="T56" t="s">
        <v>598</v>
      </c>
      <c r="U56" t="str">
        <f t="shared" si="3"/>
        <v>TRUE</v>
      </c>
      <c r="V56">
        <v>13.68</v>
      </c>
      <c r="W56">
        <v>6.31</v>
      </c>
      <c r="X56">
        <v>213.01</v>
      </c>
      <c r="Y56">
        <v>499.75</v>
      </c>
      <c r="Z56">
        <v>126.8</v>
      </c>
      <c r="AA56">
        <v>52.71</v>
      </c>
      <c r="AB56">
        <v>29.44</v>
      </c>
      <c r="AC56">
        <v>4.91</v>
      </c>
      <c r="AD56">
        <v>2500.0100000000002</v>
      </c>
      <c r="AE56">
        <v>1576.1</v>
      </c>
      <c r="AF56">
        <v>267.51</v>
      </c>
      <c r="AG56" s="14">
        <v>1000.01</v>
      </c>
      <c r="AH56">
        <v>9.91</v>
      </c>
      <c r="AI56">
        <v>1177.3499999999999</v>
      </c>
      <c r="AJ56">
        <v>716.92</v>
      </c>
      <c r="AK56">
        <v>694.86</v>
      </c>
      <c r="AL56">
        <v>159.69</v>
      </c>
      <c r="AM56">
        <v>47.23</v>
      </c>
      <c r="AN56">
        <v>22.52</v>
      </c>
      <c r="AO56">
        <v>368.85</v>
      </c>
      <c r="AP56">
        <v>28.24</v>
      </c>
      <c r="AQ56">
        <v>64.05</v>
      </c>
    </row>
    <row r="57" spans="1:43">
      <c r="A57" t="s">
        <v>610</v>
      </c>
      <c r="B57" s="8" t="s">
        <v>1047</v>
      </c>
      <c r="C57" s="8" t="s">
        <v>1044</v>
      </c>
      <c r="D57" t="s">
        <v>610</v>
      </c>
      <c r="E57" t="s">
        <v>858</v>
      </c>
      <c r="F57" t="s">
        <v>863</v>
      </c>
      <c r="G57" t="s">
        <v>864</v>
      </c>
      <c r="H57" t="s">
        <v>967</v>
      </c>
      <c r="I57" s="7">
        <v>29354</v>
      </c>
      <c r="J57" s="7">
        <v>43894</v>
      </c>
      <c r="K57">
        <f t="shared" si="4"/>
        <v>39</v>
      </c>
      <c r="L57">
        <v>5</v>
      </c>
      <c r="M57" t="s">
        <v>857</v>
      </c>
      <c r="N57">
        <v>4033</v>
      </c>
      <c r="O57">
        <v>8</v>
      </c>
      <c r="P57">
        <v>1</v>
      </c>
      <c r="Q57" s="22">
        <v>2</v>
      </c>
      <c r="R57" s="12">
        <v>1</v>
      </c>
      <c r="S57" s="12">
        <v>0</v>
      </c>
      <c r="T57" t="s">
        <v>610</v>
      </c>
      <c r="U57" t="str">
        <f t="shared" si="3"/>
        <v>TRUE</v>
      </c>
      <c r="V57">
        <v>12.56</v>
      </c>
      <c r="W57">
        <v>8.9600000000000009</v>
      </c>
      <c r="X57">
        <v>122.08</v>
      </c>
      <c r="Y57">
        <v>924.66</v>
      </c>
      <c r="Z57">
        <v>885.16</v>
      </c>
      <c r="AA57">
        <v>78.91</v>
      </c>
      <c r="AB57">
        <v>637.77</v>
      </c>
      <c r="AC57">
        <v>14.2</v>
      </c>
      <c r="AD57">
        <v>2036.46</v>
      </c>
      <c r="AE57">
        <v>1164.5</v>
      </c>
      <c r="AF57">
        <v>143.78</v>
      </c>
      <c r="AG57">
        <v>703.18</v>
      </c>
      <c r="AH57">
        <v>8.1999999999999993</v>
      </c>
      <c r="AI57">
        <v>687.16</v>
      </c>
      <c r="AJ57">
        <v>515.54999999999995</v>
      </c>
      <c r="AK57">
        <v>365.35</v>
      </c>
      <c r="AL57">
        <v>138.04</v>
      </c>
      <c r="AM57">
        <v>75.77</v>
      </c>
      <c r="AN57">
        <v>28.84</v>
      </c>
      <c r="AO57">
        <v>343.13</v>
      </c>
      <c r="AP57">
        <v>26.59</v>
      </c>
      <c r="AQ57">
        <v>85.61</v>
      </c>
    </row>
    <row r="58" spans="1:43">
      <c r="A58" t="s">
        <v>352</v>
      </c>
      <c r="B58" s="8" t="s">
        <v>974</v>
      </c>
      <c r="C58" s="8" t="s">
        <v>973</v>
      </c>
      <c r="D58" t="s">
        <v>352</v>
      </c>
      <c r="E58" t="s">
        <v>858</v>
      </c>
      <c r="F58" t="s">
        <v>863</v>
      </c>
      <c r="G58" t="s">
        <v>864</v>
      </c>
      <c r="H58" t="s">
        <v>967</v>
      </c>
      <c r="I58" s="7">
        <v>29943</v>
      </c>
      <c r="J58" s="7">
        <v>43865</v>
      </c>
      <c r="K58">
        <f t="shared" si="4"/>
        <v>38</v>
      </c>
      <c r="L58">
        <v>2</v>
      </c>
      <c r="M58" t="s">
        <v>857</v>
      </c>
      <c r="N58" t="s">
        <v>856</v>
      </c>
      <c r="O58">
        <v>8</v>
      </c>
      <c r="P58">
        <v>0</v>
      </c>
      <c r="Q58" s="22">
        <v>3</v>
      </c>
      <c r="R58">
        <v>1</v>
      </c>
      <c r="S58">
        <v>0</v>
      </c>
      <c r="T58" t="s">
        <v>352</v>
      </c>
      <c r="U58" t="str">
        <f t="shared" si="3"/>
        <v>TRUE</v>
      </c>
      <c r="V58">
        <v>14.8</v>
      </c>
      <c r="W58">
        <v>12.59</v>
      </c>
      <c r="X58">
        <v>296.86</v>
      </c>
      <c r="Y58">
        <v>144.4</v>
      </c>
      <c r="Z58">
        <v>179.31</v>
      </c>
      <c r="AA58">
        <v>106.05</v>
      </c>
      <c r="AB58">
        <v>79.849999999999994</v>
      </c>
      <c r="AC58">
        <v>9.52</v>
      </c>
      <c r="AD58">
        <v>478.41</v>
      </c>
      <c r="AE58">
        <v>113.99</v>
      </c>
      <c r="AF58">
        <v>133.86000000000001</v>
      </c>
      <c r="AG58">
        <v>168.36</v>
      </c>
      <c r="AH58">
        <v>10.65</v>
      </c>
      <c r="AI58">
        <v>53.36</v>
      </c>
      <c r="AJ58">
        <v>15.29</v>
      </c>
      <c r="AK58">
        <v>21.6</v>
      </c>
      <c r="AL58">
        <v>25.03</v>
      </c>
      <c r="AM58">
        <v>50.71</v>
      </c>
      <c r="AN58">
        <v>15.19</v>
      </c>
      <c r="AO58">
        <v>100.03</v>
      </c>
      <c r="AP58">
        <v>34.11</v>
      </c>
      <c r="AQ58">
        <v>33.130000000000003</v>
      </c>
    </row>
    <row r="59" spans="1:43">
      <c r="A59" t="s">
        <v>340</v>
      </c>
      <c r="B59" s="8" t="s">
        <v>975</v>
      </c>
      <c r="C59" s="8" t="s">
        <v>973</v>
      </c>
      <c r="D59" t="s">
        <v>340</v>
      </c>
      <c r="E59" t="s">
        <v>858</v>
      </c>
      <c r="F59" t="s">
        <v>863</v>
      </c>
      <c r="G59" t="s">
        <v>864</v>
      </c>
      <c r="H59" t="s">
        <v>967</v>
      </c>
      <c r="I59" s="7">
        <v>29943</v>
      </c>
      <c r="J59" s="7">
        <v>43882</v>
      </c>
      <c r="K59">
        <f t="shared" si="4"/>
        <v>38</v>
      </c>
      <c r="L59">
        <v>3</v>
      </c>
      <c r="M59" t="s">
        <v>857</v>
      </c>
      <c r="N59" t="s">
        <v>856</v>
      </c>
      <c r="O59">
        <v>11</v>
      </c>
      <c r="P59">
        <v>0</v>
      </c>
      <c r="Q59" s="22">
        <v>3</v>
      </c>
      <c r="R59">
        <v>1</v>
      </c>
      <c r="S59">
        <v>0</v>
      </c>
      <c r="T59" t="s">
        <v>340</v>
      </c>
      <c r="U59" t="str">
        <f t="shared" si="3"/>
        <v>TRUE</v>
      </c>
      <c r="V59">
        <v>16.98</v>
      </c>
      <c r="W59">
        <v>6.48</v>
      </c>
      <c r="X59">
        <v>18.739999999999998</v>
      </c>
      <c r="Y59">
        <v>46.56</v>
      </c>
      <c r="Z59">
        <v>116.08</v>
      </c>
      <c r="AA59">
        <v>13.62</v>
      </c>
      <c r="AB59">
        <v>42.54</v>
      </c>
      <c r="AC59">
        <v>7.3</v>
      </c>
      <c r="AD59">
        <v>1214.82</v>
      </c>
      <c r="AE59">
        <v>249.13</v>
      </c>
      <c r="AF59">
        <v>148.38</v>
      </c>
      <c r="AG59">
        <v>567.84</v>
      </c>
      <c r="AH59">
        <v>42.47</v>
      </c>
      <c r="AI59">
        <v>165.82</v>
      </c>
      <c r="AJ59">
        <v>39.5</v>
      </c>
      <c r="AK59">
        <v>61.21</v>
      </c>
      <c r="AL59">
        <v>26.88</v>
      </c>
      <c r="AM59">
        <v>157.77000000000001</v>
      </c>
      <c r="AN59">
        <v>47.64</v>
      </c>
      <c r="AO59">
        <v>194.85</v>
      </c>
      <c r="AP59">
        <v>27.32</v>
      </c>
      <c r="AQ59">
        <v>77.77</v>
      </c>
    </row>
    <row r="60" spans="1:43">
      <c r="A60" t="s">
        <v>343</v>
      </c>
      <c r="B60" s="8" t="s">
        <v>976</v>
      </c>
      <c r="C60" s="8" t="s">
        <v>973</v>
      </c>
      <c r="D60" t="s">
        <v>343</v>
      </c>
      <c r="E60" t="s">
        <v>858</v>
      </c>
      <c r="F60" t="s">
        <v>863</v>
      </c>
      <c r="G60" t="s">
        <v>864</v>
      </c>
      <c r="H60" t="s">
        <v>967</v>
      </c>
      <c r="I60" s="7">
        <v>29943</v>
      </c>
      <c r="J60" s="7">
        <v>43889</v>
      </c>
      <c r="K60">
        <f t="shared" si="4"/>
        <v>38</v>
      </c>
      <c r="L60">
        <v>4</v>
      </c>
      <c r="M60" t="s">
        <v>857</v>
      </c>
      <c r="N60" t="s">
        <v>856</v>
      </c>
      <c r="O60">
        <v>10</v>
      </c>
      <c r="P60">
        <v>0</v>
      </c>
      <c r="Q60" s="22">
        <v>3</v>
      </c>
      <c r="R60">
        <v>1</v>
      </c>
      <c r="S60">
        <v>0</v>
      </c>
      <c r="T60" t="s">
        <v>343</v>
      </c>
      <c r="U60" t="str">
        <f t="shared" si="3"/>
        <v>TRUE</v>
      </c>
      <c r="V60">
        <v>15.82</v>
      </c>
      <c r="W60">
        <v>1.52</v>
      </c>
      <c r="X60">
        <v>13.9</v>
      </c>
      <c r="Y60">
        <v>17.11</v>
      </c>
      <c r="Z60">
        <v>61.69</v>
      </c>
      <c r="AA60">
        <v>5.47</v>
      </c>
      <c r="AB60">
        <v>31.73</v>
      </c>
      <c r="AC60">
        <v>3.77</v>
      </c>
      <c r="AD60">
        <v>2500.0100000000002</v>
      </c>
      <c r="AE60">
        <v>353.45</v>
      </c>
      <c r="AF60">
        <v>117.73</v>
      </c>
      <c r="AG60">
        <v>974.17</v>
      </c>
      <c r="AH60">
        <v>24.75</v>
      </c>
      <c r="AI60">
        <v>682.45</v>
      </c>
      <c r="AJ60">
        <v>107.94</v>
      </c>
      <c r="AK60">
        <v>239.18</v>
      </c>
      <c r="AL60">
        <v>39.520000000000003</v>
      </c>
      <c r="AM60">
        <v>115.46</v>
      </c>
      <c r="AN60">
        <v>28.19</v>
      </c>
      <c r="AO60">
        <v>82.78</v>
      </c>
      <c r="AP60">
        <v>11.23</v>
      </c>
      <c r="AQ60">
        <v>28.52</v>
      </c>
    </row>
    <row r="61" spans="1:43">
      <c r="A61" t="s">
        <v>355</v>
      </c>
      <c r="B61" s="8" t="s">
        <v>977</v>
      </c>
      <c r="C61" s="8" t="s">
        <v>973</v>
      </c>
      <c r="D61" t="s">
        <v>355</v>
      </c>
      <c r="E61" t="s">
        <v>858</v>
      </c>
      <c r="F61" t="s">
        <v>863</v>
      </c>
      <c r="G61" t="s">
        <v>864</v>
      </c>
      <c r="H61" t="s">
        <v>967</v>
      </c>
      <c r="I61" s="7">
        <v>29943</v>
      </c>
      <c r="J61" s="7">
        <v>43896</v>
      </c>
      <c r="K61">
        <f t="shared" si="4"/>
        <v>38</v>
      </c>
      <c r="L61">
        <v>5</v>
      </c>
      <c r="M61" t="s">
        <v>857</v>
      </c>
      <c r="N61">
        <v>1144</v>
      </c>
      <c r="O61">
        <v>5</v>
      </c>
      <c r="P61">
        <v>0</v>
      </c>
      <c r="Q61" s="22">
        <v>3</v>
      </c>
      <c r="R61">
        <v>1</v>
      </c>
      <c r="S61">
        <v>0</v>
      </c>
      <c r="T61" t="s">
        <v>355</v>
      </c>
      <c r="U61" t="str">
        <f t="shared" si="3"/>
        <v>TRUE</v>
      </c>
      <c r="V61">
        <v>9.25</v>
      </c>
      <c r="W61">
        <v>10.74</v>
      </c>
      <c r="X61">
        <v>22.29</v>
      </c>
      <c r="Y61">
        <v>87.58</v>
      </c>
      <c r="Z61">
        <v>452.65</v>
      </c>
      <c r="AA61">
        <v>13.67</v>
      </c>
      <c r="AB61">
        <v>270.92</v>
      </c>
      <c r="AC61">
        <v>11.93</v>
      </c>
      <c r="AD61">
        <v>964.24</v>
      </c>
      <c r="AE61">
        <v>118.98</v>
      </c>
      <c r="AF61">
        <v>41.18</v>
      </c>
      <c r="AG61">
        <v>290.02</v>
      </c>
      <c r="AH61">
        <v>19.39</v>
      </c>
      <c r="AI61">
        <v>145.81</v>
      </c>
      <c r="AJ61">
        <v>20.18</v>
      </c>
      <c r="AK61">
        <v>58.6</v>
      </c>
      <c r="AL61">
        <v>28.25</v>
      </c>
      <c r="AM61">
        <v>135.55000000000001</v>
      </c>
      <c r="AN61">
        <v>29.73</v>
      </c>
      <c r="AO61">
        <v>122.62</v>
      </c>
      <c r="AP61">
        <v>9.36</v>
      </c>
      <c r="AQ61">
        <v>47.85</v>
      </c>
    </row>
    <row r="62" spans="1:43">
      <c r="A62" t="s">
        <v>556</v>
      </c>
      <c r="B62" s="8" t="s">
        <v>1034</v>
      </c>
      <c r="C62" s="8" t="s">
        <v>1028</v>
      </c>
      <c r="D62" t="s">
        <v>556</v>
      </c>
      <c r="E62" t="s">
        <v>865</v>
      </c>
      <c r="F62" t="s">
        <v>869</v>
      </c>
      <c r="G62" t="s">
        <v>864</v>
      </c>
      <c r="H62" t="s">
        <v>967</v>
      </c>
      <c r="I62" s="7">
        <v>29371</v>
      </c>
      <c r="J62" s="7">
        <v>43896</v>
      </c>
      <c r="K62">
        <f t="shared" si="4"/>
        <v>39</v>
      </c>
      <c r="L62">
        <v>7</v>
      </c>
      <c r="M62" t="s">
        <v>861</v>
      </c>
      <c r="N62">
        <v>1822</v>
      </c>
      <c r="O62">
        <v>3</v>
      </c>
      <c r="P62">
        <v>1</v>
      </c>
      <c r="Q62">
        <v>2</v>
      </c>
      <c r="R62">
        <v>1</v>
      </c>
      <c r="S62">
        <v>0</v>
      </c>
      <c r="T62" t="s">
        <v>556</v>
      </c>
      <c r="U62" t="str">
        <f t="shared" si="3"/>
        <v>TRUE</v>
      </c>
      <c r="V62">
        <v>20.64</v>
      </c>
      <c r="W62">
        <v>9.33</v>
      </c>
      <c r="X62">
        <v>390.94</v>
      </c>
      <c r="Y62">
        <v>376.36</v>
      </c>
      <c r="Z62">
        <v>605.01</v>
      </c>
      <c r="AA62">
        <v>94.67</v>
      </c>
      <c r="AB62">
        <v>442.22</v>
      </c>
      <c r="AC62">
        <v>9.32</v>
      </c>
      <c r="AD62">
        <v>1229.3599999999999</v>
      </c>
      <c r="AE62">
        <v>275.54000000000002</v>
      </c>
      <c r="AF62">
        <v>97.51</v>
      </c>
      <c r="AG62">
        <v>307.5</v>
      </c>
      <c r="AH62">
        <v>7.06</v>
      </c>
      <c r="AI62">
        <v>250.66</v>
      </c>
      <c r="AJ62">
        <v>60.11</v>
      </c>
      <c r="AK62">
        <v>84.26</v>
      </c>
      <c r="AL62">
        <v>34.89</v>
      </c>
      <c r="AM62">
        <v>67.989999999999995</v>
      </c>
      <c r="AN62">
        <v>12.73</v>
      </c>
      <c r="AO62">
        <v>167.13</v>
      </c>
      <c r="AP62">
        <v>26.04</v>
      </c>
      <c r="AQ62">
        <v>95.35</v>
      </c>
    </row>
    <row r="63" spans="1:43">
      <c r="A63" t="s">
        <v>613</v>
      </c>
      <c r="B63" s="8" t="s">
        <v>1048</v>
      </c>
      <c r="C63" s="8" t="s">
        <v>1044</v>
      </c>
      <c r="D63" t="s">
        <v>613</v>
      </c>
      <c r="E63" t="s">
        <v>858</v>
      </c>
      <c r="F63" t="s">
        <v>863</v>
      </c>
      <c r="G63" t="s">
        <v>864</v>
      </c>
      <c r="H63" t="s">
        <v>967</v>
      </c>
      <c r="I63" s="7">
        <v>29354</v>
      </c>
      <c r="J63" s="7">
        <v>44007</v>
      </c>
      <c r="K63">
        <f t="shared" si="4"/>
        <v>40</v>
      </c>
      <c r="L63">
        <v>7</v>
      </c>
      <c r="M63" t="s">
        <v>857</v>
      </c>
      <c r="N63">
        <v>43</v>
      </c>
      <c r="O63">
        <v>2</v>
      </c>
      <c r="P63">
        <v>1</v>
      </c>
      <c r="Q63" s="22">
        <v>2</v>
      </c>
      <c r="R63" s="12">
        <v>1</v>
      </c>
      <c r="S63" s="12">
        <v>0</v>
      </c>
      <c r="T63" t="s">
        <v>613</v>
      </c>
      <c r="U63" t="str">
        <f t="shared" si="3"/>
        <v>TRUE</v>
      </c>
      <c r="V63">
        <v>14.32</v>
      </c>
      <c r="W63">
        <v>1.78</v>
      </c>
      <c r="X63">
        <v>202.05</v>
      </c>
      <c r="Y63">
        <v>235.16</v>
      </c>
      <c r="Z63">
        <v>191.55</v>
      </c>
      <c r="AA63">
        <v>29.68</v>
      </c>
      <c r="AB63">
        <v>185.12</v>
      </c>
      <c r="AC63">
        <v>5.28</v>
      </c>
      <c r="AD63">
        <v>1002.68</v>
      </c>
      <c r="AE63">
        <v>571.64</v>
      </c>
      <c r="AF63">
        <v>115.66</v>
      </c>
      <c r="AG63">
        <v>342.88</v>
      </c>
      <c r="AH63">
        <v>9.94</v>
      </c>
      <c r="AI63">
        <v>318.06</v>
      </c>
      <c r="AJ63">
        <v>188.03</v>
      </c>
      <c r="AK63">
        <v>150.30000000000001</v>
      </c>
      <c r="AL63">
        <v>275.02</v>
      </c>
      <c r="AM63">
        <v>121.42</v>
      </c>
      <c r="AN63">
        <v>33.229999999999997</v>
      </c>
      <c r="AO63">
        <v>424.35</v>
      </c>
      <c r="AP63">
        <v>33.909999999999997</v>
      </c>
      <c r="AQ63">
        <v>126.88</v>
      </c>
    </row>
    <row r="64" spans="1:43" ht="15.75">
      <c r="A64" t="s">
        <v>346</v>
      </c>
      <c r="B64" s="8" t="s">
        <v>978</v>
      </c>
      <c r="C64" s="8" t="s">
        <v>973</v>
      </c>
      <c r="D64" t="s">
        <v>346</v>
      </c>
      <c r="E64" t="s">
        <v>858</v>
      </c>
      <c r="F64" t="s">
        <v>863</v>
      </c>
      <c r="G64" t="s">
        <v>864</v>
      </c>
      <c r="H64" t="s">
        <v>967</v>
      </c>
      <c r="I64" s="7">
        <v>29943</v>
      </c>
      <c r="J64" s="7">
        <v>44011</v>
      </c>
      <c r="K64">
        <f t="shared" si="4"/>
        <v>38</v>
      </c>
      <c r="L64">
        <v>7</v>
      </c>
      <c r="M64" t="s">
        <v>857</v>
      </c>
      <c r="N64" s="2">
        <v>20</v>
      </c>
      <c r="O64" s="2">
        <v>0</v>
      </c>
      <c r="P64">
        <v>0</v>
      </c>
      <c r="Q64" s="22">
        <v>3</v>
      </c>
      <c r="R64">
        <v>1</v>
      </c>
      <c r="S64">
        <v>0</v>
      </c>
      <c r="T64" t="s">
        <v>346</v>
      </c>
      <c r="U64" t="str">
        <f t="shared" si="3"/>
        <v>TRUE</v>
      </c>
      <c r="V64">
        <v>13.58</v>
      </c>
      <c r="W64">
        <v>1.18</v>
      </c>
      <c r="X64">
        <v>24.85</v>
      </c>
      <c r="Y64">
        <v>24.72</v>
      </c>
      <c r="Z64">
        <v>113.99</v>
      </c>
      <c r="AA64">
        <v>10.27</v>
      </c>
      <c r="AB64">
        <v>87.25</v>
      </c>
      <c r="AC64">
        <v>2.86</v>
      </c>
      <c r="AD64">
        <v>628.82000000000005</v>
      </c>
      <c r="AE64">
        <v>52.98</v>
      </c>
      <c r="AF64">
        <v>107.9</v>
      </c>
      <c r="AG64">
        <v>228.21</v>
      </c>
      <c r="AH64">
        <v>16.600000000000001</v>
      </c>
      <c r="AI64">
        <v>98.27</v>
      </c>
      <c r="AJ64">
        <v>9.73</v>
      </c>
      <c r="AK64">
        <v>25.74</v>
      </c>
      <c r="AL64">
        <v>31.46</v>
      </c>
      <c r="AM64">
        <v>208.8</v>
      </c>
      <c r="AN64">
        <v>40.08</v>
      </c>
      <c r="AO64">
        <v>180.19</v>
      </c>
      <c r="AP64">
        <v>37.57</v>
      </c>
      <c r="AQ64">
        <v>66.42</v>
      </c>
    </row>
    <row r="65" spans="1:43">
      <c r="A65" t="s">
        <v>202</v>
      </c>
      <c r="B65" s="8" t="s">
        <v>1000</v>
      </c>
      <c r="C65" s="8" t="s">
        <v>994</v>
      </c>
      <c r="D65" t="s">
        <v>202</v>
      </c>
      <c r="E65" t="s">
        <v>865</v>
      </c>
      <c r="F65" t="s">
        <v>873</v>
      </c>
      <c r="G65" t="s">
        <v>864</v>
      </c>
      <c r="H65" t="s">
        <v>967</v>
      </c>
      <c r="I65" s="7">
        <v>19925</v>
      </c>
      <c r="J65" s="7">
        <v>43768</v>
      </c>
      <c r="K65">
        <f t="shared" si="4"/>
        <v>65</v>
      </c>
      <c r="L65">
        <v>7</v>
      </c>
      <c r="M65" t="s">
        <v>861</v>
      </c>
      <c r="N65">
        <v>157</v>
      </c>
      <c r="O65">
        <v>3</v>
      </c>
      <c r="P65">
        <v>1</v>
      </c>
      <c r="Q65">
        <v>3</v>
      </c>
      <c r="R65">
        <v>1</v>
      </c>
      <c r="S65">
        <v>0</v>
      </c>
      <c r="T65" t="s">
        <v>202</v>
      </c>
      <c r="U65" t="str">
        <f t="shared" si="3"/>
        <v>TRUE</v>
      </c>
      <c r="V65">
        <v>9.51</v>
      </c>
      <c r="W65">
        <v>1.75</v>
      </c>
      <c r="X65">
        <v>23.88</v>
      </c>
      <c r="Y65">
        <v>775.79</v>
      </c>
      <c r="Z65">
        <v>34.020000000000003</v>
      </c>
      <c r="AA65">
        <v>34.770000000000003</v>
      </c>
      <c r="AB65">
        <v>11.9</v>
      </c>
      <c r="AC65">
        <v>0.99</v>
      </c>
      <c r="AD65">
        <v>700.74</v>
      </c>
      <c r="AE65">
        <v>754.88</v>
      </c>
      <c r="AF65">
        <v>18.38</v>
      </c>
      <c r="AG65">
        <v>160.76</v>
      </c>
      <c r="AH65" s="14">
        <v>2.4900000000000002</v>
      </c>
      <c r="AI65">
        <v>66.16</v>
      </c>
      <c r="AJ65">
        <v>87.45</v>
      </c>
      <c r="AK65">
        <v>19.84</v>
      </c>
      <c r="AL65">
        <v>97.46</v>
      </c>
      <c r="AM65">
        <v>34.909999999999997</v>
      </c>
      <c r="AN65" s="14">
        <v>4.99</v>
      </c>
      <c r="AO65">
        <v>778.73</v>
      </c>
      <c r="AP65">
        <v>11.36</v>
      </c>
      <c r="AQ65">
        <v>123.65</v>
      </c>
    </row>
    <row r="66" spans="1:43">
      <c r="A66" t="s">
        <v>274</v>
      </c>
      <c r="B66" s="8" t="s">
        <v>1024</v>
      </c>
      <c r="C66" s="8" t="s">
        <v>1023</v>
      </c>
      <c r="D66" t="s">
        <v>274</v>
      </c>
      <c r="E66" t="s">
        <v>865</v>
      </c>
      <c r="F66" t="s">
        <v>874</v>
      </c>
      <c r="G66" t="s">
        <v>860</v>
      </c>
      <c r="H66" t="s">
        <v>967</v>
      </c>
      <c r="I66" s="7">
        <v>21300</v>
      </c>
      <c r="J66" s="7">
        <v>43770</v>
      </c>
      <c r="K66">
        <f t="shared" si="4"/>
        <v>61</v>
      </c>
      <c r="L66">
        <v>2</v>
      </c>
      <c r="M66" t="s">
        <v>861</v>
      </c>
      <c r="N66">
        <v>921</v>
      </c>
      <c r="O66">
        <v>12</v>
      </c>
      <c r="P66">
        <v>0</v>
      </c>
      <c r="Q66">
        <v>1</v>
      </c>
      <c r="R66">
        <v>0</v>
      </c>
      <c r="S66">
        <v>1</v>
      </c>
      <c r="T66" t="s">
        <v>274</v>
      </c>
      <c r="U66" t="str">
        <f t="shared" ref="U66:U97" si="5">IF(A66=T66, "TRUE", "FALSE")</f>
        <v>TRUE</v>
      </c>
      <c r="V66">
        <v>8.86</v>
      </c>
      <c r="W66">
        <v>1.99</v>
      </c>
      <c r="X66">
        <v>146.91</v>
      </c>
      <c r="Y66">
        <v>0.99</v>
      </c>
      <c r="Z66">
        <v>79.72</v>
      </c>
      <c r="AA66">
        <v>37.83</v>
      </c>
      <c r="AB66">
        <v>74.89</v>
      </c>
      <c r="AC66">
        <v>1.37</v>
      </c>
      <c r="AD66">
        <v>1877.72</v>
      </c>
      <c r="AE66">
        <v>2.4900000000000002</v>
      </c>
      <c r="AF66">
        <v>331.38</v>
      </c>
      <c r="AG66">
        <v>648.49</v>
      </c>
      <c r="AH66">
        <v>8.17</v>
      </c>
      <c r="AI66">
        <v>10.32</v>
      </c>
      <c r="AJ66" s="14">
        <v>2.4900000000000002</v>
      </c>
      <c r="AK66">
        <v>3.24</v>
      </c>
      <c r="AL66" s="14">
        <v>9.99</v>
      </c>
      <c r="AM66">
        <v>70.5</v>
      </c>
      <c r="AN66" s="14">
        <v>4.99</v>
      </c>
      <c r="AO66" s="14">
        <v>4.99</v>
      </c>
      <c r="AP66">
        <v>84.96</v>
      </c>
      <c r="AQ66" s="14">
        <v>4.99</v>
      </c>
    </row>
    <row r="67" spans="1:43">
      <c r="A67" t="s">
        <v>277</v>
      </c>
      <c r="B67" s="8" t="s">
        <v>1025</v>
      </c>
      <c r="C67" s="8" t="s">
        <v>1023</v>
      </c>
      <c r="D67" t="s">
        <v>277</v>
      </c>
      <c r="E67" t="s">
        <v>865</v>
      </c>
      <c r="F67" t="s">
        <v>874</v>
      </c>
      <c r="G67" t="s">
        <v>860</v>
      </c>
      <c r="H67" t="s">
        <v>967</v>
      </c>
      <c r="I67" s="7">
        <v>21300</v>
      </c>
      <c r="J67" s="7">
        <v>43784</v>
      </c>
      <c r="K67">
        <f t="shared" si="4"/>
        <v>61</v>
      </c>
      <c r="L67">
        <v>3</v>
      </c>
      <c r="M67" t="s">
        <v>861</v>
      </c>
      <c r="N67" t="s">
        <v>856</v>
      </c>
      <c r="O67">
        <v>10</v>
      </c>
      <c r="P67">
        <v>0</v>
      </c>
      <c r="Q67">
        <v>1</v>
      </c>
      <c r="R67">
        <v>0</v>
      </c>
      <c r="S67">
        <v>1</v>
      </c>
      <c r="T67" t="s">
        <v>277</v>
      </c>
      <c r="U67" t="str">
        <f t="shared" si="5"/>
        <v>TRUE</v>
      </c>
      <c r="V67">
        <v>6.98</v>
      </c>
      <c r="W67">
        <v>8.1</v>
      </c>
      <c r="X67">
        <v>194.03</v>
      </c>
      <c r="Y67">
        <v>0.99</v>
      </c>
      <c r="Z67" s="12">
        <v>1000.01</v>
      </c>
      <c r="AA67">
        <v>126.93</v>
      </c>
      <c r="AB67">
        <v>269.91000000000003</v>
      </c>
      <c r="AC67">
        <v>10.220000000000001</v>
      </c>
      <c r="AD67">
        <v>2129.4299999999998</v>
      </c>
      <c r="AE67">
        <v>2.4900000000000002</v>
      </c>
      <c r="AF67">
        <v>183.75</v>
      </c>
      <c r="AG67">
        <v>438.46</v>
      </c>
      <c r="AH67">
        <v>9.76</v>
      </c>
      <c r="AI67">
        <v>6.53</v>
      </c>
      <c r="AJ67" s="14">
        <v>2.4900000000000002</v>
      </c>
      <c r="AK67" s="14">
        <v>2.4900000000000002</v>
      </c>
      <c r="AL67" s="14">
        <v>9.99</v>
      </c>
      <c r="AM67">
        <v>64.97</v>
      </c>
      <c r="AN67" s="14">
        <v>4.99</v>
      </c>
      <c r="AO67" s="14">
        <v>4.99</v>
      </c>
      <c r="AP67">
        <v>41.51</v>
      </c>
      <c r="AQ67" s="14">
        <v>4.99</v>
      </c>
    </row>
    <row r="68" spans="1:43">
      <c r="A68" t="s">
        <v>292</v>
      </c>
      <c r="B68" s="8" t="s">
        <v>1008</v>
      </c>
      <c r="C68" s="8" t="s">
        <v>1002</v>
      </c>
      <c r="D68" t="s">
        <v>292</v>
      </c>
      <c r="E68" t="s">
        <v>858</v>
      </c>
      <c r="F68" t="s">
        <v>859</v>
      </c>
      <c r="G68" t="s">
        <v>864</v>
      </c>
      <c r="H68" t="s">
        <v>967</v>
      </c>
      <c r="I68" s="7">
        <v>34948</v>
      </c>
      <c r="J68" s="7">
        <v>43788</v>
      </c>
      <c r="K68">
        <f t="shared" si="4"/>
        <v>24</v>
      </c>
      <c r="L68">
        <v>7</v>
      </c>
      <c r="M68" t="s">
        <v>861</v>
      </c>
      <c r="N68">
        <v>61</v>
      </c>
      <c r="O68">
        <v>1</v>
      </c>
      <c r="P68">
        <v>0</v>
      </c>
      <c r="Q68" s="22">
        <v>2</v>
      </c>
      <c r="R68">
        <v>1</v>
      </c>
      <c r="S68">
        <v>0</v>
      </c>
      <c r="T68" t="s">
        <v>292</v>
      </c>
      <c r="U68" t="str">
        <f t="shared" si="5"/>
        <v>TRUE</v>
      </c>
      <c r="V68">
        <v>10.72</v>
      </c>
      <c r="W68">
        <v>0.99</v>
      </c>
      <c r="X68">
        <v>135.91</v>
      </c>
      <c r="Y68">
        <v>38.130000000000003</v>
      </c>
      <c r="Z68">
        <v>12.72</v>
      </c>
      <c r="AA68">
        <v>5.66</v>
      </c>
      <c r="AB68">
        <v>25.2</v>
      </c>
      <c r="AC68">
        <v>0.99</v>
      </c>
      <c r="AD68">
        <v>1228.8900000000001</v>
      </c>
      <c r="AE68">
        <v>510.13</v>
      </c>
      <c r="AF68">
        <v>170.48</v>
      </c>
      <c r="AG68">
        <v>380.55</v>
      </c>
      <c r="AH68">
        <v>22.42</v>
      </c>
      <c r="AI68">
        <v>211.97</v>
      </c>
      <c r="AJ68">
        <v>142.13999999999999</v>
      </c>
      <c r="AK68">
        <v>107.24</v>
      </c>
      <c r="AL68">
        <v>143.34</v>
      </c>
      <c r="AM68">
        <v>76.430000000000007</v>
      </c>
      <c r="AN68">
        <v>22.62</v>
      </c>
      <c r="AO68">
        <v>428.44</v>
      </c>
      <c r="AP68">
        <v>42.7</v>
      </c>
      <c r="AQ68">
        <v>101.74</v>
      </c>
    </row>
    <row r="69" spans="1:43">
      <c r="A69" t="s">
        <v>844</v>
      </c>
      <c r="B69" s="8" t="s">
        <v>1035</v>
      </c>
      <c r="C69" s="8" t="s">
        <v>1036</v>
      </c>
      <c r="D69" t="s">
        <v>844</v>
      </c>
      <c r="E69" t="s">
        <v>865</v>
      </c>
      <c r="F69" t="s">
        <v>866</v>
      </c>
      <c r="G69" t="s">
        <v>864</v>
      </c>
      <c r="H69" t="s">
        <v>864</v>
      </c>
      <c r="I69" s="7">
        <v>33023</v>
      </c>
      <c r="J69" s="7">
        <v>43788</v>
      </c>
      <c r="K69">
        <v>29</v>
      </c>
      <c r="L69">
        <v>1</v>
      </c>
      <c r="M69" t="s">
        <v>857</v>
      </c>
      <c r="N69">
        <v>1213</v>
      </c>
      <c r="O69">
        <v>7</v>
      </c>
      <c r="P69">
        <v>0</v>
      </c>
      <c r="Q69">
        <v>2</v>
      </c>
      <c r="R69">
        <v>0</v>
      </c>
      <c r="S69">
        <v>0</v>
      </c>
      <c r="T69" t="s">
        <v>844</v>
      </c>
      <c r="U69" t="str">
        <f t="shared" si="5"/>
        <v>TRUE</v>
      </c>
      <c r="V69">
        <v>5.59</v>
      </c>
      <c r="W69">
        <v>2.06</v>
      </c>
      <c r="X69">
        <v>373.67</v>
      </c>
      <c r="Y69">
        <v>160.22</v>
      </c>
      <c r="Z69">
        <v>31.57</v>
      </c>
      <c r="AA69">
        <v>41.03</v>
      </c>
      <c r="AB69">
        <v>15.78</v>
      </c>
      <c r="AC69">
        <v>1.64</v>
      </c>
      <c r="AD69">
        <v>802.28</v>
      </c>
      <c r="AE69">
        <v>221.44</v>
      </c>
      <c r="AF69">
        <v>211.02</v>
      </c>
      <c r="AG69">
        <v>172.89</v>
      </c>
      <c r="AH69">
        <v>2.92</v>
      </c>
      <c r="AI69">
        <v>108.95</v>
      </c>
      <c r="AJ69">
        <v>36.57</v>
      </c>
      <c r="AK69">
        <v>26.42</v>
      </c>
      <c r="AL69">
        <v>32.58</v>
      </c>
      <c r="AM69">
        <v>50.13</v>
      </c>
      <c r="AN69">
        <v>11.19</v>
      </c>
      <c r="AO69">
        <v>204.13</v>
      </c>
      <c r="AP69">
        <v>93.44</v>
      </c>
      <c r="AQ69">
        <v>44.85</v>
      </c>
    </row>
    <row r="70" spans="1:43">
      <c r="A70" t="s">
        <v>676</v>
      </c>
      <c r="B70" s="8" t="s">
        <v>1011</v>
      </c>
      <c r="C70" s="8" t="s">
        <v>1010</v>
      </c>
      <c r="D70" t="s">
        <v>676</v>
      </c>
      <c r="E70" t="s">
        <v>865</v>
      </c>
      <c r="F70" t="s">
        <v>869</v>
      </c>
      <c r="G70" t="s">
        <v>860</v>
      </c>
      <c r="H70" t="s">
        <v>967</v>
      </c>
      <c r="I70" s="7">
        <v>31009</v>
      </c>
      <c r="J70" s="7">
        <v>43756</v>
      </c>
      <c r="K70">
        <f t="shared" ref="K70:K76" si="6">DATEDIF(I70,J70,"Y")</f>
        <v>34</v>
      </c>
      <c r="L70">
        <v>2</v>
      </c>
      <c r="M70" t="s">
        <v>857</v>
      </c>
      <c r="N70" t="s">
        <v>856</v>
      </c>
      <c r="O70">
        <v>3</v>
      </c>
      <c r="P70">
        <v>1</v>
      </c>
      <c r="Q70">
        <v>2</v>
      </c>
      <c r="R70">
        <v>1</v>
      </c>
      <c r="S70">
        <v>0</v>
      </c>
      <c r="T70" t="s">
        <v>676</v>
      </c>
      <c r="U70" t="str">
        <f t="shared" si="5"/>
        <v>TRUE</v>
      </c>
      <c r="V70">
        <v>103.87</v>
      </c>
      <c r="W70">
        <v>8.99</v>
      </c>
      <c r="X70">
        <v>48.18</v>
      </c>
      <c r="Y70">
        <v>343</v>
      </c>
      <c r="Z70">
        <v>177.64</v>
      </c>
      <c r="AA70">
        <v>26.45</v>
      </c>
      <c r="AB70">
        <v>25.26</v>
      </c>
      <c r="AC70">
        <v>2.63</v>
      </c>
      <c r="AD70">
        <v>2070.1</v>
      </c>
      <c r="AE70">
        <v>498.59</v>
      </c>
      <c r="AF70">
        <v>33.57</v>
      </c>
      <c r="AG70">
        <v>817.22</v>
      </c>
      <c r="AH70">
        <v>42.6</v>
      </c>
      <c r="AI70">
        <v>222.18</v>
      </c>
      <c r="AJ70">
        <v>96.72</v>
      </c>
      <c r="AK70">
        <v>127.1</v>
      </c>
      <c r="AL70">
        <v>166.76</v>
      </c>
      <c r="AM70">
        <v>253.06</v>
      </c>
      <c r="AN70">
        <v>28.17</v>
      </c>
      <c r="AO70">
        <v>793.65</v>
      </c>
      <c r="AP70">
        <v>12.13</v>
      </c>
      <c r="AQ70">
        <v>185.62</v>
      </c>
    </row>
    <row r="71" spans="1:43">
      <c r="A71" t="s">
        <v>391</v>
      </c>
      <c r="B71" s="8" t="s">
        <v>992</v>
      </c>
      <c r="C71" s="8" t="s">
        <v>986</v>
      </c>
      <c r="D71" t="s">
        <v>391</v>
      </c>
      <c r="E71" t="s">
        <v>858</v>
      </c>
      <c r="F71" t="s">
        <v>859</v>
      </c>
      <c r="G71" t="s">
        <v>864</v>
      </c>
      <c r="H71" t="s">
        <v>967</v>
      </c>
      <c r="I71" s="7">
        <v>23568</v>
      </c>
      <c r="J71" s="7">
        <v>43756</v>
      </c>
      <c r="K71">
        <f t="shared" si="6"/>
        <v>55</v>
      </c>
      <c r="L71">
        <v>7</v>
      </c>
      <c r="M71" t="s">
        <v>857</v>
      </c>
      <c r="N71">
        <v>51</v>
      </c>
      <c r="O71">
        <v>2</v>
      </c>
      <c r="P71">
        <v>0</v>
      </c>
      <c r="Q71" s="22">
        <v>2</v>
      </c>
      <c r="R71">
        <v>1</v>
      </c>
      <c r="S71">
        <v>0</v>
      </c>
      <c r="T71" t="s">
        <v>391</v>
      </c>
      <c r="U71" t="str">
        <f t="shared" si="5"/>
        <v>TRUE</v>
      </c>
      <c r="V71">
        <v>17.16</v>
      </c>
      <c r="W71">
        <v>8.07</v>
      </c>
      <c r="X71">
        <v>13.8</v>
      </c>
      <c r="Y71">
        <v>99.7</v>
      </c>
      <c r="Z71">
        <v>534.74</v>
      </c>
      <c r="AA71">
        <v>25.48</v>
      </c>
      <c r="AB71">
        <v>442.02</v>
      </c>
      <c r="AC71">
        <v>12.17</v>
      </c>
      <c r="AD71">
        <v>1926.93</v>
      </c>
      <c r="AE71">
        <v>174.77</v>
      </c>
      <c r="AF71">
        <v>153.97999999999999</v>
      </c>
      <c r="AG71">
        <v>390.13</v>
      </c>
      <c r="AH71">
        <v>24.94</v>
      </c>
      <c r="AI71">
        <v>199.93</v>
      </c>
      <c r="AJ71">
        <v>19.77</v>
      </c>
      <c r="AK71">
        <v>32.020000000000003</v>
      </c>
      <c r="AL71">
        <v>43.96</v>
      </c>
      <c r="AM71">
        <v>81.81</v>
      </c>
      <c r="AN71">
        <v>17.7</v>
      </c>
      <c r="AO71">
        <v>119.69</v>
      </c>
      <c r="AP71">
        <v>23.54</v>
      </c>
      <c r="AQ71">
        <v>26.86</v>
      </c>
    </row>
    <row r="72" spans="1:43">
      <c r="A72" t="s">
        <v>679</v>
      </c>
      <c r="B72" s="8" t="s">
        <v>1012</v>
      </c>
      <c r="C72" s="8" t="s">
        <v>1010</v>
      </c>
      <c r="D72" t="s">
        <v>679</v>
      </c>
      <c r="E72" t="s">
        <v>865</v>
      </c>
      <c r="F72" t="s">
        <v>869</v>
      </c>
      <c r="G72" t="s">
        <v>860</v>
      </c>
      <c r="H72" t="s">
        <v>967</v>
      </c>
      <c r="I72" s="7">
        <v>31009</v>
      </c>
      <c r="J72" s="7">
        <v>43763</v>
      </c>
      <c r="K72">
        <f t="shared" si="6"/>
        <v>34</v>
      </c>
      <c r="L72">
        <v>3</v>
      </c>
      <c r="M72" t="s">
        <v>857</v>
      </c>
      <c r="N72">
        <v>445</v>
      </c>
      <c r="O72">
        <v>2</v>
      </c>
      <c r="P72">
        <v>1</v>
      </c>
      <c r="Q72">
        <v>2</v>
      </c>
      <c r="R72">
        <v>1</v>
      </c>
      <c r="S72">
        <v>0</v>
      </c>
      <c r="T72" t="s">
        <v>679</v>
      </c>
      <c r="U72" t="str">
        <f t="shared" si="5"/>
        <v>TRUE</v>
      </c>
      <c r="V72">
        <v>27.77</v>
      </c>
      <c r="W72">
        <v>0.99</v>
      </c>
      <c r="X72">
        <v>8</v>
      </c>
      <c r="Y72">
        <v>50.6</v>
      </c>
      <c r="Z72">
        <v>53.13</v>
      </c>
      <c r="AA72">
        <v>5.75</v>
      </c>
      <c r="AB72">
        <v>6.84</v>
      </c>
      <c r="AC72">
        <v>0.99</v>
      </c>
      <c r="AD72">
        <v>1841.52</v>
      </c>
      <c r="AE72">
        <v>425.96</v>
      </c>
      <c r="AF72">
        <v>25.95</v>
      </c>
      <c r="AG72">
        <v>490.77</v>
      </c>
      <c r="AH72">
        <v>44.53</v>
      </c>
      <c r="AI72">
        <v>198.7</v>
      </c>
      <c r="AJ72">
        <v>89.83</v>
      </c>
      <c r="AK72">
        <v>80.489999999999995</v>
      </c>
      <c r="AL72">
        <v>163.38</v>
      </c>
      <c r="AM72">
        <v>160.31</v>
      </c>
      <c r="AN72">
        <v>19.87</v>
      </c>
      <c r="AO72">
        <v>576.34</v>
      </c>
      <c r="AP72">
        <v>6.91</v>
      </c>
      <c r="AQ72">
        <v>102.76</v>
      </c>
    </row>
    <row r="73" spans="1:43">
      <c r="A73" t="s">
        <v>673</v>
      </c>
      <c r="B73" s="8" t="s">
        <v>1013</v>
      </c>
      <c r="C73" s="8" t="s">
        <v>1010</v>
      </c>
      <c r="D73" t="s">
        <v>673</v>
      </c>
      <c r="E73" t="s">
        <v>865</v>
      </c>
      <c r="F73" t="s">
        <v>869</v>
      </c>
      <c r="G73" t="s">
        <v>860</v>
      </c>
      <c r="H73" t="s">
        <v>967</v>
      </c>
      <c r="I73" s="7">
        <v>31009</v>
      </c>
      <c r="J73" s="7">
        <v>43769</v>
      </c>
      <c r="K73">
        <f t="shared" si="6"/>
        <v>34</v>
      </c>
      <c r="L73">
        <v>4</v>
      </c>
      <c r="M73" t="s">
        <v>857</v>
      </c>
      <c r="N73" t="s">
        <v>856</v>
      </c>
      <c r="O73">
        <v>5</v>
      </c>
      <c r="P73">
        <v>1</v>
      </c>
      <c r="Q73">
        <v>2</v>
      </c>
      <c r="R73">
        <v>1</v>
      </c>
      <c r="S73">
        <v>0</v>
      </c>
      <c r="T73" t="s">
        <v>673</v>
      </c>
      <c r="U73" t="str">
        <f t="shared" si="5"/>
        <v>TRUE</v>
      </c>
      <c r="V73">
        <v>58.82</v>
      </c>
      <c r="W73">
        <v>8.7100000000000009</v>
      </c>
      <c r="X73">
        <v>26.15</v>
      </c>
      <c r="Y73">
        <v>235.35</v>
      </c>
      <c r="Z73">
        <v>196.06</v>
      </c>
      <c r="AA73">
        <v>14.12</v>
      </c>
      <c r="AB73">
        <v>15.73</v>
      </c>
      <c r="AC73">
        <v>5.09</v>
      </c>
      <c r="AD73">
        <v>1424.3</v>
      </c>
      <c r="AE73">
        <v>354.41</v>
      </c>
      <c r="AF73">
        <v>29.37</v>
      </c>
      <c r="AG73">
        <v>331.73</v>
      </c>
      <c r="AH73">
        <v>42.33</v>
      </c>
      <c r="AI73">
        <v>131.55000000000001</v>
      </c>
      <c r="AJ73">
        <v>56.88</v>
      </c>
      <c r="AK73">
        <v>52.86</v>
      </c>
      <c r="AL73">
        <v>173.25</v>
      </c>
      <c r="AM73">
        <v>183</v>
      </c>
      <c r="AN73">
        <v>24.6</v>
      </c>
      <c r="AO73">
        <v>666.41</v>
      </c>
      <c r="AP73">
        <v>15.8</v>
      </c>
      <c r="AQ73">
        <v>133.30000000000001</v>
      </c>
    </row>
    <row r="74" spans="1:43">
      <c r="A74" t="s">
        <v>688</v>
      </c>
      <c r="B74" s="8" t="s">
        <v>1014</v>
      </c>
      <c r="C74" s="8" t="s">
        <v>1010</v>
      </c>
      <c r="D74" t="s">
        <v>688</v>
      </c>
      <c r="E74" t="s">
        <v>865</v>
      </c>
      <c r="F74" t="s">
        <v>869</v>
      </c>
      <c r="G74" t="s">
        <v>860</v>
      </c>
      <c r="H74" t="s">
        <v>967</v>
      </c>
      <c r="I74" s="7">
        <v>31009</v>
      </c>
      <c r="J74" s="7">
        <v>43775</v>
      </c>
      <c r="K74">
        <f t="shared" si="6"/>
        <v>34</v>
      </c>
      <c r="L74">
        <v>5</v>
      </c>
      <c r="M74" t="s">
        <v>857</v>
      </c>
      <c r="N74">
        <v>843</v>
      </c>
      <c r="O74">
        <v>5</v>
      </c>
      <c r="P74">
        <v>1</v>
      </c>
      <c r="Q74">
        <v>2</v>
      </c>
      <c r="R74">
        <v>1</v>
      </c>
      <c r="S74">
        <v>0</v>
      </c>
      <c r="T74" t="s">
        <v>688</v>
      </c>
      <c r="U74" t="str">
        <f t="shared" si="5"/>
        <v>TRUE</v>
      </c>
      <c r="V74">
        <v>21.17</v>
      </c>
      <c r="W74">
        <v>2.48</v>
      </c>
      <c r="X74">
        <v>12.5</v>
      </c>
      <c r="Y74">
        <v>75.150000000000006</v>
      </c>
      <c r="Z74">
        <v>188.27</v>
      </c>
      <c r="AA74">
        <v>5.85</v>
      </c>
      <c r="AB74">
        <v>18.97</v>
      </c>
      <c r="AC74">
        <v>3.55</v>
      </c>
      <c r="AD74">
        <v>1854.85</v>
      </c>
      <c r="AE74">
        <v>247.97</v>
      </c>
      <c r="AF74">
        <v>32.369999999999997</v>
      </c>
      <c r="AG74">
        <v>376.6</v>
      </c>
      <c r="AH74">
        <v>59.28</v>
      </c>
      <c r="AI74">
        <v>237.87</v>
      </c>
      <c r="AJ74">
        <v>62.92</v>
      </c>
      <c r="AK74">
        <v>85.17</v>
      </c>
      <c r="AL74">
        <v>104.04</v>
      </c>
      <c r="AM74">
        <v>199.47</v>
      </c>
      <c r="AN74">
        <v>47.71</v>
      </c>
      <c r="AO74">
        <v>298.88</v>
      </c>
      <c r="AP74">
        <v>11.78</v>
      </c>
      <c r="AQ74">
        <v>92.24</v>
      </c>
    </row>
    <row r="75" spans="1:43">
      <c r="A75" t="s">
        <v>553</v>
      </c>
      <c r="B75" s="8" t="s">
        <v>1027</v>
      </c>
      <c r="C75" s="8" t="s">
        <v>1028</v>
      </c>
      <c r="D75" t="s">
        <v>553</v>
      </c>
      <c r="E75" t="s">
        <v>865</v>
      </c>
      <c r="F75" t="s">
        <v>869</v>
      </c>
      <c r="G75" t="s">
        <v>864</v>
      </c>
      <c r="H75" t="s">
        <v>860</v>
      </c>
      <c r="I75" s="7">
        <v>29371</v>
      </c>
      <c r="J75" s="7">
        <v>43784</v>
      </c>
      <c r="K75">
        <f t="shared" si="6"/>
        <v>39</v>
      </c>
      <c r="L75">
        <v>1</v>
      </c>
      <c r="M75" t="s">
        <v>861</v>
      </c>
      <c r="N75">
        <v>3792</v>
      </c>
      <c r="O75">
        <v>8</v>
      </c>
      <c r="P75">
        <v>1</v>
      </c>
      <c r="Q75">
        <v>2</v>
      </c>
      <c r="R75">
        <v>1</v>
      </c>
      <c r="S75">
        <v>0</v>
      </c>
      <c r="T75" t="s">
        <v>553</v>
      </c>
      <c r="U75" t="str">
        <f t="shared" si="5"/>
        <v>TRUE</v>
      </c>
      <c r="V75">
        <v>17.8</v>
      </c>
      <c r="W75">
        <v>35.03</v>
      </c>
      <c r="X75">
        <v>88.85</v>
      </c>
      <c r="Y75">
        <v>2.8</v>
      </c>
      <c r="Z75" s="12">
        <v>1000.01</v>
      </c>
      <c r="AA75">
        <v>406.46</v>
      </c>
      <c r="AB75" s="12">
        <v>1000.01</v>
      </c>
      <c r="AC75">
        <v>42.09</v>
      </c>
      <c r="AD75">
        <v>2500.0100000000002</v>
      </c>
      <c r="AE75">
        <v>2.4900000000000002</v>
      </c>
      <c r="AF75">
        <v>309.08</v>
      </c>
      <c r="AG75" s="14">
        <v>1000.01</v>
      </c>
      <c r="AH75">
        <v>16.47</v>
      </c>
      <c r="AI75">
        <v>232.44</v>
      </c>
      <c r="AJ75" s="14">
        <v>2.4900000000000002</v>
      </c>
      <c r="AK75">
        <v>99.33</v>
      </c>
      <c r="AL75" s="14">
        <v>9.99</v>
      </c>
      <c r="AM75">
        <v>207.08</v>
      </c>
      <c r="AN75">
        <v>14.1</v>
      </c>
      <c r="AO75" s="14">
        <v>4.99</v>
      </c>
      <c r="AP75">
        <v>112.56</v>
      </c>
      <c r="AQ75" s="14">
        <v>4.99</v>
      </c>
    </row>
    <row r="76" spans="1:43">
      <c r="A76" t="s">
        <v>280</v>
      </c>
      <c r="B76" s="8" t="s">
        <v>1026</v>
      </c>
      <c r="C76" s="8" t="s">
        <v>1023</v>
      </c>
      <c r="D76" t="s">
        <v>280</v>
      </c>
      <c r="E76" t="s">
        <v>865</v>
      </c>
      <c r="F76" t="s">
        <v>874</v>
      </c>
      <c r="G76" t="s">
        <v>860</v>
      </c>
      <c r="H76" t="s">
        <v>967</v>
      </c>
      <c r="I76" s="7">
        <v>21300</v>
      </c>
      <c r="J76" s="7">
        <v>43791</v>
      </c>
      <c r="K76">
        <f t="shared" si="6"/>
        <v>61</v>
      </c>
      <c r="L76">
        <v>4</v>
      </c>
      <c r="M76" t="s">
        <v>861</v>
      </c>
      <c r="N76">
        <v>784</v>
      </c>
      <c r="O76">
        <v>6</v>
      </c>
      <c r="P76">
        <v>0</v>
      </c>
      <c r="Q76">
        <v>1</v>
      </c>
      <c r="R76">
        <v>0</v>
      </c>
      <c r="S76">
        <v>1</v>
      </c>
      <c r="T76" t="s">
        <v>280</v>
      </c>
      <c r="U76" t="str">
        <f t="shared" si="5"/>
        <v>TRUE</v>
      </c>
      <c r="V76">
        <v>10.83</v>
      </c>
      <c r="W76">
        <v>14.01</v>
      </c>
      <c r="X76">
        <v>1.49</v>
      </c>
      <c r="Y76">
        <v>0.99</v>
      </c>
      <c r="Z76">
        <v>153.94</v>
      </c>
      <c r="AA76">
        <v>11.97</v>
      </c>
      <c r="AB76">
        <v>142.72</v>
      </c>
      <c r="AC76">
        <v>1.1299999999999999</v>
      </c>
      <c r="AD76">
        <v>1050.6099999999999</v>
      </c>
      <c r="AE76">
        <v>2.4900000000000002</v>
      </c>
      <c r="AF76">
        <v>92.57</v>
      </c>
      <c r="AG76">
        <v>920.79</v>
      </c>
      <c r="AH76">
        <v>28.55</v>
      </c>
      <c r="AI76" s="14">
        <v>4.99</v>
      </c>
      <c r="AJ76" s="14">
        <v>2.4900000000000002</v>
      </c>
      <c r="AK76">
        <v>4.16</v>
      </c>
      <c r="AL76" s="14">
        <v>9.99</v>
      </c>
      <c r="AM76">
        <v>161.83000000000001</v>
      </c>
      <c r="AN76" s="14">
        <v>4.99</v>
      </c>
      <c r="AO76" s="14">
        <v>4.99</v>
      </c>
      <c r="AP76">
        <v>28.5</v>
      </c>
      <c r="AQ76" s="14">
        <v>4.99</v>
      </c>
    </row>
  </sheetData>
  <sortState xmlns:xlrd2="http://schemas.microsoft.com/office/spreadsheetml/2017/richdata2" ref="A2:AQ76">
    <sortCondition ref="T1:T76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IBD-UC Serum BileAcids LC-QqQ_c</vt:lpstr>
      <vt:lpstr>edited</vt:lpstr>
      <vt:lpstr>Final_metadata</vt:lpstr>
      <vt:lpstr>Trimmed metadata</vt:lpstr>
      <vt:lpstr>Inception cohort</vt:lpstr>
      <vt:lpstr>5ASA</vt:lpstr>
      <vt:lpstr>Thiopurine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Radhakrishnan, Shiva Thambiah</dc:creator>
  <cp:lastModifiedBy>Sung, Cindy</cp:lastModifiedBy>
  <dcterms:created xsi:type="dcterms:W3CDTF">2022-02-20T10:47:00Z</dcterms:created>
  <dcterms:modified xsi:type="dcterms:W3CDTF">2022-11-21T14:16:04Z</dcterms:modified>
</cp:coreProperties>
</file>